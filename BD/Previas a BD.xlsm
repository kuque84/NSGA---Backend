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D:\Kuque\Documentos\ISSRC\TECNOLOGÍA Y DESARROLLO\Nuevo Sistema de Gestión Académica\NSGA - Backend\BD\"/>
    </mc:Choice>
  </mc:AlternateContent>
  <xr:revisionPtr revIDLastSave="0" documentId="13_ncr:1_{F3CA7520-2BDF-48F3-8D34-91A2DBC1F7B5}" xr6:coauthVersionLast="47" xr6:coauthVersionMax="47" xr10:uidLastSave="{00000000-0000-0000-0000-000000000000}"/>
  <bookViews>
    <workbookView xWindow="-120" yWindow="-120" windowWidth="29040" windowHeight="15720" tabRatio="852" activeTab="5" xr2:uid="{00000000-000D-0000-FFFF-FFFF00000000}"/>
  </bookViews>
  <sheets>
    <sheet name="TABLA PREVIOS" sheetId="1" r:id="rId1"/>
    <sheet name="TABLA FECHASEXAMEN" sheetId="11" r:id="rId2"/>
    <sheet name="TABLA INSCRIPCION" sheetId="19" r:id="rId3"/>
    <sheet name="PREVIOS" sheetId="2" r:id="rId4"/>
    <sheet name="PREVIOS (2)" sheetId="18" r:id="rId5"/>
    <sheet name="EXAMENES" sheetId="10" r:id="rId6"/>
    <sheet name="ALUMNOS" sheetId="3" r:id="rId7"/>
    <sheet name="MATERIAS" sheetId="4" r:id="rId8"/>
    <sheet name="CONDICION" sheetId="5" r:id="rId9"/>
    <sheet name="CALIFICACION" sheetId="6" r:id="rId10"/>
    <sheet name="CURSO" sheetId="7" r:id="rId11"/>
    <sheet name="CICLO" sheetId="8" r:id="rId12"/>
    <sheet name="PLAN" sheetId="9" r:id="rId13"/>
    <sheet name="TURNOS" sheetId="15" r:id="rId14"/>
  </sheets>
  <definedNames>
    <definedName name="_xlnm._FilterDatabase" localSheetId="5" hidden="1">EXAMENES!$A$1:$Q$169</definedName>
    <definedName name="_xlnm._FilterDatabase" localSheetId="3" hidden="1">PREVIOS!$A$1:$AG$1406</definedName>
    <definedName name="_xlnm._FilterDatabase" localSheetId="4" hidden="1">'PREVIOS (2)'!$C$1:$AI$1406</definedName>
    <definedName name="_xlnm._FilterDatabase" localSheetId="0" hidden="1">'TABLA PREVIOS'!$C$1:$L$1406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9" l="1"/>
  <c r="C3" i="19"/>
  <c r="D3" i="19"/>
  <c r="I3" i="19" s="1"/>
  <c r="E3" i="19"/>
  <c r="F3" i="19"/>
  <c r="G3" i="19"/>
  <c r="H3" i="19"/>
  <c r="B4" i="19"/>
  <c r="C4" i="19"/>
  <c r="D4" i="19"/>
  <c r="I4" i="19" s="1"/>
  <c r="E4" i="19"/>
  <c r="F4" i="19"/>
  <c r="G4" i="19"/>
  <c r="H4" i="19"/>
  <c r="B5" i="19"/>
  <c r="C5" i="19"/>
  <c r="D5" i="19"/>
  <c r="I5" i="19" s="1"/>
  <c r="E5" i="19"/>
  <c r="F5" i="19"/>
  <c r="G5" i="19"/>
  <c r="H5" i="19"/>
  <c r="B6" i="19"/>
  <c r="C6" i="19"/>
  <c r="D6" i="19"/>
  <c r="I6" i="19" s="1"/>
  <c r="E6" i="19"/>
  <c r="F6" i="19"/>
  <c r="G6" i="19"/>
  <c r="H6" i="19"/>
  <c r="B7" i="19"/>
  <c r="C7" i="19"/>
  <c r="D7" i="19"/>
  <c r="E7" i="19"/>
  <c r="F7" i="19"/>
  <c r="G7" i="19"/>
  <c r="B8" i="19"/>
  <c r="C8" i="19"/>
  <c r="D8" i="19"/>
  <c r="E8" i="19"/>
  <c r="F8" i="19"/>
  <c r="G8" i="19"/>
  <c r="B9" i="19"/>
  <c r="C9" i="19"/>
  <c r="D9" i="19"/>
  <c r="I9" i="19" s="1"/>
  <c r="E9" i="19"/>
  <c r="F9" i="19"/>
  <c r="G9" i="19"/>
  <c r="B10" i="19"/>
  <c r="C10" i="19"/>
  <c r="D10" i="19"/>
  <c r="I10" i="19" s="1"/>
  <c r="E10" i="19"/>
  <c r="F10" i="19"/>
  <c r="G10" i="19"/>
  <c r="H10" i="19"/>
  <c r="B11" i="19"/>
  <c r="C11" i="19"/>
  <c r="D11" i="19"/>
  <c r="I11" i="19" s="1"/>
  <c r="E11" i="19"/>
  <c r="F11" i="19"/>
  <c r="G11" i="19"/>
  <c r="H11" i="19"/>
  <c r="B12" i="19"/>
  <c r="C12" i="19"/>
  <c r="D12" i="19"/>
  <c r="I12" i="19" s="1"/>
  <c r="E12" i="19"/>
  <c r="F12" i="19"/>
  <c r="G12" i="19"/>
  <c r="H12" i="19"/>
  <c r="B13" i="19"/>
  <c r="C13" i="19"/>
  <c r="D13" i="19"/>
  <c r="I13" i="19" s="1"/>
  <c r="E13" i="19"/>
  <c r="F13" i="19"/>
  <c r="G13" i="19"/>
  <c r="H13" i="19"/>
  <c r="B14" i="19"/>
  <c r="C14" i="19"/>
  <c r="D14" i="19"/>
  <c r="I14" i="19" s="1"/>
  <c r="E14" i="19"/>
  <c r="F14" i="19"/>
  <c r="G14" i="19"/>
  <c r="B15" i="19"/>
  <c r="C15" i="19"/>
  <c r="D15" i="19"/>
  <c r="E15" i="19"/>
  <c r="F15" i="19"/>
  <c r="G15" i="19"/>
  <c r="B16" i="19"/>
  <c r="C16" i="19"/>
  <c r="D16" i="19"/>
  <c r="E16" i="19"/>
  <c r="F16" i="19"/>
  <c r="G16" i="19"/>
  <c r="B17" i="19"/>
  <c r="C17" i="19"/>
  <c r="D17" i="19"/>
  <c r="I17" i="19" s="1"/>
  <c r="E17" i="19"/>
  <c r="F17" i="19"/>
  <c r="G17" i="19"/>
  <c r="B18" i="19"/>
  <c r="C18" i="19"/>
  <c r="D18" i="19"/>
  <c r="I18" i="19" s="1"/>
  <c r="E18" i="19"/>
  <c r="F18" i="19"/>
  <c r="G18" i="19"/>
  <c r="H18" i="19"/>
  <c r="B19" i="19"/>
  <c r="C19" i="19"/>
  <c r="D19" i="19"/>
  <c r="I19" i="19" s="1"/>
  <c r="E19" i="19"/>
  <c r="F19" i="19"/>
  <c r="G19" i="19"/>
  <c r="H19" i="19"/>
  <c r="B20" i="19"/>
  <c r="C20" i="19"/>
  <c r="D20" i="19"/>
  <c r="I20" i="19" s="1"/>
  <c r="E20" i="19"/>
  <c r="F20" i="19"/>
  <c r="G20" i="19"/>
  <c r="H20" i="19"/>
  <c r="B21" i="19"/>
  <c r="C21" i="19"/>
  <c r="D21" i="19"/>
  <c r="I21" i="19" s="1"/>
  <c r="E21" i="19"/>
  <c r="F21" i="19"/>
  <c r="G21" i="19"/>
  <c r="H21" i="19"/>
  <c r="B22" i="19"/>
  <c r="C22" i="19"/>
  <c r="D22" i="19"/>
  <c r="I22" i="19" s="1"/>
  <c r="E22" i="19"/>
  <c r="F22" i="19"/>
  <c r="G22" i="19"/>
  <c r="B23" i="19"/>
  <c r="C23" i="19"/>
  <c r="D23" i="19"/>
  <c r="E23" i="19"/>
  <c r="F23" i="19"/>
  <c r="G23" i="19"/>
  <c r="B24" i="19"/>
  <c r="C24" i="19"/>
  <c r="D24" i="19"/>
  <c r="E24" i="19"/>
  <c r="F24" i="19"/>
  <c r="G24" i="19"/>
  <c r="B25" i="19"/>
  <c r="C25" i="19"/>
  <c r="D25" i="19"/>
  <c r="I25" i="19" s="1"/>
  <c r="E25" i="19"/>
  <c r="F25" i="19"/>
  <c r="G25" i="19"/>
  <c r="B26" i="19"/>
  <c r="C26" i="19"/>
  <c r="D26" i="19"/>
  <c r="I26" i="19" s="1"/>
  <c r="E26" i="19"/>
  <c r="F26" i="19"/>
  <c r="G26" i="19"/>
  <c r="H26" i="19"/>
  <c r="B27" i="19"/>
  <c r="C27" i="19"/>
  <c r="D27" i="19"/>
  <c r="I27" i="19" s="1"/>
  <c r="E27" i="19"/>
  <c r="F27" i="19"/>
  <c r="G27" i="19"/>
  <c r="H27" i="19"/>
  <c r="B28" i="19"/>
  <c r="C28" i="19"/>
  <c r="D28" i="19"/>
  <c r="I28" i="19" s="1"/>
  <c r="E28" i="19"/>
  <c r="F28" i="19"/>
  <c r="G28" i="19"/>
  <c r="H28" i="19"/>
  <c r="B29" i="19"/>
  <c r="C29" i="19"/>
  <c r="D29" i="19"/>
  <c r="I29" i="19" s="1"/>
  <c r="E29" i="19"/>
  <c r="F29" i="19"/>
  <c r="G29" i="19"/>
  <c r="H29" i="19"/>
  <c r="B30" i="19"/>
  <c r="C30" i="19"/>
  <c r="D30" i="19"/>
  <c r="I30" i="19" s="1"/>
  <c r="E30" i="19"/>
  <c r="F30" i="19"/>
  <c r="G30" i="19"/>
  <c r="B31" i="19"/>
  <c r="C31" i="19"/>
  <c r="D31" i="19"/>
  <c r="E31" i="19"/>
  <c r="F31" i="19"/>
  <c r="G31" i="19"/>
  <c r="B32" i="19"/>
  <c r="C32" i="19"/>
  <c r="D32" i="19"/>
  <c r="E32" i="19"/>
  <c r="F32" i="19"/>
  <c r="G32" i="19"/>
  <c r="B33" i="19"/>
  <c r="C33" i="19"/>
  <c r="D33" i="19"/>
  <c r="I33" i="19" s="1"/>
  <c r="E33" i="19"/>
  <c r="F33" i="19"/>
  <c r="G33" i="19"/>
  <c r="B34" i="19"/>
  <c r="C34" i="19"/>
  <c r="D34" i="19"/>
  <c r="I34" i="19" s="1"/>
  <c r="E34" i="19"/>
  <c r="F34" i="19"/>
  <c r="G34" i="19"/>
  <c r="H34" i="19"/>
  <c r="B35" i="19"/>
  <c r="C35" i="19"/>
  <c r="D35" i="19"/>
  <c r="I35" i="19" s="1"/>
  <c r="E35" i="19"/>
  <c r="F35" i="19"/>
  <c r="G35" i="19"/>
  <c r="H35" i="19"/>
  <c r="B36" i="19"/>
  <c r="C36" i="19"/>
  <c r="D36" i="19"/>
  <c r="I36" i="19" s="1"/>
  <c r="E36" i="19"/>
  <c r="F36" i="19"/>
  <c r="G36" i="19"/>
  <c r="H36" i="19"/>
  <c r="B37" i="19"/>
  <c r="C37" i="19"/>
  <c r="D37" i="19"/>
  <c r="I37" i="19" s="1"/>
  <c r="E37" i="19"/>
  <c r="F37" i="19"/>
  <c r="G37" i="19"/>
  <c r="H37" i="19"/>
  <c r="B38" i="19"/>
  <c r="C38" i="19"/>
  <c r="D38" i="19"/>
  <c r="I38" i="19" s="1"/>
  <c r="E38" i="19"/>
  <c r="F38" i="19"/>
  <c r="G38" i="19"/>
  <c r="B39" i="19"/>
  <c r="C39" i="19"/>
  <c r="D39" i="19"/>
  <c r="E39" i="19"/>
  <c r="F39" i="19"/>
  <c r="G39" i="19"/>
  <c r="B40" i="19"/>
  <c r="C40" i="19"/>
  <c r="D40" i="19"/>
  <c r="E40" i="19"/>
  <c r="F40" i="19"/>
  <c r="G40" i="19"/>
  <c r="B41" i="19"/>
  <c r="C41" i="19"/>
  <c r="D41" i="19"/>
  <c r="I41" i="19" s="1"/>
  <c r="E41" i="19"/>
  <c r="F41" i="19"/>
  <c r="G41" i="19"/>
  <c r="B42" i="19"/>
  <c r="C42" i="19"/>
  <c r="D42" i="19"/>
  <c r="I42" i="19" s="1"/>
  <c r="E42" i="19"/>
  <c r="F42" i="19"/>
  <c r="G42" i="19"/>
  <c r="H42" i="19"/>
  <c r="B43" i="19"/>
  <c r="C43" i="19"/>
  <c r="D43" i="19"/>
  <c r="I43" i="19" s="1"/>
  <c r="E43" i="19"/>
  <c r="F43" i="19"/>
  <c r="G43" i="19"/>
  <c r="H43" i="19"/>
  <c r="B44" i="19"/>
  <c r="C44" i="19"/>
  <c r="D44" i="19"/>
  <c r="I44" i="19" s="1"/>
  <c r="E44" i="19"/>
  <c r="F44" i="19"/>
  <c r="G44" i="19"/>
  <c r="H44" i="19"/>
  <c r="B45" i="19"/>
  <c r="C45" i="19"/>
  <c r="D45" i="19"/>
  <c r="I45" i="19" s="1"/>
  <c r="E45" i="19"/>
  <c r="F45" i="19"/>
  <c r="G45" i="19"/>
  <c r="H45" i="19"/>
  <c r="B46" i="19"/>
  <c r="C46" i="19"/>
  <c r="D46" i="19"/>
  <c r="I46" i="19" s="1"/>
  <c r="E46" i="19"/>
  <c r="F46" i="19"/>
  <c r="G46" i="19"/>
  <c r="B47" i="19"/>
  <c r="C47" i="19"/>
  <c r="D47" i="19"/>
  <c r="E47" i="19"/>
  <c r="F47" i="19"/>
  <c r="G47" i="19"/>
  <c r="B48" i="19"/>
  <c r="C48" i="19"/>
  <c r="D48" i="19"/>
  <c r="E48" i="19"/>
  <c r="F48" i="19"/>
  <c r="G48" i="19"/>
  <c r="B49" i="19"/>
  <c r="C49" i="19"/>
  <c r="D49" i="19"/>
  <c r="E49" i="19"/>
  <c r="F49" i="19"/>
  <c r="G49" i="19"/>
  <c r="B50" i="19"/>
  <c r="C50" i="19"/>
  <c r="D50" i="19"/>
  <c r="I50" i="19" s="1"/>
  <c r="E50" i="19"/>
  <c r="F50" i="19"/>
  <c r="G50" i="19"/>
  <c r="H50" i="19"/>
  <c r="B51" i="19"/>
  <c r="C51" i="19"/>
  <c r="D51" i="19"/>
  <c r="I51" i="19" s="1"/>
  <c r="E51" i="19"/>
  <c r="F51" i="19"/>
  <c r="G51" i="19"/>
  <c r="H51" i="19"/>
  <c r="B52" i="19"/>
  <c r="C52" i="19"/>
  <c r="D52" i="19"/>
  <c r="I52" i="19" s="1"/>
  <c r="E52" i="19"/>
  <c r="F52" i="19"/>
  <c r="G52" i="19"/>
  <c r="H52" i="19"/>
  <c r="B53" i="19"/>
  <c r="C53" i="19"/>
  <c r="D53" i="19"/>
  <c r="I53" i="19" s="1"/>
  <c r="E53" i="19"/>
  <c r="F53" i="19"/>
  <c r="G53" i="19"/>
  <c r="H53" i="19"/>
  <c r="B54" i="19"/>
  <c r="C54" i="19"/>
  <c r="D54" i="19"/>
  <c r="E54" i="19"/>
  <c r="F54" i="19"/>
  <c r="G54" i="19"/>
  <c r="B55" i="19"/>
  <c r="C55" i="19"/>
  <c r="D55" i="19"/>
  <c r="E55" i="19"/>
  <c r="F55" i="19"/>
  <c r="G55" i="19"/>
  <c r="B56" i="19"/>
  <c r="C56" i="19"/>
  <c r="D56" i="19"/>
  <c r="E56" i="19"/>
  <c r="F56" i="19"/>
  <c r="G56" i="19"/>
  <c r="B57" i="19"/>
  <c r="C57" i="19"/>
  <c r="D57" i="19"/>
  <c r="E57" i="19"/>
  <c r="F57" i="19"/>
  <c r="G57" i="19"/>
  <c r="B58" i="19"/>
  <c r="C58" i="19"/>
  <c r="D58" i="19"/>
  <c r="I58" i="19" s="1"/>
  <c r="E58" i="19"/>
  <c r="F58" i="19"/>
  <c r="G58" i="19"/>
  <c r="H58" i="19"/>
  <c r="B59" i="19"/>
  <c r="C59" i="19"/>
  <c r="D59" i="19"/>
  <c r="I59" i="19" s="1"/>
  <c r="E59" i="19"/>
  <c r="F59" i="19"/>
  <c r="G59" i="19"/>
  <c r="H59" i="19"/>
  <c r="B60" i="19"/>
  <c r="C60" i="19"/>
  <c r="D60" i="19"/>
  <c r="I60" i="19" s="1"/>
  <c r="E60" i="19"/>
  <c r="F60" i="19"/>
  <c r="G60" i="19"/>
  <c r="H60" i="19"/>
  <c r="B61" i="19"/>
  <c r="C61" i="19"/>
  <c r="D61" i="19"/>
  <c r="I61" i="19" s="1"/>
  <c r="E61" i="19"/>
  <c r="F61" i="19"/>
  <c r="G61" i="19"/>
  <c r="H61" i="19"/>
  <c r="B62" i="19"/>
  <c r="C62" i="19"/>
  <c r="D62" i="19"/>
  <c r="E62" i="19"/>
  <c r="F62" i="19"/>
  <c r="G62" i="19"/>
  <c r="B63" i="19"/>
  <c r="C63" i="19"/>
  <c r="D63" i="19"/>
  <c r="E63" i="19"/>
  <c r="F63" i="19"/>
  <c r="G63" i="19"/>
  <c r="B64" i="19"/>
  <c r="C64" i="19"/>
  <c r="D64" i="19"/>
  <c r="E64" i="19"/>
  <c r="F64" i="19"/>
  <c r="G64" i="19"/>
  <c r="B65" i="19"/>
  <c r="C65" i="19"/>
  <c r="D65" i="19"/>
  <c r="E65" i="19"/>
  <c r="F65" i="19"/>
  <c r="G65" i="19"/>
  <c r="B66" i="19"/>
  <c r="C66" i="19"/>
  <c r="D66" i="19"/>
  <c r="I66" i="19" s="1"/>
  <c r="E66" i="19"/>
  <c r="F66" i="19"/>
  <c r="G66" i="19"/>
  <c r="H66" i="19"/>
  <c r="B67" i="19"/>
  <c r="C67" i="19"/>
  <c r="D67" i="19"/>
  <c r="I67" i="19" s="1"/>
  <c r="E67" i="19"/>
  <c r="F67" i="19"/>
  <c r="G67" i="19"/>
  <c r="H67" i="19"/>
  <c r="B68" i="19"/>
  <c r="C68" i="19"/>
  <c r="D68" i="19"/>
  <c r="I68" i="19" s="1"/>
  <c r="E68" i="19"/>
  <c r="F68" i="19"/>
  <c r="G68" i="19"/>
  <c r="H68" i="19"/>
  <c r="B69" i="19"/>
  <c r="C69" i="19"/>
  <c r="D69" i="19"/>
  <c r="I69" i="19" s="1"/>
  <c r="E69" i="19"/>
  <c r="F69" i="19"/>
  <c r="G69" i="19"/>
  <c r="H69" i="19"/>
  <c r="B70" i="19"/>
  <c r="C70" i="19"/>
  <c r="D70" i="19"/>
  <c r="E70" i="19"/>
  <c r="F70" i="19"/>
  <c r="G70" i="19"/>
  <c r="B71" i="19"/>
  <c r="C71" i="19"/>
  <c r="D71" i="19"/>
  <c r="E71" i="19"/>
  <c r="F71" i="19"/>
  <c r="G71" i="19"/>
  <c r="B72" i="19"/>
  <c r="C72" i="19"/>
  <c r="D72" i="19"/>
  <c r="E72" i="19"/>
  <c r="F72" i="19"/>
  <c r="G72" i="19"/>
  <c r="B73" i="19"/>
  <c r="C73" i="19"/>
  <c r="D73" i="19"/>
  <c r="E73" i="19"/>
  <c r="F73" i="19"/>
  <c r="G73" i="19"/>
  <c r="B74" i="19"/>
  <c r="C74" i="19"/>
  <c r="D74" i="19"/>
  <c r="I74" i="19" s="1"/>
  <c r="E74" i="19"/>
  <c r="F74" i="19"/>
  <c r="G74" i="19"/>
  <c r="H74" i="19"/>
  <c r="B75" i="19"/>
  <c r="C75" i="19"/>
  <c r="D75" i="19"/>
  <c r="I75" i="19" s="1"/>
  <c r="E75" i="19"/>
  <c r="F75" i="19"/>
  <c r="G75" i="19"/>
  <c r="H75" i="19"/>
  <c r="B76" i="19"/>
  <c r="C76" i="19"/>
  <c r="D76" i="19"/>
  <c r="I76" i="19" s="1"/>
  <c r="E76" i="19"/>
  <c r="F76" i="19"/>
  <c r="G76" i="19"/>
  <c r="H76" i="19"/>
  <c r="B77" i="19"/>
  <c r="C77" i="19"/>
  <c r="D77" i="19"/>
  <c r="I77" i="19" s="1"/>
  <c r="E77" i="19"/>
  <c r="F77" i="19"/>
  <c r="G77" i="19"/>
  <c r="B78" i="19"/>
  <c r="C78" i="19"/>
  <c r="D78" i="19"/>
  <c r="I78" i="19" s="1"/>
  <c r="E78" i="19"/>
  <c r="F78" i="19"/>
  <c r="G78" i="19"/>
  <c r="B79" i="19"/>
  <c r="C79" i="19"/>
  <c r="D79" i="19"/>
  <c r="E79" i="19"/>
  <c r="F79" i="19"/>
  <c r="G79" i="19"/>
  <c r="B80" i="19"/>
  <c r="C80" i="19"/>
  <c r="D80" i="19"/>
  <c r="E80" i="19"/>
  <c r="F80" i="19"/>
  <c r="G80" i="19"/>
  <c r="B81" i="19"/>
  <c r="C81" i="19"/>
  <c r="D81" i="19"/>
  <c r="I81" i="19" s="1"/>
  <c r="E81" i="19"/>
  <c r="F81" i="19"/>
  <c r="G81" i="19"/>
  <c r="B82" i="19"/>
  <c r="C82" i="19"/>
  <c r="D82" i="19"/>
  <c r="I82" i="19" s="1"/>
  <c r="E82" i="19"/>
  <c r="F82" i="19"/>
  <c r="G82" i="19"/>
  <c r="H82" i="19"/>
  <c r="B83" i="19"/>
  <c r="C83" i="19"/>
  <c r="D83" i="19"/>
  <c r="I83" i="19" s="1"/>
  <c r="E83" i="19"/>
  <c r="F83" i="19"/>
  <c r="G83" i="19"/>
  <c r="H83" i="19"/>
  <c r="B84" i="19"/>
  <c r="C84" i="19"/>
  <c r="D84" i="19"/>
  <c r="I84" i="19" s="1"/>
  <c r="E84" i="19"/>
  <c r="F84" i="19"/>
  <c r="G84" i="19"/>
  <c r="B85" i="19"/>
  <c r="C85" i="19"/>
  <c r="D85" i="19"/>
  <c r="I85" i="19" s="1"/>
  <c r="E85" i="19"/>
  <c r="F85" i="19"/>
  <c r="G85" i="19"/>
  <c r="H85" i="19"/>
  <c r="B86" i="19"/>
  <c r="C86" i="19"/>
  <c r="D86" i="19"/>
  <c r="I86" i="19" s="1"/>
  <c r="E86" i="19"/>
  <c r="F86" i="19"/>
  <c r="G86" i="19"/>
  <c r="B87" i="19"/>
  <c r="C87" i="19"/>
  <c r="D87" i="19"/>
  <c r="E87" i="19"/>
  <c r="F87" i="19"/>
  <c r="G87" i="19"/>
  <c r="B88" i="19"/>
  <c r="C88" i="19"/>
  <c r="D88" i="19"/>
  <c r="I88" i="19" s="1"/>
  <c r="E88" i="19"/>
  <c r="F88" i="19"/>
  <c r="G88" i="19"/>
  <c r="B89" i="19"/>
  <c r="C89" i="19"/>
  <c r="D89" i="19"/>
  <c r="I89" i="19" s="1"/>
  <c r="E89" i="19"/>
  <c r="F89" i="19"/>
  <c r="G89" i="19"/>
  <c r="H89" i="19"/>
  <c r="B90" i="19"/>
  <c r="C90" i="19"/>
  <c r="D90" i="19"/>
  <c r="I90" i="19" s="1"/>
  <c r="E90" i="19"/>
  <c r="F90" i="19"/>
  <c r="G90" i="19"/>
  <c r="B91" i="19"/>
  <c r="C91" i="19"/>
  <c r="D91" i="19"/>
  <c r="I91" i="19" s="1"/>
  <c r="E91" i="19"/>
  <c r="F91" i="19"/>
  <c r="G91" i="19"/>
  <c r="B92" i="19"/>
  <c r="C92" i="19"/>
  <c r="D92" i="19"/>
  <c r="I92" i="19" s="1"/>
  <c r="E92" i="19"/>
  <c r="F92" i="19"/>
  <c r="G92" i="19"/>
  <c r="H92" i="19"/>
  <c r="B93" i="19"/>
  <c r="C93" i="19"/>
  <c r="D93" i="19"/>
  <c r="I93" i="19" s="1"/>
  <c r="E93" i="19"/>
  <c r="F93" i="19"/>
  <c r="G93" i="19"/>
  <c r="B94" i="19"/>
  <c r="C94" i="19"/>
  <c r="D94" i="19"/>
  <c r="I94" i="19" s="1"/>
  <c r="E94" i="19"/>
  <c r="F94" i="19"/>
  <c r="G94" i="19"/>
  <c r="B95" i="19"/>
  <c r="C95" i="19"/>
  <c r="D95" i="19"/>
  <c r="I95" i="19" s="1"/>
  <c r="E95" i="19"/>
  <c r="F95" i="19"/>
  <c r="G95" i="19"/>
  <c r="H95" i="19"/>
  <c r="B96" i="19"/>
  <c r="C96" i="19"/>
  <c r="D96" i="19"/>
  <c r="I96" i="19" s="1"/>
  <c r="E96" i="19"/>
  <c r="F96" i="19"/>
  <c r="G96" i="19"/>
  <c r="B97" i="19"/>
  <c r="C97" i="19"/>
  <c r="D97" i="19"/>
  <c r="I97" i="19" s="1"/>
  <c r="E97" i="19"/>
  <c r="F97" i="19"/>
  <c r="G97" i="19"/>
  <c r="H97" i="19"/>
  <c r="B98" i="19"/>
  <c r="C98" i="19"/>
  <c r="D98" i="19"/>
  <c r="I98" i="19" s="1"/>
  <c r="E98" i="19"/>
  <c r="F98" i="19"/>
  <c r="G98" i="19"/>
  <c r="B99" i="19"/>
  <c r="C99" i="19"/>
  <c r="D99" i="19"/>
  <c r="I99" i="19" s="1"/>
  <c r="E99" i="19"/>
  <c r="F99" i="19"/>
  <c r="G99" i="19"/>
  <c r="B100" i="19"/>
  <c r="C100" i="19"/>
  <c r="D100" i="19"/>
  <c r="I100" i="19" s="1"/>
  <c r="E100" i="19"/>
  <c r="F100" i="19"/>
  <c r="G100" i="19"/>
  <c r="H100" i="19"/>
  <c r="B101" i="19"/>
  <c r="C101" i="19"/>
  <c r="D101" i="19"/>
  <c r="I101" i="19" s="1"/>
  <c r="E101" i="19"/>
  <c r="F101" i="19"/>
  <c r="G101" i="19"/>
  <c r="B102" i="19"/>
  <c r="C102" i="19"/>
  <c r="D102" i="19"/>
  <c r="I102" i="19" s="1"/>
  <c r="E102" i="19"/>
  <c r="F102" i="19"/>
  <c r="G102" i="19"/>
  <c r="H102" i="19"/>
  <c r="B103" i="19"/>
  <c r="C103" i="19"/>
  <c r="D103" i="19"/>
  <c r="I103" i="19" s="1"/>
  <c r="E103" i="19"/>
  <c r="F103" i="19"/>
  <c r="G103" i="19"/>
  <c r="H103" i="19"/>
  <c r="B104" i="19"/>
  <c r="C104" i="19"/>
  <c r="D104" i="19"/>
  <c r="I104" i="19" s="1"/>
  <c r="E104" i="19"/>
  <c r="F104" i="19"/>
  <c r="G104" i="19"/>
  <c r="B105" i="19"/>
  <c r="C105" i="19"/>
  <c r="D105" i="19"/>
  <c r="I105" i="19" s="1"/>
  <c r="E105" i="19"/>
  <c r="F105" i="19"/>
  <c r="G105" i="19"/>
  <c r="H105" i="19"/>
  <c r="B106" i="19"/>
  <c r="C106" i="19"/>
  <c r="D106" i="19"/>
  <c r="I106" i="19" s="1"/>
  <c r="E106" i="19"/>
  <c r="F106" i="19"/>
  <c r="G106" i="19"/>
  <c r="B107" i="19"/>
  <c r="C107" i="19"/>
  <c r="D107" i="19"/>
  <c r="I107" i="19" s="1"/>
  <c r="E107" i="19"/>
  <c r="F107" i="19"/>
  <c r="G107" i="19"/>
  <c r="B108" i="19"/>
  <c r="C108" i="19"/>
  <c r="D108" i="19"/>
  <c r="I108" i="19" s="1"/>
  <c r="E108" i="19"/>
  <c r="F108" i="19"/>
  <c r="G108" i="19"/>
  <c r="H108" i="19"/>
  <c r="B109" i="19"/>
  <c r="C109" i="19"/>
  <c r="D109" i="19"/>
  <c r="I109" i="19" s="1"/>
  <c r="E109" i="19"/>
  <c r="F109" i="19"/>
  <c r="G109" i="19"/>
  <c r="B110" i="19"/>
  <c r="C110" i="19"/>
  <c r="D110" i="19"/>
  <c r="I110" i="19" s="1"/>
  <c r="E110" i="19"/>
  <c r="F110" i="19"/>
  <c r="G110" i="19"/>
  <c r="H110" i="19"/>
  <c r="B111" i="19"/>
  <c r="C111" i="19"/>
  <c r="D111" i="19"/>
  <c r="I111" i="19" s="1"/>
  <c r="E111" i="19"/>
  <c r="F111" i="19"/>
  <c r="G111" i="19"/>
  <c r="H111" i="19"/>
  <c r="B112" i="19"/>
  <c r="C112" i="19"/>
  <c r="D112" i="19"/>
  <c r="I112" i="19" s="1"/>
  <c r="E112" i="19"/>
  <c r="F112" i="19"/>
  <c r="G112" i="19"/>
  <c r="B113" i="19"/>
  <c r="C113" i="19"/>
  <c r="D113" i="19"/>
  <c r="I113" i="19" s="1"/>
  <c r="E113" i="19"/>
  <c r="F113" i="19"/>
  <c r="G113" i="19"/>
  <c r="H113" i="19"/>
  <c r="B114" i="19"/>
  <c r="C114" i="19"/>
  <c r="D114" i="19"/>
  <c r="I114" i="19" s="1"/>
  <c r="E114" i="19"/>
  <c r="F114" i="19"/>
  <c r="G114" i="19"/>
  <c r="B115" i="19"/>
  <c r="C115" i="19"/>
  <c r="D115" i="19"/>
  <c r="I115" i="19" s="1"/>
  <c r="E115" i="19"/>
  <c r="F115" i="19"/>
  <c r="G115" i="19"/>
  <c r="B116" i="19"/>
  <c r="C116" i="19"/>
  <c r="D116" i="19"/>
  <c r="I116" i="19" s="1"/>
  <c r="E116" i="19"/>
  <c r="F116" i="19"/>
  <c r="G116" i="19"/>
  <c r="H116" i="19"/>
  <c r="B117" i="19"/>
  <c r="C117" i="19"/>
  <c r="D117" i="19"/>
  <c r="I117" i="19" s="1"/>
  <c r="E117" i="19"/>
  <c r="F117" i="19"/>
  <c r="G117" i="19"/>
  <c r="B118" i="19"/>
  <c r="C118" i="19"/>
  <c r="D118" i="19"/>
  <c r="I118" i="19" s="1"/>
  <c r="E118" i="19"/>
  <c r="F118" i="19"/>
  <c r="G118" i="19"/>
  <c r="B119" i="19"/>
  <c r="C119" i="19"/>
  <c r="D119" i="19"/>
  <c r="I119" i="19" s="1"/>
  <c r="E119" i="19"/>
  <c r="F119" i="19"/>
  <c r="G119" i="19"/>
  <c r="H119" i="19"/>
  <c r="B120" i="19"/>
  <c r="C120" i="19"/>
  <c r="D120" i="19"/>
  <c r="I120" i="19" s="1"/>
  <c r="E120" i="19"/>
  <c r="F120" i="19"/>
  <c r="G120" i="19"/>
  <c r="B121" i="19"/>
  <c r="C121" i="19"/>
  <c r="D121" i="19"/>
  <c r="I121" i="19" s="1"/>
  <c r="E121" i="19"/>
  <c r="F121" i="19"/>
  <c r="G121" i="19"/>
  <c r="H121" i="19"/>
  <c r="B122" i="19"/>
  <c r="C122" i="19"/>
  <c r="D122" i="19"/>
  <c r="I122" i="19" s="1"/>
  <c r="E122" i="19"/>
  <c r="F122" i="19"/>
  <c r="G122" i="19"/>
  <c r="H122" i="19"/>
  <c r="B123" i="19"/>
  <c r="C123" i="19"/>
  <c r="D123" i="19"/>
  <c r="I123" i="19" s="1"/>
  <c r="E123" i="19"/>
  <c r="F123" i="19"/>
  <c r="G123" i="19"/>
  <c r="B124" i="19"/>
  <c r="C124" i="19"/>
  <c r="D124" i="19"/>
  <c r="I124" i="19" s="1"/>
  <c r="E124" i="19"/>
  <c r="F124" i="19"/>
  <c r="G124" i="19"/>
  <c r="H124" i="19"/>
  <c r="B125" i="19"/>
  <c r="C125" i="19"/>
  <c r="D125" i="19"/>
  <c r="I125" i="19" s="1"/>
  <c r="E125" i="19"/>
  <c r="F125" i="19"/>
  <c r="G125" i="19"/>
  <c r="B126" i="19"/>
  <c r="C126" i="19"/>
  <c r="D126" i="19"/>
  <c r="I126" i="19" s="1"/>
  <c r="E126" i="19"/>
  <c r="F126" i="19"/>
  <c r="G126" i="19"/>
  <c r="B127" i="19"/>
  <c r="C127" i="19"/>
  <c r="D127" i="19"/>
  <c r="I127" i="19" s="1"/>
  <c r="E127" i="19"/>
  <c r="F127" i="19"/>
  <c r="G127" i="19"/>
  <c r="H127" i="19"/>
  <c r="B128" i="19"/>
  <c r="C128" i="19"/>
  <c r="D128" i="19"/>
  <c r="I128" i="19" s="1"/>
  <c r="E128" i="19"/>
  <c r="F128" i="19"/>
  <c r="G128" i="19"/>
  <c r="B129" i="19"/>
  <c r="C129" i="19"/>
  <c r="D129" i="19"/>
  <c r="I129" i="19" s="1"/>
  <c r="E129" i="19"/>
  <c r="F129" i="19"/>
  <c r="G129" i="19"/>
  <c r="H129" i="19"/>
  <c r="B130" i="19"/>
  <c r="C130" i="19"/>
  <c r="D130" i="19"/>
  <c r="I130" i="19" s="1"/>
  <c r="E130" i="19"/>
  <c r="F130" i="19"/>
  <c r="G130" i="19"/>
  <c r="H130" i="19"/>
  <c r="B131" i="19"/>
  <c r="C131" i="19"/>
  <c r="D131" i="19"/>
  <c r="I131" i="19" s="1"/>
  <c r="E131" i="19"/>
  <c r="F131" i="19"/>
  <c r="G131" i="19"/>
  <c r="B132" i="19"/>
  <c r="C132" i="19"/>
  <c r="D132" i="19"/>
  <c r="I132" i="19" s="1"/>
  <c r="E132" i="19"/>
  <c r="F132" i="19"/>
  <c r="G132" i="19"/>
  <c r="H132" i="19"/>
  <c r="B133" i="19"/>
  <c r="C133" i="19"/>
  <c r="D133" i="19"/>
  <c r="I133" i="19" s="1"/>
  <c r="E133" i="19"/>
  <c r="F133" i="19"/>
  <c r="G133" i="19"/>
  <c r="B134" i="19"/>
  <c r="C134" i="19"/>
  <c r="D134" i="19"/>
  <c r="I134" i="19" s="1"/>
  <c r="E134" i="19"/>
  <c r="F134" i="19"/>
  <c r="G134" i="19"/>
  <c r="B135" i="19"/>
  <c r="C135" i="19"/>
  <c r="D135" i="19"/>
  <c r="I135" i="19" s="1"/>
  <c r="E135" i="19"/>
  <c r="F135" i="19"/>
  <c r="G135" i="19"/>
  <c r="H135" i="19"/>
  <c r="B136" i="19"/>
  <c r="C136" i="19"/>
  <c r="D136" i="19"/>
  <c r="I136" i="19" s="1"/>
  <c r="E136" i="19"/>
  <c r="F136" i="19"/>
  <c r="G136" i="19"/>
  <c r="B137" i="19"/>
  <c r="C137" i="19"/>
  <c r="D137" i="19"/>
  <c r="I137" i="19" s="1"/>
  <c r="E137" i="19"/>
  <c r="F137" i="19"/>
  <c r="G137" i="19"/>
  <c r="H137" i="19"/>
  <c r="B138" i="19"/>
  <c r="C138" i="19"/>
  <c r="D138" i="19"/>
  <c r="I138" i="19" s="1"/>
  <c r="E138" i="19"/>
  <c r="F138" i="19"/>
  <c r="G138" i="19"/>
  <c r="H138" i="19"/>
  <c r="B139" i="19"/>
  <c r="C139" i="19"/>
  <c r="D139" i="19"/>
  <c r="I139" i="19" s="1"/>
  <c r="E139" i="19"/>
  <c r="F139" i="19"/>
  <c r="G139" i="19"/>
  <c r="B140" i="19"/>
  <c r="C140" i="19"/>
  <c r="D140" i="19"/>
  <c r="I140" i="19" s="1"/>
  <c r="E140" i="19"/>
  <c r="F140" i="19"/>
  <c r="G140" i="19"/>
  <c r="H140" i="19"/>
  <c r="B141" i="19"/>
  <c r="C141" i="19"/>
  <c r="D141" i="19"/>
  <c r="I141" i="19" s="1"/>
  <c r="E141" i="19"/>
  <c r="F141" i="19"/>
  <c r="G141" i="19"/>
  <c r="B142" i="19"/>
  <c r="C142" i="19"/>
  <c r="D142" i="19"/>
  <c r="I142" i="19" s="1"/>
  <c r="E142" i="19"/>
  <c r="F142" i="19"/>
  <c r="G142" i="19"/>
  <c r="B143" i="19"/>
  <c r="C143" i="19"/>
  <c r="D143" i="19"/>
  <c r="I143" i="19" s="1"/>
  <c r="E143" i="19"/>
  <c r="F143" i="19"/>
  <c r="G143" i="19"/>
  <c r="H143" i="19"/>
  <c r="B144" i="19"/>
  <c r="C144" i="19"/>
  <c r="D144" i="19"/>
  <c r="I144" i="19" s="1"/>
  <c r="E144" i="19"/>
  <c r="F144" i="19"/>
  <c r="G144" i="19"/>
  <c r="B145" i="19"/>
  <c r="C145" i="19"/>
  <c r="D145" i="19"/>
  <c r="I145" i="19" s="1"/>
  <c r="E145" i="19"/>
  <c r="F145" i="19"/>
  <c r="G145" i="19"/>
  <c r="H145" i="19"/>
  <c r="B146" i="19"/>
  <c r="C146" i="19"/>
  <c r="D146" i="19"/>
  <c r="I146" i="19" s="1"/>
  <c r="E146" i="19"/>
  <c r="F146" i="19"/>
  <c r="G146" i="19"/>
  <c r="H146" i="19"/>
  <c r="B147" i="19"/>
  <c r="C147" i="19"/>
  <c r="D147" i="19"/>
  <c r="I147" i="19" s="1"/>
  <c r="E147" i="19"/>
  <c r="F147" i="19"/>
  <c r="G147" i="19"/>
  <c r="B148" i="19"/>
  <c r="C148" i="19"/>
  <c r="D148" i="19"/>
  <c r="I148" i="19" s="1"/>
  <c r="E148" i="19"/>
  <c r="F148" i="19"/>
  <c r="G148" i="19"/>
  <c r="H148" i="19"/>
  <c r="B149" i="19"/>
  <c r="C149" i="19"/>
  <c r="D149" i="19"/>
  <c r="I149" i="19" s="1"/>
  <c r="E149" i="19"/>
  <c r="F149" i="19"/>
  <c r="G149" i="19"/>
  <c r="B150" i="19"/>
  <c r="C150" i="19"/>
  <c r="D150" i="19"/>
  <c r="I150" i="19" s="1"/>
  <c r="E150" i="19"/>
  <c r="F150" i="19"/>
  <c r="G150" i="19"/>
  <c r="B151" i="19"/>
  <c r="C151" i="19"/>
  <c r="D151" i="19"/>
  <c r="I151" i="19" s="1"/>
  <c r="E151" i="19"/>
  <c r="F151" i="19"/>
  <c r="G151" i="19"/>
  <c r="H151" i="19"/>
  <c r="B152" i="19"/>
  <c r="C152" i="19"/>
  <c r="D152" i="19"/>
  <c r="I152" i="19" s="1"/>
  <c r="E152" i="19"/>
  <c r="F152" i="19"/>
  <c r="G152" i="19"/>
  <c r="B153" i="19"/>
  <c r="C153" i="19"/>
  <c r="D153" i="19"/>
  <c r="I153" i="19" s="1"/>
  <c r="E153" i="19"/>
  <c r="F153" i="19"/>
  <c r="G153" i="19"/>
  <c r="H153" i="19"/>
  <c r="B154" i="19"/>
  <c r="C154" i="19"/>
  <c r="D154" i="19"/>
  <c r="I154" i="19" s="1"/>
  <c r="E154" i="19"/>
  <c r="F154" i="19"/>
  <c r="G154" i="19"/>
  <c r="H154" i="19"/>
  <c r="B155" i="19"/>
  <c r="C155" i="19"/>
  <c r="D155" i="19"/>
  <c r="I155" i="19" s="1"/>
  <c r="E155" i="19"/>
  <c r="F155" i="19"/>
  <c r="G155" i="19"/>
  <c r="B156" i="19"/>
  <c r="C156" i="19"/>
  <c r="D156" i="19"/>
  <c r="I156" i="19" s="1"/>
  <c r="E156" i="19"/>
  <c r="F156" i="19"/>
  <c r="G156" i="19"/>
  <c r="H156" i="19"/>
  <c r="B157" i="19"/>
  <c r="C157" i="19"/>
  <c r="D157" i="19"/>
  <c r="I157" i="19" s="1"/>
  <c r="E157" i="19"/>
  <c r="F157" i="19"/>
  <c r="G157" i="19"/>
  <c r="B158" i="19"/>
  <c r="C158" i="19"/>
  <c r="D158" i="19"/>
  <c r="I158" i="19" s="1"/>
  <c r="E158" i="19"/>
  <c r="F158" i="19"/>
  <c r="G158" i="19"/>
  <c r="B159" i="19"/>
  <c r="C159" i="19"/>
  <c r="D159" i="19"/>
  <c r="I159" i="19" s="1"/>
  <c r="E159" i="19"/>
  <c r="F159" i="19"/>
  <c r="G159" i="19"/>
  <c r="H159" i="19"/>
  <c r="B160" i="19"/>
  <c r="C160" i="19"/>
  <c r="D160" i="19"/>
  <c r="I160" i="19" s="1"/>
  <c r="E160" i="19"/>
  <c r="F160" i="19"/>
  <c r="G160" i="19"/>
  <c r="B161" i="19"/>
  <c r="C161" i="19"/>
  <c r="D161" i="19"/>
  <c r="I161" i="19" s="1"/>
  <c r="E161" i="19"/>
  <c r="F161" i="19"/>
  <c r="G161" i="19"/>
  <c r="H161" i="19"/>
  <c r="B162" i="19"/>
  <c r="C162" i="19"/>
  <c r="D162" i="19"/>
  <c r="E162" i="19"/>
  <c r="F162" i="19"/>
  <c r="G162" i="19"/>
  <c r="H162" i="19"/>
  <c r="I162" i="19"/>
  <c r="B163" i="19"/>
  <c r="C163" i="19"/>
  <c r="D163" i="19"/>
  <c r="E163" i="19"/>
  <c r="F163" i="19"/>
  <c r="G163" i="19"/>
  <c r="H163" i="19"/>
  <c r="I163" i="19"/>
  <c r="B164" i="19"/>
  <c r="C164" i="19"/>
  <c r="D164" i="19"/>
  <c r="E164" i="19"/>
  <c r="F164" i="19"/>
  <c r="G164" i="19"/>
  <c r="H164" i="19"/>
  <c r="I164" i="19"/>
  <c r="B165" i="19"/>
  <c r="C165" i="19"/>
  <c r="D165" i="19"/>
  <c r="E165" i="19"/>
  <c r="F165" i="19"/>
  <c r="G165" i="19"/>
  <c r="H165" i="19"/>
  <c r="I165" i="19"/>
  <c r="B166" i="19"/>
  <c r="C166" i="19"/>
  <c r="D166" i="19"/>
  <c r="E166" i="19"/>
  <c r="F166" i="19"/>
  <c r="G166" i="19"/>
  <c r="H166" i="19"/>
  <c r="I166" i="19"/>
  <c r="B167" i="19"/>
  <c r="C167" i="19"/>
  <c r="D167" i="19"/>
  <c r="E167" i="19"/>
  <c r="F167" i="19"/>
  <c r="G167" i="19"/>
  <c r="H167" i="19"/>
  <c r="I167" i="19"/>
  <c r="B168" i="19"/>
  <c r="C168" i="19"/>
  <c r="D168" i="19"/>
  <c r="E168" i="19"/>
  <c r="F168" i="19"/>
  <c r="G168" i="19"/>
  <c r="H168" i="19"/>
  <c r="I168" i="19"/>
  <c r="B169" i="19"/>
  <c r="C169" i="19"/>
  <c r="D169" i="19"/>
  <c r="E169" i="19"/>
  <c r="F169" i="19"/>
  <c r="G169" i="19"/>
  <c r="H169" i="19"/>
  <c r="I169" i="19"/>
  <c r="I2" i="19"/>
  <c r="H2" i="19"/>
  <c r="D2" i="19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4" i="11"/>
  <c r="G2" i="19"/>
  <c r="F2" i="19"/>
  <c r="E2" i="19"/>
  <c r="C2" i="19"/>
  <c r="R3" i="10"/>
  <c r="R4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2" i="10"/>
  <c r="B2" i="19" s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2" i="1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2" i="10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2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2" i="10"/>
  <c r="B3" i="11"/>
  <c r="B5" i="11"/>
  <c r="B9" i="11"/>
  <c r="B10" i="11"/>
  <c r="B14" i="11"/>
  <c r="B15" i="11"/>
  <c r="B17" i="11"/>
  <c r="B22" i="11"/>
  <c r="B24" i="11"/>
  <c r="B25" i="11"/>
  <c r="B26" i="11"/>
  <c r="B27" i="11"/>
  <c r="B28" i="11"/>
  <c r="B29" i="11"/>
  <c r="B30" i="11"/>
  <c r="B31" i="11"/>
  <c r="B32" i="11"/>
  <c r="B34" i="11"/>
  <c r="B35" i="11"/>
  <c r="B36" i="11"/>
  <c r="B37" i="11"/>
  <c r="B38" i="11"/>
  <c r="B39" i="11"/>
  <c r="B40" i="11"/>
  <c r="B41" i="11"/>
  <c r="B43" i="11"/>
  <c r="B44" i="11"/>
  <c r="B45" i="11"/>
  <c r="B46" i="11"/>
  <c r="B47" i="11"/>
  <c r="B49" i="11"/>
  <c r="B50" i="11"/>
  <c r="B51" i="11"/>
  <c r="B52" i="11"/>
  <c r="B54" i="11"/>
  <c r="B55" i="11"/>
  <c r="B56" i="11"/>
  <c r="B61" i="11"/>
  <c r="B62" i="11"/>
  <c r="B63" i="11"/>
  <c r="B65" i="11"/>
  <c r="B66" i="11"/>
  <c r="B67" i="11"/>
  <c r="B68" i="11"/>
  <c r="B71" i="11"/>
  <c r="B73" i="11"/>
  <c r="B74" i="11"/>
  <c r="B75" i="11"/>
  <c r="B77" i="11"/>
  <c r="B78" i="11"/>
  <c r="B79" i="11"/>
  <c r="B81" i="11"/>
  <c r="B82" i="11"/>
  <c r="B84" i="11"/>
  <c r="B90" i="11"/>
  <c r="B91" i="11"/>
  <c r="B92" i="11"/>
  <c r="B94" i="11"/>
  <c r="B95" i="11"/>
  <c r="B96" i="11"/>
  <c r="B98" i="11"/>
  <c r="B100" i="11"/>
  <c r="B101" i="11"/>
  <c r="B102" i="11"/>
  <c r="B103" i="11"/>
  <c r="B104" i="11"/>
  <c r="B105" i="11"/>
  <c r="B108" i="11"/>
  <c r="B109" i="11"/>
  <c r="B110" i="11"/>
  <c r="B111" i="11"/>
  <c r="B112" i="11"/>
  <c r="B113" i="11"/>
  <c r="B114" i="11"/>
  <c r="B115" i="11"/>
  <c r="B118" i="11"/>
  <c r="B119" i="11"/>
  <c r="B127" i="11"/>
  <c r="B133" i="11"/>
  <c r="B136" i="11"/>
  <c r="B137" i="11"/>
  <c r="B138" i="11"/>
  <c r="B139" i="11"/>
  <c r="B142" i="11"/>
  <c r="B144" i="11"/>
  <c r="B145" i="11"/>
  <c r="B151" i="11"/>
  <c r="B154" i="11"/>
  <c r="B155" i="11"/>
  <c r="B156" i="11"/>
  <c r="B158" i="11"/>
  <c r="B160" i="11"/>
  <c r="B161" i="11"/>
  <c r="B163" i="11"/>
  <c r="B166" i="11"/>
  <c r="B167" i="11"/>
  <c r="B169" i="11"/>
  <c r="M134" i="10"/>
  <c r="B3" i="18"/>
  <c r="B4" i="18"/>
  <c r="B5" i="18"/>
  <c r="B6" i="18"/>
  <c r="M68" i="10" s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68" i="18"/>
  <c r="B269" i="18"/>
  <c r="B270" i="18"/>
  <c r="B271" i="18"/>
  <c r="B272" i="18"/>
  <c r="B273" i="18"/>
  <c r="B274" i="18"/>
  <c r="B275" i="18"/>
  <c r="B276" i="18"/>
  <c r="B277" i="18"/>
  <c r="B278" i="18"/>
  <c r="B279" i="18"/>
  <c r="B280" i="18"/>
  <c r="B281" i="18"/>
  <c r="B282" i="18"/>
  <c r="B283" i="18"/>
  <c r="B284" i="18"/>
  <c r="B285" i="18"/>
  <c r="B286" i="18"/>
  <c r="B287" i="18"/>
  <c r="B288" i="18"/>
  <c r="B289" i="18"/>
  <c r="B290" i="18"/>
  <c r="B291" i="18"/>
  <c r="B292" i="18"/>
  <c r="B293" i="18"/>
  <c r="B294" i="18"/>
  <c r="B295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10" i="18"/>
  <c r="B311" i="18"/>
  <c r="B312" i="18"/>
  <c r="B313" i="18"/>
  <c r="B314" i="18"/>
  <c r="B315" i="18"/>
  <c r="B316" i="18"/>
  <c r="B317" i="18"/>
  <c r="B318" i="18"/>
  <c r="B319" i="18"/>
  <c r="B320" i="18"/>
  <c r="B321" i="18"/>
  <c r="B322" i="18"/>
  <c r="B323" i="18"/>
  <c r="B324" i="18"/>
  <c r="B325" i="18"/>
  <c r="B326" i="18"/>
  <c r="B327" i="18"/>
  <c r="B328" i="18"/>
  <c r="B329" i="18"/>
  <c r="B330" i="18"/>
  <c r="B331" i="18"/>
  <c r="B332" i="18"/>
  <c r="B333" i="18"/>
  <c r="B334" i="18"/>
  <c r="B335" i="18"/>
  <c r="B336" i="18"/>
  <c r="B337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506" i="18"/>
  <c r="B507" i="18"/>
  <c r="B508" i="18"/>
  <c r="B509" i="18"/>
  <c r="B510" i="18"/>
  <c r="B511" i="18"/>
  <c r="B512" i="18"/>
  <c r="B513" i="18"/>
  <c r="B514" i="18"/>
  <c r="B515" i="18"/>
  <c r="B516" i="18"/>
  <c r="B517" i="18"/>
  <c r="B518" i="18"/>
  <c r="B519" i="18"/>
  <c r="B520" i="18"/>
  <c r="B521" i="18"/>
  <c r="B522" i="18"/>
  <c r="B523" i="18"/>
  <c r="B524" i="18"/>
  <c r="B525" i="18"/>
  <c r="B526" i="18"/>
  <c r="B527" i="18"/>
  <c r="B528" i="18"/>
  <c r="B529" i="18"/>
  <c r="B530" i="18"/>
  <c r="B531" i="18"/>
  <c r="B532" i="18"/>
  <c r="B533" i="18"/>
  <c r="B534" i="18"/>
  <c r="B535" i="18"/>
  <c r="B536" i="18"/>
  <c r="B537" i="18"/>
  <c r="B538" i="18"/>
  <c r="B539" i="18"/>
  <c r="B540" i="18"/>
  <c r="B541" i="18"/>
  <c r="B542" i="18"/>
  <c r="B543" i="18"/>
  <c r="B544" i="18"/>
  <c r="B545" i="18"/>
  <c r="B546" i="18"/>
  <c r="B547" i="18"/>
  <c r="B548" i="18"/>
  <c r="B549" i="18"/>
  <c r="B550" i="18"/>
  <c r="B551" i="18"/>
  <c r="B552" i="18"/>
  <c r="B553" i="18"/>
  <c r="B554" i="18"/>
  <c r="B555" i="18"/>
  <c r="B556" i="18"/>
  <c r="B557" i="18"/>
  <c r="B558" i="18"/>
  <c r="B559" i="18"/>
  <c r="B560" i="18"/>
  <c r="B561" i="18"/>
  <c r="B562" i="18"/>
  <c r="B563" i="18"/>
  <c r="B564" i="18"/>
  <c r="B565" i="18"/>
  <c r="B566" i="18"/>
  <c r="B567" i="18"/>
  <c r="B568" i="18"/>
  <c r="B569" i="18"/>
  <c r="B570" i="18"/>
  <c r="B571" i="18"/>
  <c r="B572" i="18"/>
  <c r="B573" i="18"/>
  <c r="B574" i="18"/>
  <c r="B575" i="18"/>
  <c r="B576" i="18"/>
  <c r="B577" i="18"/>
  <c r="B578" i="18"/>
  <c r="B579" i="18"/>
  <c r="B580" i="18"/>
  <c r="B581" i="18"/>
  <c r="B582" i="18"/>
  <c r="B583" i="18"/>
  <c r="B584" i="18"/>
  <c r="B585" i="18"/>
  <c r="B586" i="18"/>
  <c r="B587" i="18"/>
  <c r="B588" i="18"/>
  <c r="B589" i="18"/>
  <c r="B590" i="18"/>
  <c r="B591" i="18"/>
  <c r="B592" i="18"/>
  <c r="B593" i="18"/>
  <c r="B594" i="18"/>
  <c r="B595" i="18"/>
  <c r="B596" i="18"/>
  <c r="B597" i="18"/>
  <c r="B598" i="18"/>
  <c r="B599" i="18"/>
  <c r="B600" i="18"/>
  <c r="B601" i="18"/>
  <c r="B602" i="18"/>
  <c r="B603" i="18"/>
  <c r="B604" i="18"/>
  <c r="B605" i="18"/>
  <c r="B606" i="18"/>
  <c r="B607" i="18"/>
  <c r="B608" i="18"/>
  <c r="B609" i="18"/>
  <c r="B610" i="18"/>
  <c r="B611" i="18"/>
  <c r="B612" i="18"/>
  <c r="B613" i="18"/>
  <c r="B614" i="18"/>
  <c r="B615" i="18"/>
  <c r="B616" i="18"/>
  <c r="B617" i="18"/>
  <c r="B618" i="18"/>
  <c r="B619" i="18"/>
  <c r="B620" i="18"/>
  <c r="B621" i="18"/>
  <c r="B622" i="18"/>
  <c r="B623" i="18"/>
  <c r="B624" i="18"/>
  <c r="B625" i="18"/>
  <c r="B626" i="18"/>
  <c r="B627" i="18"/>
  <c r="B628" i="18"/>
  <c r="B629" i="18"/>
  <c r="B630" i="18"/>
  <c r="B631" i="18"/>
  <c r="B632" i="18"/>
  <c r="B633" i="18"/>
  <c r="B634" i="18"/>
  <c r="B635" i="18"/>
  <c r="B636" i="18"/>
  <c r="B637" i="18"/>
  <c r="B638" i="18"/>
  <c r="B639" i="18"/>
  <c r="B640" i="18"/>
  <c r="B641" i="18"/>
  <c r="B642" i="18"/>
  <c r="B643" i="18"/>
  <c r="B644" i="18"/>
  <c r="B645" i="18"/>
  <c r="B646" i="18"/>
  <c r="B647" i="18"/>
  <c r="B648" i="18"/>
  <c r="B649" i="18"/>
  <c r="B650" i="18"/>
  <c r="B651" i="18"/>
  <c r="B652" i="18"/>
  <c r="B653" i="18"/>
  <c r="B654" i="18"/>
  <c r="B655" i="18"/>
  <c r="B656" i="18"/>
  <c r="B657" i="18"/>
  <c r="B658" i="18"/>
  <c r="B659" i="18"/>
  <c r="B660" i="18"/>
  <c r="B661" i="18"/>
  <c r="B662" i="18"/>
  <c r="B663" i="18"/>
  <c r="B664" i="18"/>
  <c r="B665" i="18"/>
  <c r="B666" i="18"/>
  <c r="B667" i="18"/>
  <c r="B668" i="18"/>
  <c r="B669" i="18"/>
  <c r="B670" i="18"/>
  <c r="B671" i="18"/>
  <c r="B672" i="18"/>
  <c r="B673" i="18"/>
  <c r="B674" i="18"/>
  <c r="B675" i="18"/>
  <c r="B676" i="18"/>
  <c r="B677" i="18"/>
  <c r="B678" i="18"/>
  <c r="B679" i="18"/>
  <c r="B680" i="18"/>
  <c r="B681" i="18"/>
  <c r="B682" i="18"/>
  <c r="B683" i="18"/>
  <c r="B684" i="18"/>
  <c r="B685" i="18"/>
  <c r="B686" i="18"/>
  <c r="B687" i="18"/>
  <c r="B688" i="18"/>
  <c r="B689" i="18"/>
  <c r="B690" i="18"/>
  <c r="B691" i="18"/>
  <c r="B692" i="18"/>
  <c r="B693" i="18"/>
  <c r="B694" i="18"/>
  <c r="B695" i="18"/>
  <c r="B696" i="18"/>
  <c r="B697" i="18"/>
  <c r="B698" i="18"/>
  <c r="B699" i="18"/>
  <c r="B700" i="18"/>
  <c r="B701" i="18"/>
  <c r="B702" i="18"/>
  <c r="B703" i="18"/>
  <c r="B704" i="18"/>
  <c r="B705" i="18"/>
  <c r="B706" i="18"/>
  <c r="B707" i="18"/>
  <c r="B708" i="18"/>
  <c r="B709" i="18"/>
  <c r="B710" i="18"/>
  <c r="B711" i="18"/>
  <c r="B712" i="18"/>
  <c r="B713" i="18"/>
  <c r="B714" i="18"/>
  <c r="B715" i="18"/>
  <c r="B716" i="18"/>
  <c r="B717" i="18"/>
  <c r="B718" i="18"/>
  <c r="B719" i="18"/>
  <c r="B720" i="18"/>
  <c r="B721" i="18"/>
  <c r="B722" i="18"/>
  <c r="B723" i="18"/>
  <c r="B724" i="18"/>
  <c r="B725" i="18"/>
  <c r="B726" i="18"/>
  <c r="B727" i="18"/>
  <c r="B728" i="18"/>
  <c r="B729" i="18"/>
  <c r="B730" i="18"/>
  <c r="B731" i="18"/>
  <c r="B732" i="18"/>
  <c r="B733" i="18"/>
  <c r="B734" i="18"/>
  <c r="B735" i="18"/>
  <c r="B736" i="18"/>
  <c r="B737" i="18"/>
  <c r="B738" i="18"/>
  <c r="B739" i="18"/>
  <c r="B740" i="18"/>
  <c r="B741" i="18"/>
  <c r="B742" i="18"/>
  <c r="B743" i="18"/>
  <c r="B744" i="18"/>
  <c r="B745" i="18"/>
  <c r="B746" i="18"/>
  <c r="B747" i="18"/>
  <c r="B748" i="18"/>
  <c r="B749" i="18"/>
  <c r="B750" i="18"/>
  <c r="B751" i="18"/>
  <c r="B752" i="18"/>
  <c r="B753" i="18"/>
  <c r="B754" i="18"/>
  <c r="B755" i="18"/>
  <c r="B756" i="18"/>
  <c r="B757" i="18"/>
  <c r="B758" i="18"/>
  <c r="B759" i="18"/>
  <c r="B760" i="18"/>
  <c r="B761" i="18"/>
  <c r="B762" i="18"/>
  <c r="B763" i="18"/>
  <c r="B764" i="18"/>
  <c r="B765" i="18"/>
  <c r="B766" i="18"/>
  <c r="B767" i="18"/>
  <c r="B768" i="18"/>
  <c r="B769" i="18"/>
  <c r="B770" i="18"/>
  <c r="B771" i="18"/>
  <c r="B772" i="18"/>
  <c r="B773" i="18"/>
  <c r="B774" i="18"/>
  <c r="B775" i="18"/>
  <c r="B776" i="18"/>
  <c r="B777" i="18"/>
  <c r="B778" i="18"/>
  <c r="B779" i="18"/>
  <c r="B780" i="18"/>
  <c r="B781" i="18"/>
  <c r="B782" i="18"/>
  <c r="B783" i="18"/>
  <c r="B784" i="18"/>
  <c r="B785" i="18"/>
  <c r="B786" i="18"/>
  <c r="B787" i="18"/>
  <c r="B788" i="18"/>
  <c r="B789" i="18"/>
  <c r="B790" i="18"/>
  <c r="B791" i="18"/>
  <c r="B792" i="18"/>
  <c r="B793" i="18"/>
  <c r="B794" i="18"/>
  <c r="B795" i="18"/>
  <c r="B796" i="18"/>
  <c r="B797" i="18"/>
  <c r="B798" i="18"/>
  <c r="B799" i="18"/>
  <c r="B800" i="18"/>
  <c r="B801" i="18"/>
  <c r="B802" i="18"/>
  <c r="B803" i="18"/>
  <c r="B804" i="18"/>
  <c r="B805" i="18"/>
  <c r="B806" i="18"/>
  <c r="B807" i="18"/>
  <c r="B808" i="18"/>
  <c r="B809" i="18"/>
  <c r="B810" i="18"/>
  <c r="B811" i="18"/>
  <c r="B812" i="18"/>
  <c r="B813" i="18"/>
  <c r="B814" i="18"/>
  <c r="B815" i="18"/>
  <c r="B816" i="18"/>
  <c r="B817" i="18"/>
  <c r="B818" i="18"/>
  <c r="B819" i="18"/>
  <c r="B820" i="18"/>
  <c r="B821" i="18"/>
  <c r="B822" i="18"/>
  <c r="B823" i="18"/>
  <c r="B824" i="18"/>
  <c r="B825" i="18"/>
  <c r="B826" i="18"/>
  <c r="B827" i="18"/>
  <c r="B828" i="18"/>
  <c r="B829" i="18"/>
  <c r="B830" i="18"/>
  <c r="B831" i="18"/>
  <c r="B832" i="18"/>
  <c r="B833" i="18"/>
  <c r="B834" i="18"/>
  <c r="B835" i="18"/>
  <c r="B836" i="18"/>
  <c r="B837" i="18"/>
  <c r="B838" i="18"/>
  <c r="B839" i="18"/>
  <c r="B840" i="18"/>
  <c r="B841" i="18"/>
  <c r="B842" i="18"/>
  <c r="B843" i="18"/>
  <c r="B844" i="18"/>
  <c r="B845" i="18"/>
  <c r="B846" i="18"/>
  <c r="B847" i="18"/>
  <c r="B848" i="18"/>
  <c r="B849" i="18"/>
  <c r="B850" i="18"/>
  <c r="B851" i="18"/>
  <c r="B852" i="18"/>
  <c r="B853" i="18"/>
  <c r="B854" i="18"/>
  <c r="B855" i="18"/>
  <c r="B856" i="18"/>
  <c r="B857" i="18"/>
  <c r="B858" i="18"/>
  <c r="B859" i="18"/>
  <c r="B860" i="18"/>
  <c r="B861" i="18"/>
  <c r="B862" i="18"/>
  <c r="B863" i="18"/>
  <c r="B864" i="18"/>
  <c r="B865" i="18"/>
  <c r="B866" i="18"/>
  <c r="B867" i="18"/>
  <c r="B868" i="18"/>
  <c r="B869" i="18"/>
  <c r="B870" i="18"/>
  <c r="B871" i="18"/>
  <c r="B872" i="18"/>
  <c r="B873" i="18"/>
  <c r="B874" i="18"/>
  <c r="B875" i="18"/>
  <c r="B876" i="18"/>
  <c r="B877" i="18"/>
  <c r="B878" i="18"/>
  <c r="B879" i="18"/>
  <c r="B880" i="18"/>
  <c r="B881" i="18"/>
  <c r="B882" i="18"/>
  <c r="B883" i="18"/>
  <c r="B884" i="18"/>
  <c r="B885" i="18"/>
  <c r="B886" i="18"/>
  <c r="B887" i="18"/>
  <c r="B888" i="18"/>
  <c r="B889" i="18"/>
  <c r="B890" i="18"/>
  <c r="B891" i="18"/>
  <c r="B892" i="18"/>
  <c r="B893" i="18"/>
  <c r="B894" i="18"/>
  <c r="B895" i="18"/>
  <c r="B896" i="18"/>
  <c r="B897" i="18"/>
  <c r="B898" i="18"/>
  <c r="B899" i="18"/>
  <c r="B900" i="18"/>
  <c r="B901" i="18"/>
  <c r="B902" i="18"/>
  <c r="B903" i="18"/>
  <c r="B904" i="18"/>
  <c r="B905" i="18"/>
  <c r="B906" i="18"/>
  <c r="B907" i="18"/>
  <c r="B908" i="18"/>
  <c r="B909" i="18"/>
  <c r="B910" i="18"/>
  <c r="B911" i="18"/>
  <c r="B912" i="18"/>
  <c r="B913" i="18"/>
  <c r="B914" i="18"/>
  <c r="B915" i="18"/>
  <c r="B916" i="18"/>
  <c r="B917" i="18"/>
  <c r="B918" i="18"/>
  <c r="B919" i="18"/>
  <c r="B920" i="18"/>
  <c r="B921" i="18"/>
  <c r="B922" i="18"/>
  <c r="B923" i="18"/>
  <c r="B924" i="18"/>
  <c r="B925" i="18"/>
  <c r="B926" i="18"/>
  <c r="B927" i="18"/>
  <c r="B928" i="18"/>
  <c r="B929" i="18"/>
  <c r="B930" i="18"/>
  <c r="B931" i="18"/>
  <c r="B932" i="18"/>
  <c r="B933" i="18"/>
  <c r="B934" i="18"/>
  <c r="B935" i="18"/>
  <c r="B936" i="18"/>
  <c r="B937" i="18"/>
  <c r="B938" i="18"/>
  <c r="B939" i="18"/>
  <c r="B940" i="18"/>
  <c r="B941" i="18"/>
  <c r="B942" i="18"/>
  <c r="B943" i="18"/>
  <c r="B944" i="18"/>
  <c r="B945" i="18"/>
  <c r="B946" i="18"/>
  <c r="B947" i="18"/>
  <c r="B948" i="18"/>
  <c r="B949" i="18"/>
  <c r="B950" i="18"/>
  <c r="B951" i="18"/>
  <c r="B952" i="18"/>
  <c r="B953" i="18"/>
  <c r="B954" i="18"/>
  <c r="B955" i="18"/>
  <c r="B956" i="18"/>
  <c r="B957" i="18"/>
  <c r="B958" i="18"/>
  <c r="B959" i="18"/>
  <c r="B960" i="18"/>
  <c r="B961" i="18"/>
  <c r="B962" i="18"/>
  <c r="B963" i="18"/>
  <c r="B964" i="18"/>
  <c r="B965" i="18"/>
  <c r="B966" i="18"/>
  <c r="B967" i="18"/>
  <c r="B968" i="18"/>
  <c r="B969" i="18"/>
  <c r="B970" i="18"/>
  <c r="B971" i="18"/>
  <c r="B972" i="18"/>
  <c r="B973" i="18"/>
  <c r="B974" i="18"/>
  <c r="B975" i="18"/>
  <c r="B976" i="18"/>
  <c r="B977" i="18"/>
  <c r="B978" i="18"/>
  <c r="B979" i="18"/>
  <c r="B980" i="18"/>
  <c r="B981" i="18"/>
  <c r="B982" i="18"/>
  <c r="B983" i="18"/>
  <c r="B984" i="18"/>
  <c r="B985" i="18"/>
  <c r="B986" i="18"/>
  <c r="B987" i="18"/>
  <c r="B988" i="18"/>
  <c r="B989" i="18"/>
  <c r="B990" i="18"/>
  <c r="B991" i="18"/>
  <c r="B992" i="18"/>
  <c r="B993" i="18"/>
  <c r="B994" i="18"/>
  <c r="B995" i="18"/>
  <c r="B996" i="18"/>
  <c r="B997" i="18"/>
  <c r="B998" i="18"/>
  <c r="B999" i="18"/>
  <c r="B1000" i="18"/>
  <c r="B1001" i="18"/>
  <c r="B1002" i="18"/>
  <c r="B1003" i="18"/>
  <c r="B1004" i="18"/>
  <c r="B1005" i="18"/>
  <c r="B1006" i="18"/>
  <c r="B1007" i="18"/>
  <c r="B1008" i="18"/>
  <c r="B1009" i="18"/>
  <c r="B1010" i="18"/>
  <c r="B1011" i="18"/>
  <c r="B1012" i="18"/>
  <c r="B1013" i="18"/>
  <c r="B1014" i="18"/>
  <c r="B1015" i="18"/>
  <c r="B1016" i="18"/>
  <c r="B1017" i="18"/>
  <c r="B1018" i="18"/>
  <c r="B1019" i="18"/>
  <c r="B1020" i="18"/>
  <c r="B1021" i="18"/>
  <c r="B1022" i="18"/>
  <c r="B1023" i="18"/>
  <c r="B1024" i="18"/>
  <c r="B1025" i="18"/>
  <c r="B1026" i="18"/>
  <c r="B1027" i="18"/>
  <c r="B1028" i="18"/>
  <c r="B1029" i="18"/>
  <c r="B1030" i="18"/>
  <c r="B1031" i="18"/>
  <c r="B1032" i="18"/>
  <c r="B1033" i="18"/>
  <c r="B1034" i="18"/>
  <c r="B1035" i="18"/>
  <c r="B1036" i="18"/>
  <c r="B1037" i="18"/>
  <c r="B1038" i="18"/>
  <c r="B1039" i="18"/>
  <c r="B1040" i="18"/>
  <c r="B1041" i="18"/>
  <c r="B1042" i="18"/>
  <c r="B1043" i="18"/>
  <c r="B1044" i="18"/>
  <c r="B1045" i="18"/>
  <c r="B1046" i="18"/>
  <c r="B1047" i="18"/>
  <c r="B1048" i="18"/>
  <c r="B1049" i="18"/>
  <c r="B1050" i="18"/>
  <c r="B1051" i="18"/>
  <c r="B1052" i="18"/>
  <c r="B1053" i="18"/>
  <c r="B1054" i="18"/>
  <c r="B1055" i="18"/>
  <c r="B1056" i="18"/>
  <c r="B1057" i="18"/>
  <c r="B1058" i="18"/>
  <c r="B1059" i="18"/>
  <c r="B1060" i="18"/>
  <c r="B1061" i="18"/>
  <c r="B1062" i="18"/>
  <c r="B1063" i="18"/>
  <c r="B1064" i="18"/>
  <c r="B1065" i="18"/>
  <c r="B1066" i="18"/>
  <c r="B1067" i="18"/>
  <c r="B1068" i="18"/>
  <c r="B1069" i="18"/>
  <c r="B1070" i="18"/>
  <c r="B1071" i="18"/>
  <c r="B1072" i="18"/>
  <c r="B1073" i="18"/>
  <c r="B1074" i="18"/>
  <c r="B1075" i="18"/>
  <c r="B1076" i="18"/>
  <c r="B1077" i="18"/>
  <c r="B1078" i="18"/>
  <c r="B1079" i="18"/>
  <c r="B1080" i="18"/>
  <c r="B1081" i="18"/>
  <c r="B1082" i="18"/>
  <c r="B1083" i="18"/>
  <c r="B1084" i="18"/>
  <c r="B1085" i="18"/>
  <c r="B1086" i="18"/>
  <c r="B1087" i="18"/>
  <c r="B1088" i="18"/>
  <c r="B1089" i="18"/>
  <c r="B1090" i="18"/>
  <c r="B1091" i="18"/>
  <c r="B1092" i="18"/>
  <c r="B1093" i="18"/>
  <c r="B1094" i="18"/>
  <c r="B1095" i="18"/>
  <c r="B1096" i="18"/>
  <c r="B1097" i="18"/>
  <c r="B1098" i="18"/>
  <c r="B1099" i="18"/>
  <c r="B1100" i="18"/>
  <c r="B1101" i="18"/>
  <c r="B1102" i="18"/>
  <c r="B1103" i="18"/>
  <c r="B1104" i="18"/>
  <c r="B1105" i="18"/>
  <c r="B1106" i="18"/>
  <c r="B1107" i="18"/>
  <c r="B1108" i="18"/>
  <c r="B1109" i="18"/>
  <c r="B1110" i="18"/>
  <c r="B1111" i="18"/>
  <c r="B1112" i="18"/>
  <c r="B1113" i="18"/>
  <c r="B1114" i="18"/>
  <c r="B1115" i="18"/>
  <c r="B1116" i="18"/>
  <c r="B1117" i="18"/>
  <c r="B1118" i="18"/>
  <c r="B1119" i="18"/>
  <c r="B1120" i="18"/>
  <c r="B1121" i="18"/>
  <c r="B1122" i="18"/>
  <c r="B1123" i="18"/>
  <c r="B1124" i="18"/>
  <c r="B1125" i="18"/>
  <c r="B1126" i="18"/>
  <c r="B1127" i="18"/>
  <c r="B1128" i="18"/>
  <c r="B1129" i="18"/>
  <c r="B1130" i="18"/>
  <c r="B1131" i="18"/>
  <c r="B1132" i="18"/>
  <c r="B1133" i="18"/>
  <c r="B1134" i="18"/>
  <c r="B1135" i="18"/>
  <c r="B1136" i="18"/>
  <c r="B1137" i="18"/>
  <c r="B1138" i="18"/>
  <c r="B1139" i="18"/>
  <c r="B1140" i="18"/>
  <c r="B1141" i="18"/>
  <c r="B1142" i="18"/>
  <c r="B1143" i="18"/>
  <c r="B1144" i="18"/>
  <c r="B1145" i="18"/>
  <c r="B1146" i="18"/>
  <c r="B1147" i="18"/>
  <c r="B1148" i="18"/>
  <c r="B1149" i="18"/>
  <c r="B1150" i="18"/>
  <c r="B1151" i="18"/>
  <c r="B1152" i="18"/>
  <c r="B1153" i="18"/>
  <c r="B1154" i="18"/>
  <c r="B1155" i="18"/>
  <c r="B1156" i="18"/>
  <c r="B1157" i="18"/>
  <c r="B1158" i="18"/>
  <c r="B1159" i="18"/>
  <c r="B1160" i="18"/>
  <c r="B1161" i="18"/>
  <c r="B1162" i="18"/>
  <c r="B1163" i="18"/>
  <c r="B1164" i="18"/>
  <c r="B1165" i="18"/>
  <c r="B1166" i="18"/>
  <c r="B1167" i="18"/>
  <c r="B1168" i="18"/>
  <c r="B1169" i="18"/>
  <c r="B1170" i="18"/>
  <c r="B1171" i="18"/>
  <c r="B1172" i="18"/>
  <c r="B1173" i="18"/>
  <c r="B1174" i="18"/>
  <c r="B1175" i="18"/>
  <c r="B1176" i="18"/>
  <c r="B1177" i="18"/>
  <c r="B1178" i="18"/>
  <c r="B1179" i="18"/>
  <c r="B1180" i="18"/>
  <c r="B1181" i="18"/>
  <c r="B1182" i="18"/>
  <c r="B1183" i="18"/>
  <c r="B1184" i="18"/>
  <c r="B1185" i="18"/>
  <c r="B1186" i="18"/>
  <c r="B1187" i="18"/>
  <c r="B1188" i="18"/>
  <c r="B1189" i="18"/>
  <c r="B1190" i="18"/>
  <c r="B1191" i="18"/>
  <c r="B1192" i="18"/>
  <c r="B1193" i="18"/>
  <c r="B1194" i="18"/>
  <c r="B1195" i="18"/>
  <c r="B1196" i="18"/>
  <c r="B1197" i="18"/>
  <c r="B1198" i="18"/>
  <c r="B1199" i="18"/>
  <c r="B1200" i="18"/>
  <c r="B1201" i="18"/>
  <c r="B1202" i="18"/>
  <c r="B1203" i="18"/>
  <c r="B1204" i="18"/>
  <c r="B1205" i="18"/>
  <c r="B1206" i="18"/>
  <c r="B1207" i="18"/>
  <c r="B1208" i="18"/>
  <c r="B1209" i="18"/>
  <c r="B1210" i="18"/>
  <c r="B1211" i="18"/>
  <c r="B1212" i="18"/>
  <c r="B1213" i="18"/>
  <c r="B1214" i="18"/>
  <c r="B1215" i="18"/>
  <c r="B1216" i="18"/>
  <c r="B1217" i="18"/>
  <c r="B1218" i="18"/>
  <c r="B1219" i="18"/>
  <c r="B1220" i="18"/>
  <c r="B1221" i="18"/>
  <c r="B1222" i="18"/>
  <c r="B1223" i="18"/>
  <c r="B1224" i="18"/>
  <c r="B1225" i="18"/>
  <c r="B1226" i="18"/>
  <c r="B1227" i="18"/>
  <c r="B1228" i="18"/>
  <c r="B1229" i="18"/>
  <c r="B1230" i="18"/>
  <c r="B1231" i="18"/>
  <c r="B1232" i="18"/>
  <c r="B1233" i="18"/>
  <c r="B1234" i="18"/>
  <c r="B1235" i="18"/>
  <c r="B1236" i="18"/>
  <c r="B1237" i="18"/>
  <c r="B1238" i="18"/>
  <c r="B1239" i="18"/>
  <c r="B1240" i="18"/>
  <c r="B1241" i="18"/>
  <c r="B1242" i="18"/>
  <c r="B1243" i="18"/>
  <c r="B1244" i="18"/>
  <c r="B1245" i="18"/>
  <c r="B1246" i="18"/>
  <c r="B1247" i="18"/>
  <c r="B1248" i="18"/>
  <c r="B1249" i="18"/>
  <c r="B1250" i="18"/>
  <c r="B1251" i="18"/>
  <c r="B1252" i="18"/>
  <c r="B1253" i="18"/>
  <c r="B1254" i="18"/>
  <c r="B1255" i="18"/>
  <c r="B1256" i="18"/>
  <c r="B1257" i="18"/>
  <c r="B1258" i="18"/>
  <c r="B1259" i="18"/>
  <c r="B1260" i="18"/>
  <c r="B1261" i="18"/>
  <c r="B1262" i="18"/>
  <c r="B1263" i="18"/>
  <c r="B1264" i="18"/>
  <c r="B1265" i="18"/>
  <c r="B1266" i="18"/>
  <c r="B1267" i="18"/>
  <c r="B1268" i="18"/>
  <c r="B1269" i="18"/>
  <c r="B1270" i="18"/>
  <c r="B1271" i="18"/>
  <c r="B1272" i="18"/>
  <c r="B1273" i="18"/>
  <c r="B1274" i="18"/>
  <c r="B1275" i="18"/>
  <c r="B1276" i="18"/>
  <c r="B1277" i="18"/>
  <c r="B1278" i="18"/>
  <c r="B1279" i="18"/>
  <c r="B1280" i="18"/>
  <c r="B1281" i="18"/>
  <c r="B1282" i="18"/>
  <c r="B1283" i="18"/>
  <c r="B1284" i="18"/>
  <c r="B1285" i="18"/>
  <c r="B1286" i="18"/>
  <c r="B1287" i="18"/>
  <c r="B1288" i="18"/>
  <c r="B1289" i="18"/>
  <c r="B1290" i="18"/>
  <c r="B1291" i="18"/>
  <c r="B1292" i="18"/>
  <c r="B1293" i="18"/>
  <c r="B1294" i="18"/>
  <c r="B1295" i="18"/>
  <c r="B1296" i="18"/>
  <c r="B1297" i="18"/>
  <c r="B1298" i="18"/>
  <c r="B1299" i="18"/>
  <c r="B1300" i="18"/>
  <c r="B1301" i="18"/>
  <c r="B1302" i="18"/>
  <c r="B1303" i="18"/>
  <c r="B1304" i="18"/>
  <c r="B1305" i="18"/>
  <c r="B1306" i="18"/>
  <c r="B1307" i="18"/>
  <c r="B1308" i="18"/>
  <c r="B1309" i="18"/>
  <c r="B1310" i="18"/>
  <c r="B1311" i="18"/>
  <c r="B1312" i="18"/>
  <c r="B1313" i="18"/>
  <c r="B1314" i="18"/>
  <c r="B1315" i="18"/>
  <c r="B1316" i="18"/>
  <c r="B1317" i="18"/>
  <c r="B1318" i="18"/>
  <c r="B1319" i="18"/>
  <c r="B1320" i="18"/>
  <c r="B1321" i="18"/>
  <c r="B1322" i="18"/>
  <c r="B1323" i="18"/>
  <c r="B1324" i="18"/>
  <c r="B1325" i="18"/>
  <c r="B1326" i="18"/>
  <c r="B1327" i="18"/>
  <c r="B1328" i="18"/>
  <c r="B1329" i="18"/>
  <c r="B1330" i="18"/>
  <c r="B1331" i="18"/>
  <c r="B1332" i="18"/>
  <c r="B1333" i="18"/>
  <c r="B1334" i="18"/>
  <c r="B1335" i="18"/>
  <c r="B1336" i="18"/>
  <c r="B1337" i="18"/>
  <c r="B1338" i="18"/>
  <c r="B1339" i="18"/>
  <c r="B1340" i="18"/>
  <c r="B1341" i="18"/>
  <c r="B1342" i="18"/>
  <c r="B1343" i="18"/>
  <c r="B1344" i="18"/>
  <c r="B1345" i="18"/>
  <c r="B1346" i="18"/>
  <c r="B1347" i="18"/>
  <c r="B1348" i="18"/>
  <c r="B1349" i="18"/>
  <c r="B1350" i="18"/>
  <c r="B1351" i="18"/>
  <c r="B1352" i="18"/>
  <c r="B1353" i="18"/>
  <c r="B1354" i="18"/>
  <c r="B1355" i="18"/>
  <c r="B1356" i="18"/>
  <c r="B1357" i="18"/>
  <c r="B1358" i="18"/>
  <c r="B1359" i="18"/>
  <c r="B1360" i="18"/>
  <c r="B1361" i="18"/>
  <c r="B1362" i="18"/>
  <c r="B1363" i="18"/>
  <c r="B1364" i="18"/>
  <c r="B1365" i="18"/>
  <c r="B1366" i="18"/>
  <c r="B1367" i="18"/>
  <c r="B1368" i="18"/>
  <c r="B1369" i="18"/>
  <c r="B1370" i="18"/>
  <c r="B1371" i="18"/>
  <c r="B1372" i="18"/>
  <c r="B1373" i="18"/>
  <c r="B1374" i="18"/>
  <c r="B1375" i="18"/>
  <c r="B1376" i="18"/>
  <c r="B1377" i="18"/>
  <c r="B1378" i="18"/>
  <c r="B1379" i="18"/>
  <c r="B1380" i="18"/>
  <c r="B1381" i="18"/>
  <c r="B1382" i="18"/>
  <c r="B1383" i="18"/>
  <c r="B1384" i="18"/>
  <c r="B1385" i="18"/>
  <c r="B1386" i="18"/>
  <c r="B1387" i="18"/>
  <c r="B1388" i="18"/>
  <c r="B1389" i="18"/>
  <c r="B1390" i="18"/>
  <c r="B1391" i="18"/>
  <c r="B1392" i="18"/>
  <c r="B1393" i="18"/>
  <c r="B1394" i="18"/>
  <c r="B1395" i="18"/>
  <c r="B1396" i="18"/>
  <c r="B1397" i="18"/>
  <c r="B1398" i="18"/>
  <c r="B1399" i="18"/>
  <c r="B1400" i="18"/>
  <c r="B1401" i="18"/>
  <c r="B1402" i="18"/>
  <c r="B1403" i="18"/>
  <c r="B1404" i="18"/>
  <c r="B1405" i="18"/>
  <c r="B1406" i="18"/>
  <c r="B2" i="18"/>
  <c r="M108" i="10" s="1"/>
  <c r="AK1406" i="18"/>
  <c r="AI1406" i="18"/>
  <c r="AK1405" i="18"/>
  <c r="AI1405" i="18"/>
  <c r="AK1404" i="18"/>
  <c r="AI1404" i="18"/>
  <c r="AK1403" i="18"/>
  <c r="AI1403" i="18"/>
  <c r="AK1402" i="18"/>
  <c r="AI1402" i="18"/>
  <c r="AK1401" i="18"/>
  <c r="AI1401" i="18"/>
  <c r="AK1400" i="18"/>
  <c r="AI1400" i="18"/>
  <c r="AK1399" i="18"/>
  <c r="AI1399" i="18"/>
  <c r="AK1398" i="18"/>
  <c r="AI1398" i="18"/>
  <c r="AK1397" i="18"/>
  <c r="AI1397" i="18"/>
  <c r="AK1396" i="18"/>
  <c r="AI1396" i="18"/>
  <c r="AK1395" i="18"/>
  <c r="AI1395" i="18"/>
  <c r="AK1394" i="18"/>
  <c r="AI1394" i="18"/>
  <c r="AK1393" i="18"/>
  <c r="AI1393" i="18"/>
  <c r="AK1392" i="18"/>
  <c r="AI1392" i="18"/>
  <c r="AK1391" i="18"/>
  <c r="AI1391" i="18"/>
  <c r="AK1390" i="18"/>
  <c r="AI1390" i="18"/>
  <c r="AK1389" i="18"/>
  <c r="AI1389" i="18"/>
  <c r="AK1388" i="18"/>
  <c r="AI1388" i="18"/>
  <c r="AK1387" i="18"/>
  <c r="AI1387" i="18"/>
  <c r="AK1386" i="18"/>
  <c r="AI1386" i="18"/>
  <c r="AK1385" i="18"/>
  <c r="AI1385" i="18"/>
  <c r="AK1384" i="18"/>
  <c r="AI1384" i="18"/>
  <c r="AK1383" i="18"/>
  <c r="AI1383" i="18"/>
  <c r="AK1382" i="18"/>
  <c r="AI1382" i="18"/>
  <c r="AK1381" i="18"/>
  <c r="AI1381" i="18"/>
  <c r="AK1380" i="18"/>
  <c r="AI1380" i="18"/>
  <c r="AK1379" i="18"/>
  <c r="AI1379" i="18"/>
  <c r="AK1378" i="18"/>
  <c r="AI1378" i="18"/>
  <c r="AK1377" i="18"/>
  <c r="AI1377" i="18"/>
  <c r="AK1376" i="18"/>
  <c r="AI1376" i="18"/>
  <c r="AK1375" i="18"/>
  <c r="AI1375" i="18"/>
  <c r="AK1374" i="18"/>
  <c r="AI1374" i="18"/>
  <c r="AK1373" i="18"/>
  <c r="AI1373" i="18"/>
  <c r="AK1372" i="18"/>
  <c r="AI1372" i="18"/>
  <c r="AK1371" i="18"/>
  <c r="AI1371" i="18"/>
  <c r="AK1370" i="18"/>
  <c r="AI1370" i="18"/>
  <c r="AK1369" i="18"/>
  <c r="AI1369" i="18"/>
  <c r="AK1368" i="18"/>
  <c r="AI1368" i="18"/>
  <c r="AK1367" i="18"/>
  <c r="AI1367" i="18"/>
  <c r="AK1366" i="18"/>
  <c r="AI1366" i="18"/>
  <c r="AK1365" i="18"/>
  <c r="AI1365" i="18"/>
  <c r="AK1364" i="18"/>
  <c r="AI1364" i="18"/>
  <c r="AK1363" i="18"/>
  <c r="AI1363" i="18"/>
  <c r="AK1362" i="18"/>
  <c r="AI1362" i="18"/>
  <c r="AK1361" i="18"/>
  <c r="AI1361" i="18"/>
  <c r="AK1360" i="18"/>
  <c r="AI1360" i="18"/>
  <c r="AK1359" i="18"/>
  <c r="AI1359" i="18"/>
  <c r="AK1358" i="18"/>
  <c r="AI1358" i="18"/>
  <c r="AK1357" i="18"/>
  <c r="AI1357" i="18"/>
  <c r="AK1356" i="18"/>
  <c r="AI1356" i="18"/>
  <c r="AK1355" i="18"/>
  <c r="AI1355" i="18"/>
  <c r="AK1354" i="18"/>
  <c r="AI1354" i="18"/>
  <c r="AK1353" i="18"/>
  <c r="AI1353" i="18"/>
  <c r="AK1352" i="18"/>
  <c r="AI1352" i="18"/>
  <c r="AK1351" i="18"/>
  <c r="AI1351" i="18"/>
  <c r="AK1350" i="18"/>
  <c r="AI1350" i="18"/>
  <c r="AK1349" i="18"/>
  <c r="AI1349" i="18"/>
  <c r="AK1348" i="18"/>
  <c r="AI1348" i="18"/>
  <c r="AK1347" i="18"/>
  <c r="AI1347" i="18"/>
  <c r="AK1346" i="18"/>
  <c r="AI1346" i="18"/>
  <c r="AK1345" i="18"/>
  <c r="AI1345" i="18"/>
  <c r="AK1344" i="18"/>
  <c r="AI1344" i="18"/>
  <c r="AK1343" i="18"/>
  <c r="AI1343" i="18"/>
  <c r="AK1342" i="18"/>
  <c r="AI1342" i="18"/>
  <c r="AK1341" i="18"/>
  <c r="AI1341" i="18"/>
  <c r="AK1340" i="18"/>
  <c r="AI1340" i="18"/>
  <c r="AK1339" i="18"/>
  <c r="AI1339" i="18"/>
  <c r="AK1338" i="18"/>
  <c r="AI1338" i="18"/>
  <c r="AK1337" i="18"/>
  <c r="AI1337" i="18"/>
  <c r="AK1336" i="18"/>
  <c r="AI1336" i="18"/>
  <c r="AK1335" i="18"/>
  <c r="AI1335" i="18"/>
  <c r="AK1334" i="18"/>
  <c r="AI1334" i="18"/>
  <c r="AK1333" i="18"/>
  <c r="AI1333" i="18"/>
  <c r="AK1332" i="18"/>
  <c r="AI1332" i="18"/>
  <c r="AK1331" i="18"/>
  <c r="AI1331" i="18"/>
  <c r="AK1330" i="18"/>
  <c r="AI1330" i="18"/>
  <c r="AK1329" i="18"/>
  <c r="AI1329" i="18"/>
  <c r="AK1328" i="18"/>
  <c r="AI1328" i="18"/>
  <c r="AK1327" i="18"/>
  <c r="AI1327" i="18"/>
  <c r="AK1326" i="18"/>
  <c r="AI1326" i="18"/>
  <c r="AK1325" i="18"/>
  <c r="AI1325" i="18"/>
  <c r="AK1324" i="18"/>
  <c r="AI1324" i="18"/>
  <c r="AK1323" i="18"/>
  <c r="AI1323" i="18"/>
  <c r="AK1322" i="18"/>
  <c r="AI1322" i="18"/>
  <c r="AK1321" i="18"/>
  <c r="AI1321" i="18"/>
  <c r="AK1320" i="18"/>
  <c r="AI1320" i="18"/>
  <c r="AK1319" i="18"/>
  <c r="AI1319" i="18"/>
  <c r="AK1318" i="18"/>
  <c r="AI1318" i="18"/>
  <c r="AK1317" i="18"/>
  <c r="AI1317" i="18"/>
  <c r="AK1316" i="18"/>
  <c r="AI1316" i="18"/>
  <c r="AK1315" i="18"/>
  <c r="AI1315" i="18"/>
  <c r="AK1314" i="18"/>
  <c r="AI1314" i="18"/>
  <c r="AK1313" i="18"/>
  <c r="AI1313" i="18"/>
  <c r="AK1312" i="18"/>
  <c r="AI1312" i="18"/>
  <c r="AK1311" i="18"/>
  <c r="AI1311" i="18"/>
  <c r="AK1310" i="18"/>
  <c r="AI1310" i="18"/>
  <c r="AK1309" i="18"/>
  <c r="AI1309" i="18"/>
  <c r="AK1308" i="18"/>
  <c r="AI1308" i="18"/>
  <c r="AK1307" i="18"/>
  <c r="AI1307" i="18"/>
  <c r="AK1306" i="18"/>
  <c r="AI1306" i="18"/>
  <c r="AK1305" i="18"/>
  <c r="AI1305" i="18"/>
  <c r="AK1304" i="18"/>
  <c r="AI1304" i="18"/>
  <c r="AK1303" i="18"/>
  <c r="AI1303" i="18"/>
  <c r="AK1302" i="18"/>
  <c r="AI1302" i="18"/>
  <c r="AK1301" i="18"/>
  <c r="AI1301" i="18"/>
  <c r="AK1300" i="18"/>
  <c r="AI1300" i="18"/>
  <c r="AK1299" i="18"/>
  <c r="AI1299" i="18"/>
  <c r="AK1298" i="18"/>
  <c r="AI1298" i="18"/>
  <c r="AK1297" i="18"/>
  <c r="AI1297" i="18"/>
  <c r="AK1296" i="18"/>
  <c r="AI1296" i="18"/>
  <c r="AK1295" i="18"/>
  <c r="AI1295" i="18"/>
  <c r="AK1294" i="18"/>
  <c r="AI1294" i="18"/>
  <c r="AK1293" i="18"/>
  <c r="AI1293" i="18"/>
  <c r="AK1292" i="18"/>
  <c r="AI1292" i="18"/>
  <c r="AK1291" i="18"/>
  <c r="AI1291" i="18"/>
  <c r="AK1290" i="18"/>
  <c r="AI1290" i="18"/>
  <c r="AK1289" i="18"/>
  <c r="AI1289" i="18"/>
  <c r="AK1288" i="18"/>
  <c r="AI1288" i="18"/>
  <c r="AK1287" i="18"/>
  <c r="AI1287" i="18"/>
  <c r="AK1286" i="18"/>
  <c r="AI1286" i="18"/>
  <c r="AK1285" i="18"/>
  <c r="AI1285" i="18"/>
  <c r="AK1284" i="18"/>
  <c r="AI1284" i="18"/>
  <c r="AK1283" i="18"/>
  <c r="AI1283" i="18"/>
  <c r="AK1282" i="18"/>
  <c r="AI1282" i="18"/>
  <c r="AK1281" i="18"/>
  <c r="AI1281" i="18"/>
  <c r="AK1280" i="18"/>
  <c r="AI1280" i="18"/>
  <c r="AK1279" i="18"/>
  <c r="AI1279" i="18"/>
  <c r="AK1278" i="18"/>
  <c r="AI1278" i="18"/>
  <c r="AK1277" i="18"/>
  <c r="AI1277" i="18"/>
  <c r="AK1276" i="18"/>
  <c r="AI1276" i="18"/>
  <c r="AK1275" i="18"/>
  <c r="AI1275" i="18"/>
  <c r="AK1274" i="18"/>
  <c r="AI1274" i="18"/>
  <c r="AK1273" i="18"/>
  <c r="AI1273" i="18"/>
  <c r="AK1272" i="18"/>
  <c r="AI1272" i="18"/>
  <c r="AK1271" i="18"/>
  <c r="AI1271" i="18"/>
  <c r="AK1270" i="18"/>
  <c r="AI1270" i="18"/>
  <c r="AK1269" i="18"/>
  <c r="AI1269" i="18"/>
  <c r="AK1268" i="18"/>
  <c r="AI1268" i="18"/>
  <c r="AK1267" i="18"/>
  <c r="AI1267" i="18"/>
  <c r="AK1266" i="18"/>
  <c r="AI1266" i="18"/>
  <c r="AK1265" i="18"/>
  <c r="AI1265" i="18"/>
  <c r="AK1264" i="18"/>
  <c r="AI1264" i="18"/>
  <c r="AK1263" i="18"/>
  <c r="AI1263" i="18"/>
  <c r="AK1262" i="18"/>
  <c r="AI1262" i="18"/>
  <c r="AK1261" i="18"/>
  <c r="AI1261" i="18"/>
  <c r="AK1260" i="18"/>
  <c r="AI1260" i="18"/>
  <c r="AK1259" i="18"/>
  <c r="AI1259" i="18"/>
  <c r="AK1258" i="18"/>
  <c r="AI1258" i="18"/>
  <c r="AK1257" i="18"/>
  <c r="AI1257" i="18"/>
  <c r="AK1256" i="18"/>
  <c r="AI1256" i="18"/>
  <c r="AK1255" i="18"/>
  <c r="AI1255" i="18"/>
  <c r="AK1254" i="18"/>
  <c r="AI1254" i="18"/>
  <c r="AK1253" i="18"/>
  <c r="AI1253" i="18"/>
  <c r="AK1252" i="18"/>
  <c r="AI1252" i="18"/>
  <c r="AK1251" i="18"/>
  <c r="AI1251" i="18"/>
  <c r="AK1250" i="18"/>
  <c r="AI1250" i="18"/>
  <c r="AK1249" i="18"/>
  <c r="AI1249" i="18"/>
  <c r="AK1248" i="18"/>
  <c r="AI1248" i="18"/>
  <c r="AK1247" i="18"/>
  <c r="AI1247" i="18"/>
  <c r="AK1246" i="18"/>
  <c r="AI1246" i="18"/>
  <c r="AK1245" i="18"/>
  <c r="AI1245" i="18"/>
  <c r="AK1244" i="18"/>
  <c r="AI1244" i="18"/>
  <c r="AK1243" i="18"/>
  <c r="AI1243" i="18"/>
  <c r="AK1242" i="18"/>
  <c r="AI1242" i="18"/>
  <c r="AK1241" i="18"/>
  <c r="AI1241" i="18"/>
  <c r="AK1240" i="18"/>
  <c r="AI1240" i="18"/>
  <c r="AK1239" i="18"/>
  <c r="AI1239" i="18"/>
  <c r="AK1238" i="18"/>
  <c r="AI1238" i="18"/>
  <c r="AK1237" i="18"/>
  <c r="AI1237" i="18"/>
  <c r="AK1236" i="18"/>
  <c r="AI1236" i="18"/>
  <c r="AK1235" i="18"/>
  <c r="AI1235" i="18"/>
  <c r="AK1234" i="18"/>
  <c r="AI1234" i="18"/>
  <c r="AK1233" i="18"/>
  <c r="AI1233" i="18"/>
  <c r="AK1232" i="18"/>
  <c r="AI1232" i="18"/>
  <c r="AK1231" i="18"/>
  <c r="AI1231" i="18"/>
  <c r="AK1230" i="18"/>
  <c r="AI1230" i="18"/>
  <c r="AK1229" i="18"/>
  <c r="AI1229" i="18"/>
  <c r="AK1228" i="18"/>
  <c r="AI1228" i="18"/>
  <c r="AK1227" i="18"/>
  <c r="AI1227" i="18"/>
  <c r="AK1226" i="18"/>
  <c r="AI1226" i="18"/>
  <c r="AK1225" i="18"/>
  <c r="AI1225" i="18"/>
  <c r="AK1224" i="18"/>
  <c r="AI1224" i="18"/>
  <c r="AK1223" i="18"/>
  <c r="AI1223" i="18"/>
  <c r="AK1222" i="18"/>
  <c r="AI1222" i="18"/>
  <c r="AK1221" i="18"/>
  <c r="AI1221" i="18"/>
  <c r="AK1220" i="18"/>
  <c r="AI1220" i="18"/>
  <c r="AK1219" i="18"/>
  <c r="AI1219" i="18"/>
  <c r="AK1218" i="18"/>
  <c r="AI1218" i="18"/>
  <c r="AK1217" i="18"/>
  <c r="AI1217" i="18"/>
  <c r="AK1216" i="18"/>
  <c r="AI1216" i="18"/>
  <c r="AK1215" i="18"/>
  <c r="AI1215" i="18"/>
  <c r="AK1214" i="18"/>
  <c r="AI1214" i="18"/>
  <c r="AK1213" i="18"/>
  <c r="AI1213" i="18"/>
  <c r="AK1212" i="18"/>
  <c r="AI1212" i="18"/>
  <c r="AK1211" i="18"/>
  <c r="AI1211" i="18"/>
  <c r="AK1210" i="18"/>
  <c r="AI1210" i="18"/>
  <c r="AK1209" i="18"/>
  <c r="AI1209" i="18"/>
  <c r="AK1208" i="18"/>
  <c r="AI1208" i="18"/>
  <c r="AK1207" i="18"/>
  <c r="AI1207" i="18"/>
  <c r="AK1206" i="18"/>
  <c r="AI1206" i="18"/>
  <c r="AK1205" i="18"/>
  <c r="AI1205" i="18"/>
  <c r="AK1204" i="18"/>
  <c r="AI1204" i="18"/>
  <c r="AK1203" i="18"/>
  <c r="AI1203" i="18"/>
  <c r="AK1202" i="18"/>
  <c r="AI1202" i="18"/>
  <c r="AK1201" i="18"/>
  <c r="AI1201" i="18"/>
  <c r="AK1200" i="18"/>
  <c r="AI1200" i="18"/>
  <c r="AK1199" i="18"/>
  <c r="AI1199" i="18"/>
  <c r="AK1198" i="18"/>
  <c r="AI1198" i="18"/>
  <c r="AK1197" i="18"/>
  <c r="AI1197" i="18"/>
  <c r="AK1196" i="18"/>
  <c r="AI1196" i="18"/>
  <c r="AK1195" i="18"/>
  <c r="AI1195" i="18"/>
  <c r="AK1194" i="18"/>
  <c r="AI1194" i="18"/>
  <c r="AK1193" i="18"/>
  <c r="AI1193" i="18"/>
  <c r="AK1192" i="18"/>
  <c r="AI1192" i="18"/>
  <c r="AK1191" i="18"/>
  <c r="AI1191" i="18"/>
  <c r="AK1190" i="18"/>
  <c r="AI1190" i="18"/>
  <c r="AK1189" i="18"/>
  <c r="AI1189" i="18"/>
  <c r="AK1188" i="18"/>
  <c r="AI1188" i="18"/>
  <c r="AK1187" i="18"/>
  <c r="AI1187" i="18"/>
  <c r="AK1186" i="18"/>
  <c r="AI1186" i="18"/>
  <c r="AK1185" i="18"/>
  <c r="AI1185" i="18"/>
  <c r="AK1184" i="18"/>
  <c r="AI1184" i="18"/>
  <c r="AK1183" i="18"/>
  <c r="AI1183" i="18"/>
  <c r="AK1182" i="18"/>
  <c r="AI1182" i="18"/>
  <c r="AK1181" i="18"/>
  <c r="AI1181" i="18"/>
  <c r="AK1180" i="18"/>
  <c r="AI1180" i="18"/>
  <c r="AK1179" i="18"/>
  <c r="AI1179" i="18"/>
  <c r="AK1178" i="18"/>
  <c r="AI1178" i="18"/>
  <c r="AK1177" i="18"/>
  <c r="AI1177" i="18"/>
  <c r="AK1176" i="18"/>
  <c r="AI1176" i="18"/>
  <c r="AK1175" i="18"/>
  <c r="AI1175" i="18"/>
  <c r="AK1174" i="18"/>
  <c r="AI1174" i="18"/>
  <c r="AK1173" i="18"/>
  <c r="AI1173" i="18"/>
  <c r="AK1172" i="18"/>
  <c r="AI1172" i="18"/>
  <c r="AK1171" i="18"/>
  <c r="AI1171" i="18"/>
  <c r="AK1170" i="18"/>
  <c r="AI1170" i="18"/>
  <c r="AK1169" i="18"/>
  <c r="AI1169" i="18"/>
  <c r="AK1168" i="18"/>
  <c r="AI1168" i="18"/>
  <c r="AK1167" i="18"/>
  <c r="AI1167" i="18"/>
  <c r="AK1166" i="18"/>
  <c r="AI1166" i="18"/>
  <c r="AK1165" i="18"/>
  <c r="AI1165" i="18"/>
  <c r="AK1164" i="18"/>
  <c r="AI1164" i="18"/>
  <c r="AK1163" i="18"/>
  <c r="AI1163" i="18"/>
  <c r="AK1162" i="18"/>
  <c r="AI1162" i="18"/>
  <c r="AK1161" i="18"/>
  <c r="AI1161" i="18"/>
  <c r="AK1160" i="18"/>
  <c r="AI1160" i="18"/>
  <c r="AK1159" i="18"/>
  <c r="AI1159" i="18"/>
  <c r="AK1158" i="18"/>
  <c r="AI1158" i="18"/>
  <c r="AK1157" i="18"/>
  <c r="AI1157" i="18"/>
  <c r="AK1156" i="18"/>
  <c r="AI1156" i="18"/>
  <c r="AK1155" i="18"/>
  <c r="AI1155" i="18"/>
  <c r="AK1154" i="18"/>
  <c r="AI1154" i="18"/>
  <c r="AK1153" i="18"/>
  <c r="AI1153" i="18"/>
  <c r="AK1152" i="18"/>
  <c r="AI1152" i="18"/>
  <c r="AK1151" i="18"/>
  <c r="AI1151" i="18"/>
  <c r="AK1150" i="18"/>
  <c r="AI1150" i="18"/>
  <c r="AK1149" i="18"/>
  <c r="AI1149" i="18"/>
  <c r="AK1148" i="18"/>
  <c r="AI1148" i="18"/>
  <c r="AK1147" i="18"/>
  <c r="AI1147" i="18"/>
  <c r="AK1146" i="18"/>
  <c r="AI1146" i="18"/>
  <c r="AK1145" i="18"/>
  <c r="AI1145" i="18"/>
  <c r="AK1144" i="18"/>
  <c r="AI1144" i="18"/>
  <c r="AK1143" i="18"/>
  <c r="AI1143" i="18"/>
  <c r="AK1142" i="18"/>
  <c r="AI1142" i="18"/>
  <c r="AK1141" i="18"/>
  <c r="AI1141" i="18"/>
  <c r="AK1140" i="18"/>
  <c r="AI1140" i="18"/>
  <c r="AK1139" i="18"/>
  <c r="AI1139" i="18"/>
  <c r="AK1138" i="18"/>
  <c r="AI1138" i="18"/>
  <c r="AK1137" i="18"/>
  <c r="AI1137" i="18"/>
  <c r="AK1136" i="18"/>
  <c r="AI1136" i="18"/>
  <c r="AK1135" i="18"/>
  <c r="AI1135" i="18"/>
  <c r="AK1134" i="18"/>
  <c r="AI1134" i="18"/>
  <c r="AK1133" i="18"/>
  <c r="AI1133" i="18"/>
  <c r="AK1132" i="18"/>
  <c r="AI1132" i="18"/>
  <c r="AK1131" i="18"/>
  <c r="AI1131" i="18"/>
  <c r="AK1130" i="18"/>
  <c r="AI1130" i="18"/>
  <c r="AK1129" i="18"/>
  <c r="AI1129" i="18"/>
  <c r="AK1128" i="18"/>
  <c r="AI1128" i="18"/>
  <c r="AK1127" i="18"/>
  <c r="AI1127" i="18"/>
  <c r="AK1126" i="18"/>
  <c r="AI1126" i="18"/>
  <c r="AK1125" i="18"/>
  <c r="AI1125" i="18"/>
  <c r="AK1124" i="18"/>
  <c r="AI1124" i="18"/>
  <c r="AK1123" i="18"/>
  <c r="AI1123" i="18"/>
  <c r="AK1122" i="18"/>
  <c r="AI1122" i="18"/>
  <c r="AK1121" i="18"/>
  <c r="AI1121" i="18"/>
  <c r="AK1120" i="18"/>
  <c r="AI1120" i="18"/>
  <c r="AK1119" i="18"/>
  <c r="AI1119" i="18"/>
  <c r="AK1118" i="18"/>
  <c r="AI1118" i="18"/>
  <c r="AK1117" i="18"/>
  <c r="AI1117" i="18"/>
  <c r="AK1116" i="18"/>
  <c r="AI1116" i="18"/>
  <c r="AK1115" i="18"/>
  <c r="AI1115" i="18"/>
  <c r="AK1114" i="18"/>
  <c r="AI1114" i="18"/>
  <c r="AK1113" i="18"/>
  <c r="AI1113" i="18"/>
  <c r="AK1112" i="18"/>
  <c r="AI1112" i="18"/>
  <c r="AK1111" i="18"/>
  <c r="AI1111" i="18"/>
  <c r="AK1110" i="18"/>
  <c r="AI1110" i="18"/>
  <c r="AK1109" i="18"/>
  <c r="AI1109" i="18"/>
  <c r="AK1108" i="18"/>
  <c r="AI1108" i="18"/>
  <c r="AK1107" i="18"/>
  <c r="AI1107" i="18"/>
  <c r="AK1106" i="18"/>
  <c r="AI1106" i="18"/>
  <c r="AK1105" i="18"/>
  <c r="AI1105" i="18"/>
  <c r="AK1104" i="18"/>
  <c r="AI1104" i="18"/>
  <c r="AK1103" i="18"/>
  <c r="AI1103" i="18"/>
  <c r="AK1102" i="18"/>
  <c r="AI1102" i="18"/>
  <c r="AK1101" i="18"/>
  <c r="AI1101" i="18"/>
  <c r="AK1100" i="18"/>
  <c r="AI1100" i="18"/>
  <c r="AK1099" i="18"/>
  <c r="AI1099" i="18"/>
  <c r="AK1098" i="18"/>
  <c r="AI1098" i="18"/>
  <c r="AK1097" i="18"/>
  <c r="AI1097" i="18"/>
  <c r="AK1096" i="18"/>
  <c r="AI1096" i="18"/>
  <c r="AK1095" i="18"/>
  <c r="AI1095" i="18"/>
  <c r="AK1094" i="18"/>
  <c r="AI1094" i="18"/>
  <c r="AK1093" i="18"/>
  <c r="AI1093" i="18"/>
  <c r="AK1092" i="18"/>
  <c r="AI1092" i="18"/>
  <c r="AK1091" i="18"/>
  <c r="AI1091" i="18"/>
  <c r="AK1090" i="18"/>
  <c r="AI1090" i="18"/>
  <c r="AK1089" i="18"/>
  <c r="AI1089" i="18"/>
  <c r="AK1088" i="18"/>
  <c r="AI1088" i="18"/>
  <c r="AK1087" i="18"/>
  <c r="AI1087" i="18"/>
  <c r="AK1086" i="18"/>
  <c r="AI1086" i="18"/>
  <c r="AK1085" i="18"/>
  <c r="AI1085" i="18"/>
  <c r="AK1084" i="18"/>
  <c r="AI1084" i="18"/>
  <c r="AK1083" i="18"/>
  <c r="AI1083" i="18"/>
  <c r="AK1082" i="18"/>
  <c r="AI1082" i="18"/>
  <c r="AK1081" i="18"/>
  <c r="AI1081" i="18"/>
  <c r="AK1080" i="18"/>
  <c r="AI1080" i="18"/>
  <c r="AK1079" i="18"/>
  <c r="AI1079" i="18"/>
  <c r="AK1078" i="18"/>
  <c r="AI1078" i="18"/>
  <c r="AK1077" i="18"/>
  <c r="AI1077" i="18"/>
  <c r="AK1076" i="18"/>
  <c r="AI1076" i="18"/>
  <c r="AK1075" i="18"/>
  <c r="AI1075" i="18"/>
  <c r="AK1074" i="18"/>
  <c r="AI1074" i="18"/>
  <c r="AK1073" i="18"/>
  <c r="AI1073" i="18"/>
  <c r="AK1072" i="18"/>
  <c r="AI1072" i="18"/>
  <c r="AK1071" i="18"/>
  <c r="AI1071" i="18"/>
  <c r="AK1070" i="18"/>
  <c r="AI1070" i="18"/>
  <c r="AK1069" i="18"/>
  <c r="AI1069" i="18"/>
  <c r="AK1068" i="18"/>
  <c r="AI1068" i="18"/>
  <c r="AK1067" i="18"/>
  <c r="AI1067" i="18"/>
  <c r="AK1066" i="18"/>
  <c r="AI1066" i="18"/>
  <c r="AK1065" i="18"/>
  <c r="AI1065" i="18"/>
  <c r="AK1064" i="18"/>
  <c r="AI1064" i="18"/>
  <c r="AK1063" i="18"/>
  <c r="AI1063" i="18"/>
  <c r="AK1062" i="18"/>
  <c r="AI1062" i="18"/>
  <c r="AK1061" i="18"/>
  <c r="AI1061" i="18"/>
  <c r="AK1060" i="18"/>
  <c r="AI1060" i="18"/>
  <c r="AK1059" i="18"/>
  <c r="AI1059" i="18"/>
  <c r="AK1058" i="18"/>
  <c r="AI1058" i="18"/>
  <c r="AK1057" i="18"/>
  <c r="AI1057" i="18"/>
  <c r="AK1056" i="18"/>
  <c r="AI1056" i="18"/>
  <c r="AK1055" i="18"/>
  <c r="AI1055" i="18"/>
  <c r="AK1054" i="18"/>
  <c r="AI1054" i="18"/>
  <c r="AK1053" i="18"/>
  <c r="AI1053" i="18"/>
  <c r="AK1052" i="18"/>
  <c r="AI1052" i="18"/>
  <c r="AK1051" i="18"/>
  <c r="AI1051" i="18"/>
  <c r="AK1050" i="18"/>
  <c r="AI1050" i="18"/>
  <c r="AK1049" i="18"/>
  <c r="AI1049" i="18"/>
  <c r="AK1048" i="18"/>
  <c r="AI1048" i="18"/>
  <c r="AK1047" i="18"/>
  <c r="AI1047" i="18"/>
  <c r="AK1046" i="18"/>
  <c r="AI1046" i="18"/>
  <c r="AK1045" i="18"/>
  <c r="AI1045" i="18"/>
  <c r="AK1044" i="18"/>
  <c r="AI1044" i="18"/>
  <c r="AK1043" i="18"/>
  <c r="AI1043" i="18"/>
  <c r="AK1042" i="18"/>
  <c r="AI1042" i="18"/>
  <c r="AK1041" i="18"/>
  <c r="AI1041" i="18"/>
  <c r="AK1040" i="18"/>
  <c r="AI1040" i="18"/>
  <c r="AK1039" i="18"/>
  <c r="AI1039" i="18"/>
  <c r="AK1038" i="18"/>
  <c r="AI1038" i="18"/>
  <c r="AK1037" i="18"/>
  <c r="AI1037" i="18"/>
  <c r="AK1036" i="18"/>
  <c r="AI1036" i="18"/>
  <c r="AK1035" i="18"/>
  <c r="AI1035" i="18"/>
  <c r="AK1034" i="18"/>
  <c r="AI1034" i="18"/>
  <c r="AK1033" i="18"/>
  <c r="AI1033" i="18"/>
  <c r="AK1032" i="18"/>
  <c r="AI1032" i="18"/>
  <c r="AK1031" i="18"/>
  <c r="AI1031" i="18"/>
  <c r="AK1030" i="18"/>
  <c r="AI1030" i="18"/>
  <c r="AK1029" i="18"/>
  <c r="AI1029" i="18"/>
  <c r="AK1028" i="18"/>
  <c r="AI1028" i="18"/>
  <c r="AK1027" i="18"/>
  <c r="AI1027" i="18"/>
  <c r="AK1026" i="18"/>
  <c r="AI1026" i="18"/>
  <c r="AK1025" i="18"/>
  <c r="AI1025" i="18"/>
  <c r="AK1024" i="18"/>
  <c r="AI1024" i="18"/>
  <c r="AK1023" i="18"/>
  <c r="AI1023" i="18"/>
  <c r="AK1022" i="18"/>
  <c r="AI1022" i="18"/>
  <c r="AK1021" i="18"/>
  <c r="AI1021" i="18"/>
  <c r="AK1020" i="18"/>
  <c r="AI1020" i="18"/>
  <c r="AK1019" i="18"/>
  <c r="AI1019" i="18"/>
  <c r="AK1018" i="18"/>
  <c r="AI1018" i="18"/>
  <c r="AK1017" i="18"/>
  <c r="AI1017" i="18"/>
  <c r="AK1016" i="18"/>
  <c r="AI1016" i="18"/>
  <c r="AK1015" i="18"/>
  <c r="AI1015" i="18"/>
  <c r="AK1014" i="18"/>
  <c r="AI1014" i="18"/>
  <c r="AK1013" i="18"/>
  <c r="AI1013" i="18"/>
  <c r="AK1012" i="18"/>
  <c r="AI1012" i="18"/>
  <c r="AK1011" i="18"/>
  <c r="AI1011" i="18"/>
  <c r="AK1010" i="18"/>
  <c r="AI1010" i="18"/>
  <c r="AK1009" i="18"/>
  <c r="AI1009" i="18"/>
  <c r="AK1008" i="18"/>
  <c r="AI1008" i="18"/>
  <c r="AK1007" i="18"/>
  <c r="AI1007" i="18"/>
  <c r="AK1006" i="18"/>
  <c r="AI1006" i="18"/>
  <c r="AK1005" i="18"/>
  <c r="AI1005" i="18"/>
  <c r="AK1004" i="18"/>
  <c r="AI1004" i="18"/>
  <c r="AK1003" i="18"/>
  <c r="AI1003" i="18"/>
  <c r="AK1002" i="18"/>
  <c r="AI1002" i="18"/>
  <c r="AK1001" i="18"/>
  <c r="AI1001" i="18"/>
  <c r="AK1000" i="18"/>
  <c r="AI1000" i="18"/>
  <c r="AK999" i="18"/>
  <c r="AI999" i="18"/>
  <c r="AK998" i="18"/>
  <c r="AI998" i="18"/>
  <c r="AK997" i="18"/>
  <c r="AI997" i="18"/>
  <c r="AK996" i="18"/>
  <c r="AI996" i="18"/>
  <c r="AK995" i="18"/>
  <c r="AI995" i="18"/>
  <c r="AK994" i="18"/>
  <c r="AI994" i="18"/>
  <c r="AK993" i="18"/>
  <c r="AI993" i="18"/>
  <c r="AK992" i="18"/>
  <c r="AI992" i="18"/>
  <c r="AK991" i="18"/>
  <c r="AI991" i="18"/>
  <c r="AK990" i="18"/>
  <c r="AI990" i="18"/>
  <c r="AK989" i="18"/>
  <c r="AI989" i="18"/>
  <c r="AK988" i="18"/>
  <c r="AI988" i="18"/>
  <c r="AK987" i="18"/>
  <c r="AI987" i="18"/>
  <c r="AK986" i="18"/>
  <c r="AI986" i="18"/>
  <c r="AK985" i="18"/>
  <c r="AI985" i="18"/>
  <c r="AK984" i="18"/>
  <c r="AI984" i="18"/>
  <c r="AK983" i="18"/>
  <c r="AI983" i="18"/>
  <c r="AK982" i="18"/>
  <c r="AI982" i="18"/>
  <c r="AK981" i="18"/>
  <c r="AI981" i="18"/>
  <c r="AK980" i="18"/>
  <c r="AI980" i="18"/>
  <c r="AK979" i="18"/>
  <c r="AI979" i="18"/>
  <c r="AK978" i="18"/>
  <c r="AI978" i="18"/>
  <c r="AK977" i="18"/>
  <c r="AI977" i="18"/>
  <c r="AK976" i="18"/>
  <c r="AI976" i="18"/>
  <c r="AK975" i="18"/>
  <c r="AI975" i="18"/>
  <c r="AK974" i="18"/>
  <c r="AI974" i="18"/>
  <c r="AK973" i="18"/>
  <c r="AI973" i="18"/>
  <c r="AK972" i="18"/>
  <c r="AI972" i="18"/>
  <c r="AK971" i="18"/>
  <c r="AI971" i="18"/>
  <c r="AK970" i="18"/>
  <c r="AI970" i="18"/>
  <c r="AK969" i="18"/>
  <c r="AI969" i="18"/>
  <c r="AK968" i="18"/>
  <c r="AI968" i="18"/>
  <c r="AK967" i="18"/>
  <c r="AI967" i="18"/>
  <c r="AK966" i="18"/>
  <c r="AI966" i="18"/>
  <c r="AK965" i="18"/>
  <c r="AI965" i="18"/>
  <c r="AK964" i="18"/>
  <c r="AI964" i="18"/>
  <c r="AK963" i="18"/>
  <c r="AI963" i="18"/>
  <c r="AK962" i="18"/>
  <c r="AI962" i="18"/>
  <c r="AK961" i="18"/>
  <c r="AI961" i="18"/>
  <c r="AK960" i="18"/>
  <c r="AI960" i="18"/>
  <c r="AK959" i="18"/>
  <c r="AI959" i="18"/>
  <c r="AK958" i="18"/>
  <c r="AI958" i="18"/>
  <c r="AK957" i="18"/>
  <c r="AI957" i="18"/>
  <c r="AK956" i="18"/>
  <c r="AI956" i="18"/>
  <c r="AK955" i="18"/>
  <c r="AI955" i="18"/>
  <c r="AK954" i="18"/>
  <c r="AI954" i="18"/>
  <c r="AK953" i="18"/>
  <c r="AI953" i="18"/>
  <c r="AK952" i="18"/>
  <c r="AI952" i="18"/>
  <c r="AK951" i="18"/>
  <c r="AI951" i="18"/>
  <c r="AK950" i="18"/>
  <c r="AI950" i="18"/>
  <c r="AK949" i="18"/>
  <c r="AI949" i="18"/>
  <c r="AK948" i="18"/>
  <c r="AI948" i="18"/>
  <c r="AK947" i="18"/>
  <c r="AI947" i="18"/>
  <c r="AK946" i="18"/>
  <c r="AI946" i="18"/>
  <c r="AK945" i="18"/>
  <c r="AI945" i="18"/>
  <c r="AK944" i="18"/>
  <c r="AI944" i="18"/>
  <c r="AK943" i="18"/>
  <c r="AI943" i="18"/>
  <c r="AK942" i="18"/>
  <c r="AI942" i="18"/>
  <c r="AK941" i="18"/>
  <c r="AI941" i="18"/>
  <c r="AK940" i="18"/>
  <c r="AI940" i="18"/>
  <c r="AK939" i="18"/>
  <c r="AI939" i="18"/>
  <c r="AK938" i="18"/>
  <c r="AI938" i="18"/>
  <c r="AK937" i="18"/>
  <c r="AI937" i="18"/>
  <c r="AK936" i="18"/>
  <c r="AI936" i="18"/>
  <c r="AK935" i="18"/>
  <c r="AI935" i="18"/>
  <c r="AK934" i="18"/>
  <c r="AI934" i="18"/>
  <c r="AK933" i="18"/>
  <c r="AI933" i="18"/>
  <c r="AK932" i="18"/>
  <c r="AI932" i="18"/>
  <c r="AK931" i="18"/>
  <c r="AI931" i="18"/>
  <c r="AK930" i="18"/>
  <c r="AI930" i="18"/>
  <c r="AK929" i="18"/>
  <c r="AI929" i="18"/>
  <c r="AK928" i="18"/>
  <c r="AI928" i="18"/>
  <c r="AK927" i="18"/>
  <c r="AI927" i="18"/>
  <c r="AK926" i="18"/>
  <c r="AI926" i="18"/>
  <c r="AK925" i="18"/>
  <c r="AI925" i="18"/>
  <c r="AK924" i="18"/>
  <c r="AI924" i="18"/>
  <c r="AK923" i="18"/>
  <c r="AI923" i="18"/>
  <c r="AK922" i="18"/>
  <c r="AI922" i="18"/>
  <c r="AK921" i="18"/>
  <c r="AI921" i="18"/>
  <c r="AK920" i="18"/>
  <c r="AI920" i="18"/>
  <c r="AK919" i="18"/>
  <c r="AI919" i="18"/>
  <c r="AK918" i="18"/>
  <c r="AI918" i="18"/>
  <c r="AK917" i="18"/>
  <c r="AI917" i="18"/>
  <c r="AK916" i="18"/>
  <c r="AI916" i="18"/>
  <c r="AK915" i="18"/>
  <c r="AI915" i="18"/>
  <c r="AK914" i="18"/>
  <c r="AI914" i="18"/>
  <c r="AK913" i="18"/>
  <c r="AI913" i="18"/>
  <c r="AK912" i="18"/>
  <c r="AI912" i="18"/>
  <c r="AK911" i="18"/>
  <c r="AI911" i="18"/>
  <c r="AK910" i="18"/>
  <c r="AI910" i="18"/>
  <c r="AK909" i="18"/>
  <c r="AI909" i="18"/>
  <c r="AK908" i="18"/>
  <c r="AI908" i="18"/>
  <c r="AK907" i="18"/>
  <c r="AI907" i="18"/>
  <c r="AK906" i="18"/>
  <c r="AI906" i="18"/>
  <c r="AK905" i="18"/>
  <c r="AI905" i="18"/>
  <c r="AK904" i="18"/>
  <c r="AI904" i="18"/>
  <c r="AK903" i="18"/>
  <c r="AI903" i="18"/>
  <c r="AK902" i="18"/>
  <c r="AI902" i="18"/>
  <c r="AK901" i="18"/>
  <c r="AI901" i="18"/>
  <c r="AK900" i="18"/>
  <c r="AI900" i="18"/>
  <c r="AK899" i="18"/>
  <c r="AI899" i="18"/>
  <c r="AK898" i="18"/>
  <c r="AI898" i="18"/>
  <c r="AK897" i="18"/>
  <c r="AI897" i="18"/>
  <c r="AK896" i="18"/>
  <c r="AI896" i="18"/>
  <c r="AK895" i="18"/>
  <c r="AI895" i="18"/>
  <c r="AK894" i="18"/>
  <c r="AI894" i="18"/>
  <c r="AK893" i="18"/>
  <c r="AI893" i="18"/>
  <c r="AK892" i="18"/>
  <c r="AI892" i="18"/>
  <c r="AK891" i="18"/>
  <c r="AI891" i="18"/>
  <c r="AK890" i="18"/>
  <c r="AI890" i="18"/>
  <c r="AK889" i="18"/>
  <c r="AI889" i="18"/>
  <c r="AK888" i="18"/>
  <c r="AI888" i="18"/>
  <c r="AK887" i="18"/>
  <c r="AI887" i="18"/>
  <c r="AK886" i="18"/>
  <c r="AI886" i="18"/>
  <c r="AK885" i="18"/>
  <c r="AI885" i="18"/>
  <c r="AK884" i="18"/>
  <c r="AI884" i="18"/>
  <c r="AK883" i="18"/>
  <c r="AI883" i="18"/>
  <c r="AK882" i="18"/>
  <c r="AI882" i="18"/>
  <c r="AK881" i="18"/>
  <c r="AI881" i="18"/>
  <c r="AK880" i="18"/>
  <c r="AI880" i="18"/>
  <c r="AK879" i="18"/>
  <c r="AI879" i="18"/>
  <c r="AK878" i="18"/>
  <c r="AI878" i="18"/>
  <c r="AK877" i="18"/>
  <c r="AI877" i="18"/>
  <c r="AK876" i="18"/>
  <c r="AI876" i="18"/>
  <c r="AK875" i="18"/>
  <c r="AI875" i="18"/>
  <c r="AK874" i="18"/>
  <c r="AI874" i="18"/>
  <c r="AK873" i="18"/>
  <c r="AI873" i="18"/>
  <c r="AK872" i="18"/>
  <c r="AI872" i="18"/>
  <c r="AK871" i="18"/>
  <c r="AI871" i="18"/>
  <c r="AK870" i="18"/>
  <c r="AI870" i="18"/>
  <c r="AK869" i="18"/>
  <c r="AI869" i="18"/>
  <c r="AK868" i="18"/>
  <c r="AI868" i="18"/>
  <c r="AK867" i="18"/>
  <c r="AI867" i="18"/>
  <c r="AK866" i="18"/>
  <c r="AI866" i="18"/>
  <c r="AK865" i="18"/>
  <c r="AI865" i="18"/>
  <c r="AK864" i="18"/>
  <c r="AI864" i="18"/>
  <c r="AK863" i="18"/>
  <c r="AI863" i="18"/>
  <c r="AK862" i="18"/>
  <c r="AI862" i="18"/>
  <c r="AK861" i="18"/>
  <c r="AI861" i="18"/>
  <c r="AK860" i="18"/>
  <c r="AI860" i="18"/>
  <c r="AK859" i="18"/>
  <c r="AI859" i="18"/>
  <c r="AK858" i="18"/>
  <c r="AI858" i="18"/>
  <c r="AK857" i="18"/>
  <c r="AI857" i="18"/>
  <c r="AK856" i="18"/>
  <c r="AI856" i="18"/>
  <c r="AK855" i="18"/>
  <c r="AI855" i="18"/>
  <c r="AK854" i="18"/>
  <c r="AI854" i="18"/>
  <c r="AK853" i="18"/>
  <c r="AI853" i="18"/>
  <c r="AK852" i="18"/>
  <c r="AI852" i="18"/>
  <c r="AK851" i="18"/>
  <c r="AI851" i="18"/>
  <c r="AK850" i="18"/>
  <c r="AI850" i="18"/>
  <c r="AK849" i="18"/>
  <c r="AI849" i="18"/>
  <c r="AK848" i="18"/>
  <c r="AI848" i="18"/>
  <c r="AK847" i="18"/>
  <c r="AI847" i="18"/>
  <c r="AK846" i="18"/>
  <c r="AI846" i="18"/>
  <c r="AK845" i="18"/>
  <c r="AI845" i="18"/>
  <c r="AK844" i="18"/>
  <c r="AI844" i="18"/>
  <c r="AK843" i="18"/>
  <c r="AI843" i="18"/>
  <c r="AK842" i="18"/>
  <c r="AI842" i="18"/>
  <c r="AK841" i="18"/>
  <c r="AI841" i="18"/>
  <c r="AK840" i="18"/>
  <c r="AI840" i="18"/>
  <c r="AK839" i="18"/>
  <c r="AI839" i="18"/>
  <c r="AK838" i="18"/>
  <c r="AI838" i="18"/>
  <c r="AK837" i="18"/>
  <c r="AI837" i="18"/>
  <c r="AK836" i="18"/>
  <c r="AI836" i="18"/>
  <c r="AK835" i="18"/>
  <c r="AI835" i="18"/>
  <c r="AK834" i="18"/>
  <c r="AI834" i="18"/>
  <c r="AK833" i="18"/>
  <c r="AI833" i="18"/>
  <c r="AK832" i="18"/>
  <c r="AI832" i="18"/>
  <c r="AK831" i="18"/>
  <c r="AI831" i="18"/>
  <c r="AK830" i="18"/>
  <c r="AI830" i="18"/>
  <c r="AK829" i="18"/>
  <c r="AI829" i="18"/>
  <c r="AK828" i="18"/>
  <c r="AI828" i="18"/>
  <c r="AK827" i="18"/>
  <c r="AI827" i="18"/>
  <c r="AK826" i="18"/>
  <c r="AI826" i="18"/>
  <c r="AK825" i="18"/>
  <c r="AI825" i="18"/>
  <c r="AK824" i="18"/>
  <c r="AI824" i="18"/>
  <c r="AK823" i="18"/>
  <c r="AI823" i="18"/>
  <c r="AK822" i="18"/>
  <c r="AI822" i="18"/>
  <c r="AK821" i="18"/>
  <c r="AI821" i="18"/>
  <c r="AK820" i="18"/>
  <c r="AI820" i="18"/>
  <c r="AK819" i="18"/>
  <c r="AI819" i="18"/>
  <c r="AK818" i="18"/>
  <c r="AI818" i="18"/>
  <c r="AK817" i="18"/>
  <c r="AI817" i="18"/>
  <c r="AK816" i="18"/>
  <c r="AI816" i="18"/>
  <c r="AK815" i="18"/>
  <c r="AI815" i="18"/>
  <c r="AK814" i="18"/>
  <c r="AI814" i="18"/>
  <c r="AK813" i="18"/>
  <c r="AI813" i="18"/>
  <c r="AK812" i="18"/>
  <c r="AI812" i="18"/>
  <c r="AK811" i="18"/>
  <c r="AI811" i="18"/>
  <c r="AK810" i="18"/>
  <c r="AI810" i="18"/>
  <c r="AK809" i="18"/>
  <c r="AI809" i="18"/>
  <c r="AK808" i="18"/>
  <c r="AI808" i="18"/>
  <c r="AK807" i="18"/>
  <c r="AI807" i="18"/>
  <c r="AK806" i="18"/>
  <c r="AI806" i="18"/>
  <c r="AK805" i="18"/>
  <c r="AI805" i="18"/>
  <c r="AK804" i="18"/>
  <c r="AI804" i="18"/>
  <c r="AK803" i="18"/>
  <c r="AI803" i="18"/>
  <c r="AK802" i="18"/>
  <c r="AI802" i="18"/>
  <c r="AK801" i="18"/>
  <c r="AI801" i="18"/>
  <c r="AK800" i="18"/>
  <c r="AI800" i="18"/>
  <c r="AK799" i="18"/>
  <c r="AI799" i="18"/>
  <c r="AK798" i="18"/>
  <c r="AI798" i="18"/>
  <c r="AK797" i="18"/>
  <c r="AI797" i="18"/>
  <c r="AK796" i="18"/>
  <c r="AI796" i="18"/>
  <c r="AK795" i="18"/>
  <c r="AI795" i="18"/>
  <c r="AK794" i="18"/>
  <c r="AI794" i="18"/>
  <c r="AK793" i="18"/>
  <c r="AI793" i="18"/>
  <c r="AK792" i="18"/>
  <c r="AI792" i="18"/>
  <c r="AK791" i="18"/>
  <c r="AI791" i="18"/>
  <c r="AK790" i="18"/>
  <c r="AI790" i="18"/>
  <c r="AK789" i="18"/>
  <c r="AI789" i="18"/>
  <c r="AK788" i="18"/>
  <c r="AI788" i="18"/>
  <c r="AK787" i="18"/>
  <c r="AI787" i="18"/>
  <c r="AK786" i="18"/>
  <c r="AI786" i="18"/>
  <c r="AK785" i="18"/>
  <c r="AI785" i="18"/>
  <c r="AK784" i="18"/>
  <c r="AI784" i="18"/>
  <c r="AK783" i="18"/>
  <c r="AI783" i="18"/>
  <c r="AK782" i="18"/>
  <c r="AI782" i="18"/>
  <c r="AK781" i="18"/>
  <c r="AI781" i="18"/>
  <c r="AK780" i="18"/>
  <c r="AI780" i="18"/>
  <c r="AK779" i="18"/>
  <c r="AI779" i="18"/>
  <c r="AK778" i="18"/>
  <c r="AI778" i="18"/>
  <c r="AK777" i="18"/>
  <c r="AI777" i="18"/>
  <c r="AK776" i="18"/>
  <c r="AI776" i="18"/>
  <c r="AK775" i="18"/>
  <c r="AI775" i="18"/>
  <c r="AK774" i="18"/>
  <c r="AI774" i="18"/>
  <c r="AK773" i="18"/>
  <c r="AI773" i="18"/>
  <c r="AK772" i="18"/>
  <c r="AI772" i="18"/>
  <c r="AK771" i="18"/>
  <c r="AI771" i="18"/>
  <c r="AK770" i="18"/>
  <c r="AI770" i="18"/>
  <c r="AK769" i="18"/>
  <c r="AI769" i="18"/>
  <c r="AK768" i="18"/>
  <c r="AI768" i="18"/>
  <c r="AK767" i="18"/>
  <c r="AI767" i="18"/>
  <c r="AK766" i="18"/>
  <c r="AI766" i="18"/>
  <c r="AK765" i="18"/>
  <c r="AI765" i="18"/>
  <c r="AK764" i="18"/>
  <c r="AI764" i="18"/>
  <c r="AK763" i="18"/>
  <c r="AI763" i="18"/>
  <c r="AK762" i="18"/>
  <c r="AI762" i="18"/>
  <c r="AK761" i="18"/>
  <c r="AI761" i="18"/>
  <c r="AK760" i="18"/>
  <c r="AI760" i="18"/>
  <c r="AK759" i="18"/>
  <c r="AI759" i="18"/>
  <c r="AK758" i="18"/>
  <c r="AI758" i="18"/>
  <c r="AK757" i="18"/>
  <c r="AI757" i="18"/>
  <c r="AK756" i="18"/>
  <c r="AI756" i="18"/>
  <c r="AK755" i="18"/>
  <c r="AI755" i="18"/>
  <c r="AK754" i="18"/>
  <c r="AI754" i="18"/>
  <c r="AK753" i="18"/>
  <c r="AI753" i="18"/>
  <c r="AK752" i="18"/>
  <c r="AI752" i="18"/>
  <c r="AK751" i="18"/>
  <c r="AI751" i="18"/>
  <c r="AK750" i="18"/>
  <c r="AI750" i="18"/>
  <c r="AK749" i="18"/>
  <c r="AI749" i="18"/>
  <c r="AK748" i="18"/>
  <c r="AI748" i="18"/>
  <c r="AK747" i="18"/>
  <c r="AI747" i="18"/>
  <c r="AK746" i="18"/>
  <c r="AI746" i="18"/>
  <c r="AK745" i="18"/>
  <c r="AI745" i="18"/>
  <c r="AK744" i="18"/>
  <c r="AI744" i="18"/>
  <c r="AK743" i="18"/>
  <c r="AI743" i="18"/>
  <c r="AK742" i="18"/>
  <c r="AI742" i="18"/>
  <c r="AK741" i="18"/>
  <c r="AI741" i="18"/>
  <c r="AK740" i="18"/>
  <c r="AI740" i="18"/>
  <c r="AK739" i="18"/>
  <c r="AI739" i="18"/>
  <c r="AK738" i="18"/>
  <c r="AI738" i="18"/>
  <c r="AK737" i="18"/>
  <c r="AI737" i="18"/>
  <c r="AK736" i="18"/>
  <c r="AI736" i="18"/>
  <c r="AK735" i="18"/>
  <c r="AI735" i="18"/>
  <c r="AK734" i="18"/>
  <c r="AI734" i="18"/>
  <c r="AK733" i="18"/>
  <c r="AI733" i="18"/>
  <c r="AK732" i="18"/>
  <c r="AI732" i="18"/>
  <c r="AK731" i="18"/>
  <c r="AI731" i="18"/>
  <c r="AK730" i="18"/>
  <c r="AI730" i="18"/>
  <c r="AK729" i="18"/>
  <c r="AI729" i="18"/>
  <c r="AK728" i="18"/>
  <c r="AI728" i="18"/>
  <c r="AK727" i="18"/>
  <c r="AI727" i="18"/>
  <c r="AK726" i="18"/>
  <c r="AI726" i="18"/>
  <c r="AK725" i="18"/>
  <c r="AI725" i="18"/>
  <c r="AK724" i="18"/>
  <c r="AI724" i="18"/>
  <c r="AK723" i="18"/>
  <c r="AI723" i="18"/>
  <c r="AK722" i="18"/>
  <c r="AI722" i="18"/>
  <c r="AK721" i="18"/>
  <c r="AI721" i="18"/>
  <c r="AK720" i="18"/>
  <c r="AI720" i="18"/>
  <c r="AK719" i="18"/>
  <c r="AI719" i="18"/>
  <c r="AK718" i="18"/>
  <c r="AI718" i="18"/>
  <c r="AK717" i="18"/>
  <c r="AI717" i="18"/>
  <c r="AK716" i="18"/>
  <c r="AI716" i="18"/>
  <c r="AK715" i="18"/>
  <c r="AI715" i="18"/>
  <c r="AK714" i="18"/>
  <c r="AI714" i="18"/>
  <c r="AK713" i="18"/>
  <c r="AI713" i="18"/>
  <c r="AK712" i="18"/>
  <c r="AI712" i="18"/>
  <c r="AK711" i="18"/>
  <c r="AI711" i="18"/>
  <c r="AK710" i="18"/>
  <c r="AI710" i="18"/>
  <c r="AK709" i="18"/>
  <c r="AI709" i="18"/>
  <c r="AK708" i="18"/>
  <c r="AI708" i="18"/>
  <c r="AK707" i="18"/>
  <c r="AI707" i="18"/>
  <c r="AK706" i="18"/>
  <c r="AI706" i="18"/>
  <c r="AK705" i="18"/>
  <c r="AI705" i="18"/>
  <c r="AK704" i="18"/>
  <c r="AI704" i="18"/>
  <c r="AK703" i="18"/>
  <c r="AI703" i="18"/>
  <c r="AK702" i="18"/>
  <c r="AI702" i="18"/>
  <c r="AK701" i="18"/>
  <c r="AI701" i="18"/>
  <c r="AK700" i="18"/>
  <c r="AI700" i="18"/>
  <c r="AK699" i="18"/>
  <c r="AI699" i="18"/>
  <c r="AK698" i="18"/>
  <c r="AI698" i="18"/>
  <c r="AK697" i="18"/>
  <c r="AI697" i="18"/>
  <c r="AK696" i="18"/>
  <c r="AI696" i="18"/>
  <c r="AK695" i="18"/>
  <c r="AI695" i="18"/>
  <c r="AK694" i="18"/>
  <c r="AI694" i="18"/>
  <c r="AK693" i="18"/>
  <c r="AI693" i="18"/>
  <c r="AK692" i="18"/>
  <c r="AI692" i="18"/>
  <c r="AK691" i="18"/>
  <c r="AI691" i="18"/>
  <c r="AK690" i="18"/>
  <c r="AI690" i="18"/>
  <c r="AK689" i="18"/>
  <c r="AI689" i="18"/>
  <c r="AK688" i="18"/>
  <c r="AI688" i="18"/>
  <c r="AK687" i="18"/>
  <c r="AI687" i="18"/>
  <c r="AK686" i="18"/>
  <c r="AI686" i="18"/>
  <c r="AK685" i="18"/>
  <c r="AI685" i="18"/>
  <c r="AK684" i="18"/>
  <c r="AI684" i="18"/>
  <c r="AK683" i="18"/>
  <c r="AI683" i="18"/>
  <c r="AK682" i="18"/>
  <c r="AI682" i="18"/>
  <c r="AK681" i="18"/>
  <c r="AI681" i="18"/>
  <c r="AK680" i="18"/>
  <c r="AI680" i="18"/>
  <c r="AK679" i="18"/>
  <c r="AI679" i="18"/>
  <c r="AK678" i="18"/>
  <c r="AI678" i="18"/>
  <c r="AK677" i="18"/>
  <c r="AI677" i="18"/>
  <c r="AK676" i="18"/>
  <c r="AI676" i="18"/>
  <c r="AK675" i="18"/>
  <c r="AI675" i="18"/>
  <c r="AK674" i="18"/>
  <c r="AI674" i="18"/>
  <c r="AK673" i="18"/>
  <c r="AI673" i="18"/>
  <c r="AK672" i="18"/>
  <c r="AI672" i="18"/>
  <c r="AK671" i="18"/>
  <c r="AI671" i="18"/>
  <c r="AK670" i="18"/>
  <c r="AI670" i="18"/>
  <c r="AK669" i="18"/>
  <c r="AI669" i="18"/>
  <c r="AK668" i="18"/>
  <c r="AI668" i="18"/>
  <c r="AK667" i="18"/>
  <c r="AI667" i="18"/>
  <c r="AK666" i="18"/>
  <c r="AI666" i="18"/>
  <c r="AK665" i="18"/>
  <c r="AI665" i="18"/>
  <c r="AK664" i="18"/>
  <c r="AI664" i="18"/>
  <c r="AK663" i="18"/>
  <c r="AI663" i="18"/>
  <c r="AK662" i="18"/>
  <c r="AI662" i="18"/>
  <c r="AK661" i="18"/>
  <c r="AI661" i="18"/>
  <c r="AK660" i="18"/>
  <c r="AI660" i="18"/>
  <c r="AK659" i="18"/>
  <c r="AI659" i="18"/>
  <c r="AK658" i="18"/>
  <c r="AI658" i="18"/>
  <c r="AK657" i="18"/>
  <c r="AI657" i="18"/>
  <c r="AK656" i="18"/>
  <c r="AI656" i="18"/>
  <c r="AK655" i="18"/>
  <c r="AI655" i="18"/>
  <c r="AK654" i="18"/>
  <c r="AI654" i="18"/>
  <c r="AK653" i="18"/>
  <c r="AI653" i="18"/>
  <c r="AK652" i="18"/>
  <c r="AI652" i="18"/>
  <c r="AK651" i="18"/>
  <c r="AI651" i="18"/>
  <c r="AK650" i="18"/>
  <c r="AI650" i="18"/>
  <c r="AK649" i="18"/>
  <c r="AI649" i="18"/>
  <c r="AK648" i="18"/>
  <c r="AI648" i="18"/>
  <c r="AK647" i="18"/>
  <c r="AI647" i="18"/>
  <c r="AK646" i="18"/>
  <c r="AI646" i="18"/>
  <c r="AK645" i="18"/>
  <c r="AI645" i="18"/>
  <c r="AK644" i="18"/>
  <c r="AI644" i="18"/>
  <c r="AK643" i="18"/>
  <c r="AI643" i="18"/>
  <c r="AK642" i="18"/>
  <c r="AI642" i="18"/>
  <c r="AK641" i="18"/>
  <c r="AI641" i="18"/>
  <c r="AK640" i="18"/>
  <c r="AI640" i="18"/>
  <c r="AK639" i="18"/>
  <c r="AI639" i="18"/>
  <c r="AK638" i="18"/>
  <c r="AI638" i="18"/>
  <c r="AK637" i="18"/>
  <c r="AI637" i="18"/>
  <c r="AK636" i="18"/>
  <c r="AI636" i="18"/>
  <c r="AK635" i="18"/>
  <c r="AI635" i="18"/>
  <c r="AK634" i="18"/>
  <c r="AI634" i="18"/>
  <c r="AK633" i="18"/>
  <c r="AI633" i="18"/>
  <c r="AK632" i="18"/>
  <c r="AI632" i="18"/>
  <c r="AK631" i="18"/>
  <c r="AI631" i="18"/>
  <c r="AK630" i="18"/>
  <c r="AI630" i="18"/>
  <c r="AK629" i="18"/>
  <c r="AI629" i="18"/>
  <c r="AK628" i="18"/>
  <c r="AI628" i="18"/>
  <c r="AK627" i="18"/>
  <c r="AI627" i="18"/>
  <c r="AK626" i="18"/>
  <c r="AI626" i="18"/>
  <c r="AK625" i="18"/>
  <c r="AI625" i="18"/>
  <c r="AK624" i="18"/>
  <c r="AI624" i="18"/>
  <c r="AK623" i="18"/>
  <c r="AI623" i="18"/>
  <c r="AK622" i="18"/>
  <c r="AI622" i="18"/>
  <c r="AK621" i="18"/>
  <c r="AI621" i="18"/>
  <c r="AK620" i="18"/>
  <c r="AI620" i="18"/>
  <c r="AK619" i="18"/>
  <c r="AI619" i="18"/>
  <c r="AK618" i="18"/>
  <c r="AI618" i="18"/>
  <c r="AK617" i="18"/>
  <c r="AI617" i="18"/>
  <c r="AK616" i="18"/>
  <c r="AI616" i="18"/>
  <c r="AK615" i="18"/>
  <c r="AI615" i="18"/>
  <c r="AK614" i="18"/>
  <c r="AI614" i="18"/>
  <c r="AK613" i="18"/>
  <c r="AI613" i="18"/>
  <c r="AK612" i="18"/>
  <c r="AI612" i="18"/>
  <c r="AK611" i="18"/>
  <c r="AI611" i="18"/>
  <c r="AK610" i="18"/>
  <c r="AI610" i="18"/>
  <c r="AK609" i="18"/>
  <c r="AI609" i="18"/>
  <c r="AK608" i="18"/>
  <c r="AI608" i="18"/>
  <c r="AK607" i="18"/>
  <c r="AI607" i="18"/>
  <c r="AK606" i="18"/>
  <c r="AI606" i="18"/>
  <c r="AK605" i="18"/>
  <c r="AI605" i="18"/>
  <c r="AK604" i="18"/>
  <c r="AI604" i="18"/>
  <c r="AK603" i="18"/>
  <c r="AI603" i="18"/>
  <c r="AK602" i="18"/>
  <c r="AI602" i="18"/>
  <c r="AK601" i="18"/>
  <c r="AI601" i="18"/>
  <c r="AK600" i="18"/>
  <c r="AI600" i="18"/>
  <c r="AK599" i="18"/>
  <c r="AI599" i="18"/>
  <c r="AK598" i="18"/>
  <c r="AI598" i="18"/>
  <c r="AK597" i="18"/>
  <c r="AI597" i="18"/>
  <c r="AK596" i="18"/>
  <c r="AI596" i="18"/>
  <c r="AK595" i="18"/>
  <c r="AI595" i="18"/>
  <c r="AK594" i="18"/>
  <c r="AI594" i="18"/>
  <c r="AK593" i="18"/>
  <c r="AI593" i="18"/>
  <c r="AK592" i="18"/>
  <c r="AI592" i="18"/>
  <c r="AK591" i="18"/>
  <c r="AI591" i="18"/>
  <c r="AK590" i="18"/>
  <c r="AI590" i="18"/>
  <c r="AK589" i="18"/>
  <c r="AI589" i="18"/>
  <c r="AK588" i="18"/>
  <c r="AI588" i="18"/>
  <c r="AK587" i="18"/>
  <c r="AI587" i="18"/>
  <c r="AK586" i="18"/>
  <c r="AI586" i="18"/>
  <c r="AK585" i="18"/>
  <c r="AI585" i="18"/>
  <c r="AK584" i="18"/>
  <c r="AI584" i="18"/>
  <c r="AK583" i="18"/>
  <c r="AI583" i="18"/>
  <c r="AK582" i="18"/>
  <c r="AI582" i="18"/>
  <c r="AK581" i="18"/>
  <c r="AI581" i="18"/>
  <c r="AK580" i="18"/>
  <c r="AI580" i="18"/>
  <c r="AK579" i="18"/>
  <c r="AI579" i="18"/>
  <c r="AK578" i="18"/>
  <c r="AI578" i="18"/>
  <c r="AK577" i="18"/>
  <c r="AI577" i="18"/>
  <c r="AK576" i="18"/>
  <c r="AI576" i="18"/>
  <c r="AK575" i="18"/>
  <c r="AI575" i="18"/>
  <c r="AK574" i="18"/>
  <c r="AI574" i="18"/>
  <c r="AK573" i="18"/>
  <c r="AI573" i="18"/>
  <c r="AK572" i="18"/>
  <c r="AI572" i="18"/>
  <c r="AK571" i="18"/>
  <c r="AI571" i="18"/>
  <c r="AK570" i="18"/>
  <c r="AI570" i="18"/>
  <c r="AK569" i="18"/>
  <c r="AI569" i="18"/>
  <c r="AK568" i="18"/>
  <c r="AI568" i="18"/>
  <c r="AK567" i="18"/>
  <c r="AI567" i="18"/>
  <c r="AK566" i="18"/>
  <c r="AI566" i="18"/>
  <c r="AK565" i="18"/>
  <c r="AI565" i="18"/>
  <c r="AK564" i="18"/>
  <c r="AI564" i="18"/>
  <c r="AK563" i="18"/>
  <c r="AI563" i="18"/>
  <c r="AK562" i="18"/>
  <c r="AI562" i="18"/>
  <c r="AK561" i="18"/>
  <c r="AI561" i="18"/>
  <c r="AK560" i="18"/>
  <c r="AI560" i="18"/>
  <c r="AK559" i="18"/>
  <c r="AI559" i="18"/>
  <c r="AK558" i="18"/>
  <c r="AI558" i="18"/>
  <c r="AK557" i="18"/>
  <c r="AI557" i="18"/>
  <c r="AK556" i="18"/>
  <c r="AI556" i="18"/>
  <c r="AK555" i="18"/>
  <c r="AI555" i="18"/>
  <c r="AK554" i="18"/>
  <c r="AI554" i="18"/>
  <c r="AK553" i="18"/>
  <c r="AI553" i="18"/>
  <c r="AK552" i="18"/>
  <c r="AI552" i="18"/>
  <c r="AK551" i="18"/>
  <c r="AI551" i="18"/>
  <c r="AK550" i="18"/>
  <c r="AI550" i="18"/>
  <c r="AK549" i="18"/>
  <c r="AI549" i="18"/>
  <c r="AK548" i="18"/>
  <c r="AI548" i="18"/>
  <c r="AK547" i="18"/>
  <c r="AI547" i="18"/>
  <c r="AK546" i="18"/>
  <c r="AI546" i="18"/>
  <c r="AK545" i="18"/>
  <c r="AI545" i="18"/>
  <c r="AK544" i="18"/>
  <c r="AI544" i="18"/>
  <c r="AK543" i="18"/>
  <c r="AI543" i="18"/>
  <c r="AK542" i="18"/>
  <c r="AI542" i="18"/>
  <c r="AK541" i="18"/>
  <c r="AI541" i="18"/>
  <c r="AK540" i="18"/>
  <c r="AI540" i="18"/>
  <c r="AK539" i="18"/>
  <c r="AI539" i="18"/>
  <c r="AK538" i="18"/>
  <c r="AI538" i="18"/>
  <c r="AK537" i="18"/>
  <c r="AI537" i="18"/>
  <c r="AK536" i="18"/>
  <c r="AI536" i="18"/>
  <c r="AK535" i="18"/>
  <c r="AI535" i="18"/>
  <c r="AK534" i="18"/>
  <c r="AI534" i="18"/>
  <c r="AK533" i="18"/>
  <c r="AI533" i="18"/>
  <c r="AK532" i="18"/>
  <c r="AI532" i="18"/>
  <c r="AK531" i="18"/>
  <c r="AI531" i="18"/>
  <c r="AK530" i="18"/>
  <c r="AI530" i="18"/>
  <c r="AK529" i="18"/>
  <c r="AI529" i="18"/>
  <c r="AK528" i="18"/>
  <c r="AI528" i="18"/>
  <c r="AK527" i="18"/>
  <c r="AI527" i="18"/>
  <c r="AK526" i="18"/>
  <c r="AI526" i="18"/>
  <c r="AK525" i="18"/>
  <c r="AI525" i="18"/>
  <c r="AK524" i="18"/>
  <c r="AI524" i="18"/>
  <c r="AK523" i="18"/>
  <c r="AI523" i="18"/>
  <c r="AK522" i="18"/>
  <c r="AI522" i="18"/>
  <c r="AK521" i="18"/>
  <c r="AI521" i="18"/>
  <c r="AK520" i="18"/>
  <c r="AI520" i="18"/>
  <c r="AK519" i="18"/>
  <c r="AI519" i="18"/>
  <c r="AK518" i="18"/>
  <c r="AI518" i="18"/>
  <c r="AK517" i="18"/>
  <c r="AI517" i="18"/>
  <c r="AK516" i="18"/>
  <c r="AI516" i="18"/>
  <c r="AK515" i="18"/>
  <c r="AI515" i="18"/>
  <c r="AK514" i="18"/>
  <c r="AI514" i="18"/>
  <c r="AK513" i="18"/>
  <c r="AI513" i="18"/>
  <c r="AK512" i="18"/>
  <c r="AI512" i="18"/>
  <c r="AK511" i="18"/>
  <c r="AI511" i="18"/>
  <c r="AK510" i="18"/>
  <c r="AI510" i="18"/>
  <c r="AK509" i="18"/>
  <c r="AI509" i="18"/>
  <c r="AK508" i="18"/>
  <c r="AI508" i="18"/>
  <c r="AK507" i="18"/>
  <c r="AI507" i="18"/>
  <c r="AK506" i="18"/>
  <c r="AI506" i="18"/>
  <c r="AK505" i="18"/>
  <c r="AI505" i="18"/>
  <c r="AK504" i="18"/>
  <c r="AI504" i="18"/>
  <c r="AK503" i="18"/>
  <c r="AI503" i="18"/>
  <c r="AK502" i="18"/>
  <c r="AI502" i="18"/>
  <c r="AK501" i="18"/>
  <c r="AI501" i="18"/>
  <c r="AK500" i="18"/>
  <c r="AI500" i="18"/>
  <c r="AK499" i="18"/>
  <c r="AI499" i="18"/>
  <c r="AK498" i="18"/>
  <c r="AI498" i="18"/>
  <c r="AK497" i="18"/>
  <c r="AI497" i="18"/>
  <c r="AK496" i="18"/>
  <c r="AI496" i="18"/>
  <c r="AK495" i="18"/>
  <c r="AI495" i="18"/>
  <c r="AK494" i="18"/>
  <c r="AI494" i="18"/>
  <c r="AK493" i="18"/>
  <c r="AI493" i="18"/>
  <c r="AK492" i="18"/>
  <c r="AI492" i="18"/>
  <c r="AK491" i="18"/>
  <c r="AI491" i="18"/>
  <c r="AK490" i="18"/>
  <c r="AI490" i="18"/>
  <c r="AK489" i="18"/>
  <c r="AI489" i="18"/>
  <c r="AK488" i="18"/>
  <c r="AI488" i="18"/>
  <c r="AK487" i="18"/>
  <c r="AI487" i="18"/>
  <c r="AK486" i="18"/>
  <c r="AI486" i="18"/>
  <c r="AK485" i="18"/>
  <c r="AI485" i="18"/>
  <c r="AK484" i="18"/>
  <c r="AI484" i="18"/>
  <c r="AK483" i="18"/>
  <c r="AI483" i="18"/>
  <c r="AK482" i="18"/>
  <c r="AI482" i="18"/>
  <c r="AK481" i="18"/>
  <c r="AI481" i="18"/>
  <c r="AK480" i="18"/>
  <c r="AI480" i="18"/>
  <c r="AK479" i="18"/>
  <c r="AI479" i="18"/>
  <c r="AK478" i="18"/>
  <c r="AI478" i="18"/>
  <c r="AK477" i="18"/>
  <c r="AI477" i="18"/>
  <c r="AK476" i="18"/>
  <c r="AI476" i="18"/>
  <c r="AK475" i="18"/>
  <c r="AI475" i="18"/>
  <c r="AK474" i="18"/>
  <c r="AI474" i="18"/>
  <c r="AK473" i="18"/>
  <c r="AI473" i="18"/>
  <c r="AK472" i="18"/>
  <c r="AI472" i="18"/>
  <c r="AK471" i="18"/>
  <c r="AI471" i="18"/>
  <c r="AK470" i="18"/>
  <c r="AI470" i="18"/>
  <c r="AK469" i="18"/>
  <c r="AI469" i="18"/>
  <c r="AK468" i="18"/>
  <c r="AI468" i="18"/>
  <c r="AK467" i="18"/>
  <c r="AI467" i="18"/>
  <c r="AK466" i="18"/>
  <c r="AI466" i="18"/>
  <c r="AK465" i="18"/>
  <c r="AI465" i="18"/>
  <c r="AK464" i="18"/>
  <c r="AI464" i="18"/>
  <c r="AK463" i="18"/>
  <c r="AI463" i="18"/>
  <c r="AK462" i="18"/>
  <c r="AI462" i="18"/>
  <c r="AK461" i="18"/>
  <c r="AI461" i="18"/>
  <c r="AK460" i="18"/>
  <c r="AI460" i="18"/>
  <c r="AK459" i="18"/>
  <c r="AI459" i="18"/>
  <c r="AK458" i="18"/>
  <c r="AI458" i="18"/>
  <c r="AK457" i="18"/>
  <c r="AI457" i="18"/>
  <c r="AK456" i="18"/>
  <c r="AI456" i="18"/>
  <c r="AK455" i="18"/>
  <c r="AI455" i="18"/>
  <c r="AK454" i="18"/>
  <c r="AI454" i="18"/>
  <c r="AK453" i="18"/>
  <c r="AI453" i="18"/>
  <c r="AK452" i="18"/>
  <c r="AI452" i="18"/>
  <c r="AK451" i="18"/>
  <c r="AI451" i="18"/>
  <c r="AK450" i="18"/>
  <c r="AI450" i="18"/>
  <c r="AK449" i="18"/>
  <c r="AI449" i="18"/>
  <c r="AK448" i="18"/>
  <c r="AI448" i="18"/>
  <c r="AK447" i="18"/>
  <c r="AI447" i="18"/>
  <c r="AK446" i="18"/>
  <c r="AI446" i="18"/>
  <c r="AK445" i="18"/>
  <c r="AI445" i="18"/>
  <c r="AK444" i="18"/>
  <c r="AI444" i="18"/>
  <c r="AK443" i="18"/>
  <c r="AI443" i="18"/>
  <c r="AK442" i="18"/>
  <c r="AI442" i="18"/>
  <c r="AK441" i="18"/>
  <c r="AI441" i="18"/>
  <c r="AK440" i="18"/>
  <c r="AI440" i="18"/>
  <c r="AK439" i="18"/>
  <c r="AI439" i="18"/>
  <c r="AK438" i="18"/>
  <c r="AI438" i="18"/>
  <c r="AK437" i="18"/>
  <c r="AI437" i="18"/>
  <c r="AK436" i="18"/>
  <c r="AI436" i="18"/>
  <c r="AK435" i="18"/>
  <c r="AI435" i="18"/>
  <c r="AK434" i="18"/>
  <c r="AI434" i="18"/>
  <c r="AK433" i="18"/>
  <c r="AI433" i="18"/>
  <c r="AK432" i="18"/>
  <c r="AI432" i="18"/>
  <c r="AK431" i="18"/>
  <c r="AI431" i="18"/>
  <c r="AK430" i="18"/>
  <c r="AI430" i="18"/>
  <c r="AK429" i="18"/>
  <c r="AI429" i="18"/>
  <c r="AK428" i="18"/>
  <c r="AI428" i="18"/>
  <c r="AK427" i="18"/>
  <c r="AI427" i="18"/>
  <c r="AK426" i="18"/>
  <c r="AI426" i="18"/>
  <c r="AK425" i="18"/>
  <c r="AI425" i="18"/>
  <c r="AK424" i="18"/>
  <c r="AI424" i="18"/>
  <c r="AK423" i="18"/>
  <c r="AI423" i="18"/>
  <c r="AK422" i="18"/>
  <c r="AI422" i="18"/>
  <c r="AK421" i="18"/>
  <c r="AI421" i="18"/>
  <c r="AK420" i="18"/>
  <c r="AI420" i="18"/>
  <c r="AK419" i="18"/>
  <c r="AI419" i="18"/>
  <c r="AK418" i="18"/>
  <c r="AI418" i="18"/>
  <c r="AK417" i="18"/>
  <c r="AI417" i="18"/>
  <c r="AK416" i="18"/>
  <c r="AI416" i="18"/>
  <c r="AK415" i="18"/>
  <c r="AI415" i="18"/>
  <c r="AK414" i="18"/>
  <c r="AI414" i="18"/>
  <c r="AK413" i="18"/>
  <c r="AI413" i="18"/>
  <c r="AK412" i="18"/>
  <c r="AI412" i="18"/>
  <c r="AK411" i="18"/>
  <c r="AI411" i="18"/>
  <c r="AK410" i="18"/>
  <c r="AI410" i="18"/>
  <c r="AK409" i="18"/>
  <c r="AI409" i="18"/>
  <c r="AK408" i="18"/>
  <c r="AI408" i="18"/>
  <c r="AK407" i="18"/>
  <c r="AI407" i="18"/>
  <c r="AK406" i="18"/>
  <c r="AI406" i="18"/>
  <c r="AK405" i="18"/>
  <c r="AI405" i="18"/>
  <c r="AK404" i="18"/>
  <c r="AI404" i="18"/>
  <c r="AK403" i="18"/>
  <c r="AI403" i="18"/>
  <c r="AK402" i="18"/>
  <c r="AI402" i="18"/>
  <c r="AK401" i="18"/>
  <c r="AI401" i="18"/>
  <c r="AK400" i="18"/>
  <c r="AI400" i="18"/>
  <c r="AK399" i="18"/>
  <c r="AI399" i="18"/>
  <c r="AK398" i="18"/>
  <c r="AI398" i="18"/>
  <c r="AK397" i="18"/>
  <c r="AI397" i="18"/>
  <c r="AK396" i="18"/>
  <c r="AI396" i="18"/>
  <c r="AK395" i="18"/>
  <c r="AI395" i="18"/>
  <c r="AK394" i="18"/>
  <c r="AI394" i="18"/>
  <c r="AK393" i="18"/>
  <c r="AI393" i="18"/>
  <c r="AK392" i="18"/>
  <c r="AI392" i="18"/>
  <c r="AK391" i="18"/>
  <c r="AI391" i="18"/>
  <c r="AK390" i="18"/>
  <c r="AI390" i="18"/>
  <c r="AK389" i="18"/>
  <c r="AI389" i="18"/>
  <c r="AK388" i="18"/>
  <c r="AI388" i="18"/>
  <c r="AK387" i="18"/>
  <c r="AI387" i="18"/>
  <c r="AK386" i="18"/>
  <c r="AI386" i="18"/>
  <c r="AK385" i="18"/>
  <c r="AI385" i="18"/>
  <c r="AK384" i="18"/>
  <c r="AI384" i="18"/>
  <c r="AK383" i="18"/>
  <c r="AI383" i="18"/>
  <c r="AK382" i="18"/>
  <c r="AI382" i="18"/>
  <c r="AK381" i="18"/>
  <c r="AI381" i="18"/>
  <c r="AK380" i="18"/>
  <c r="AI380" i="18"/>
  <c r="AK379" i="18"/>
  <c r="AI379" i="18"/>
  <c r="AK378" i="18"/>
  <c r="AI378" i="18"/>
  <c r="AK377" i="18"/>
  <c r="AI377" i="18"/>
  <c r="AK376" i="18"/>
  <c r="AI376" i="18"/>
  <c r="AK375" i="18"/>
  <c r="AI375" i="18"/>
  <c r="AK374" i="18"/>
  <c r="AI374" i="18"/>
  <c r="AK373" i="18"/>
  <c r="AI373" i="18"/>
  <c r="AK372" i="18"/>
  <c r="AI372" i="18"/>
  <c r="AK371" i="18"/>
  <c r="AI371" i="18"/>
  <c r="AK370" i="18"/>
  <c r="AI370" i="18"/>
  <c r="AK369" i="18"/>
  <c r="AI369" i="18"/>
  <c r="AK368" i="18"/>
  <c r="AI368" i="18"/>
  <c r="AK367" i="18"/>
  <c r="AI367" i="18"/>
  <c r="AK366" i="18"/>
  <c r="AI366" i="18"/>
  <c r="AK365" i="18"/>
  <c r="AI365" i="18"/>
  <c r="AK364" i="18"/>
  <c r="AI364" i="18"/>
  <c r="AK363" i="18"/>
  <c r="AI363" i="18"/>
  <c r="AK362" i="18"/>
  <c r="AI362" i="18"/>
  <c r="AK361" i="18"/>
  <c r="AI361" i="18"/>
  <c r="AK360" i="18"/>
  <c r="AI360" i="18"/>
  <c r="AK359" i="18"/>
  <c r="AI359" i="18"/>
  <c r="AK358" i="18"/>
  <c r="AI358" i="18"/>
  <c r="AK357" i="18"/>
  <c r="AI357" i="18"/>
  <c r="AK356" i="18"/>
  <c r="AI356" i="18"/>
  <c r="AK355" i="18"/>
  <c r="AI355" i="18"/>
  <c r="AK354" i="18"/>
  <c r="AI354" i="18"/>
  <c r="AK353" i="18"/>
  <c r="AI353" i="18"/>
  <c r="AK352" i="18"/>
  <c r="AI352" i="18"/>
  <c r="AK351" i="18"/>
  <c r="AI351" i="18"/>
  <c r="AK350" i="18"/>
  <c r="AI350" i="18"/>
  <c r="AK349" i="18"/>
  <c r="AI349" i="18"/>
  <c r="AK348" i="18"/>
  <c r="AI348" i="18"/>
  <c r="AK347" i="18"/>
  <c r="AI347" i="18"/>
  <c r="AK346" i="18"/>
  <c r="AI346" i="18"/>
  <c r="AK345" i="18"/>
  <c r="AI345" i="18"/>
  <c r="AK344" i="18"/>
  <c r="AI344" i="18"/>
  <c r="AK343" i="18"/>
  <c r="AI343" i="18"/>
  <c r="AK342" i="18"/>
  <c r="AI342" i="18"/>
  <c r="AK341" i="18"/>
  <c r="AI341" i="18"/>
  <c r="AK340" i="18"/>
  <c r="AI340" i="18"/>
  <c r="AK339" i="18"/>
  <c r="AI339" i="18"/>
  <c r="AK338" i="18"/>
  <c r="AI338" i="18"/>
  <c r="AK337" i="18"/>
  <c r="AI337" i="18"/>
  <c r="AK336" i="18"/>
  <c r="AI336" i="18"/>
  <c r="AK335" i="18"/>
  <c r="AI335" i="18"/>
  <c r="AK334" i="18"/>
  <c r="AI334" i="18"/>
  <c r="AK333" i="18"/>
  <c r="AI333" i="18"/>
  <c r="AK332" i="18"/>
  <c r="AI332" i="18"/>
  <c r="AK331" i="18"/>
  <c r="AI331" i="18"/>
  <c r="AK330" i="18"/>
  <c r="AI330" i="18"/>
  <c r="AK329" i="18"/>
  <c r="AI329" i="18"/>
  <c r="AK328" i="18"/>
  <c r="AI328" i="18"/>
  <c r="AK327" i="18"/>
  <c r="AI327" i="18"/>
  <c r="AK326" i="18"/>
  <c r="AI326" i="18"/>
  <c r="AK325" i="18"/>
  <c r="AI325" i="18"/>
  <c r="AK324" i="18"/>
  <c r="AI324" i="18"/>
  <c r="AK323" i="18"/>
  <c r="AI323" i="18"/>
  <c r="AK322" i="18"/>
  <c r="AI322" i="18"/>
  <c r="AK321" i="18"/>
  <c r="AI321" i="18"/>
  <c r="AK320" i="18"/>
  <c r="AI320" i="18"/>
  <c r="AK319" i="18"/>
  <c r="AI319" i="18"/>
  <c r="AK318" i="18"/>
  <c r="AI318" i="18"/>
  <c r="AK317" i="18"/>
  <c r="AI317" i="18"/>
  <c r="AK316" i="18"/>
  <c r="AI316" i="18"/>
  <c r="AK315" i="18"/>
  <c r="AI315" i="18"/>
  <c r="AK314" i="18"/>
  <c r="AI314" i="18"/>
  <c r="AK313" i="18"/>
  <c r="AI313" i="18"/>
  <c r="AK312" i="18"/>
  <c r="AI312" i="18"/>
  <c r="AK311" i="18"/>
  <c r="AI311" i="18"/>
  <c r="AK310" i="18"/>
  <c r="AI310" i="18"/>
  <c r="AK309" i="18"/>
  <c r="AI309" i="18"/>
  <c r="AK308" i="18"/>
  <c r="AI308" i="18"/>
  <c r="AK307" i="18"/>
  <c r="AI307" i="18"/>
  <c r="AK306" i="18"/>
  <c r="AI306" i="18"/>
  <c r="AK305" i="18"/>
  <c r="AI305" i="18"/>
  <c r="AK304" i="18"/>
  <c r="AI304" i="18"/>
  <c r="AK303" i="18"/>
  <c r="AI303" i="18"/>
  <c r="AK302" i="18"/>
  <c r="AI302" i="18"/>
  <c r="AK301" i="18"/>
  <c r="AI301" i="18"/>
  <c r="AK300" i="18"/>
  <c r="AI300" i="18"/>
  <c r="AK299" i="18"/>
  <c r="AI299" i="18"/>
  <c r="AK298" i="18"/>
  <c r="AI298" i="18"/>
  <c r="AK297" i="18"/>
  <c r="AI297" i="18"/>
  <c r="AK296" i="18"/>
  <c r="AI296" i="18"/>
  <c r="AK295" i="18"/>
  <c r="AI295" i="18"/>
  <c r="AK294" i="18"/>
  <c r="AI294" i="18"/>
  <c r="AK293" i="18"/>
  <c r="AI293" i="18"/>
  <c r="AK292" i="18"/>
  <c r="AI292" i="18"/>
  <c r="AK291" i="18"/>
  <c r="AI291" i="18"/>
  <c r="AK290" i="18"/>
  <c r="AI290" i="18"/>
  <c r="AK289" i="18"/>
  <c r="AI289" i="18"/>
  <c r="AK288" i="18"/>
  <c r="AI288" i="18"/>
  <c r="AK287" i="18"/>
  <c r="AI287" i="18"/>
  <c r="AK286" i="18"/>
  <c r="AI286" i="18"/>
  <c r="AK285" i="18"/>
  <c r="AI285" i="18"/>
  <c r="AK284" i="18"/>
  <c r="AI284" i="18"/>
  <c r="AK283" i="18"/>
  <c r="AI283" i="18"/>
  <c r="AK282" i="18"/>
  <c r="AI282" i="18"/>
  <c r="AK281" i="18"/>
  <c r="AI281" i="18"/>
  <c r="AK280" i="18"/>
  <c r="AI280" i="18"/>
  <c r="AK279" i="18"/>
  <c r="AI279" i="18"/>
  <c r="AK278" i="18"/>
  <c r="AI278" i="18"/>
  <c r="AK277" i="18"/>
  <c r="AI277" i="18"/>
  <c r="AK276" i="18"/>
  <c r="AI276" i="18"/>
  <c r="AK275" i="18"/>
  <c r="AI275" i="18"/>
  <c r="AK274" i="18"/>
  <c r="AI274" i="18"/>
  <c r="AK273" i="18"/>
  <c r="AI273" i="18"/>
  <c r="AK272" i="18"/>
  <c r="AI272" i="18"/>
  <c r="AK271" i="18"/>
  <c r="AI271" i="18"/>
  <c r="AK270" i="18"/>
  <c r="AI270" i="18"/>
  <c r="AK269" i="18"/>
  <c r="AI269" i="18"/>
  <c r="AK268" i="18"/>
  <c r="AI268" i="18"/>
  <c r="AK267" i="18"/>
  <c r="AI267" i="18"/>
  <c r="AK266" i="18"/>
  <c r="AI266" i="18"/>
  <c r="AK265" i="18"/>
  <c r="AI265" i="18"/>
  <c r="AK264" i="18"/>
  <c r="AI264" i="18"/>
  <c r="AK263" i="18"/>
  <c r="AI263" i="18"/>
  <c r="AK262" i="18"/>
  <c r="AI262" i="18"/>
  <c r="AK261" i="18"/>
  <c r="AI261" i="18"/>
  <c r="AK260" i="18"/>
  <c r="AI260" i="18"/>
  <c r="AK259" i="18"/>
  <c r="AI259" i="18"/>
  <c r="AK258" i="18"/>
  <c r="AI258" i="18"/>
  <c r="AK257" i="18"/>
  <c r="AI257" i="18"/>
  <c r="AK256" i="18"/>
  <c r="AI256" i="18"/>
  <c r="AK255" i="18"/>
  <c r="AI255" i="18"/>
  <c r="AK254" i="18"/>
  <c r="AI254" i="18"/>
  <c r="AK253" i="18"/>
  <c r="AI253" i="18"/>
  <c r="AK252" i="18"/>
  <c r="AI252" i="18"/>
  <c r="AK251" i="18"/>
  <c r="AI251" i="18"/>
  <c r="AK250" i="18"/>
  <c r="AI250" i="18"/>
  <c r="AK249" i="18"/>
  <c r="AI249" i="18"/>
  <c r="AK248" i="18"/>
  <c r="AI248" i="18"/>
  <c r="AK247" i="18"/>
  <c r="AI247" i="18"/>
  <c r="AK246" i="18"/>
  <c r="AI246" i="18"/>
  <c r="AK245" i="18"/>
  <c r="AI245" i="18"/>
  <c r="AK244" i="18"/>
  <c r="AI244" i="18"/>
  <c r="AK243" i="18"/>
  <c r="AI243" i="18"/>
  <c r="AK242" i="18"/>
  <c r="AI242" i="18"/>
  <c r="AK241" i="18"/>
  <c r="AI241" i="18"/>
  <c r="AK240" i="18"/>
  <c r="AI240" i="18"/>
  <c r="AK239" i="18"/>
  <c r="AI239" i="18"/>
  <c r="AK238" i="18"/>
  <c r="AI238" i="18"/>
  <c r="AK237" i="18"/>
  <c r="AI237" i="18"/>
  <c r="AK236" i="18"/>
  <c r="AI236" i="18"/>
  <c r="AK235" i="18"/>
  <c r="AI235" i="18"/>
  <c r="AK234" i="18"/>
  <c r="AI234" i="18"/>
  <c r="AK233" i="18"/>
  <c r="AI233" i="18"/>
  <c r="AK232" i="18"/>
  <c r="AI232" i="18"/>
  <c r="AK231" i="18"/>
  <c r="AI231" i="18"/>
  <c r="AK230" i="18"/>
  <c r="AI230" i="18"/>
  <c r="AK229" i="18"/>
  <c r="AI229" i="18"/>
  <c r="AK228" i="18"/>
  <c r="AI228" i="18"/>
  <c r="AK227" i="18"/>
  <c r="AI227" i="18"/>
  <c r="AK226" i="18"/>
  <c r="AI226" i="18"/>
  <c r="AK225" i="18"/>
  <c r="AI225" i="18"/>
  <c r="AK224" i="18"/>
  <c r="AI224" i="18"/>
  <c r="AK223" i="18"/>
  <c r="AI223" i="18"/>
  <c r="AK222" i="18"/>
  <c r="AI222" i="18"/>
  <c r="AK221" i="18"/>
  <c r="AI221" i="18"/>
  <c r="AK220" i="18"/>
  <c r="AI220" i="18"/>
  <c r="AK219" i="18"/>
  <c r="AI219" i="18"/>
  <c r="AK218" i="18"/>
  <c r="AI218" i="18"/>
  <c r="AK217" i="18"/>
  <c r="AI217" i="18"/>
  <c r="AK216" i="18"/>
  <c r="AI216" i="18"/>
  <c r="AK215" i="18"/>
  <c r="AI215" i="18"/>
  <c r="AK214" i="18"/>
  <c r="AI214" i="18"/>
  <c r="AK213" i="18"/>
  <c r="AI213" i="18"/>
  <c r="AK212" i="18"/>
  <c r="AI212" i="18"/>
  <c r="AK211" i="18"/>
  <c r="AI211" i="18"/>
  <c r="AK210" i="18"/>
  <c r="AI210" i="18"/>
  <c r="AK209" i="18"/>
  <c r="AI209" i="18"/>
  <c r="AK208" i="18"/>
  <c r="AI208" i="18"/>
  <c r="AK207" i="18"/>
  <c r="AI207" i="18"/>
  <c r="AK206" i="18"/>
  <c r="AI206" i="18"/>
  <c r="AK205" i="18"/>
  <c r="AI205" i="18"/>
  <c r="AK204" i="18"/>
  <c r="AI204" i="18"/>
  <c r="AK203" i="18"/>
  <c r="AI203" i="18"/>
  <c r="AK202" i="18"/>
  <c r="AI202" i="18"/>
  <c r="AK201" i="18"/>
  <c r="AI201" i="18"/>
  <c r="AK200" i="18"/>
  <c r="AI200" i="18"/>
  <c r="AK199" i="18"/>
  <c r="AI199" i="18"/>
  <c r="AK198" i="18"/>
  <c r="AI198" i="18"/>
  <c r="AK197" i="18"/>
  <c r="AI197" i="18"/>
  <c r="AK196" i="18"/>
  <c r="AI196" i="18"/>
  <c r="AK195" i="18"/>
  <c r="AI195" i="18"/>
  <c r="AK194" i="18"/>
  <c r="AI194" i="18"/>
  <c r="AK193" i="18"/>
  <c r="AI193" i="18"/>
  <c r="AK192" i="18"/>
  <c r="AI192" i="18"/>
  <c r="AK191" i="18"/>
  <c r="AI191" i="18"/>
  <c r="AK190" i="18"/>
  <c r="AI190" i="18"/>
  <c r="AK189" i="18"/>
  <c r="AI189" i="18"/>
  <c r="AK188" i="18"/>
  <c r="AI188" i="18"/>
  <c r="AK187" i="18"/>
  <c r="AI187" i="18"/>
  <c r="AK186" i="18"/>
  <c r="AI186" i="18"/>
  <c r="AK185" i="18"/>
  <c r="AI185" i="18"/>
  <c r="AK184" i="18"/>
  <c r="AI184" i="18"/>
  <c r="AK183" i="18"/>
  <c r="AI183" i="18"/>
  <c r="AK182" i="18"/>
  <c r="AI182" i="18"/>
  <c r="AK181" i="18"/>
  <c r="AI181" i="18"/>
  <c r="AK180" i="18"/>
  <c r="AI180" i="18"/>
  <c r="AK179" i="18"/>
  <c r="AI179" i="18"/>
  <c r="AK178" i="18"/>
  <c r="AI178" i="18"/>
  <c r="AK177" i="18"/>
  <c r="AI177" i="18"/>
  <c r="AK176" i="18"/>
  <c r="AI176" i="18"/>
  <c r="AK175" i="18"/>
  <c r="AI175" i="18"/>
  <c r="AK174" i="18"/>
  <c r="AI174" i="18"/>
  <c r="AK173" i="18"/>
  <c r="AI173" i="18"/>
  <c r="AK172" i="18"/>
  <c r="AI172" i="18"/>
  <c r="AK171" i="18"/>
  <c r="AI171" i="18"/>
  <c r="AK170" i="18"/>
  <c r="AI170" i="18"/>
  <c r="AK169" i="18"/>
  <c r="AI169" i="18"/>
  <c r="AK168" i="18"/>
  <c r="AI168" i="18"/>
  <c r="AK167" i="18"/>
  <c r="AI167" i="18"/>
  <c r="AK166" i="18"/>
  <c r="AI166" i="18"/>
  <c r="AK165" i="18"/>
  <c r="AI165" i="18"/>
  <c r="AK164" i="18"/>
  <c r="AI164" i="18"/>
  <c r="AK163" i="18"/>
  <c r="AI163" i="18"/>
  <c r="AK162" i="18"/>
  <c r="AI162" i="18"/>
  <c r="AK161" i="18"/>
  <c r="AI161" i="18"/>
  <c r="AK160" i="18"/>
  <c r="AI160" i="18"/>
  <c r="AK159" i="18"/>
  <c r="AI159" i="18"/>
  <c r="AK158" i="18"/>
  <c r="AI158" i="18"/>
  <c r="AK157" i="18"/>
  <c r="AI157" i="18"/>
  <c r="AK156" i="18"/>
  <c r="AI156" i="18"/>
  <c r="AK155" i="18"/>
  <c r="AI155" i="18"/>
  <c r="AK154" i="18"/>
  <c r="AI154" i="18"/>
  <c r="AK153" i="18"/>
  <c r="AI153" i="18"/>
  <c r="AK152" i="18"/>
  <c r="AI152" i="18"/>
  <c r="AK151" i="18"/>
  <c r="AI151" i="18"/>
  <c r="AK150" i="18"/>
  <c r="AI150" i="18"/>
  <c r="AK149" i="18"/>
  <c r="AI149" i="18"/>
  <c r="AK148" i="18"/>
  <c r="AI148" i="18"/>
  <c r="AK147" i="18"/>
  <c r="AI147" i="18"/>
  <c r="AK146" i="18"/>
  <c r="AI146" i="18"/>
  <c r="AK145" i="18"/>
  <c r="AI145" i="18"/>
  <c r="AK144" i="18"/>
  <c r="AI144" i="18"/>
  <c r="AK143" i="18"/>
  <c r="AI143" i="18"/>
  <c r="AK142" i="18"/>
  <c r="AI142" i="18"/>
  <c r="AK141" i="18"/>
  <c r="AI141" i="18"/>
  <c r="AK140" i="18"/>
  <c r="AI140" i="18"/>
  <c r="AK139" i="18"/>
  <c r="AI139" i="18"/>
  <c r="AK138" i="18"/>
  <c r="AI138" i="18"/>
  <c r="AK137" i="18"/>
  <c r="AI137" i="18"/>
  <c r="AK136" i="18"/>
  <c r="AI136" i="18"/>
  <c r="AK135" i="18"/>
  <c r="AI135" i="18"/>
  <c r="AK134" i="18"/>
  <c r="AI134" i="18"/>
  <c r="AK133" i="18"/>
  <c r="AI133" i="18"/>
  <c r="AK132" i="18"/>
  <c r="AI132" i="18"/>
  <c r="AK131" i="18"/>
  <c r="AI131" i="18"/>
  <c r="AK130" i="18"/>
  <c r="AI130" i="18"/>
  <c r="AK129" i="18"/>
  <c r="AI129" i="18"/>
  <c r="AK128" i="18"/>
  <c r="AI128" i="18"/>
  <c r="AK127" i="18"/>
  <c r="AI127" i="18"/>
  <c r="AK126" i="18"/>
  <c r="AI126" i="18"/>
  <c r="AK125" i="18"/>
  <c r="AI125" i="18"/>
  <c r="AK124" i="18"/>
  <c r="AI124" i="18"/>
  <c r="AK123" i="18"/>
  <c r="AI123" i="18"/>
  <c r="AK122" i="18"/>
  <c r="AI122" i="18"/>
  <c r="AK121" i="18"/>
  <c r="AI121" i="18"/>
  <c r="AK120" i="18"/>
  <c r="AI120" i="18"/>
  <c r="AK119" i="18"/>
  <c r="AI119" i="18"/>
  <c r="AK118" i="18"/>
  <c r="AI118" i="18"/>
  <c r="AK117" i="18"/>
  <c r="AI117" i="18"/>
  <c r="AK116" i="18"/>
  <c r="AI116" i="18"/>
  <c r="AK115" i="18"/>
  <c r="AI115" i="18"/>
  <c r="AK114" i="18"/>
  <c r="AI114" i="18"/>
  <c r="AK113" i="18"/>
  <c r="AI113" i="18"/>
  <c r="AK112" i="18"/>
  <c r="AI112" i="18"/>
  <c r="AK111" i="18"/>
  <c r="AI111" i="18"/>
  <c r="AK110" i="18"/>
  <c r="AI110" i="18"/>
  <c r="AK109" i="18"/>
  <c r="AI109" i="18"/>
  <c r="AK108" i="18"/>
  <c r="AI108" i="18"/>
  <c r="AK107" i="18"/>
  <c r="AI107" i="18"/>
  <c r="AK106" i="18"/>
  <c r="AI106" i="18"/>
  <c r="AK105" i="18"/>
  <c r="AI105" i="18"/>
  <c r="AK104" i="18"/>
  <c r="AI104" i="18"/>
  <c r="AK103" i="18"/>
  <c r="AI103" i="18"/>
  <c r="AK102" i="18"/>
  <c r="AI102" i="18"/>
  <c r="AK101" i="18"/>
  <c r="AI101" i="18"/>
  <c r="AK100" i="18"/>
  <c r="AI100" i="18"/>
  <c r="AK99" i="18"/>
  <c r="AI99" i="18"/>
  <c r="AK98" i="18"/>
  <c r="AI98" i="18"/>
  <c r="AK97" i="18"/>
  <c r="AI97" i="18"/>
  <c r="AK96" i="18"/>
  <c r="AI96" i="18"/>
  <c r="AK95" i="18"/>
  <c r="AI95" i="18"/>
  <c r="AK94" i="18"/>
  <c r="AI94" i="18"/>
  <c r="AK93" i="18"/>
  <c r="AI93" i="18"/>
  <c r="AK92" i="18"/>
  <c r="AI92" i="18"/>
  <c r="AK91" i="18"/>
  <c r="AI91" i="18"/>
  <c r="AK90" i="18"/>
  <c r="AI90" i="18"/>
  <c r="AK89" i="18"/>
  <c r="AI89" i="18"/>
  <c r="AK88" i="18"/>
  <c r="AI88" i="18"/>
  <c r="AK87" i="18"/>
  <c r="AI87" i="18"/>
  <c r="AK86" i="18"/>
  <c r="AI86" i="18"/>
  <c r="AK85" i="18"/>
  <c r="AI85" i="18"/>
  <c r="AK84" i="18"/>
  <c r="AI84" i="18"/>
  <c r="AK83" i="18"/>
  <c r="AI83" i="18"/>
  <c r="AK82" i="18"/>
  <c r="AI82" i="18"/>
  <c r="AK81" i="18"/>
  <c r="AI81" i="18"/>
  <c r="AK80" i="18"/>
  <c r="AI80" i="18"/>
  <c r="AK79" i="18"/>
  <c r="AI79" i="18"/>
  <c r="AK78" i="18"/>
  <c r="AI78" i="18"/>
  <c r="AK77" i="18"/>
  <c r="AI77" i="18"/>
  <c r="AK76" i="18"/>
  <c r="AI76" i="18"/>
  <c r="AK75" i="18"/>
  <c r="AI75" i="18"/>
  <c r="AK74" i="18"/>
  <c r="AI74" i="18"/>
  <c r="AK73" i="18"/>
  <c r="AI73" i="18"/>
  <c r="AK72" i="18"/>
  <c r="AI72" i="18"/>
  <c r="AK71" i="18"/>
  <c r="AI71" i="18"/>
  <c r="AK70" i="18"/>
  <c r="AI70" i="18"/>
  <c r="AK69" i="18"/>
  <c r="AI69" i="18"/>
  <c r="AK68" i="18"/>
  <c r="AI68" i="18"/>
  <c r="AK67" i="18"/>
  <c r="AI67" i="18"/>
  <c r="AK66" i="18"/>
  <c r="AI66" i="18"/>
  <c r="AK65" i="18"/>
  <c r="AI65" i="18"/>
  <c r="AK64" i="18"/>
  <c r="AI64" i="18"/>
  <c r="AK63" i="18"/>
  <c r="AI63" i="18"/>
  <c r="AK62" i="18"/>
  <c r="AI62" i="18"/>
  <c r="AK61" i="18"/>
  <c r="AI61" i="18"/>
  <c r="AK60" i="18"/>
  <c r="AI60" i="18"/>
  <c r="AK59" i="18"/>
  <c r="AI59" i="18"/>
  <c r="AK58" i="18"/>
  <c r="AI58" i="18"/>
  <c r="AK57" i="18"/>
  <c r="AI57" i="18"/>
  <c r="AK56" i="18"/>
  <c r="AI56" i="18"/>
  <c r="AK55" i="18"/>
  <c r="AI55" i="18"/>
  <c r="AK54" i="18"/>
  <c r="AI54" i="18"/>
  <c r="AK53" i="18"/>
  <c r="AI53" i="18"/>
  <c r="AK52" i="18"/>
  <c r="AI52" i="18"/>
  <c r="AK51" i="18"/>
  <c r="AI51" i="18"/>
  <c r="AK50" i="18"/>
  <c r="AI50" i="18"/>
  <c r="AK49" i="18"/>
  <c r="AI49" i="18"/>
  <c r="AK48" i="18"/>
  <c r="AI48" i="18"/>
  <c r="AK47" i="18"/>
  <c r="AI47" i="18"/>
  <c r="AK46" i="18"/>
  <c r="AI46" i="18"/>
  <c r="AK45" i="18"/>
  <c r="AI45" i="18"/>
  <c r="AK44" i="18"/>
  <c r="AI44" i="18"/>
  <c r="AK43" i="18"/>
  <c r="AI43" i="18"/>
  <c r="AK42" i="18"/>
  <c r="AI42" i="18"/>
  <c r="AK41" i="18"/>
  <c r="AI41" i="18"/>
  <c r="AK40" i="18"/>
  <c r="AI40" i="18"/>
  <c r="AK39" i="18"/>
  <c r="AI39" i="18"/>
  <c r="AK38" i="18"/>
  <c r="AI38" i="18"/>
  <c r="AK37" i="18"/>
  <c r="AI37" i="18"/>
  <c r="AK36" i="18"/>
  <c r="AI36" i="18"/>
  <c r="AK35" i="18"/>
  <c r="AI35" i="18"/>
  <c r="AK34" i="18"/>
  <c r="AI34" i="18"/>
  <c r="AK33" i="18"/>
  <c r="AI33" i="18"/>
  <c r="AK32" i="18"/>
  <c r="AI32" i="18"/>
  <c r="AK31" i="18"/>
  <c r="AI31" i="18"/>
  <c r="AK30" i="18"/>
  <c r="AI30" i="18"/>
  <c r="AK29" i="18"/>
  <c r="AI29" i="18"/>
  <c r="AK28" i="18"/>
  <c r="AI28" i="18"/>
  <c r="AK27" i="18"/>
  <c r="AI27" i="18"/>
  <c r="AK26" i="18"/>
  <c r="AI26" i="18"/>
  <c r="AK25" i="18"/>
  <c r="AI25" i="18"/>
  <c r="AK24" i="18"/>
  <c r="AI24" i="18"/>
  <c r="AK23" i="18"/>
  <c r="AI23" i="18"/>
  <c r="AK22" i="18"/>
  <c r="AI22" i="18"/>
  <c r="AK21" i="18"/>
  <c r="AI21" i="18"/>
  <c r="AK20" i="18"/>
  <c r="AI20" i="18"/>
  <c r="AK19" i="18"/>
  <c r="AI19" i="18"/>
  <c r="AK18" i="18"/>
  <c r="AI18" i="18"/>
  <c r="AK17" i="18"/>
  <c r="AI17" i="18"/>
  <c r="AK16" i="18"/>
  <c r="AI16" i="18"/>
  <c r="AK15" i="18"/>
  <c r="AI15" i="18"/>
  <c r="AK14" i="18"/>
  <c r="AI14" i="18"/>
  <c r="AK13" i="18"/>
  <c r="AI13" i="18"/>
  <c r="AK12" i="18"/>
  <c r="AI12" i="18"/>
  <c r="AK11" i="18"/>
  <c r="AI11" i="18"/>
  <c r="AK10" i="18"/>
  <c r="AI10" i="18"/>
  <c r="AK9" i="18"/>
  <c r="AI9" i="18"/>
  <c r="AK8" i="18"/>
  <c r="AI8" i="18"/>
  <c r="AK7" i="18"/>
  <c r="AI7" i="18"/>
  <c r="AK6" i="18"/>
  <c r="AI6" i="18"/>
  <c r="AK5" i="18"/>
  <c r="AI5" i="18"/>
  <c r="AK4" i="18"/>
  <c r="AI4" i="18"/>
  <c r="AK3" i="18"/>
  <c r="AI3" i="18"/>
  <c r="AK2" i="18"/>
  <c r="AI2" i="18"/>
  <c r="AI3" i="2"/>
  <c r="AI4" i="2"/>
  <c r="AI5" i="2"/>
  <c r="AI6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284" i="2"/>
  <c r="AI285" i="2"/>
  <c r="AI286" i="2"/>
  <c r="AI287" i="2"/>
  <c r="AI288" i="2"/>
  <c r="AI289" i="2"/>
  <c r="AI290" i="2"/>
  <c r="AI291" i="2"/>
  <c r="AI292" i="2"/>
  <c r="AI293" i="2"/>
  <c r="AI294" i="2"/>
  <c r="AI295" i="2"/>
  <c r="AI296" i="2"/>
  <c r="AI297" i="2"/>
  <c r="AI298" i="2"/>
  <c r="AI299" i="2"/>
  <c r="AI300" i="2"/>
  <c r="AI301" i="2"/>
  <c r="AI302" i="2"/>
  <c r="AI303" i="2"/>
  <c r="AI304" i="2"/>
  <c r="AI305" i="2"/>
  <c r="AI306" i="2"/>
  <c r="AI307" i="2"/>
  <c r="AI308" i="2"/>
  <c r="AI309" i="2"/>
  <c r="AI310" i="2"/>
  <c r="AI311" i="2"/>
  <c r="AI312" i="2"/>
  <c r="AI313" i="2"/>
  <c r="AI314" i="2"/>
  <c r="AI315" i="2"/>
  <c r="AI316" i="2"/>
  <c r="AI317" i="2"/>
  <c r="AI318" i="2"/>
  <c r="AI319" i="2"/>
  <c r="AI320" i="2"/>
  <c r="AI321" i="2"/>
  <c r="AI322" i="2"/>
  <c r="AI323" i="2"/>
  <c r="AI324" i="2"/>
  <c r="AI325" i="2"/>
  <c r="AI326" i="2"/>
  <c r="AI327" i="2"/>
  <c r="AI328" i="2"/>
  <c r="AI329" i="2"/>
  <c r="AI330" i="2"/>
  <c r="AI331" i="2"/>
  <c r="AI332" i="2"/>
  <c r="AI333" i="2"/>
  <c r="AI334" i="2"/>
  <c r="AI335" i="2"/>
  <c r="AI336" i="2"/>
  <c r="AI337" i="2"/>
  <c r="AI338" i="2"/>
  <c r="AI339" i="2"/>
  <c r="AI340" i="2"/>
  <c r="AI341" i="2"/>
  <c r="AI342" i="2"/>
  <c r="AI343" i="2"/>
  <c r="AI344" i="2"/>
  <c r="AI345" i="2"/>
  <c r="AI346" i="2"/>
  <c r="AI347" i="2"/>
  <c r="AI348" i="2"/>
  <c r="AI349" i="2"/>
  <c r="AI350" i="2"/>
  <c r="AI351" i="2"/>
  <c r="AI352" i="2"/>
  <c r="AI353" i="2"/>
  <c r="AI354" i="2"/>
  <c r="AI355" i="2"/>
  <c r="AI356" i="2"/>
  <c r="AI357" i="2"/>
  <c r="AI358" i="2"/>
  <c r="AI359" i="2"/>
  <c r="AI360" i="2"/>
  <c r="AI361" i="2"/>
  <c r="AI362" i="2"/>
  <c r="AI363" i="2"/>
  <c r="AI364" i="2"/>
  <c r="AI365" i="2"/>
  <c r="AI366" i="2"/>
  <c r="AI367" i="2"/>
  <c r="AI368" i="2"/>
  <c r="AI369" i="2"/>
  <c r="AI370" i="2"/>
  <c r="AI371" i="2"/>
  <c r="AI372" i="2"/>
  <c r="AI373" i="2"/>
  <c r="AI374" i="2"/>
  <c r="AI375" i="2"/>
  <c r="AI376" i="2"/>
  <c r="AI377" i="2"/>
  <c r="AI378" i="2"/>
  <c r="AI379" i="2"/>
  <c r="AI380" i="2"/>
  <c r="AI381" i="2"/>
  <c r="AI382" i="2"/>
  <c r="AI383" i="2"/>
  <c r="AI384" i="2"/>
  <c r="AI385" i="2"/>
  <c r="AI386" i="2"/>
  <c r="AI387" i="2"/>
  <c r="AI388" i="2"/>
  <c r="AI389" i="2"/>
  <c r="AI390" i="2"/>
  <c r="AI391" i="2"/>
  <c r="AI392" i="2"/>
  <c r="AI393" i="2"/>
  <c r="AI394" i="2"/>
  <c r="AI395" i="2"/>
  <c r="AI396" i="2"/>
  <c r="AI397" i="2"/>
  <c r="AI398" i="2"/>
  <c r="AI399" i="2"/>
  <c r="AI400" i="2"/>
  <c r="AI401" i="2"/>
  <c r="AI402" i="2"/>
  <c r="AI403" i="2"/>
  <c r="AI404" i="2"/>
  <c r="AI405" i="2"/>
  <c r="AI406" i="2"/>
  <c r="AI407" i="2"/>
  <c r="AI408" i="2"/>
  <c r="AI409" i="2"/>
  <c r="AI410" i="2"/>
  <c r="AI411" i="2"/>
  <c r="AI412" i="2"/>
  <c r="AI413" i="2"/>
  <c r="AI414" i="2"/>
  <c r="AI415" i="2"/>
  <c r="AI416" i="2"/>
  <c r="AI417" i="2"/>
  <c r="AI418" i="2"/>
  <c r="AI419" i="2"/>
  <c r="AI420" i="2"/>
  <c r="AI421" i="2"/>
  <c r="AI422" i="2"/>
  <c r="AI423" i="2"/>
  <c r="AI424" i="2"/>
  <c r="AI425" i="2"/>
  <c r="AI426" i="2"/>
  <c r="AI427" i="2"/>
  <c r="AI428" i="2"/>
  <c r="AI429" i="2"/>
  <c r="AI430" i="2"/>
  <c r="AI431" i="2"/>
  <c r="AI432" i="2"/>
  <c r="AI433" i="2"/>
  <c r="AI434" i="2"/>
  <c r="AI435" i="2"/>
  <c r="AI436" i="2"/>
  <c r="AI437" i="2"/>
  <c r="AI438" i="2"/>
  <c r="AI439" i="2"/>
  <c r="AI440" i="2"/>
  <c r="AI441" i="2"/>
  <c r="AI442" i="2"/>
  <c r="AI443" i="2"/>
  <c r="AI444" i="2"/>
  <c r="AI445" i="2"/>
  <c r="AI446" i="2"/>
  <c r="AI447" i="2"/>
  <c r="AI448" i="2"/>
  <c r="AI449" i="2"/>
  <c r="AI450" i="2"/>
  <c r="AI451" i="2"/>
  <c r="AI452" i="2"/>
  <c r="AI453" i="2"/>
  <c r="AI454" i="2"/>
  <c r="AI455" i="2"/>
  <c r="AI456" i="2"/>
  <c r="AI457" i="2"/>
  <c r="AI458" i="2"/>
  <c r="AI459" i="2"/>
  <c r="AI460" i="2"/>
  <c r="AI461" i="2"/>
  <c r="AI462" i="2"/>
  <c r="AI463" i="2"/>
  <c r="AI464" i="2"/>
  <c r="AI465" i="2"/>
  <c r="AI466" i="2"/>
  <c r="AI467" i="2"/>
  <c r="AI468" i="2"/>
  <c r="AI469" i="2"/>
  <c r="AI470" i="2"/>
  <c r="AI471" i="2"/>
  <c r="AI472" i="2"/>
  <c r="AI473" i="2"/>
  <c r="AI474" i="2"/>
  <c r="AI475" i="2"/>
  <c r="AI476" i="2"/>
  <c r="AI477" i="2"/>
  <c r="AI478" i="2"/>
  <c r="AI479" i="2"/>
  <c r="AI480" i="2"/>
  <c r="AI481" i="2"/>
  <c r="AI482" i="2"/>
  <c r="AI483" i="2"/>
  <c r="AI484" i="2"/>
  <c r="AI485" i="2"/>
  <c r="AI486" i="2"/>
  <c r="AI487" i="2"/>
  <c r="AI488" i="2"/>
  <c r="AI489" i="2"/>
  <c r="AI490" i="2"/>
  <c r="AI491" i="2"/>
  <c r="AI492" i="2"/>
  <c r="AI493" i="2"/>
  <c r="AI494" i="2"/>
  <c r="AI495" i="2"/>
  <c r="AI496" i="2"/>
  <c r="AI497" i="2"/>
  <c r="AI498" i="2"/>
  <c r="AI499" i="2"/>
  <c r="AI500" i="2"/>
  <c r="AI501" i="2"/>
  <c r="AI502" i="2"/>
  <c r="AI503" i="2"/>
  <c r="AI504" i="2"/>
  <c r="AI505" i="2"/>
  <c r="AI506" i="2"/>
  <c r="AI507" i="2"/>
  <c r="AI508" i="2"/>
  <c r="AI509" i="2"/>
  <c r="AI510" i="2"/>
  <c r="AI511" i="2"/>
  <c r="AI512" i="2"/>
  <c r="AI513" i="2"/>
  <c r="AI514" i="2"/>
  <c r="AI515" i="2"/>
  <c r="AI516" i="2"/>
  <c r="AI517" i="2"/>
  <c r="AI518" i="2"/>
  <c r="AI519" i="2"/>
  <c r="AI520" i="2"/>
  <c r="AI521" i="2"/>
  <c r="AI522" i="2"/>
  <c r="AI523" i="2"/>
  <c r="AI524" i="2"/>
  <c r="AI525" i="2"/>
  <c r="AI526" i="2"/>
  <c r="AI527" i="2"/>
  <c r="AI528" i="2"/>
  <c r="AI529" i="2"/>
  <c r="AI530" i="2"/>
  <c r="AI531" i="2"/>
  <c r="AI532" i="2"/>
  <c r="AI533" i="2"/>
  <c r="AI534" i="2"/>
  <c r="AI535" i="2"/>
  <c r="AI536" i="2"/>
  <c r="AI537" i="2"/>
  <c r="AI538" i="2"/>
  <c r="AI539" i="2"/>
  <c r="AI540" i="2"/>
  <c r="AI541" i="2"/>
  <c r="AI542" i="2"/>
  <c r="AI543" i="2"/>
  <c r="AI544" i="2"/>
  <c r="AI545" i="2"/>
  <c r="AI546" i="2"/>
  <c r="AI547" i="2"/>
  <c r="AI548" i="2"/>
  <c r="AI549" i="2"/>
  <c r="AI550" i="2"/>
  <c r="AI551" i="2"/>
  <c r="AI552" i="2"/>
  <c r="AI553" i="2"/>
  <c r="AI554" i="2"/>
  <c r="AI555" i="2"/>
  <c r="AI556" i="2"/>
  <c r="AI557" i="2"/>
  <c r="AI558" i="2"/>
  <c r="AI559" i="2"/>
  <c r="AI560" i="2"/>
  <c r="AI561" i="2"/>
  <c r="AI562" i="2"/>
  <c r="AI563" i="2"/>
  <c r="AI564" i="2"/>
  <c r="AI565" i="2"/>
  <c r="AI566" i="2"/>
  <c r="AI567" i="2"/>
  <c r="AI568" i="2"/>
  <c r="AI569" i="2"/>
  <c r="AI570" i="2"/>
  <c r="AI571" i="2"/>
  <c r="AI572" i="2"/>
  <c r="AI573" i="2"/>
  <c r="AI574" i="2"/>
  <c r="AI575" i="2"/>
  <c r="AI576" i="2"/>
  <c r="AI577" i="2"/>
  <c r="AI578" i="2"/>
  <c r="AI579" i="2"/>
  <c r="AI580" i="2"/>
  <c r="AI581" i="2"/>
  <c r="AI582" i="2"/>
  <c r="AI583" i="2"/>
  <c r="AI584" i="2"/>
  <c r="AI585" i="2"/>
  <c r="AI586" i="2"/>
  <c r="AI587" i="2"/>
  <c r="AI588" i="2"/>
  <c r="AI589" i="2"/>
  <c r="AI590" i="2"/>
  <c r="AI591" i="2"/>
  <c r="AI592" i="2"/>
  <c r="AI593" i="2"/>
  <c r="AI594" i="2"/>
  <c r="AI595" i="2"/>
  <c r="AI596" i="2"/>
  <c r="AI597" i="2"/>
  <c r="AI598" i="2"/>
  <c r="AI599" i="2"/>
  <c r="AI600" i="2"/>
  <c r="AI601" i="2"/>
  <c r="AI602" i="2"/>
  <c r="AI603" i="2"/>
  <c r="AI604" i="2"/>
  <c r="AI605" i="2"/>
  <c r="AI606" i="2"/>
  <c r="AI607" i="2"/>
  <c r="AI608" i="2"/>
  <c r="AI609" i="2"/>
  <c r="AI610" i="2"/>
  <c r="AI611" i="2"/>
  <c r="AI612" i="2"/>
  <c r="AI613" i="2"/>
  <c r="AI614" i="2"/>
  <c r="AI615" i="2"/>
  <c r="AI616" i="2"/>
  <c r="AI617" i="2"/>
  <c r="AI618" i="2"/>
  <c r="AI619" i="2"/>
  <c r="AI620" i="2"/>
  <c r="AI621" i="2"/>
  <c r="AI622" i="2"/>
  <c r="AI623" i="2"/>
  <c r="AI624" i="2"/>
  <c r="AI625" i="2"/>
  <c r="AI626" i="2"/>
  <c r="AI627" i="2"/>
  <c r="AI628" i="2"/>
  <c r="AI629" i="2"/>
  <c r="AI630" i="2"/>
  <c r="AI631" i="2"/>
  <c r="AI632" i="2"/>
  <c r="AI633" i="2"/>
  <c r="AI634" i="2"/>
  <c r="AI635" i="2"/>
  <c r="AI636" i="2"/>
  <c r="AI637" i="2"/>
  <c r="AI638" i="2"/>
  <c r="AI639" i="2"/>
  <c r="AI640" i="2"/>
  <c r="AI641" i="2"/>
  <c r="AI642" i="2"/>
  <c r="AI643" i="2"/>
  <c r="AI644" i="2"/>
  <c r="AI645" i="2"/>
  <c r="AI646" i="2"/>
  <c r="AI647" i="2"/>
  <c r="AI648" i="2"/>
  <c r="AI649" i="2"/>
  <c r="AI650" i="2"/>
  <c r="AI651" i="2"/>
  <c r="AI652" i="2"/>
  <c r="AI653" i="2"/>
  <c r="AI654" i="2"/>
  <c r="AI655" i="2"/>
  <c r="AI656" i="2"/>
  <c r="AI657" i="2"/>
  <c r="AI658" i="2"/>
  <c r="AI659" i="2"/>
  <c r="AI660" i="2"/>
  <c r="AI661" i="2"/>
  <c r="AI662" i="2"/>
  <c r="AI663" i="2"/>
  <c r="AI664" i="2"/>
  <c r="AI665" i="2"/>
  <c r="AI666" i="2"/>
  <c r="AI667" i="2"/>
  <c r="AI668" i="2"/>
  <c r="AI669" i="2"/>
  <c r="AI670" i="2"/>
  <c r="AI671" i="2"/>
  <c r="AI672" i="2"/>
  <c r="AI673" i="2"/>
  <c r="AI674" i="2"/>
  <c r="AI675" i="2"/>
  <c r="AI676" i="2"/>
  <c r="AI677" i="2"/>
  <c r="AI678" i="2"/>
  <c r="AI679" i="2"/>
  <c r="AI680" i="2"/>
  <c r="AI681" i="2"/>
  <c r="AI682" i="2"/>
  <c r="AI683" i="2"/>
  <c r="AI684" i="2"/>
  <c r="AI685" i="2"/>
  <c r="AI686" i="2"/>
  <c r="AI687" i="2"/>
  <c r="AI688" i="2"/>
  <c r="AI689" i="2"/>
  <c r="AI690" i="2"/>
  <c r="AI691" i="2"/>
  <c r="AI692" i="2"/>
  <c r="AI693" i="2"/>
  <c r="AI694" i="2"/>
  <c r="AI695" i="2"/>
  <c r="AI696" i="2"/>
  <c r="AI697" i="2"/>
  <c r="AI698" i="2"/>
  <c r="AI699" i="2"/>
  <c r="AI700" i="2"/>
  <c r="AI701" i="2"/>
  <c r="AI702" i="2"/>
  <c r="AI703" i="2"/>
  <c r="AI704" i="2"/>
  <c r="AI705" i="2"/>
  <c r="AI706" i="2"/>
  <c r="AI707" i="2"/>
  <c r="AI708" i="2"/>
  <c r="AI709" i="2"/>
  <c r="AI710" i="2"/>
  <c r="AI711" i="2"/>
  <c r="AI712" i="2"/>
  <c r="AI713" i="2"/>
  <c r="AI714" i="2"/>
  <c r="AI715" i="2"/>
  <c r="AI716" i="2"/>
  <c r="AI717" i="2"/>
  <c r="AI718" i="2"/>
  <c r="AI719" i="2"/>
  <c r="AI720" i="2"/>
  <c r="AI721" i="2"/>
  <c r="AI722" i="2"/>
  <c r="AI723" i="2"/>
  <c r="AI724" i="2"/>
  <c r="AI725" i="2"/>
  <c r="AI726" i="2"/>
  <c r="AI727" i="2"/>
  <c r="AI728" i="2"/>
  <c r="AI729" i="2"/>
  <c r="AI730" i="2"/>
  <c r="AI731" i="2"/>
  <c r="AI732" i="2"/>
  <c r="AI733" i="2"/>
  <c r="AI734" i="2"/>
  <c r="AI735" i="2"/>
  <c r="AI736" i="2"/>
  <c r="AI737" i="2"/>
  <c r="AI738" i="2"/>
  <c r="AI739" i="2"/>
  <c r="AI740" i="2"/>
  <c r="AI741" i="2"/>
  <c r="AI742" i="2"/>
  <c r="AI743" i="2"/>
  <c r="AI744" i="2"/>
  <c r="AI745" i="2"/>
  <c r="AI746" i="2"/>
  <c r="AI747" i="2"/>
  <c r="AI748" i="2"/>
  <c r="AI749" i="2"/>
  <c r="AI750" i="2"/>
  <c r="AI751" i="2"/>
  <c r="AI752" i="2"/>
  <c r="AI753" i="2"/>
  <c r="AI754" i="2"/>
  <c r="AI755" i="2"/>
  <c r="AI756" i="2"/>
  <c r="AI757" i="2"/>
  <c r="AI758" i="2"/>
  <c r="AI759" i="2"/>
  <c r="AI760" i="2"/>
  <c r="AI761" i="2"/>
  <c r="AI762" i="2"/>
  <c r="AI763" i="2"/>
  <c r="AI764" i="2"/>
  <c r="AI765" i="2"/>
  <c r="AI766" i="2"/>
  <c r="AI767" i="2"/>
  <c r="AI768" i="2"/>
  <c r="AI769" i="2"/>
  <c r="AI770" i="2"/>
  <c r="AI771" i="2"/>
  <c r="AI772" i="2"/>
  <c r="AI773" i="2"/>
  <c r="AI774" i="2"/>
  <c r="AI775" i="2"/>
  <c r="AI776" i="2"/>
  <c r="AI777" i="2"/>
  <c r="AI778" i="2"/>
  <c r="AI779" i="2"/>
  <c r="AI780" i="2"/>
  <c r="AI781" i="2"/>
  <c r="AI782" i="2"/>
  <c r="AI783" i="2"/>
  <c r="AI784" i="2"/>
  <c r="AI785" i="2"/>
  <c r="AI786" i="2"/>
  <c r="AI787" i="2"/>
  <c r="AI788" i="2"/>
  <c r="AI789" i="2"/>
  <c r="AI790" i="2"/>
  <c r="AI791" i="2"/>
  <c r="AI792" i="2"/>
  <c r="AI793" i="2"/>
  <c r="AI794" i="2"/>
  <c r="AI795" i="2"/>
  <c r="AI796" i="2"/>
  <c r="AI797" i="2"/>
  <c r="AI798" i="2"/>
  <c r="AI799" i="2"/>
  <c r="AI800" i="2"/>
  <c r="AI801" i="2"/>
  <c r="AI802" i="2"/>
  <c r="AI803" i="2"/>
  <c r="AI804" i="2"/>
  <c r="AI805" i="2"/>
  <c r="AI806" i="2"/>
  <c r="AI807" i="2"/>
  <c r="AI808" i="2"/>
  <c r="AI809" i="2"/>
  <c r="AI810" i="2"/>
  <c r="AI811" i="2"/>
  <c r="AI812" i="2"/>
  <c r="AI813" i="2"/>
  <c r="AI814" i="2"/>
  <c r="AI815" i="2"/>
  <c r="AI816" i="2"/>
  <c r="AI817" i="2"/>
  <c r="AI818" i="2"/>
  <c r="AI819" i="2"/>
  <c r="AI820" i="2"/>
  <c r="AI821" i="2"/>
  <c r="AI822" i="2"/>
  <c r="AI823" i="2"/>
  <c r="AI824" i="2"/>
  <c r="AI825" i="2"/>
  <c r="AI826" i="2"/>
  <c r="AI827" i="2"/>
  <c r="AI828" i="2"/>
  <c r="AI829" i="2"/>
  <c r="AI830" i="2"/>
  <c r="AI831" i="2"/>
  <c r="AI832" i="2"/>
  <c r="AI833" i="2"/>
  <c r="AI834" i="2"/>
  <c r="AI835" i="2"/>
  <c r="AI836" i="2"/>
  <c r="AI837" i="2"/>
  <c r="AI838" i="2"/>
  <c r="AI839" i="2"/>
  <c r="AI840" i="2"/>
  <c r="AI841" i="2"/>
  <c r="AI842" i="2"/>
  <c r="AI843" i="2"/>
  <c r="AI844" i="2"/>
  <c r="AI845" i="2"/>
  <c r="AI846" i="2"/>
  <c r="AI847" i="2"/>
  <c r="AI848" i="2"/>
  <c r="AI849" i="2"/>
  <c r="AI850" i="2"/>
  <c r="AI851" i="2"/>
  <c r="AI852" i="2"/>
  <c r="AI853" i="2"/>
  <c r="AI854" i="2"/>
  <c r="AI855" i="2"/>
  <c r="AI856" i="2"/>
  <c r="AI857" i="2"/>
  <c r="AI858" i="2"/>
  <c r="AI859" i="2"/>
  <c r="AI860" i="2"/>
  <c r="AI861" i="2"/>
  <c r="AI862" i="2"/>
  <c r="AI863" i="2"/>
  <c r="AI864" i="2"/>
  <c r="AI865" i="2"/>
  <c r="AI866" i="2"/>
  <c r="AI867" i="2"/>
  <c r="AI868" i="2"/>
  <c r="AI869" i="2"/>
  <c r="AI870" i="2"/>
  <c r="AI871" i="2"/>
  <c r="AI872" i="2"/>
  <c r="AI873" i="2"/>
  <c r="AI874" i="2"/>
  <c r="AI875" i="2"/>
  <c r="AI876" i="2"/>
  <c r="AI877" i="2"/>
  <c r="AI878" i="2"/>
  <c r="AI879" i="2"/>
  <c r="AI880" i="2"/>
  <c r="AI881" i="2"/>
  <c r="AI882" i="2"/>
  <c r="AI883" i="2"/>
  <c r="AI884" i="2"/>
  <c r="AI885" i="2"/>
  <c r="AI886" i="2"/>
  <c r="AI887" i="2"/>
  <c r="AI888" i="2"/>
  <c r="AI889" i="2"/>
  <c r="AI890" i="2"/>
  <c r="AI891" i="2"/>
  <c r="AI892" i="2"/>
  <c r="AI893" i="2"/>
  <c r="AI894" i="2"/>
  <c r="AI895" i="2"/>
  <c r="AI896" i="2"/>
  <c r="AI897" i="2"/>
  <c r="AI898" i="2"/>
  <c r="AI899" i="2"/>
  <c r="AI900" i="2"/>
  <c r="AI901" i="2"/>
  <c r="AI902" i="2"/>
  <c r="AI903" i="2"/>
  <c r="AI904" i="2"/>
  <c r="AI905" i="2"/>
  <c r="AI906" i="2"/>
  <c r="AI907" i="2"/>
  <c r="AI908" i="2"/>
  <c r="AI909" i="2"/>
  <c r="AI910" i="2"/>
  <c r="AI911" i="2"/>
  <c r="AI912" i="2"/>
  <c r="AI913" i="2"/>
  <c r="AI914" i="2"/>
  <c r="AI915" i="2"/>
  <c r="AI916" i="2"/>
  <c r="AI917" i="2"/>
  <c r="AI918" i="2"/>
  <c r="AI919" i="2"/>
  <c r="AI920" i="2"/>
  <c r="AI921" i="2"/>
  <c r="AI922" i="2"/>
  <c r="AI923" i="2"/>
  <c r="AI924" i="2"/>
  <c r="AI925" i="2"/>
  <c r="AI926" i="2"/>
  <c r="AI927" i="2"/>
  <c r="AI928" i="2"/>
  <c r="AI929" i="2"/>
  <c r="AI930" i="2"/>
  <c r="AI931" i="2"/>
  <c r="AI932" i="2"/>
  <c r="AI933" i="2"/>
  <c r="AI934" i="2"/>
  <c r="AI935" i="2"/>
  <c r="AI936" i="2"/>
  <c r="AI937" i="2"/>
  <c r="AI938" i="2"/>
  <c r="AI939" i="2"/>
  <c r="AI940" i="2"/>
  <c r="AI941" i="2"/>
  <c r="AI942" i="2"/>
  <c r="AI943" i="2"/>
  <c r="AI944" i="2"/>
  <c r="AI945" i="2"/>
  <c r="AI946" i="2"/>
  <c r="AI947" i="2"/>
  <c r="AI948" i="2"/>
  <c r="AI949" i="2"/>
  <c r="AI950" i="2"/>
  <c r="AI951" i="2"/>
  <c r="AI952" i="2"/>
  <c r="AI953" i="2"/>
  <c r="AI954" i="2"/>
  <c r="AI955" i="2"/>
  <c r="AI956" i="2"/>
  <c r="AI957" i="2"/>
  <c r="AI958" i="2"/>
  <c r="AI959" i="2"/>
  <c r="AI960" i="2"/>
  <c r="AI961" i="2"/>
  <c r="AI962" i="2"/>
  <c r="AI963" i="2"/>
  <c r="AI964" i="2"/>
  <c r="AI965" i="2"/>
  <c r="AI966" i="2"/>
  <c r="AI967" i="2"/>
  <c r="AI968" i="2"/>
  <c r="AI969" i="2"/>
  <c r="AI970" i="2"/>
  <c r="AI971" i="2"/>
  <c r="AI972" i="2"/>
  <c r="AI973" i="2"/>
  <c r="AI974" i="2"/>
  <c r="AI975" i="2"/>
  <c r="AI976" i="2"/>
  <c r="AI977" i="2"/>
  <c r="AI978" i="2"/>
  <c r="AI979" i="2"/>
  <c r="AI980" i="2"/>
  <c r="AI981" i="2"/>
  <c r="AI982" i="2"/>
  <c r="AI983" i="2"/>
  <c r="AI984" i="2"/>
  <c r="AI985" i="2"/>
  <c r="AI986" i="2"/>
  <c r="AI987" i="2"/>
  <c r="AI988" i="2"/>
  <c r="AI989" i="2"/>
  <c r="AI990" i="2"/>
  <c r="AI991" i="2"/>
  <c r="AI992" i="2"/>
  <c r="AI993" i="2"/>
  <c r="AI994" i="2"/>
  <c r="AI995" i="2"/>
  <c r="AI996" i="2"/>
  <c r="AI997" i="2"/>
  <c r="AI998" i="2"/>
  <c r="AI999" i="2"/>
  <c r="AI1000" i="2"/>
  <c r="AI1001" i="2"/>
  <c r="AI1002" i="2"/>
  <c r="AI1003" i="2"/>
  <c r="AI1004" i="2"/>
  <c r="AI1005" i="2"/>
  <c r="AI1006" i="2"/>
  <c r="AI1007" i="2"/>
  <c r="AI1008" i="2"/>
  <c r="AI1009" i="2"/>
  <c r="AI1010" i="2"/>
  <c r="AI1011" i="2"/>
  <c r="AI1012" i="2"/>
  <c r="AI1013" i="2"/>
  <c r="AI1014" i="2"/>
  <c r="AI1015" i="2"/>
  <c r="AI1016" i="2"/>
  <c r="AI1017" i="2"/>
  <c r="AI1018" i="2"/>
  <c r="AI1019" i="2"/>
  <c r="AI1020" i="2"/>
  <c r="AI1021" i="2"/>
  <c r="AI1022" i="2"/>
  <c r="AI1023" i="2"/>
  <c r="AI1024" i="2"/>
  <c r="AI1025" i="2"/>
  <c r="AI1026" i="2"/>
  <c r="AI1027" i="2"/>
  <c r="AI1028" i="2"/>
  <c r="AI1029" i="2"/>
  <c r="AI1030" i="2"/>
  <c r="AI1031" i="2"/>
  <c r="AI1032" i="2"/>
  <c r="AI1033" i="2"/>
  <c r="AI1034" i="2"/>
  <c r="AI1035" i="2"/>
  <c r="AI1036" i="2"/>
  <c r="AI1037" i="2"/>
  <c r="AI1038" i="2"/>
  <c r="AI1039" i="2"/>
  <c r="AI1040" i="2"/>
  <c r="AI1041" i="2"/>
  <c r="AI1042" i="2"/>
  <c r="AI1043" i="2"/>
  <c r="AI1044" i="2"/>
  <c r="AI1045" i="2"/>
  <c r="AI1046" i="2"/>
  <c r="AI1047" i="2"/>
  <c r="AI1048" i="2"/>
  <c r="AI1049" i="2"/>
  <c r="AI1050" i="2"/>
  <c r="AI1051" i="2"/>
  <c r="AI1052" i="2"/>
  <c r="AI1053" i="2"/>
  <c r="AI1054" i="2"/>
  <c r="AI1055" i="2"/>
  <c r="AI1056" i="2"/>
  <c r="AI1057" i="2"/>
  <c r="AI1058" i="2"/>
  <c r="AI1059" i="2"/>
  <c r="AI1060" i="2"/>
  <c r="AI1061" i="2"/>
  <c r="AI1062" i="2"/>
  <c r="AI1063" i="2"/>
  <c r="AI1064" i="2"/>
  <c r="AI1065" i="2"/>
  <c r="AI1066" i="2"/>
  <c r="AI1067" i="2"/>
  <c r="AI1068" i="2"/>
  <c r="AI1069" i="2"/>
  <c r="AI1070" i="2"/>
  <c r="AI1071" i="2"/>
  <c r="AI1072" i="2"/>
  <c r="AI1073" i="2"/>
  <c r="AI1074" i="2"/>
  <c r="AI1075" i="2"/>
  <c r="AI1076" i="2"/>
  <c r="AI1077" i="2"/>
  <c r="AI1078" i="2"/>
  <c r="AI1079" i="2"/>
  <c r="AI1080" i="2"/>
  <c r="AI1081" i="2"/>
  <c r="AI1082" i="2"/>
  <c r="AI1083" i="2"/>
  <c r="AI1084" i="2"/>
  <c r="AI1085" i="2"/>
  <c r="AI1086" i="2"/>
  <c r="AI1087" i="2"/>
  <c r="AI1088" i="2"/>
  <c r="AI1089" i="2"/>
  <c r="AI1090" i="2"/>
  <c r="AI1091" i="2"/>
  <c r="AI1092" i="2"/>
  <c r="AI1093" i="2"/>
  <c r="AI1094" i="2"/>
  <c r="AI1095" i="2"/>
  <c r="AI1096" i="2"/>
  <c r="AI1097" i="2"/>
  <c r="AI1098" i="2"/>
  <c r="AI1099" i="2"/>
  <c r="AI1100" i="2"/>
  <c r="AI1101" i="2"/>
  <c r="AI1102" i="2"/>
  <c r="AI1103" i="2"/>
  <c r="AI1104" i="2"/>
  <c r="AI1105" i="2"/>
  <c r="AI1106" i="2"/>
  <c r="AI1107" i="2"/>
  <c r="AI1108" i="2"/>
  <c r="AI1109" i="2"/>
  <c r="AI1110" i="2"/>
  <c r="AI1111" i="2"/>
  <c r="AI1112" i="2"/>
  <c r="AI1113" i="2"/>
  <c r="AI1114" i="2"/>
  <c r="AI1115" i="2"/>
  <c r="AI1116" i="2"/>
  <c r="AI1117" i="2"/>
  <c r="AI1118" i="2"/>
  <c r="AI1119" i="2"/>
  <c r="AI1120" i="2"/>
  <c r="AI1121" i="2"/>
  <c r="AI1122" i="2"/>
  <c r="AI1123" i="2"/>
  <c r="AI1124" i="2"/>
  <c r="AI1125" i="2"/>
  <c r="AI1126" i="2"/>
  <c r="AI1127" i="2"/>
  <c r="AI1128" i="2"/>
  <c r="AI1129" i="2"/>
  <c r="AI1130" i="2"/>
  <c r="AI1131" i="2"/>
  <c r="AI1132" i="2"/>
  <c r="AI1133" i="2"/>
  <c r="AI1134" i="2"/>
  <c r="AI1135" i="2"/>
  <c r="AI1136" i="2"/>
  <c r="AI1137" i="2"/>
  <c r="AI1138" i="2"/>
  <c r="AI1139" i="2"/>
  <c r="AI1140" i="2"/>
  <c r="AI1141" i="2"/>
  <c r="AI1142" i="2"/>
  <c r="AI1143" i="2"/>
  <c r="AI1144" i="2"/>
  <c r="AI1145" i="2"/>
  <c r="AI1146" i="2"/>
  <c r="AI1147" i="2"/>
  <c r="AI1148" i="2"/>
  <c r="AI1149" i="2"/>
  <c r="AI1150" i="2"/>
  <c r="AI1151" i="2"/>
  <c r="AI1152" i="2"/>
  <c r="AI1153" i="2"/>
  <c r="AI1154" i="2"/>
  <c r="AI1155" i="2"/>
  <c r="AI1156" i="2"/>
  <c r="AI1157" i="2"/>
  <c r="AI1158" i="2"/>
  <c r="AI1159" i="2"/>
  <c r="AI1160" i="2"/>
  <c r="AI1161" i="2"/>
  <c r="AI1162" i="2"/>
  <c r="AI1163" i="2"/>
  <c r="AI1164" i="2"/>
  <c r="AI1165" i="2"/>
  <c r="AI1166" i="2"/>
  <c r="AI1167" i="2"/>
  <c r="AI1168" i="2"/>
  <c r="AI1169" i="2"/>
  <c r="AI1170" i="2"/>
  <c r="AI1171" i="2"/>
  <c r="AI1172" i="2"/>
  <c r="AI1173" i="2"/>
  <c r="AI1174" i="2"/>
  <c r="AI1175" i="2"/>
  <c r="AI1176" i="2"/>
  <c r="AI1177" i="2"/>
  <c r="AI1178" i="2"/>
  <c r="AI1179" i="2"/>
  <c r="AI1180" i="2"/>
  <c r="AI1181" i="2"/>
  <c r="AI1182" i="2"/>
  <c r="AI1183" i="2"/>
  <c r="AI1184" i="2"/>
  <c r="AI1185" i="2"/>
  <c r="AI1186" i="2"/>
  <c r="AI1187" i="2"/>
  <c r="AI1188" i="2"/>
  <c r="AI1189" i="2"/>
  <c r="AI1190" i="2"/>
  <c r="AI1191" i="2"/>
  <c r="AI1192" i="2"/>
  <c r="AI1193" i="2"/>
  <c r="AI1194" i="2"/>
  <c r="AI1195" i="2"/>
  <c r="AI1196" i="2"/>
  <c r="AI1197" i="2"/>
  <c r="AI1198" i="2"/>
  <c r="AI1199" i="2"/>
  <c r="AI1200" i="2"/>
  <c r="AI1201" i="2"/>
  <c r="AI1202" i="2"/>
  <c r="AI1203" i="2"/>
  <c r="AI1204" i="2"/>
  <c r="AI1205" i="2"/>
  <c r="AI1206" i="2"/>
  <c r="AI1207" i="2"/>
  <c r="AI1208" i="2"/>
  <c r="AI1209" i="2"/>
  <c r="AI1210" i="2"/>
  <c r="AI1211" i="2"/>
  <c r="AI1212" i="2"/>
  <c r="AI1213" i="2"/>
  <c r="AI1214" i="2"/>
  <c r="AI1215" i="2"/>
  <c r="AI1216" i="2"/>
  <c r="AI1217" i="2"/>
  <c r="AI1218" i="2"/>
  <c r="AI1219" i="2"/>
  <c r="AI1220" i="2"/>
  <c r="AI1221" i="2"/>
  <c r="AI1222" i="2"/>
  <c r="AI1223" i="2"/>
  <c r="AI1224" i="2"/>
  <c r="AI1225" i="2"/>
  <c r="AI1226" i="2"/>
  <c r="AI1227" i="2"/>
  <c r="AI1228" i="2"/>
  <c r="AI1229" i="2"/>
  <c r="AI1230" i="2"/>
  <c r="AI1231" i="2"/>
  <c r="AI1232" i="2"/>
  <c r="AI1233" i="2"/>
  <c r="AI1234" i="2"/>
  <c r="AI1235" i="2"/>
  <c r="AI1236" i="2"/>
  <c r="AI1237" i="2"/>
  <c r="AI1238" i="2"/>
  <c r="AI1239" i="2"/>
  <c r="AI1240" i="2"/>
  <c r="AI1241" i="2"/>
  <c r="AI1242" i="2"/>
  <c r="AI1243" i="2"/>
  <c r="AI1244" i="2"/>
  <c r="AI1245" i="2"/>
  <c r="AI1246" i="2"/>
  <c r="AI1247" i="2"/>
  <c r="AI1248" i="2"/>
  <c r="AI1249" i="2"/>
  <c r="AI1250" i="2"/>
  <c r="AI1251" i="2"/>
  <c r="AI1252" i="2"/>
  <c r="AI1253" i="2"/>
  <c r="AI1254" i="2"/>
  <c r="AI1255" i="2"/>
  <c r="AI1256" i="2"/>
  <c r="AI1257" i="2"/>
  <c r="AI1258" i="2"/>
  <c r="AI1259" i="2"/>
  <c r="AI1260" i="2"/>
  <c r="AI1261" i="2"/>
  <c r="AI1262" i="2"/>
  <c r="AI1263" i="2"/>
  <c r="AI1264" i="2"/>
  <c r="AI1265" i="2"/>
  <c r="AI1266" i="2"/>
  <c r="AI1267" i="2"/>
  <c r="AI1268" i="2"/>
  <c r="AI1269" i="2"/>
  <c r="AI1270" i="2"/>
  <c r="AI1271" i="2"/>
  <c r="AI1272" i="2"/>
  <c r="AI1273" i="2"/>
  <c r="AI1274" i="2"/>
  <c r="AI1275" i="2"/>
  <c r="AI1276" i="2"/>
  <c r="AI1277" i="2"/>
  <c r="AI1278" i="2"/>
  <c r="AI1279" i="2"/>
  <c r="AI1280" i="2"/>
  <c r="AI1281" i="2"/>
  <c r="AI1282" i="2"/>
  <c r="AI1283" i="2"/>
  <c r="AI1284" i="2"/>
  <c r="AI1285" i="2"/>
  <c r="AI1286" i="2"/>
  <c r="AI1287" i="2"/>
  <c r="AI1288" i="2"/>
  <c r="AI1289" i="2"/>
  <c r="AI1290" i="2"/>
  <c r="AI1291" i="2"/>
  <c r="AI1292" i="2"/>
  <c r="AI1293" i="2"/>
  <c r="AI1294" i="2"/>
  <c r="AI1295" i="2"/>
  <c r="AI1296" i="2"/>
  <c r="AI1297" i="2"/>
  <c r="AI1298" i="2"/>
  <c r="AI1299" i="2"/>
  <c r="AI1300" i="2"/>
  <c r="AI1301" i="2"/>
  <c r="AI1302" i="2"/>
  <c r="AI1303" i="2"/>
  <c r="AI1304" i="2"/>
  <c r="AI1305" i="2"/>
  <c r="AI1306" i="2"/>
  <c r="AI1307" i="2"/>
  <c r="AI1308" i="2"/>
  <c r="AI1309" i="2"/>
  <c r="AI1310" i="2"/>
  <c r="AI1311" i="2"/>
  <c r="AI1312" i="2"/>
  <c r="AI1313" i="2"/>
  <c r="AI1314" i="2"/>
  <c r="AI1315" i="2"/>
  <c r="AI1316" i="2"/>
  <c r="AI1317" i="2"/>
  <c r="AI1318" i="2"/>
  <c r="AI1319" i="2"/>
  <c r="AI1320" i="2"/>
  <c r="AI1321" i="2"/>
  <c r="AI1322" i="2"/>
  <c r="AI1323" i="2"/>
  <c r="AI1324" i="2"/>
  <c r="AI1325" i="2"/>
  <c r="AI1326" i="2"/>
  <c r="AI1327" i="2"/>
  <c r="AI1328" i="2"/>
  <c r="AI1329" i="2"/>
  <c r="AI1330" i="2"/>
  <c r="AI1331" i="2"/>
  <c r="AI1332" i="2"/>
  <c r="AI1333" i="2"/>
  <c r="AI1334" i="2"/>
  <c r="AI1335" i="2"/>
  <c r="AI1336" i="2"/>
  <c r="AI1337" i="2"/>
  <c r="AI1338" i="2"/>
  <c r="AI1339" i="2"/>
  <c r="AI1340" i="2"/>
  <c r="AI1341" i="2"/>
  <c r="AI1342" i="2"/>
  <c r="AI1343" i="2"/>
  <c r="AI1344" i="2"/>
  <c r="AI1345" i="2"/>
  <c r="AI1346" i="2"/>
  <c r="AI1347" i="2"/>
  <c r="AI1348" i="2"/>
  <c r="AI1349" i="2"/>
  <c r="AI1350" i="2"/>
  <c r="AI1351" i="2"/>
  <c r="AI1352" i="2"/>
  <c r="AI1353" i="2"/>
  <c r="AI1354" i="2"/>
  <c r="AI1355" i="2"/>
  <c r="AI1356" i="2"/>
  <c r="AI1357" i="2"/>
  <c r="AI1358" i="2"/>
  <c r="AI1359" i="2"/>
  <c r="AI1360" i="2"/>
  <c r="AI1361" i="2"/>
  <c r="AI1362" i="2"/>
  <c r="AI1363" i="2"/>
  <c r="AI1364" i="2"/>
  <c r="AI1365" i="2"/>
  <c r="AI1366" i="2"/>
  <c r="AI1367" i="2"/>
  <c r="AI1368" i="2"/>
  <c r="AI1369" i="2"/>
  <c r="AI1370" i="2"/>
  <c r="AI1371" i="2"/>
  <c r="AI1372" i="2"/>
  <c r="AI1373" i="2"/>
  <c r="AI1374" i="2"/>
  <c r="AI1375" i="2"/>
  <c r="AI1376" i="2"/>
  <c r="AI1377" i="2"/>
  <c r="AI1378" i="2"/>
  <c r="AI1379" i="2"/>
  <c r="AI1380" i="2"/>
  <c r="AI1381" i="2"/>
  <c r="AI1382" i="2"/>
  <c r="AI1383" i="2"/>
  <c r="AI1384" i="2"/>
  <c r="AI1385" i="2"/>
  <c r="AI1386" i="2"/>
  <c r="AI1387" i="2"/>
  <c r="AI1388" i="2"/>
  <c r="AI1389" i="2"/>
  <c r="AI1390" i="2"/>
  <c r="AI1391" i="2"/>
  <c r="AI1392" i="2"/>
  <c r="AI1393" i="2"/>
  <c r="AI1394" i="2"/>
  <c r="AI1395" i="2"/>
  <c r="AI1396" i="2"/>
  <c r="AI1397" i="2"/>
  <c r="AI1398" i="2"/>
  <c r="AI1399" i="2"/>
  <c r="AI1400" i="2"/>
  <c r="AI1401" i="2"/>
  <c r="AI1402" i="2"/>
  <c r="AI1403" i="2"/>
  <c r="AI1404" i="2"/>
  <c r="AI1405" i="2"/>
  <c r="AI1406" i="2"/>
  <c r="AI2" i="2"/>
  <c r="B4" i="11"/>
  <c r="B6" i="11"/>
  <c r="B7" i="11"/>
  <c r="B8" i="11"/>
  <c r="B11" i="11"/>
  <c r="B12" i="11"/>
  <c r="B13" i="11"/>
  <c r="B16" i="11"/>
  <c r="B18" i="11"/>
  <c r="B19" i="11"/>
  <c r="B20" i="11"/>
  <c r="B21" i="11"/>
  <c r="B23" i="11"/>
  <c r="B33" i="11"/>
  <c r="B42" i="11"/>
  <c r="B48" i="11"/>
  <c r="B53" i="11"/>
  <c r="B57" i="11"/>
  <c r="B58" i="11"/>
  <c r="B59" i="11"/>
  <c r="B60" i="11"/>
  <c r="B64" i="11"/>
  <c r="B69" i="11"/>
  <c r="B70" i="11"/>
  <c r="B72" i="11"/>
  <c r="B76" i="11"/>
  <c r="B80" i="11"/>
  <c r="B83" i="11"/>
  <c r="B85" i="11"/>
  <c r="B86" i="11"/>
  <c r="B87" i="11"/>
  <c r="B88" i="11"/>
  <c r="B89" i="11"/>
  <c r="B93" i="11"/>
  <c r="B97" i="11"/>
  <c r="B99" i="11"/>
  <c r="B106" i="11"/>
  <c r="B107" i="11"/>
  <c r="B116" i="11"/>
  <c r="B117" i="11"/>
  <c r="B120" i="11"/>
  <c r="B121" i="11"/>
  <c r="B122" i="11"/>
  <c r="B123" i="11"/>
  <c r="B124" i="11"/>
  <c r="B125" i="11"/>
  <c r="B126" i="11"/>
  <c r="B128" i="11"/>
  <c r="B129" i="11"/>
  <c r="B130" i="11"/>
  <c r="B131" i="11"/>
  <c r="B132" i="11"/>
  <c r="B134" i="11"/>
  <c r="B135" i="11"/>
  <c r="B140" i="11"/>
  <c r="B141" i="11"/>
  <c r="B143" i="11"/>
  <c r="B146" i="11"/>
  <c r="B147" i="11"/>
  <c r="B148" i="11"/>
  <c r="B149" i="11"/>
  <c r="B150" i="11"/>
  <c r="B152" i="11"/>
  <c r="B153" i="11"/>
  <c r="B157" i="11"/>
  <c r="B159" i="11"/>
  <c r="B162" i="11"/>
  <c r="B164" i="11"/>
  <c r="B165" i="11"/>
  <c r="B168" i="11"/>
  <c r="B2" i="11"/>
  <c r="C3" i="11"/>
  <c r="C23" i="11"/>
  <c r="C46" i="11"/>
  <c r="C67" i="11"/>
  <c r="C87" i="11"/>
  <c r="C110" i="11"/>
  <c r="C127" i="11"/>
  <c r="C131" i="11"/>
  <c r="C150" i="11"/>
  <c r="C151" i="11"/>
  <c r="A3" i="15"/>
  <c r="C75" i="11" s="1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" i="15"/>
  <c r="C7" i="11" s="1"/>
  <c r="H157" i="19" l="1"/>
  <c r="H149" i="19"/>
  <c r="H141" i="19"/>
  <c r="H133" i="19"/>
  <c r="H125" i="19"/>
  <c r="H117" i="19"/>
  <c r="H109" i="19"/>
  <c r="H101" i="19"/>
  <c r="H93" i="19"/>
  <c r="H86" i="19"/>
  <c r="I71" i="19"/>
  <c r="H71" i="19"/>
  <c r="I65" i="19"/>
  <c r="H65" i="19"/>
  <c r="I55" i="19"/>
  <c r="H55" i="19"/>
  <c r="I49" i="19"/>
  <c r="H49" i="19"/>
  <c r="I39" i="19"/>
  <c r="H39" i="19"/>
  <c r="I23" i="19"/>
  <c r="H23" i="19"/>
  <c r="I7" i="19"/>
  <c r="H7" i="19"/>
  <c r="H158" i="19"/>
  <c r="H150" i="19"/>
  <c r="H142" i="19"/>
  <c r="H134" i="19"/>
  <c r="H126" i="19"/>
  <c r="H118" i="19"/>
  <c r="H94" i="19"/>
  <c r="I72" i="19"/>
  <c r="H72" i="19"/>
  <c r="I62" i="19"/>
  <c r="H62" i="19"/>
  <c r="I56" i="19"/>
  <c r="H56" i="19"/>
  <c r="I40" i="19"/>
  <c r="H40" i="19"/>
  <c r="I24" i="19"/>
  <c r="H24" i="19"/>
  <c r="I8" i="19"/>
  <c r="H8" i="19"/>
  <c r="H88" i="19"/>
  <c r="H81" i="19"/>
  <c r="I79" i="19"/>
  <c r="H79" i="19"/>
  <c r="H160" i="19"/>
  <c r="H152" i="19"/>
  <c r="H120" i="19"/>
  <c r="I73" i="19"/>
  <c r="H73" i="19"/>
  <c r="I63" i="19"/>
  <c r="H63" i="19"/>
  <c r="I57" i="19"/>
  <c r="H57" i="19"/>
  <c r="I47" i="19"/>
  <c r="H47" i="19"/>
  <c r="I31" i="19"/>
  <c r="H31" i="19"/>
  <c r="I15" i="19"/>
  <c r="H15" i="19"/>
  <c r="H144" i="19"/>
  <c r="H114" i="19"/>
  <c r="H106" i="19"/>
  <c r="H98" i="19"/>
  <c r="H90" i="19"/>
  <c r="I87" i="19"/>
  <c r="H87" i="19"/>
  <c r="I80" i="19"/>
  <c r="H80" i="19"/>
  <c r="H77" i="19"/>
  <c r="H136" i="19"/>
  <c r="H128" i="19"/>
  <c r="H112" i="19"/>
  <c r="H104" i="19"/>
  <c r="H96" i="19"/>
  <c r="H155" i="19"/>
  <c r="H147" i="19"/>
  <c r="H139" i="19"/>
  <c r="H131" i="19"/>
  <c r="H123" i="19"/>
  <c r="H115" i="19"/>
  <c r="H107" i="19"/>
  <c r="H99" i="19"/>
  <c r="H91" i="19"/>
  <c r="H84" i="19"/>
  <c r="H78" i="19"/>
  <c r="I70" i="19"/>
  <c r="H70" i="19"/>
  <c r="I64" i="19"/>
  <c r="H64" i="19"/>
  <c r="I54" i="19"/>
  <c r="H54" i="19"/>
  <c r="I48" i="19"/>
  <c r="H48" i="19"/>
  <c r="I32" i="19"/>
  <c r="H32" i="19"/>
  <c r="I16" i="19"/>
  <c r="H16" i="19"/>
  <c r="H46" i="19"/>
  <c r="H38" i="19"/>
  <c r="H30" i="19"/>
  <c r="H22" i="19"/>
  <c r="H14" i="19"/>
  <c r="H41" i="19"/>
  <c r="H33" i="19"/>
  <c r="H25" i="19"/>
  <c r="H17" i="19"/>
  <c r="H9" i="19"/>
  <c r="M30" i="10"/>
  <c r="M102" i="10"/>
  <c r="M39" i="10"/>
  <c r="M4" i="10"/>
  <c r="M32" i="10"/>
  <c r="M23" i="10"/>
  <c r="M140" i="10"/>
  <c r="C22" i="11"/>
  <c r="C126" i="11"/>
  <c r="C19" i="11"/>
  <c r="C166" i="11"/>
  <c r="C143" i="11"/>
  <c r="C123" i="11"/>
  <c r="C102" i="11"/>
  <c r="C79" i="11"/>
  <c r="C59" i="11"/>
  <c r="C38" i="11"/>
  <c r="C15" i="11"/>
  <c r="C107" i="11"/>
  <c r="C167" i="11"/>
  <c r="C62" i="11"/>
  <c r="C78" i="11"/>
  <c r="C86" i="11"/>
  <c r="C147" i="11"/>
  <c r="C39" i="11"/>
  <c r="C99" i="11"/>
  <c r="C35" i="11"/>
  <c r="C118" i="11"/>
  <c r="C54" i="11"/>
  <c r="C11" i="11"/>
  <c r="C63" i="11"/>
  <c r="C103" i="11"/>
  <c r="C163" i="11"/>
  <c r="C119" i="11"/>
  <c r="C55" i="11"/>
  <c r="C14" i="11"/>
  <c r="C159" i="11"/>
  <c r="C95" i="11"/>
  <c r="C31" i="11"/>
  <c r="C158" i="11"/>
  <c r="C135" i="11"/>
  <c r="C115" i="11"/>
  <c r="C94" i="11"/>
  <c r="C71" i="11"/>
  <c r="C51" i="11"/>
  <c r="C30" i="11"/>
  <c r="C43" i="11"/>
  <c r="C83" i="11"/>
  <c r="C142" i="11"/>
  <c r="C139" i="11"/>
  <c r="C9" i="11"/>
  <c r="C17" i="11"/>
  <c r="C25" i="11"/>
  <c r="C33" i="11"/>
  <c r="C41" i="11"/>
  <c r="C49" i="11"/>
  <c r="C57" i="11"/>
  <c r="C65" i="11"/>
  <c r="C73" i="11"/>
  <c r="C81" i="11"/>
  <c r="C89" i="11"/>
  <c r="C97" i="11"/>
  <c r="C105" i="11"/>
  <c r="C113" i="11"/>
  <c r="C121" i="11"/>
  <c r="C129" i="11"/>
  <c r="C137" i="11"/>
  <c r="C145" i="11"/>
  <c r="C161" i="11"/>
  <c r="C10" i="11"/>
  <c r="C18" i="11"/>
  <c r="C26" i="11"/>
  <c r="C34" i="11"/>
  <c r="C42" i="11"/>
  <c r="C50" i="11"/>
  <c r="C58" i="11"/>
  <c r="C66" i="11"/>
  <c r="C74" i="11"/>
  <c r="C82" i="11"/>
  <c r="C90" i="11"/>
  <c r="C98" i="11"/>
  <c r="C106" i="11"/>
  <c r="C114" i="11"/>
  <c r="C122" i="11"/>
  <c r="C130" i="11"/>
  <c r="C138" i="11"/>
  <c r="C146" i="11"/>
  <c r="C154" i="11"/>
  <c r="C162" i="11"/>
  <c r="C2" i="11"/>
  <c r="C4" i="11"/>
  <c r="C12" i="11"/>
  <c r="C20" i="11"/>
  <c r="C28" i="11"/>
  <c r="C36" i="11"/>
  <c r="C44" i="11"/>
  <c r="C52" i="11"/>
  <c r="C60" i="11"/>
  <c r="C68" i="11"/>
  <c r="C76" i="11"/>
  <c r="C84" i="11"/>
  <c r="C92" i="11"/>
  <c r="C100" i="11"/>
  <c r="C108" i="11"/>
  <c r="C116" i="11"/>
  <c r="C124" i="11"/>
  <c r="C132" i="11"/>
  <c r="C140" i="11"/>
  <c r="C148" i="11"/>
  <c r="C156" i="11"/>
  <c r="C164" i="11"/>
  <c r="C85" i="11"/>
  <c r="C101" i="11"/>
  <c r="C125" i="11"/>
  <c r="C141" i="11"/>
  <c r="C157" i="11"/>
  <c r="C5" i="11"/>
  <c r="C13" i="11"/>
  <c r="C21" i="11"/>
  <c r="C29" i="11"/>
  <c r="C37" i="11"/>
  <c r="C45" i="11"/>
  <c r="C53" i="11"/>
  <c r="C61" i="11"/>
  <c r="C69" i="11"/>
  <c r="C77" i="11"/>
  <c r="C93" i="11"/>
  <c r="C109" i="11"/>
  <c r="C117" i="11"/>
  <c r="C133" i="11"/>
  <c r="C149" i="11"/>
  <c r="C165" i="11"/>
  <c r="C8" i="11"/>
  <c r="C16" i="11"/>
  <c r="C24" i="11"/>
  <c r="C32" i="11"/>
  <c r="C40" i="11"/>
  <c r="C48" i="11"/>
  <c r="C56" i="11"/>
  <c r="C64" i="11"/>
  <c r="C72" i="11"/>
  <c r="C80" i="11"/>
  <c r="C88" i="11"/>
  <c r="C96" i="11"/>
  <c r="C104" i="11"/>
  <c r="C112" i="11"/>
  <c r="C120" i="11"/>
  <c r="C128" i="11"/>
  <c r="C136" i="11"/>
  <c r="C144" i="11"/>
  <c r="C152" i="11"/>
  <c r="C160" i="11"/>
  <c r="C168" i="11"/>
  <c r="C153" i="11"/>
  <c r="C169" i="11"/>
  <c r="C155" i="11"/>
  <c r="C134" i="11"/>
  <c r="C111" i="11"/>
  <c r="C91" i="11"/>
  <c r="C70" i="11"/>
  <c r="C47" i="11"/>
  <c r="C27" i="11"/>
  <c r="C6" i="11"/>
  <c r="M166" i="10"/>
  <c r="M59" i="10"/>
  <c r="M158" i="10"/>
  <c r="M94" i="10"/>
  <c r="M75" i="10"/>
  <c r="M126" i="10"/>
  <c r="M142" i="10"/>
  <c r="M110" i="10"/>
  <c r="M78" i="10"/>
  <c r="M41" i="10"/>
  <c r="M164" i="10"/>
  <c r="M132" i="10"/>
  <c r="M100" i="10"/>
  <c r="M66" i="10"/>
  <c r="M5" i="10"/>
  <c r="M13" i="10"/>
  <c r="M21" i="10"/>
  <c r="M29" i="10"/>
  <c r="M37" i="10"/>
  <c r="M45" i="10"/>
  <c r="M53" i="10"/>
  <c r="M61" i="10"/>
  <c r="M69" i="10"/>
  <c r="M77" i="10"/>
  <c r="M3" i="10"/>
  <c r="M12" i="10"/>
  <c r="M22" i="10"/>
  <c r="M31" i="10"/>
  <c r="M40" i="10"/>
  <c r="M49" i="10"/>
  <c r="M58" i="10"/>
  <c r="M67" i="10"/>
  <c r="M76" i="10"/>
  <c r="M85" i="10"/>
  <c r="M93" i="10"/>
  <c r="M101" i="10"/>
  <c r="M109" i="10"/>
  <c r="M117" i="10"/>
  <c r="M125" i="10"/>
  <c r="M133" i="10"/>
  <c r="M141" i="10"/>
  <c r="M149" i="10"/>
  <c r="M157" i="10"/>
  <c r="M165" i="10"/>
  <c r="M6" i="10"/>
  <c r="M15" i="10"/>
  <c r="M24" i="10"/>
  <c r="M33" i="10"/>
  <c r="M42" i="10"/>
  <c r="M51" i="10"/>
  <c r="M60" i="10"/>
  <c r="M70" i="10"/>
  <c r="M79" i="10"/>
  <c r="M87" i="10"/>
  <c r="M95" i="10"/>
  <c r="M103" i="10"/>
  <c r="M111" i="10"/>
  <c r="M119" i="10"/>
  <c r="M127" i="10"/>
  <c r="M135" i="10"/>
  <c r="M143" i="10"/>
  <c r="M151" i="10"/>
  <c r="M159" i="10"/>
  <c r="M167" i="10"/>
  <c r="M7" i="10"/>
  <c r="M16" i="10"/>
  <c r="M25" i="10"/>
  <c r="M34" i="10"/>
  <c r="M43" i="10"/>
  <c r="M52" i="10"/>
  <c r="M62" i="10"/>
  <c r="M71" i="10"/>
  <c r="M80" i="10"/>
  <c r="M88" i="10"/>
  <c r="M96" i="10"/>
  <c r="M104" i="10"/>
  <c r="M112" i="10"/>
  <c r="M120" i="10"/>
  <c r="M128" i="10"/>
  <c r="M136" i="10"/>
  <c r="M144" i="10"/>
  <c r="M152" i="10"/>
  <c r="M160" i="10"/>
  <c r="M168" i="10"/>
  <c r="M8" i="10"/>
  <c r="M17" i="10"/>
  <c r="M26" i="10"/>
  <c r="M35" i="10"/>
  <c r="M44" i="10"/>
  <c r="M54" i="10"/>
  <c r="M63" i="10"/>
  <c r="M72" i="10"/>
  <c r="M81" i="10"/>
  <c r="M89" i="10"/>
  <c r="M97" i="10"/>
  <c r="M105" i="10"/>
  <c r="M113" i="10"/>
  <c r="M121" i="10"/>
  <c r="M129" i="10"/>
  <c r="M137" i="10"/>
  <c r="M145" i="10"/>
  <c r="M153" i="10"/>
  <c r="M161" i="10"/>
  <c r="M169" i="10"/>
  <c r="M9" i="10"/>
  <c r="M18" i="10"/>
  <c r="M27" i="10"/>
  <c r="M36" i="10"/>
  <c r="M46" i="10"/>
  <c r="M55" i="10"/>
  <c r="M64" i="10"/>
  <c r="M73" i="10"/>
  <c r="M82" i="10"/>
  <c r="M90" i="10"/>
  <c r="M98" i="10"/>
  <c r="M106" i="10"/>
  <c r="M114" i="10"/>
  <c r="M122" i="10"/>
  <c r="M130" i="10"/>
  <c r="M138" i="10"/>
  <c r="M146" i="10"/>
  <c r="M154" i="10"/>
  <c r="M162" i="10"/>
  <c r="M2" i="10"/>
  <c r="M10" i="10"/>
  <c r="M19" i="10"/>
  <c r="M28" i="10"/>
  <c r="M38" i="10"/>
  <c r="M47" i="10"/>
  <c r="M56" i="10"/>
  <c r="M65" i="10"/>
  <c r="M74" i="10"/>
  <c r="M83" i="10"/>
  <c r="M91" i="10"/>
  <c r="M99" i="10"/>
  <c r="M107" i="10"/>
  <c r="M115" i="10"/>
  <c r="M123" i="10"/>
  <c r="M131" i="10"/>
  <c r="M139" i="10"/>
  <c r="M147" i="10"/>
  <c r="M155" i="10"/>
  <c r="M163" i="10"/>
  <c r="M156" i="10"/>
  <c r="M124" i="10"/>
  <c r="M92" i="10"/>
  <c r="M57" i="10"/>
  <c r="M20" i="10"/>
  <c r="M150" i="10"/>
  <c r="M118" i="10"/>
  <c r="M86" i="10"/>
  <c r="M50" i="10"/>
  <c r="M14" i="10"/>
  <c r="M148" i="10"/>
  <c r="M116" i="10"/>
  <c r="M84" i="10"/>
  <c r="M48" i="10"/>
  <c r="M11" i="10"/>
  <c r="D3" i="1" l="1"/>
  <c r="F3" i="1"/>
  <c r="K3" i="1"/>
  <c r="L3" i="1"/>
  <c r="D4" i="1"/>
  <c r="F4" i="1"/>
  <c r="K4" i="1"/>
  <c r="L4" i="1"/>
  <c r="D5" i="1"/>
  <c r="F5" i="1"/>
  <c r="K5" i="1"/>
  <c r="L5" i="1"/>
  <c r="D6" i="1"/>
  <c r="F6" i="1"/>
  <c r="K6" i="1"/>
  <c r="L6" i="1"/>
  <c r="D7" i="1"/>
  <c r="F7" i="1"/>
  <c r="K7" i="1"/>
  <c r="L7" i="1"/>
  <c r="D8" i="1"/>
  <c r="F8" i="1"/>
  <c r="K8" i="1"/>
  <c r="L8" i="1"/>
  <c r="D9" i="1"/>
  <c r="F9" i="1"/>
  <c r="K9" i="1"/>
  <c r="L9" i="1"/>
  <c r="D10" i="1"/>
  <c r="F10" i="1"/>
  <c r="K10" i="1"/>
  <c r="L10" i="1"/>
  <c r="D11" i="1"/>
  <c r="F11" i="1"/>
  <c r="K11" i="1"/>
  <c r="L11" i="1"/>
  <c r="D12" i="1"/>
  <c r="F12" i="1"/>
  <c r="K12" i="1"/>
  <c r="L12" i="1"/>
  <c r="D13" i="1"/>
  <c r="F13" i="1"/>
  <c r="K13" i="1"/>
  <c r="L13" i="1"/>
  <c r="D14" i="1"/>
  <c r="F14" i="1"/>
  <c r="K14" i="1"/>
  <c r="L14" i="1"/>
  <c r="D15" i="1"/>
  <c r="F15" i="1"/>
  <c r="K15" i="1"/>
  <c r="L15" i="1"/>
  <c r="D16" i="1"/>
  <c r="F16" i="1"/>
  <c r="K16" i="1"/>
  <c r="L16" i="1"/>
  <c r="D17" i="1"/>
  <c r="F17" i="1"/>
  <c r="K17" i="1"/>
  <c r="L17" i="1"/>
  <c r="D18" i="1"/>
  <c r="F18" i="1"/>
  <c r="K18" i="1"/>
  <c r="L18" i="1"/>
  <c r="D19" i="1"/>
  <c r="F19" i="1"/>
  <c r="K19" i="1"/>
  <c r="L19" i="1"/>
  <c r="D20" i="1"/>
  <c r="F20" i="1"/>
  <c r="K20" i="1"/>
  <c r="L20" i="1"/>
  <c r="D21" i="1"/>
  <c r="F21" i="1"/>
  <c r="K21" i="1"/>
  <c r="L21" i="1"/>
  <c r="D22" i="1"/>
  <c r="F22" i="1"/>
  <c r="K22" i="1"/>
  <c r="L22" i="1"/>
  <c r="D23" i="1"/>
  <c r="F23" i="1"/>
  <c r="K23" i="1"/>
  <c r="L23" i="1"/>
  <c r="D24" i="1"/>
  <c r="F24" i="1"/>
  <c r="K24" i="1"/>
  <c r="L24" i="1"/>
  <c r="D25" i="1"/>
  <c r="F25" i="1"/>
  <c r="K25" i="1"/>
  <c r="L25" i="1"/>
  <c r="D26" i="1"/>
  <c r="F26" i="1"/>
  <c r="K26" i="1"/>
  <c r="L26" i="1"/>
  <c r="D27" i="1"/>
  <c r="F27" i="1"/>
  <c r="K27" i="1"/>
  <c r="L27" i="1"/>
  <c r="D28" i="1"/>
  <c r="F28" i="1"/>
  <c r="K28" i="1"/>
  <c r="L28" i="1"/>
  <c r="D29" i="1"/>
  <c r="F29" i="1"/>
  <c r="K29" i="1"/>
  <c r="L29" i="1"/>
  <c r="D30" i="1"/>
  <c r="F30" i="1"/>
  <c r="K30" i="1"/>
  <c r="L30" i="1"/>
  <c r="D31" i="1"/>
  <c r="F31" i="1"/>
  <c r="K31" i="1"/>
  <c r="L31" i="1"/>
  <c r="D32" i="1"/>
  <c r="F32" i="1"/>
  <c r="K32" i="1"/>
  <c r="L32" i="1"/>
  <c r="D33" i="1"/>
  <c r="F33" i="1"/>
  <c r="K33" i="1"/>
  <c r="L33" i="1"/>
  <c r="D34" i="1"/>
  <c r="F34" i="1"/>
  <c r="K34" i="1"/>
  <c r="L34" i="1"/>
  <c r="D35" i="1"/>
  <c r="F35" i="1"/>
  <c r="K35" i="1"/>
  <c r="L35" i="1"/>
  <c r="D36" i="1"/>
  <c r="F36" i="1"/>
  <c r="K36" i="1"/>
  <c r="L36" i="1"/>
  <c r="D37" i="1"/>
  <c r="F37" i="1"/>
  <c r="K37" i="1"/>
  <c r="L37" i="1"/>
  <c r="D38" i="1"/>
  <c r="F38" i="1"/>
  <c r="K38" i="1"/>
  <c r="L38" i="1"/>
  <c r="D39" i="1"/>
  <c r="F39" i="1"/>
  <c r="K39" i="1"/>
  <c r="L39" i="1"/>
  <c r="D40" i="1"/>
  <c r="F40" i="1"/>
  <c r="K40" i="1"/>
  <c r="L40" i="1"/>
  <c r="D41" i="1"/>
  <c r="F41" i="1"/>
  <c r="K41" i="1"/>
  <c r="L41" i="1"/>
  <c r="D42" i="1"/>
  <c r="F42" i="1"/>
  <c r="K42" i="1"/>
  <c r="L42" i="1"/>
  <c r="D43" i="1"/>
  <c r="F43" i="1"/>
  <c r="K43" i="1"/>
  <c r="L43" i="1"/>
  <c r="D44" i="1"/>
  <c r="F44" i="1"/>
  <c r="K44" i="1"/>
  <c r="L44" i="1"/>
  <c r="D45" i="1"/>
  <c r="F45" i="1"/>
  <c r="K45" i="1"/>
  <c r="L45" i="1"/>
  <c r="D46" i="1"/>
  <c r="F46" i="1"/>
  <c r="K46" i="1"/>
  <c r="L46" i="1"/>
  <c r="D47" i="1"/>
  <c r="F47" i="1"/>
  <c r="K47" i="1"/>
  <c r="L47" i="1"/>
  <c r="D48" i="1"/>
  <c r="F48" i="1"/>
  <c r="K48" i="1"/>
  <c r="L48" i="1"/>
  <c r="D49" i="1"/>
  <c r="F49" i="1"/>
  <c r="K49" i="1"/>
  <c r="L49" i="1"/>
  <c r="D50" i="1"/>
  <c r="F50" i="1"/>
  <c r="K50" i="1"/>
  <c r="L50" i="1"/>
  <c r="D51" i="1"/>
  <c r="F51" i="1"/>
  <c r="K51" i="1"/>
  <c r="L51" i="1"/>
  <c r="D52" i="1"/>
  <c r="F52" i="1"/>
  <c r="K52" i="1"/>
  <c r="L52" i="1"/>
  <c r="D53" i="1"/>
  <c r="F53" i="1"/>
  <c r="K53" i="1"/>
  <c r="L53" i="1"/>
  <c r="D54" i="1"/>
  <c r="F54" i="1"/>
  <c r="K54" i="1"/>
  <c r="L54" i="1"/>
  <c r="D55" i="1"/>
  <c r="F55" i="1"/>
  <c r="K55" i="1"/>
  <c r="L55" i="1"/>
  <c r="D56" i="1"/>
  <c r="F56" i="1"/>
  <c r="K56" i="1"/>
  <c r="L56" i="1"/>
  <c r="D57" i="1"/>
  <c r="F57" i="1"/>
  <c r="K57" i="1"/>
  <c r="L57" i="1"/>
  <c r="D58" i="1"/>
  <c r="F58" i="1"/>
  <c r="K58" i="1"/>
  <c r="L58" i="1"/>
  <c r="D59" i="1"/>
  <c r="F59" i="1"/>
  <c r="K59" i="1"/>
  <c r="L59" i="1"/>
  <c r="D60" i="1"/>
  <c r="F60" i="1"/>
  <c r="K60" i="1"/>
  <c r="L60" i="1"/>
  <c r="D61" i="1"/>
  <c r="F61" i="1"/>
  <c r="K61" i="1"/>
  <c r="L61" i="1"/>
  <c r="D62" i="1"/>
  <c r="F62" i="1"/>
  <c r="K62" i="1"/>
  <c r="L62" i="1"/>
  <c r="D63" i="1"/>
  <c r="F63" i="1"/>
  <c r="K63" i="1"/>
  <c r="L63" i="1"/>
  <c r="D64" i="1"/>
  <c r="F64" i="1"/>
  <c r="K64" i="1"/>
  <c r="L64" i="1"/>
  <c r="D65" i="1"/>
  <c r="F65" i="1"/>
  <c r="K65" i="1"/>
  <c r="L65" i="1"/>
  <c r="D66" i="1"/>
  <c r="F66" i="1"/>
  <c r="K66" i="1"/>
  <c r="L66" i="1"/>
  <c r="D67" i="1"/>
  <c r="F67" i="1"/>
  <c r="K67" i="1"/>
  <c r="L67" i="1"/>
  <c r="D68" i="1"/>
  <c r="F68" i="1"/>
  <c r="K68" i="1"/>
  <c r="L68" i="1"/>
  <c r="D69" i="1"/>
  <c r="F69" i="1"/>
  <c r="K69" i="1"/>
  <c r="L69" i="1"/>
  <c r="D70" i="1"/>
  <c r="F70" i="1"/>
  <c r="K70" i="1"/>
  <c r="L70" i="1"/>
  <c r="D71" i="1"/>
  <c r="F71" i="1"/>
  <c r="K71" i="1"/>
  <c r="L71" i="1"/>
  <c r="D72" i="1"/>
  <c r="F72" i="1"/>
  <c r="K72" i="1"/>
  <c r="L72" i="1"/>
  <c r="D73" i="1"/>
  <c r="F73" i="1"/>
  <c r="K73" i="1"/>
  <c r="L73" i="1"/>
  <c r="D74" i="1"/>
  <c r="F74" i="1"/>
  <c r="K74" i="1"/>
  <c r="L74" i="1"/>
  <c r="D75" i="1"/>
  <c r="F75" i="1"/>
  <c r="K75" i="1"/>
  <c r="L75" i="1"/>
  <c r="D76" i="1"/>
  <c r="F76" i="1"/>
  <c r="K76" i="1"/>
  <c r="L76" i="1"/>
  <c r="D77" i="1"/>
  <c r="F77" i="1"/>
  <c r="K77" i="1"/>
  <c r="L77" i="1"/>
  <c r="D78" i="1"/>
  <c r="F78" i="1"/>
  <c r="K78" i="1"/>
  <c r="L78" i="1"/>
  <c r="D79" i="1"/>
  <c r="F79" i="1"/>
  <c r="K79" i="1"/>
  <c r="L79" i="1"/>
  <c r="D80" i="1"/>
  <c r="F80" i="1"/>
  <c r="K80" i="1"/>
  <c r="L80" i="1"/>
  <c r="D81" i="1"/>
  <c r="F81" i="1"/>
  <c r="K81" i="1"/>
  <c r="L81" i="1"/>
  <c r="D82" i="1"/>
  <c r="F82" i="1"/>
  <c r="K82" i="1"/>
  <c r="L82" i="1"/>
  <c r="D83" i="1"/>
  <c r="F83" i="1"/>
  <c r="K83" i="1"/>
  <c r="L83" i="1"/>
  <c r="D84" i="1"/>
  <c r="F84" i="1"/>
  <c r="K84" i="1"/>
  <c r="L84" i="1"/>
  <c r="D85" i="1"/>
  <c r="F85" i="1"/>
  <c r="K85" i="1"/>
  <c r="L85" i="1"/>
  <c r="D86" i="1"/>
  <c r="F86" i="1"/>
  <c r="K86" i="1"/>
  <c r="L86" i="1"/>
  <c r="D87" i="1"/>
  <c r="F87" i="1"/>
  <c r="K87" i="1"/>
  <c r="L87" i="1"/>
  <c r="D88" i="1"/>
  <c r="F88" i="1"/>
  <c r="K88" i="1"/>
  <c r="L88" i="1"/>
  <c r="D89" i="1"/>
  <c r="F89" i="1"/>
  <c r="K89" i="1"/>
  <c r="L89" i="1"/>
  <c r="D90" i="1"/>
  <c r="F90" i="1"/>
  <c r="K90" i="1"/>
  <c r="L90" i="1"/>
  <c r="D91" i="1"/>
  <c r="F91" i="1"/>
  <c r="K91" i="1"/>
  <c r="L91" i="1"/>
  <c r="D92" i="1"/>
  <c r="F92" i="1"/>
  <c r="K92" i="1"/>
  <c r="L92" i="1"/>
  <c r="D93" i="1"/>
  <c r="F93" i="1"/>
  <c r="K93" i="1"/>
  <c r="L93" i="1"/>
  <c r="D94" i="1"/>
  <c r="F94" i="1"/>
  <c r="K94" i="1"/>
  <c r="L94" i="1"/>
  <c r="D95" i="1"/>
  <c r="F95" i="1"/>
  <c r="K95" i="1"/>
  <c r="L95" i="1"/>
  <c r="D96" i="1"/>
  <c r="F96" i="1"/>
  <c r="K96" i="1"/>
  <c r="L96" i="1"/>
  <c r="D97" i="1"/>
  <c r="F97" i="1"/>
  <c r="K97" i="1"/>
  <c r="L97" i="1"/>
  <c r="D98" i="1"/>
  <c r="F98" i="1"/>
  <c r="K98" i="1"/>
  <c r="L98" i="1"/>
  <c r="D99" i="1"/>
  <c r="F99" i="1"/>
  <c r="K99" i="1"/>
  <c r="L99" i="1"/>
  <c r="D100" i="1"/>
  <c r="F100" i="1"/>
  <c r="K100" i="1"/>
  <c r="L100" i="1"/>
  <c r="D101" i="1"/>
  <c r="F101" i="1"/>
  <c r="K101" i="1"/>
  <c r="L101" i="1"/>
  <c r="D102" i="1"/>
  <c r="F102" i="1"/>
  <c r="K102" i="1"/>
  <c r="L102" i="1"/>
  <c r="D103" i="1"/>
  <c r="F103" i="1"/>
  <c r="K103" i="1"/>
  <c r="L103" i="1"/>
  <c r="D104" i="1"/>
  <c r="F104" i="1"/>
  <c r="K104" i="1"/>
  <c r="L104" i="1"/>
  <c r="D105" i="1"/>
  <c r="F105" i="1"/>
  <c r="K105" i="1"/>
  <c r="L105" i="1"/>
  <c r="D106" i="1"/>
  <c r="F106" i="1"/>
  <c r="K106" i="1"/>
  <c r="L106" i="1"/>
  <c r="D107" i="1"/>
  <c r="F107" i="1"/>
  <c r="K107" i="1"/>
  <c r="L107" i="1"/>
  <c r="D108" i="1"/>
  <c r="F108" i="1"/>
  <c r="K108" i="1"/>
  <c r="L108" i="1"/>
  <c r="D109" i="1"/>
  <c r="F109" i="1"/>
  <c r="K109" i="1"/>
  <c r="L109" i="1"/>
  <c r="D110" i="1"/>
  <c r="F110" i="1"/>
  <c r="K110" i="1"/>
  <c r="L110" i="1"/>
  <c r="D111" i="1"/>
  <c r="F111" i="1"/>
  <c r="K111" i="1"/>
  <c r="L111" i="1"/>
  <c r="D112" i="1"/>
  <c r="F112" i="1"/>
  <c r="K112" i="1"/>
  <c r="L112" i="1"/>
  <c r="D113" i="1"/>
  <c r="F113" i="1"/>
  <c r="K113" i="1"/>
  <c r="L113" i="1"/>
  <c r="D114" i="1"/>
  <c r="F114" i="1"/>
  <c r="K114" i="1"/>
  <c r="L114" i="1"/>
  <c r="D115" i="1"/>
  <c r="F115" i="1"/>
  <c r="K115" i="1"/>
  <c r="L115" i="1"/>
  <c r="D116" i="1"/>
  <c r="F116" i="1"/>
  <c r="K116" i="1"/>
  <c r="L116" i="1"/>
  <c r="D117" i="1"/>
  <c r="F117" i="1"/>
  <c r="K117" i="1"/>
  <c r="L117" i="1"/>
  <c r="D118" i="1"/>
  <c r="F118" i="1"/>
  <c r="K118" i="1"/>
  <c r="L118" i="1"/>
  <c r="D119" i="1"/>
  <c r="F119" i="1"/>
  <c r="K119" i="1"/>
  <c r="L119" i="1"/>
  <c r="D120" i="1"/>
  <c r="F120" i="1"/>
  <c r="K120" i="1"/>
  <c r="L120" i="1"/>
  <c r="D121" i="1"/>
  <c r="F121" i="1"/>
  <c r="K121" i="1"/>
  <c r="L121" i="1"/>
  <c r="D122" i="1"/>
  <c r="F122" i="1"/>
  <c r="K122" i="1"/>
  <c r="L122" i="1"/>
  <c r="D123" i="1"/>
  <c r="F123" i="1"/>
  <c r="K123" i="1"/>
  <c r="L123" i="1"/>
  <c r="D124" i="1"/>
  <c r="F124" i="1"/>
  <c r="K124" i="1"/>
  <c r="L124" i="1"/>
  <c r="D125" i="1"/>
  <c r="F125" i="1"/>
  <c r="K125" i="1"/>
  <c r="L125" i="1"/>
  <c r="D126" i="1"/>
  <c r="F126" i="1"/>
  <c r="K126" i="1"/>
  <c r="L126" i="1"/>
  <c r="D127" i="1"/>
  <c r="F127" i="1"/>
  <c r="K127" i="1"/>
  <c r="L127" i="1"/>
  <c r="D128" i="1"/>
  <c r="F128" i="1"/>
  <c r="K128" i="1"/>
  <c r="L128" i="1"/>
  <c r="D129" i="1"/>
  <c r="F129" i="1"/>
  <c r="K129" i="1"/>
  <c r="L129" i="1"/>
  <c r="D130" i="1"/>
  <c r="F130" i="1"/>
  <c r="K130" i="1"/>
  <c r="L130" i="1"/>
  <c r="D131" i="1"/>
  <c r="F131" i="1"/>
  <c r="K131" i="1"/>
  <c r="L131" i="1"/>
  <c r="D132" i="1"/>
  <c r="F132" i="1"/>
  <c r="K132" i="1"/>
  <c r="L132" i="1"/>
  <c r="D133" i="1"/>
  <c r="F133" i="1"/>
  <c r="K133" i="1"/>
  <c r="L133" i="1"/>
  <c r="D134" i="1"/>
  <c r="F134" i="1"/>
  <c r="K134" i="1"/>
  <c r="L134" i="1"/>
  <c r="D135" i="1"/>
  <c r="F135" i="1"/>
  <c r="K135" i="1"/>
  <c r="L135" i="1"/>
  <c r="D136" i="1"/>
  <c r="F136" i="1"/>
  <c r="K136" i="1"/>
  <c r="L136" i="1"/>
  <c r="D137" i="1"/>
  <c r="F137" i="1"/>
  <c r="K137" i="1"/>
  <c r="L137" i="1"/>
  <c r="D138" i="1"/>
  <c r="F138" i="1"/>
  <c r="K138" i="1"/>
  <c r="L138" i="1"/>
  <c r="D139" i="1"/>
  <c r="F139" i="1"/>
  <c r="K139" i="1"/>
  <c r="L139" i="1"/>
  <c r="D140" i="1"/>
  <c r="F140" i="1"/>
  <c r="K140" i="1"/>
  <c r="L140" i="1"/>
  <c r="D141" i="1"/>
  <c r="F141" i="1"/>
  <c r="K141" i="1"/>
  <c r="L141" i="1"/>
  <c r="D142" i="1"/>
  <c r="F142" i="1"/>
  <c r="K142" i="1"/>
  <c r="L142" i="1"/>
  <c r="D143" i="1"/>
  <c r="F143" i="1"/>
  <c r="K143" i="1"/>
  <c r="L143" i="1"/>
  <c r="D144" i="1"/>
  <c r="F144" i="1"/>
  <c r="K144" i="1"/>
  <c r="L144" i="1"/>
  <c r="D145" i="1"/>
  <c r="F145" i="1"/>
  <c r="K145" i="1"/>
  <c r="L145" i="1"/>
  <c r="D146" i="1"/>
  <c r="F146" i="1"/>
  <c r="K146" i="1"/>
  <c r="L146" i="1"/>
  <c r="D147" i="1"/>
  <c r="F147" i="1"/>
  <c r="K147" i="1"/>
  <c r="L147" i="1"/>
  <c r="D148" i="1"/>
  <c r="F148" i="1"/>
  <c r="K148" i="1"/>
  <c r="L148" i="1"/>
  <c r="D149" i="1"/>
  <c r="F149" i="1"/>
  <c r="K149" i="1"/>
  <c r="L149" i="1"/>
  <c r="D150" i="1"/>
  <c r="F150" i="1"/>
  <c r="K150" i="1"/>
  <c r="L150" i="1"/>
  <c r="D151" i="1"/>
  <c r="F151" i="1"/>
  <c r="K151" i="1"/>
  <c r="L151" i="1"/>
  <c r="D152" i="1"/>
  <c r="F152" i="1"/>
  <c r="K152" i="1"/>
  <c r="L152" i="1"/>
  <c r="D153" i="1"/>
  <c r="F153" i="1"/>
  <c r="K153" i="1"/>
  <c r="L153" i="1"/>
  <c r="D154" i="1"/>
  <c r="F154" i="1"/>
  <c r="K154" i="1"/>
  <c r="L154" i="1"/>
  <c r="D155" i="1"/>
  <c r="F155" i="1"/>
  <c r="K155" i="1"/>
  <c r="L155" i="1"/>
  <c r="D156" i="1"/>
  <c r="F156" i="1"/>
  <c r="K156" i="1"/>
  <c r="L156" i="1"/>
  <c r="D157" i="1"/>
  <c r="F157" i="1"/>
  <c r="K157" i="1"/>
  <c r="L157" i="1"/>
  <c r="D158" i="1"/>
  <c r="F158" i="1"/>
  <c r="K158" i="1"/>
  <c r="L158" i="1"/>
  <c r="D159" i="1"/>
  <c r="F159" i="1"/>
  <c r="K159" i="1"/>
  <c r="L159" i="1"/>
  <c r="D160" i="1"/>
  <c r="F160" i="1"/>
  <c r="K160" i="1"/>
  <c r="L160" i="1"/>
  <c r="D161" i="1"/>
  <c r="F161" i="1"/>
  <c r="K161" i="1"/>
  <c r="L161" i="1"/>
  <c r="D162" i="1"/>
  <c r="F162" i="1"/>
  <c r="K162" i="1"/>
  <c r="L162" i="1"/>
  <c r="D163" i="1"/>
  <c r="F163" i="1"/>
  <c r="K163" i="1"/>
  <c r="L163" i="1"/>
  <c r="D164" i="1"/>
  <c r="F164" i="1"/>
  <c r="K164" i="1"/>
  <c r="L164" i="1"/>
  <c r="D165" i="1"/>
  <c r="F165" i="1"/>
  <c r="K165" i="1"/>
  <c r="L165" i="1"/>
  <c r="D166" i="1"/>
  <c r="F166" i="1"/>
  <c r="K166" i="1"/>
  <c r="L166" i="1"/>
  <c r="D167" i="1"/>
  <c r="F167" i="1"/>
  <c r="K167" i="1"/>
  <c r="L167" i="1"/>
  <c r="D168" i="1"/>
  <c r="F168" i="1"/>
  <c r="K168" i="1"/>
  <c r="L168" i="1"/>
  <c r="D169" i="1"/>
  <c r="F169" i="1"/>
  <c r="K169" i="1"/>
  <c r="L169" i="1"/>
  <c r="D170" i="1"/>
  <c r="F170" i="1"/>
  <c r="K170" i="1"/>
  <c r="L170" i="1"/>
  <c r="D171" i="1"/>
  <c r="F171" i="1"/>
  <c r="K171" i="1"/>
  <c r="L171" i="1"/>
  <c r="D172" i="1"/>
  <c r="F172" i="1"/>
  <c r="K172" i="1"/>
  <c r="L172" i="1"/>
  <c r="D173" i="1"/>
  <c r="F173" i="1"/>
  <c r="K173" i="1"/>
  <c r="L173" i="1"/>
  <c r="D174" i="1"/>
  <c r="F174" i="1"/>
  <c r="K174" i="1"/>
  <c r="L174" i="1"/>
  <c r="D175" i="1"/>
  <c r="F175" i="1"/>
  <c r="K175" i="1"/>
  <c r="L175" i="1"/>
  <c r="D176" i="1"/>
  <c r="F176" i="1"/>
  <c r="K176" i="1"/>
  <c r="L176" i="1"/>
  <c r="D177" i="1"/>
  <c r="F177" i="1"/>
  <c r="K177" i="1"/>
  <c r="L177" i="1"/>
  <c r="D178" i="1"/>
  <c r="F178" i="1"/>
  <c r="K178" i="1"/>
  <c r="L178" i="1"/>
  <c r="D179" i="1"/>
  <c r="F179" i="1"/>
  <c r="K179" i="1"/>
  <c r="L179" i="1"/>
  <c r="D180" i="1"/>
  <c r="F180" i="1"/>
  <c r="K180" i="1"/>
  <c r="L180" i="1"/>
  <c r="D181" i="1"/>
  <c r="F181" i="1"/>
  <c r="K181" i="1"/>
  <c r="L181" i="1"/>
  <c r="D182" i="1"/>
  <c r="F182" i="1"/>
  <c r="K182" i="1"/>
  <c r="L182" i="1"/>
  <c r="D183" i="1"/>
  <c r="F183" i="1"/>
  <c r="K183" i="1"/>
  <c r="L183" i="1"/>
  <c r="D184" i="1"/>
  <c r="F184" i="1"/>
  <c r="K184" i="1"/>
  <c r="L184" i="1"/>
  <c r="D185" i="1"/>
  <c r="F185" i="1"/>
  <c r="K185" i="1"/>
  <c r="L185" i="1"/>
  <c r="D186" i="1"/>
  <c r="F186" i="1"/>
  <c r="K186" i="1"/>
  <c r="L186" i="1"/>
  <c r="D187" i="1"/>
  <c r="F187" i="1"/>
  <c r="K187" i="1"/>
  <c r="L187" i="1"/>
  <c r="D188" i="1"/>
  <c r="F188" i="1"/>
  <c r="K188" i="1"/>
  <c r="L188" i="1"/>
  <c r="D189" i="1"/>
  <c r="F189" i="1"/>
  <c r="K189" i="1"/>
  <c r="L189" i="1"/>
  <c r="D190" i="1"/>
  <c r="F190" i="1"/>
  <c r="K190" i="1"/>
  <c r="L190" i="1"/>
  <c r="D191" i="1"/>
  <c r="F191" i="1"/>
  <c r="K191" i="1"/>
  <c r="L191" i="1"/>
  <c r="D192" i="1"/>
  <c r="F192" i="1"/>
  <c r="K192" i="1"/>
  <c r="L192" i="1"/>
  <c r="D193" i="1"/>
  <c r="F193" i="1"/>
  <c r="K193" i="1"/>
  <c r="L193" i="1"/>
  <c r="D194" i="1"/>
  <c r="F194" i="1"/>
  <c r="K194" i="1"/>
  <c r="L194" i="1"/>
  <c r="D195" i="1"/>
  <c r="F195" i="1"/>
  <c r="K195" i="1"/>
  <c r="L195" i="1"/>
  <c r="D196" i="1"/>
  <c r="F196" i="1"/>
  <c r="K196" i="1"/>
  <c r="L196" i="1"/>
  <c r="D197" i="1"/>
  <c r="F197" i="1"/>
  <c r="K197" i="1"/>
  <c r="L197" i="1"/>
  <c r="D198" i="1"/>
  <c r="F198" i="1"/>
  <c r="K198" i="1"/>
  <c r="L198" i="1"/>
  <c r="D199" i="1"/>
  <c r="F199" i="1"/>
  <c r="K199" i="1"/>
  <c r="L199" i="1"/>
  <c r="D200" i="1"/>
  <c r="F200" i="1"/>
  <c r="K200" i="1"/>
  <c r="L200" i="1"/>
  <c r="D201" i="1"/>
  <c r="F201" i="1"/>
  <c r="K201" i="1"/>
  <c r="L201" i="1"/>
  <c r="D202" i="1"/>
  <c r="F202" i="1"/>
  <c r="K202" i="1"/>
  <c r="L202" i="1"/>
  <c r="D203" i="1"/>
  <c r="F203" i="1"/>
  <c r="K203" i="1"/>
  <c r="L203" i="1"/>
  <c r="D204" i="1"/>
  <c r="F204" i="1"/>
  <c r="K204" i="1"/>
  <c r="L204" i="1"/>
  <c r="D205" i="1"/>
  <c r="F205" i="1"/>
  <c r="K205" i="1"/>
  <c r="L205" i="1"/>
  <c r="D206" i="1"/>
  <c r="F206" i="1"/>
  <c r="K206" i="1"/>
  <c r="L206" i="1"/>
  <c r="D207" i="1"/>
  <c r="F207" i="1"/>
  <c r="K207" i="1"/>
  <c r="L207" i="1"/>
  <c r="D208" i="1"/>
  <c r="F208" i="1"/>
  <c r="K208" i="1"/>
  <c r="L208" i="1"/>
  <c r="D209" i="1"/>
  <c r="F209" i="1"/>
  <c r="K209" i="1"/>
  <c r="L209" i="1"/>
  <c r="D210" i="1"/>
  <c r="F210" i="1"/>
  <c r="K210" i="1"/>
  <c r="L210" i="1"/>
  <c r="D211" i="1"/>
  <c r="F211" i="1"/>
  <c r="K211" i="1"/>
  <c r="L211" i="1"/>
  <c r="D212" i="1"/>
  <c r="F212" i="1"/>
  <c r="K212" i="1"/>
  <c r="L212" i="1"/>
  <c r="D213" i="1"/>
  <c r="F213" i="1"/>
  <c r="K213" i="1"/>
  <c r="L213" i="1"/>
  <c r="D214" i="1"/>
  <c r="F214" i="1"/>
  <c r="K214" i="1"/>
  <c r="L214" i="1"/>
  <c r="D215" i="1"/>
  <c r="F215" i="1"/>
  <c r="K215" i="1"/>
  <c r="L215" i="1"/>
  <c r="D216" i="1"/>
  <c r="F216" i="1"/>
  <c r="K216" i="1"/>
  <c r="L216" i="1"/>
  <c r="D217" i="1"/>
  <c r="F217" i="1"/>
  <c r="K217" i="1"/>
  <c r="L217" i="1"/>
  <c r="D218" i="1"/>
  <c r="F218" i="1"/>
  <c r="K218" i="1"/>
  <c r="L218" i="1"/>
  <c r="D219" i="1"/>
  <c r="F219" i="1"/>
  <c r="K219" i="1"/>
  <c r="L219" i="1"/>
  <c r="D220" i="1"/>
  <c r="F220" i="1"/>
  <c r="K220" i="1"/>
  <c r="L220" i="1"/>
  <c r="D221" i="1"/>
  <c r="F221" i="1"/>
  <c r="K221" i="1"/>
  <c r="L221" i="1"/>
  <c r="D222" i="1"/>
  <c r="F222" i="1"/>
  <c r="K222" i="1"/>
  <c r="L222" i="1"/>
  <c r="D223" i="1"/>
  <c r="F223" i="1"/>
  <c r="K223" i="1"/>
  <c r="L223" i="1"/>
  <c r="D224" i="1"/>
  <c r="F224" i="1"/>
  <c r="K224" i="1"/>
  <c r="L224" i="1"/>
  <c r="D225" i="1"/>
  <c r="F225" i="1"/>
  <c r="K225" i="1"/>
  <c r="L225" i="1"/>
  <c r="D226" i="1"/>
  <c r="F226" i="1"/>
  <c r="K226" i="1"/>
  <c r="L226" i="1"/>
  <c r="D227" i="1"/>
  <c r="F227" i="1"/>
  <c r="K227" i="1"/>
  <c r="L227" i="1"/>
  <c r="D228" i="1"/>
  <c r="F228" i="1"/>
  <c r="K228" i="1"/>
  <c r="L228" i="1"/>
  <c r="D229" i="1"/>
  <c r="F229" i="1"/>
  <c r="K229" i="1"/>
  <c r="L229" i="1"/>
  <c r="D230" i="1"/>
  <c r="F230" i="1"/>
  <c r="K230" i="1"/>
  <c r="L230" i="1"/>
  <c r="D231" i="1"/>
  <c r="F231" i="1"/>
  <c r="K231" i="1"/>
  <c r="L231" i="1"/>
  <c r="D232" i="1"/>
  <c r="F232" i="1"/>
  <c r="K232" i="1"/>
  <c r="L232" i="1"/>
  <c r="D233" i="1"/>
  <c r="F233" i="1"/>
  <c r="K233" i="1"/>
  <c r="L233" i="1"/>
  <c r="D234" i="1"/>
  <c r="F234" i="1"/>
  <c r="K234" i="1"/>
  <c r="L234" i="1"/>
  <c r="D235" i="1"/>
  <c r="F235" i="1"/>
  <c r="K235" i="1"/>
  <c r="L235" i="1"/>
  <c r="D236" i="1"/>
  <c r="F236" i="1"/>
  <c r="K236" i="1"/>
  <c r="L236" i="1"/>
  <c r="D237" i="1"/>
  <c r="F237" i="1"/>
  <c r="K237" i="1"/>
  <c r="L237" i="1"/>
  <c r="D238" i="1"/>
  <c r="F238" i="1"/>
  <c r="K238" i="1"/>
  <c r="L238" i="1"/>
  <c r="D239" i="1"/>
  <c r="F239" i="1"/>
  <c r="K239" i="1"/>
  <c r="L239" i="1"/>
  <c r="D240" i="1"/>
  <c r="F240" i="1"/>
  <c r="K240" i="1"/>
  <c r="L240" i="1"/>
  <c r="D241" i="1"/>
  <c r="F241" i="1"/>
  <c r="K241" i="1"/>
  <c r="L241" i="1"/>
  <c r="D242" i="1"/>
  <c r="F242" i="1"/>
  <c r="K242" i="1"/>
  <c r="L242" i="1"/>
  <c r="D243" i="1"/>
  <c r="F243" i="1"/>
  <c r="K243" i="1"/>
  <c r="L243" i="1"/>
  <c r="D244" i="1"/>
  <c r="F244" i="1"/>
  <c r="K244" i="1"/>
  <c r="L244" i="1"/>
  <c r="D245" i="1"/>
  <c r="F245" i="1"/>
  <c r="K245" i="1"/>
  <c r="L245" i="1"/>
  <c r="D246" i="1"/>
  <c r="F246" i="1"/>
  <c r="K246" i="1"/>
  <c r="L246" i="1"/>
  <c r="D247" i="1"/>
  <c r="F247" i="1"/>
  <c r="K247" i="1"/>
  <c r="L247" i="1"/>
  <c r="D248" i="1"/>
  <c r="F248" i="1"/>
  <c r="K248" i="1"/>
  <c r="L248" i="1"/>
  <c r="D249" i="1"/>
  <c r="F249" i="1"/>
  <c r="K249" i="1"/>
  <c r="L249" i="1"/>
  <c r="D250" i="1"/>
  <c r="F250" i="1"/>
  <c r="K250" i="1"/>
  <c r="L250" i="1"/>
  <c r="D251" i="1"/>
  <c r="F251" i="1"/>
  <c r="K251" i="1"/>
  <c r="L251" i="1"/>
  <c r="D252" i="1"/>
  <c r="F252" i="1"/>
  <c r="K252" i="1"/>
  <c r="L252" i="1"/>
  <c r="D253" i="1"/>
  <c r="F253" i="1"/>
  <c r="K253" i="1"/>
  <c r="L253" i="1"/>
  <c r="D254" i="1"/>
  <c r="F254" i="1"/>
  <c r="K254" i="1"/>
  <c r="L254" i="1"/>
  <c r="D255" i="1"/>
  <c r="F255" i="1"/>
  <c r="K255" i="1"/>
  <c r="L255" i="1"/>
  <c r="D256" i="1"/>
  <c r="F256" i="1"/>
  <c r="K256" i="1"/>
  <c r="L256" i="1"/>
  <c r="D257" i="1"/>
  <c r="F257" i="1"/>
  <c r="K257" i="1"/>
  <c r="L257" i="1"/>
  <c r="D258" i="1"/>
  <c r="F258" i="1"/>
  <c r="K258" i="1"/>
  <c r="L258" i="1"/>
  <c r="D259" i="1"/>
  <c r="F259" i="1"/>
  <c r="K259" i="1"/>
  <c r="L259" i="1"/>
  <c r="D260" i="1"/>
  <c r="F260" i="1"/>
  <c r="K260" i="1"/>
  <c r="L260" i="1"/>
  <c r="D261" i="1"/>
  <c r="F261" i="1"/>
  <c r="K261" i="1"/>
  <c r="L261" i="1"/>
  <c r="D262" i="1"/>
  <c r="F262" i="1"/>
  <c r="K262" i="1"/>
  <c r="L262" i="1"/>
  <c r="D263" i="1"/>
  <c r="F263" i="1"/>
  <c r="K263" i="1"/>
  <c r="L263" i="1"/>
  <c r="D264" i="1"/>
  <c r="F264" i="1"/>
  <c r="K264" i="1"/>
  <c r="L264" i="1"/>
  <c r="D265" i="1"/>
  <c r="F265" i="1"/>
  <c r="K265" i="1"/>
  <c r="L265" i="1"/>
  <c r="D266" i="1"/>
  <c r="F266" i="1"/>
  <c r="K266" i="1"/>
  <c r="L266" i="1"/>
  <c r="D267" i="1"/>
  <c r="F267" i="1"/>
  <c r="K267" i="1"/>
  <c r="L267" i="1"/>
  <c r="D268" i="1"/>
  <c r="F268" i="1"/>
  <c r="K268" i="1"/>
  <c r="L268" i="1"/>
  <c r="D269" i="1"/>
  <c r="F269" i="1"/>
  <c r="K269" i="1"/>
  <c r="L269" i="1"/>
  <c r="D270" i="1"/>
  <c r="F270" i="1"/>
  <c r="K270" i="1"/>
  <c r="L270" i="1"/>
  <c r="D271" i="1"/>
  <c r="F271" i="1"/>
  <c r="K271" i="1"/>
  <c r="L271" i="1"/>
  <c r="D272" i="1"/>
  <c r="F272" i="1"/>
  <c r="K272" i="1"/>
  <c r="L272" i="1"/>
  <c r="D273" i="1"/>
  <c r="F273" i="1"/>
  <c r="K273" i="1"/>
  <c r="L273" i="1"/>
  <c r="D274" i="1"/>
  <c r="F274" i="1"/>
  <c r="K274" i="1"/>
  <c r="L274" i="1"/>
  <c r="D275" i="1"/>
  <c r="F275" i="1"/>
  <c r="K275" i="1"/>
  <c r="L275" i="1"/>
  <c r="D276" i="1"/>
  <c r="F276" i="1"/>
  <c r="K276" i="1"/>
  <c r="L276" i="1"/>
  <c r="D277" i="1"/>
  <c r="F277" i="1"/>
  <c r="K277" i="1"/>
  <c r="L277" i="1"/>
  <c r="D278" i="1"/>
  <c r="F278" i="1"/>
  <c r="K278" i="1"/>
  <c r="L278" i="1"/>
  <c r="D279" i="1"/>
  <c r="F279" i="1"/>
  <c r="K279" i="1"/>
  <c r="L279" i="1"/>
  <c r="D280" i="1"/>
  <c r="F280" i="1"/>
  <c r="K280" i="1"/>
  <c r="L280" i="1"/>
  <c r="D281" i="1"/>
  <c r="F281" i="1"/>
  <c r="K281" i="1"/>
  <c r="L281" i="1"/>
  <c r="D282" i="1"/>
  <c r="F282" i="1"/>
  <c r="K282" i="1"/>
  <c r="L282" i="1"/>
  <c r="D283" i="1"/>
  <c r="F283" i="1"/>
  <c r="K283" i="1"/>
  <c r="L283" i="1"/>
  <c r="D284" i="1"/>
  <c r="F284" i="1"/>
  <c r="K284" i="1"/>
  <c r="L284" i="1"/>
  <c r="D285" i="1"/>
  <c r="F285" i="1"/>
  <c r="K285" i="1"/>
  <c r="L285" i="1"/>
  <c r="D286" i="1"/>
  <c r="F286" i="1"/>
  <c r="K286" i="1"/>
  <c r="L286" i="1"/>
  <c r="D287" i="1"/>
  <c r="F287" i="1"/>
  <c r="K287" i="1"/>
  <c r="L287" i="1"/>
  <c r="D288" i="1"/>
  <c r="F288" i="1"/>
  <c r="K288" i="1"/>
  <c r="L288" i="1"/>
  <c r="D289" i="1"/>
  <c r="F289" i="1"/>
  <c r="K289" i="1"/>
  <c r="L289" i="1"/>
  <c r="D290" i="1"/>
  <c r="F290" i="1"/>
  <c r="K290" i="1"/>
  <c r="L290" i="1"/>
  <c r="D291" i="1"/>
  <c r="F291" i="1"/>
  <c r="K291" i="1"/>
  <c r="L291" i="1"/>
  <c r="D292" i="1"/>
  <c r="F292" i="1"/>
  <c r="K292" i="1"/>
  <c r="L292" i="1"/>
  <c r="D293" i="1"/>
  <c r="F293" i="1"/>
  <c r="K293" i="1"/>
  <c r="L293" i="1"/>
  <c r="D294" i="1"/>
  <c r="F294" i="1"/>
  <c r="K294" i="1"/>
  <c r="L294" i="1"/>
  <c r="D295" i="1"/>
  <c r="F295" i="1"/>
  <c r="K295" i="1"/>
  <c r="L295" i="1"/>
  <c r="D296" i="1"/>
  <c r="F296" i="1"/>
  <c r="K296" i="1"/>
  <c r="L296" i="1"/>
  <c r="D297" i="1"/>
  <c r="F297" i="1"/>
  <c r="K297" i="1"/>
  <c r="L297" i="1"/>
  <c r="D298" i="1"/>
  <c r="F298" i="1"/>
  <c r="K298" i="1"/>
  <c r="L298" i="1"/>
  <c r="D299" i="1"/>
  <c r="F299" i="1"/>
  <c r="K299" i="1"/>
  <c r="L299" i="1"/>
  <c r="D300" i="1"/>
  <c r="F300" i="1"/>
  <c r="K300" i="1"/>
  <c r="L300" i="1"/>
  <c r="D301" i="1"/>
  <c r="F301" i="1"/>
  <c r="K301" i="1"/>
  <c r="L301" i="1"/>
  <c r="D302" i="1"/>
  <c r="F302" i="1"/>
  <c r="K302" i="1"/>
  <c r="L302" i="1"/>
  <c r="D303" i="1"/>
  <c r="F303" i="1"/>
  <c r="K303" i="1"/>
  <c r="L303" i="1"/>
  <c r="D304" i="1"/>
  <c r="F304" i="1"/>
  <c r="K304" i="1"/>
  <c r="L304" i="1"/>
  <c r="D305" i="1"/>
  <c r="F305" i="1"/>
  <c r="K305" i="1"/>
  <c r="L305" i="1"/>
  <c r="D306" i="1"/>
  <c r="F306" i="1"/>
  <c r="K306" i="1"/>
  <c r="L306" i="1"/>
  <c r="D307" i="1"/>
  <c r="F307" i="1"/>
  <c r="K307" i="1"/>
  <c r="L307" i="1"/>
  <c r="D308" i="1"/>
  <c r="F308" i="1"/>
  <c r="K308" i="1"/>
  <c r="L308" i="1"/>
  <c r="D309" i="1"/>
  <c r="F309" i="1"/>
  <c r="K309" i="1"/>
  <c r="L309" i="1"/>
  <c r="D310" i="1"/>
  <c r="F310" i="1"/>
  <c r="K310" i="1"/>
  <c r="L310" i="1"/>
  <c r="D311" i="1"/>
  <c r="F311" i="1"/>
  <c r="K311" i="1"/>
  <c r="L311" i="1"/>
  <c r="D312" i="1"/>
  <c r="F312" i="1"/>
  <c r="K312" i="1"/>
  <c r="L312" i="1"/>
  <c r="D313" i="1"/>
  <c r="F313" i="1"/>
  <c r="K313" i="1"/>
  <c r="L313" i="1"/>
  <c r="D314" i="1"/>
  <c r="F314" i="1"/>
  <c r="K314" i="1"/>
  <c r="L314" i="1"/>
  <c r="D315" i="1"/>
  <c r="F315" i="1"/>
  <c r="K315" i="1"/>
  <c r="L315" i="1"/>
  <c r="D316" i="1"/>
  <c r="F316" i="1"/>
  <c r="K316" i="1"/>
  <c r="L316" i="1"/>
  <c r="D317" i="1"/>
  <c r="F317" i="1"/>
  <c r="K317" i="1"/>
  <c r="L317" i="1"/>
  <c r="D318" i="1"/>
  <c r="F318" i="1"/>
  <c r="K318" i="1"/>
  <c r="L318" i="1"/>
  <c r="D319" i="1"/>
  <c r="F319" i="1"/>
  <c r="K319" i="1"/>
  <c r="L319" i="1"/>
  <c r="D320" i="1"/>
  <c r="F320" i="1"/>
  <c r="K320" i="1"/>
  <c r="L320" i="1"/>
  <c r="D321" i="1"/>
  <c r="F321" i="1"/>
  <c r="K321" i="1"/>
  <c r="L321" i="1"/>
  <c r="D322" i="1"/>
  <c r="F322" i="1"/>
  <c r="K322" i="1"/>
  <c r="L322" i="1"/>
  <c r="D323" i="1"/>
  <c r="F323" i="1"/>
  <c r="K323" i="1"/>
  <c r="L323" i="1"/>
  <c r="D324" i="1"/>
  <c r="F324" i="1"/>
  <c r="K324" i="1"/>
  <c r="L324" i="1"/>
  <c r="D325" i="1"/>
  <c r="F325" i="1"/>
  <c r="K325" i="1"/>
  <c r="L325" i="1"/>
  <c r="D326" i="1"/>
  <c r="F326" i="1"/>
  <c r="K326" i="1"/>
  <c r="L326" i="1"/>
  <c r="D327" i="1"/>
  <c r="F327" i="1"/>
  <c r="K327" i="1"/>
  <c r="L327" i="1"/>
  <c r="D328" i="1"/>
  <c r="F328" i="1"/>
  <c r="K328" i="1"/>
  <c r="L328" i="1"/>
  <c r="D329" i="1"/>
  <c r="F329" i="1"/>
  <c r="K329" i="1"/>
  <c r="L329" i="1"/>
  <c r="D330" i="1"/>
  <c r="F330" i="1"/>
  <c r="K330" i="1"/>
  <c r="L330" i="1"/>
  <c r="D331" i="1"/>
  <c r="F331" i="1"/>
  <c r="K331" i="1"/>
  <c r="L331" i="1"/>
  <c r="D332" i="1"/>
  <c r="F332" i="1"/>
  <c r="K332" i="1"/>
  <c r="L332" i="1"/>
  <c r="D333" i="1"/>
  <c r="F333" i="1"/>
  <c r="K333" i="1"/>
  <c r="L333" i="1"/>
  <c r="D334" i="1"/>
  <c r="F334" i="1"/>
  <c r="K334" i="1"/>
  <c r="L334" i="1"/>
  <c r="D335" i="1"/>
  <c r="F335" i="1"/>
  <c r="K335" i="1"/>
  <c r="L335" i="1"/>
  <c r="D336" i="1"/>
  <c r="F336" i="1"/>
  <c r="K336" i="1"/>
  <c r="L336" i="1"/>
  <c r="D337" i="1"/>
  <c r="F337" i="1"/>
  <c r="K337" i="1"/>
  <c r="L337" i="1"/>
  <c r="D338" i="1"/>
  <c r="F338" i="1"/>
  <c r="K338" i="1"/>
  <c r="L338" i="1"/>
  <c r="D339" i="1"/>
  <c r="F339" i="1"/>
  <c r="K339" i="1"/>
  <c r="L339" i="1"/>
  <c r="D340" i="1"/>
  <c r="F340" i="1"/>
  <c r="K340" i="1"/>
  <c r="L340" i="1"/>
  <c r="D341" i="1"/>
  <c r="F341" i="1"/>
  <c r="K341" i="1"/>
  <c r="L341" i="1"/>
  <c r="D342" i="1"/>
  <c r="F342" i="1"/>
  <c r="K342" i="1"/>
  <c r="L342" i="1"/>
  <c r="D343" i="1"/>
  <c r="F343" i="1"/>
  <c r="K343" i="1"/>
  <c r="L343" i="1"/>
  <c r="D344" i="1"/>
  <c r="F344" i="1"/>
  <c r="K344" i="1"/>
  <c r="L344" i="1"/>
  <c r="D345" i="1"/>
  <c r="F345" i="1"/>
  <c r="K345" i="1"/>
  <c r="L345" i="1"/>
  <c r="D346" i="1"/>
  <c r="F346" i="1"/>
  <c r="K346" i="1"/>
  <c r="L346" i="1"/>
  <c r="D347" i="1"/>
  <c r="F347" i="1"/>
  <c r="K347" i="1"/>
  <c r="L347" i="1"/>
  <c r="D348" i="1"/>
  <c r="F348" i="1"/>
  <c r="K348" i="1"/>
  <c r="L348" i="1"/>
  <c r="D349" i="1"/>
  <c r="F349" i="1"/>
  <c r="K349" i="1"/>
  <c r="L349" i="1"/>
  <c r="D350" i="1"/>
  <c r="F350" i="1"/>
  <c r="K350" i="1"/>
  <c r="L350" i="1"/>
  <c r="D351" i="1"/>
  <c r="F351" i="1"/>
  <c r="K351" i="1"/>
  <c r="L351" i="1"/>
  <c r="D352" i="1"/>
  <c r="F352" i="1"/>
  <c r="K352" i="1"/>
  <c r="L352" i="1"/>
  <c r="D353" i="1"/>
  <c r="F353" i="1"/>
  <c r="K353" i="1"/>
  <c r="L353" i="1"/>
  <c r="D354" i="1"/>
  <c r="F354" i="1"/>
  <c r="K354" i="1"/>
  <c r="L354" i="1"/>
  <c r="D355" i="1"/>
  <c r="F355" i="1"/>
  <c r="K355" i="1"/>
  <c r="L355" i="1"/>
  <c r="D356" i="1"/>
  <c r="F356" i="1"/>
  <c r="K356" i="1"/>
  <c r="L356" i="1"/>
  <c r="D357" i="1"/>
  <c r="F357" i="1"/>
  <c r="K357" i="1"/>
  <c r="L357" i="1"/>
  <c r="D358" i="1"/>
  <c r="F358" i="1"/>
  <c r="K358" i="1"/>
  <c r="L358" i="1"/>
  <c r="D359" i="1"/>
  <c r="F359" i="1"/>
  <c r="K359" i="1"/>
  <c r="L359" i="1"/>
  <c r="D360" i="1"/>
  <c r="F360" i="1"/>
  <c r="K360" i="1"/>
  <c r="L360" i="1"/>
  <c r="D361" i="1"/>
  <c r="F361" i="1"/>
  <c r="K361" i="1"/>
  <c r="L361" i="1"/>
  <c r="D362" i="1"/>
  <c r="F362" i="1"/>
  <c r="K362" i="1"/>
  <c r="L362" i="1"/>
  <c r="D363" i="1"/>
  <c r="F363" i="1"/>
  <c r="K363" i="1"/>
  <c r="L363" i="1"/>
  <c r="D364" i="1"/>
  <c r="F364" i="1"/>
  <c r="K364" i="1"/>
  <c r="L364" i="1"/>
  <c r="D365" i="1"/>
  <c r="F365" i="1"/>
  <c r="K365" i="1"/>
  <c r="L365" i="1"/>
  <c r="D366" i="1"/>
  <c r="F366" i="1"/>
  <c r="K366" i="1"/>
  <c r="L366" i="1"/>
  <c r="D367" i="1"/>
  <c r="F367" i="1"/>
  <c r="K367" i="1"/>
  <c r="L367" i="1"/>
  <c r="D368" i="1"/>
  <c r="F368" i="1"/>
  <c r="K368" i="1"/>
  <c r="L368" i="1"/>
  <c r="D369" i="1"/>
  <c r="F369" i="1"/>
  <c r="K369" i="1"/>
  <c r="L369" i="1"/>
  <c r="D370" i="1"/>
  <c r="F370" i="1"/>
  <c r="K370" i="1"/>
  <c r="L370" i="1"/>
  <c r="D371" i="1"/>
  <c r="F371" i="1"/>
  <c r="K371" i="1"/>
  <c r="L371" i="1"/>
  <c r="D372" i="1"/>
  <c r="F372" i="1"/>
  <c r="K372" i="1"/>
  <c r="L372" i="1"/>
  <c r="D373" i="1"/>
  <c r="F373" i="1"/>
  <c r="K373" i="1"/>
  <c r="L373" i="1"/>
  <c r="D374" i="1"/>
  <c r="F374" i="1"/>
  <c r="K374" i="1"/>
  <c r="L374" i="1"/>
  <c r="D375" i="1"/>
  <c r="F375" i="1"/>
  <c r="K375" i="1"/>
  <c r="L375" i="1"/>
  <c r="D376" i="1"/>
  <c r="F376" i="1"/>
  <c r="K376" i="1"/>
  <c r="L376" i="1"/>
  <c r="D377" i="1"/>
  <c r="F377" i="1"/>
  <c r="K377" i="1"/>
  <c r="L377" i="1"/>
  <c r="D378" i="1"/>
  <c r="F378" i="1"/>
  <c r="K378" i="1"/>
  <c r="L378" i="1"/>
  <c r="D379" i="1"/>
  <c r="F379" i="1"/>
  <c r="K379" i="1"/>
  <c r="L379" i="1"/>
  <c r="D380" i="1"/>
  <c r="F380" i="1"/>
  <c r="K380" i="1"/>
  <c r="L380" i="1"/>
  <c r="D381" i="1"/>
  <c r="F381" i="1"/>
  <c r="K381" i="1"/>
  <c r="L381" i="1"/>
  <c r="D382" i="1"/>
  <c r="F382" i="1"/>
  <c r="K382" i="1"/>
  <c r="L382" i="1"/>
  <c r="D383" i="1"/>
  <c r="F383" i="1"/>
  <c r="K383" i="1"/>
  <c r="L383" i="1"/>
  <c r="D384" i="1"/>
  <c r="F384" i="1"/>
  <c r="K384" i="1"/>
  <c r="L384" i="1"/>
  <c r="D385" i="1"/>
  <c r="F385" i="1"/>
  <c r="K385" i="1"/>
  <c r="L385" i="1"/>
  <c r="D386" i="1"/>
  <c r="F386" i="1"/>
  <c r="K386" i="1"/>
  <c r="L386" i="1"/>
  <c r="D387" i="1"/>
  <c r="F387" i="1"/>
  <c r="K387" i="1"/>
  <c r="L387" i="1"/>
  <c r="D388" i="1"/>
  <c r="F388" i="1"/>
  <c r="K388" i="1"/>
  <c r="L388" i="1"/>
  <c r="D389" i="1"/>
  <c r="F389" i="1"/>
  <c r="K389" i="1"/>
  <c r="L389" i="1"/>
  <c r="D390" i="1"/>
  <c r="F390" i="1"/>
  <c r="K390" i="1"/>
  <c r="L390" i="1"/>
  <c r="D391" i="1"/>
  <c r="F391" i="1"/>
  <c r="K391" i="1"/>
  <c r="L391" i="1"/>
  <c r="D392" i="1"/>
  <c r="F392" i="1"/>
  <c r="K392" i="1"/>
  <c r="L392" i="1"/>
  <c r="D393" i="1"/>
  <c r="F393" i="1"/>
  <c r="K393" i="1"/>
  <c r="L393" i="1"/>
  <c r="D394" i="1"/>
  <c r="F394" i="1"/>
  <c r="K394" i="1"/>
  <c r="L394" i="1"/>
  <c r="D395" i="1"/>
  <c r="F395" i="1"/>
  <c r="K395" i="1"/>
  <c r="L395" i="1"/>
  <c r="D396" i="1"/>
  <c r="F396" i="1"/>
  <c r="K396" i="1"/>
  <c r="L396" i="1"/>
  <c r="D397" i="1"/>
  <c r="F397" i="1"/>
  <c r="K397" i="1"/>
  <c r="L397" i="1"/>
  <c r="D398" i="1"/>
  <c r="F398" i="1"/>
  <c r="K398" i="1"/>
  <c r="L398" i="1"/>
  <c r="D399" i="1"/>
  <c r="F399" i="1"/>
  <c r="K399" i="1"/>
  <c r="L399" i="1"/>
  <c r="D400" i="1"/>
  <c r="F400" i="1"/>
  <c r="K400" i="1"/>
  <c r="L400" i="1"/>
  <c r="D401" i="1"/>
  <c r="F401" i="1"/>
  <c r="K401" i="1"/>
  <c r="L401" i="1"/>
  <c r="D402" i="1"/>
  <c r="F402" i="1"/>
  <c r="K402" i="1"/>
  <c r="L402" i="1"/>
  <c r="D403" i="1"/>
  <c r="F403" i="1"/>
  <c r="K403" i="1"/>
  <c r="L403" i="1"/>
  <c r="D404" i="1"/>
  <c r="F404" i="1"/>
  <c r="K404" i="1"/>
  <c r="L404" i="1"/>
  <c r="D405" i="1"/>
  <c r="F405" i="1"/>
  <c r="K405" i="1"/>
  <c r="L405" i="1"/>
  <c r="D406" i="1"/>
  <c r="F406" i="1"/>
  <c r="K406" i="1"/>
  <c r="L406" i="1"/>
  <c r="D407" i="1"/>
  <c r="F407" i="1"/>
  <c r="K407" i="1"/>
  <c r="L407" i="1"/>
  <c r="D408" i="1"/>
  <c r="F408" i="1"/>
  <c r="K408" i="1"/>
  <c r="L408" i="1"/>
  <c r="D409" i="1"/>
  <c r="F409" i="1"/>
  <c r="K409" i="1"/>
  <c r="L409" i="1"/>
  <c r="D410" i="1"/>
  <c r="F410" i="1"/>
  <c r="K410" i="1"/>
  <c r="L410" i="1"/>
  <c r="D411" i="1"/>
  <c r="F411" i="1"/>
  <c r="K411" i="1"/>
  <c r="L411" i="1"/>
  <c r="D412" i="1"/>
  <c r="F412" i="1"/>
  <c r="K412" i="1"/>
  <c r="L412" i="1"/>
  <c r="D413" i="1"/>
  <c r="F413" i="1"/>
  <c r="K413" i="1"/>
  <c r="L413" i="1"/>
  <c r="D414" i="1"/>
  <c r="F414" i="1"/>
  <c r="K414" i="1"/>
  <c r="L414" i="1"/>
  <c r="D415" i="1"/>
  <c r="F415" i="1"/>
  <c r="K415" i="1"/>
  <c r="L415" i="1"/>
  <c r="D416" i="1"/>
  <c r="F416" i="1"/>
  <c r="K416" i="1"/>
  <c r="L416" i="1"/>
  <c r="D417" i="1"/>
  <c r="F417" i="1"/>
  <c r="K417" i="1"/>
  <c r="L417" i="1"/>
  <c r="D418" i="1"/>
  <c r="F418" i="1"/>
  <c r="K418" i="1"/>
  <c r="L418" i="1"/>
  <c r="D419" i="1"/>
  <c r="F419" i="1"/>
  <c r="K419" i="1"/>
  <c r="L419" i="1"/>
  <c r="D420" i="1"/>
  <c r="F420" i="1"/>
  <c r="K420" i="1"/>
  <c r="L420" i="1"/>
  <c r="D421" i="1"/>
  <c r="F421" i="1"/>
  <c r="K421" i="1"/>
  <c r="L421" i="1"/>
  <c r="D422" i="1"/>
  <c r="F422" i="1"/>
  <c r="K422" i="1"/>
  <c r="L422" i="1"/>
  <c r="D423" i="1"/>
  <c r="F423" i="1"/>
  <c r="K423" i="1"/>
  <c r="L423" i="1"/>
  <c r="D424" i="1"/>
  <c r="F424" i="1"/>
  <c r="K424" i="1"/>
  <c r="L424" i="1"/>
  <c r="D425" i="1"/>
  <c r="F425" i="1"/>
  <c r="K425" i="1"/>
  <c r="L425" i="1"/>
  <c r="D426" i="1"/>
  <c r="F426" i="1"/>
  <c r="K426" i="1"/>
  <c r="L426" i="1"/>
  <c r="D427" i="1"/>
  <c r="F427" i="1"/>
  <c r="K427" i="1"/>
  <c r="L427" i="1"/>
  <c r="D428" i="1"/>
  <c r="F428" i="1"/>
  <c r="K428" i="1"/>
  <c r="L428" i="1"/>
  <c r="D429" i="1"/>
  <c r="F429" i="1"/>
  <c r="K429" i="1"/>
  <c r="L429" i="1"/>
  <c r="D430" i="1"/>
  <c r="F430" i="1"/>
  <c r="K430" i="1"/>
  <c r="L430" i="1"/>
  <c r="D431" i="1"/>
  <c r="F431" i="1"/>
  <c r="K431" i="1"/>
  <c r="L431" i="1"/>
  <c r="D432" i="1"/>
  <c r="F432" i="1"/>
  <c r="K432" i="1"/>
  <c r="L432" i="1"/>
  <c r="D433" i="1"/>
  <c r="F433" i="1"/>
  <c r="K433" i="1"/>
  <c r="L433" i="1"/>
  <c r="D434" i="1"/>
  <c r="F434" i="1"/>
  <c r="K434" i="1"/>
  <c r="L434" i="1"/>
  <c r="D435" i="1"/>
  <c r="F435" i="1"/>
  <c r="K435" i="1"/>
  <c r="L435" i="1"/>
  <c r="D436" i="1"/>
  <c r="F436" i="1"/>
  <c r="K436" i="1"/>
  <c r="L436" i="1"/>
  <c r="D437" i="1"/>
  <c r="F437" i="1"/>
  <c r="K437" i="1"/>
  <c r="L437" i="1"/>
  <c r="D438" i="1"/>
  <c r="F438" i="1"/>
  <c r="K438" i="1"/>
  <c r="L438" i="1"/>
  <c r="D439" i="1"/>
  <c r="F439" i="1"/>
  <c r="K439" i="1"/>
  <c r="L439" i="1"/>
  <c r="D440" i="1"/>
  <c r="F440" i="1"/>
  <c r="K440" i="1"/>
  <c r="L440" i="1"/>
  <c r="D441" i="1"/>
  <c r="F441" i="1"/>
  <c r="K441" i="1"/>
  <c r="L441" i="1"/>
  <c r="D442" i="1"/>
  <c r="F442" i="1"/>
  <c r="K442" i="1"/>
  <c r="L442" i="1"/>
  <c r="D443" i="1"/>
  <c r="F443" i="1"/>
  <c r="K443" i="1"/>
  <c r="L443" i="1"/>
  <c r="D444" i="1"/>
  <c r="F444" i="1"/>
  <c r="K444" i="1"/>
  <c r="L444" i="1"/>
  <c r="D445" i="1"/>
  <c r="F445" i="1"/>
  <c r="K445" i="1"/>
  <c r="L445" i="1"/>
  <c r="D446" i="1"/>
  <c r="F446" i="1"/>
  <c r="K446" i="1"/>
  <c r="L446" i="1"/>
  <c r="D447" i="1"/>
  <c r="F447" i="1"/>
  <c r="K447" i="1"/>
  <c r="L447" i="1"/>
  <c r="D448" i="1"/>
  <c r="F448" i="1"/>
  <c r="K448" i="1"/>
  <c r="L448" i="1"/>
  <c r="D449" i="1"/>
  <c r="F449" i="1"/>
  <c r="K449" i="1"/>
  <c r="L449" i="1"/>
  <c r="D450" i="1"/>
  <c r="F450" i="1"/>
  <c r="K450" i="1"/>
  <c r="L450" i="1"/>
  <c r="D451" i="1"/>
  <c r="F451" i="1"/>
  <c r="K451" i="1"/>
  <c r="L451" i="1"/>
  <c r="D452" i="1"/>
  <c r="F452" i="1"/>
  <c r="K452" i="1"/>
  <c r="L452" i="1"/>
  <c r="D453" i="1"/>
  <c r="F453" i="1"/>
  <c r="K453" i="1"/>
  <c r="L453" i="1"/>
  <c r="D454" i="1"/>
  <c r="F454" i="1"/>
  <c r="K454" i="1"/>
  <c r="L454" i="1"/>
  <c r="D455" i="1"/>
  <c r="F455" i="1"/>
  <c r="K455" i="1"/>
  <c r="L455" i="1"/>
  <c r="D456" i="1"/>
  <c r="F456" i="1"/>
  <c r="K456" i="1"/>
  <c r="L456" i="1"/>
  <c r="D457" i="1"/>
  <c r="F457" i="1"/>
  <c r="K457" i="1"/>
  <c r="L457" i="1"/>
  <c r="D458" i="1"/>
  <c r="F458" i="1"/>
  <c r="K458" i="1"/>
  <c r="L458" i="1"/>
  <c r="D459" i="1"/>
  <c r="F459" i="1"/>
  <c r="K459" i="1"/>
  <c r="L459" i="1"/>
  <c r="D460" i="1"/>
  <c r="F460" i="1"/>
  <c r="K460" i="1"/>
  <c r="L460" i="1"/>
  <c r="D461" i="1"/>
  <c r="F461" i="1"/>
  <c r="K461" i="1"/>
  <c r="L461" i="1"/>
  <c r="D462" i="1"/>
  <c r="F462" i="1"/>
  <c r="K462" i="1"/>
  <c r="L462" i="1"/>
  <c r="D463" i="1"/>
  <c r="F463" i="1"/>
  <c r="K463" i="1"/>
  <c r="L463" i="1"/>
  <c r="D464" i="1"/>
  <c r="F464" i="1"/>
  <c r="K464" i="1"/>
  <c r="L464" i="1"/>
  <c r="D465" i="1"/>
  <c r="F465" i="1"/>
  <c r="K465" i="1"/>
  <c r="L465" i="1"/>
  <c r="D466" i="1"/>
  <c r="F466" i="1"/>
  <c r="K466" i="1"/>
  <c r="L466" i="1"/>
  <c r="D467" i="1"/>
  <c r="F467" i="1"/>
  <c r="K467" i="1"/>
  <c r="L467" i="1"/>
  <c r="D468" i="1"/>
  <c r="F468" i="1"/>
  <c r="K468" i="1"/>
  <c r="L468" i="1"/>
  <c r="D469" i="1"/>
  <c r="F469" i="1"/>
  <c r="K469" i="1"/>
  <c r="L469" i="1"/>
  <c r="D470" i="1"/>
  <c r="F470" i="1"/>
  <c r="K470" i="1"/>
  <c r="L470" i="1"/>
  <c r="D471" i="1"/>
  <c r="F471" i="1"/>
  <c r="K471" i="1"/>
  <c r="L471" i="1"/>
  <c r="D472" i="1"/>
  <c r="F472" i="1"/>
  <c r="K472" i="1"/>
  <c r="L472" i="1"/>
  <c r="D473" i="1"/>
  <c r="F473" i="1"/>
  <c r="K473" i="1"/>
  <c r="L473" i="1"/>
  <c r="D474" i="1"/>
  <c r="F474" i="1"/>
  <c r="K474" i="1"/>
  <c r="L474" i="1"/>
  <c r="D475" i="1"/>
  <c r="F475" i="1"/>
  <c r="K475" i="1"/>
  <c r="L475" i="1"/>
  <c r="D476" i="1"/>
  <c r="F476" i="1"/>
  <c r="K476" i="1"/>
  <c r="L476" i="1"/>
  <c r="D477" i="1"/>
  <c r="F477" i="1"/>
  <c r="K477" i="1"/>
  <c r="L477" i="1"/>
  <c r="D478" i="1"/>
  <c r="F478" i="1"/>
  <c r="K478" i="1"/>
  <c r="L478" i="1"/>
  <c r="D479" i="1"/>
  <c r="F479" i="1"/>
  <c r="K479" i="1"/>
  <c r="L479" i="1"/>
  <c r="D480" i="1"/>
  <c r="F480" i="1"/>
  <c r="K480" i="1"/>
  <c r="L480" i="1"/>
  <c r="D481" i="1"/>
  <c r="F481" i="1"/>
  <c r="K481" i="1"/>
  <c r="L481" i="1"/>
  <c r="D482" i="1"/>
  <c r="F482" i="1"/>
  <c r="K482" i="1"/>
  <c r="L482" i="1"/>
  <c r="D483" i="1"/>
  <c r="F483" i="1"/>
  <c r="K483" i="1"/>
  <c r="L483" i="1"/>
  <c r="D484" i="1"/>
  <c r="F484" i="1"/>
  <c r="K484" i="1"/>
  <c r="L484" i="1"/>
  <c r="D485" i="1"/>
  <c r="F485" i="1"/>
  <c r="K485" i="1"/>
  <c r="L485" i="1"/>
  <c r="D486" i="1"/>
  <c r="F486" i="1"/>
  <c r="K486" i="1"/>
  <c r="L486" i="1"/>
  <c r="D487" i="1"/>
  <c r="F487" i="1"/>
  <c r="K487" i="1"/>
  <c r="L487" i="1"/>
  <c r="D488" i="1"/>
  <c r="F488" i="1"/>
  <c r="K488" i="1"/>
  <c r="L488" i="1"/>
  <c r="D489" i="1"/>
  <c r="F489" i="1"/>
  <c r="K489" i="1"/>
  <c r="L489" i="1"/>
  <c r="D490" i="1"/>
  <c r="F490" i="1"/>
  <c r="K490" i="1"/>
  <c r="L490" i="1"/>
  <c r="D491" i="1"/>
  <c r="F491" i="1"/>
  <c r="K491" i="1"/>
  <c r="L491" i="1"/>
  <c r="D492" i="1"/>
  <c r="F492" i="1"/>
  <c r="K492" i="1"/>
  <c r="L492" i="1"/>
  <c r="D493" i="1"/>
  <c r="F493" i="1"/>
  <c r="K493" i="1"/>
  <c r="L493" i="1"/>
  <c r="D494" i="1"/>
  <c r="F494" i="1"/>
  <c r="K494" i="1"/>
  <c r="L494" i="1"/>
  <c r="D495" i="1"/>
  <c r="F495" i="1"/>
  <c r="K495" i="1"/>
  <c r="L495" i="1"/>
  <c r="D496" i="1"/>
  <c r="F496" i="1"/>
  <c r="K496" i="1"/>
  <c r="L496" i="1"/>
  <c r="D497" i="1"/>
  <c r="F497" i="1"/>
  <c r="K497" i="1"/>
  <c r="L497" i="1"/>
  <c r="D498" i="1"/>
  <c r="F498" i="1"/>
  <c r="K498" i="1"/>
  <c r="L498" i="1"/>
  <c r="D499" i="1"/>
  <c r="F499" i="1"/>
  <c r="K499" i="1"/>
  <c r="L499" i="1"/>
  <c r="D500" i="1"/>
  <c r="F500" i="1"/>
  <c r="K500" i="1"/>
  <c r="L500" i="1"/>
  <c r="D501" i="1"/>
  <c r="F501" i="1"/>
  <c r="K501" i="1"/>
  <c r="L501" i="1"/>
  <c r="D502" i="1"/>
  <c r="F502" i="1"/>
  <c r="K502" i="1"/>
  <c r="L502" i="1"/>
  <c r="D503" i="1"/>
  <c r="F503" i="1"/>
  <c r="K503" i="1"/>
  <c r="L503" i="1"/>
  <c r="D504" i="1"/>
  <c r="F504" i="1"/>
  <c r="K504" i="1"/>
  <c r="L504" i="1"/>
  <c r="D505" i="1"/>
  <c r="F505" i="1"/>
  <c r="K505" i="1"/>
  <c r="L505" i="1"/>
  <c r="D506" i="1"/>
  <c r="F506" i="1"/>
  <c r="K506" i="1"/>
  <c r="L506" i="1"/>
  <c r="D507" i="1"/>
  <c r="F507" i="1"/>
  <c r="K507" i="1"/>
  <c r="L507" i="1"/>
  <c r="D508" i="1"/>
  <c r="F508" i="1"/>
  <c r="K508" i="1"/>
  <c r="L508" i="1"/>
  <c r="D509" i="1"/>
  <c r="F509" i="1"/>
  <c r="K509" i="1"/>
  <c r="L509" i="1"/>
  <c r="D510" i="1"/>
  <c r="F510" i="1"/>
  <c r="K510" i="1"/>
  <c r="L510" i="1"/>
  <c r="D511" i="1"/>
  <c r="F511" i="1"/>
  <c r="K511" i="1"/>
  <c r="L511" i="1"/>
  <c r="D512" i="1"/>
  <c r="F512" i="1"/>
  <c r="K512" i="1"/>
  <c r="L512" i="1"/>
  <c r="D513" i="1"/>
  <c r="F513" i="1"/>
  <c r="K513" i="1"/>
  <c r="L513" i="1"/>
  <c r="D514" i="1"/>
  <c r="F514" i="1"/>
  <c r="K514" i="1"/>
  <c r="L514" i="1"/>
  <c r="D515" i="1"/>
  <c r="F515" i="1"/>
  <c r="K515" i="1"/>
  <c r="L515" i="1"/>
  <c r="D516" i="1"/>
  <c r="F516" i="1"/>
  <c r="K516" i="1"/>
  <c r="L516" i="1"/>
  <c r="D517" i="1"/>
  <c r="F517" i="1"/>
  <c r="K517" i="1"/>
  <c r="L517" i="1"/>
  <c r="D518" i="1"/>
  <c r="F518" i="1"/>
  <c r="K518" i="1"/>
  <c r="L518" i="1"/>
  <c r="D519" i="1"/>
  <c r="F519" i="1"/>
  <c r="K519" i="1"/>
  <c r="L519" i="1"/>
  <c r="D520" i="1"/>
  <c r="F520" i="1"/>
  <c r="K520" i="1"/>
  <c r="L520" i="1"/>
  <c r="D521" i="1"/>
  <c r="F521" i="1"/>
  <c r="K521" i="1"/>
  <c r="L521" i="1"/>
  <c r="D522" i="1"/>
  <c r="F522" i="1"/>
  <c r="K522" i="1"/>
  <c r="L522" i="1"/>
  <c r="D523" i="1"/>
  <c r="F523" i="1"/>
  <c r="K523" i="1"/>
  <c r="L523" i="1"/>
  <c r="D524" i="1"/>
  <c r="F524" i="1"/>
  <c r="K524" i="1"/>
  <c r="L524" i="1"/>
  <c r="D525" i="1"/>
  <c r="F525" i="1"/>
  <c r="K525" i="1"/>
  <c r="L525" i="1"/>
  <c r="D526" i="1"/>
  <c r="F526" i="1"/>
  <c r="K526" i="1"/>
  <c r="L526" i="1"/>
  <c r="D527" i="1"/>
  <c r="F527" i="1"/>
  <c r="K527" i="1"/>
  <c r="L527" i="1"/>
  <c r="D528" i="1"/>
  <c r="F528" i="1"/>
  <c r="K528" i="1"/>
  <c r="L528" i="1"/>
  <c r="D529" i="1"/>
  <c r="F529" i="1"/>
  <c r="K529" i="1"/>
  <c r="L529" i="1"/>
  <c r="D530" i="1"/>
  <c r="F530" i="1"/>
  <c r="K530" i="1"/>
  <c r="L530" i="1"/>
  <c r="D531" i="1"/>
  <c r="F531" i="1"/>
  <c r="K531" i="1"/>
  <c r="L531" i="1"/>
  <c r="D532" i="1"/>
  <c r="F532" i="1"/>
  <c r="K532" i="1"/>
  <c r="L532" i="1"/>
  <c r="D533" i="1"/>
  <c r="F533" i="1"/>
  <c r="K533" i="1"/>
  <c r="L533" i="1"/>
  <c r="D534" i="1"/>
  <c r="F534" i="1"/>
  <c r="K534" i="1"/>
  <c r="L534" i="1"/>
  <c r="D535" i="1"/>
  <c r="F535" i="1"/>
  <c r="K535" i="1"/>
  <c r="L535" i="1"/>
  <c r="D536" i="1"/>
  <c r="F536" i="1"/>
  <c r="K536" i="1"/>
  <c r="L536" i="1"/>
  <c r="D537" i="1"/>
  <c r="F537" i="1"/>
  <c r="K537" i="1"/>
  <c r="L537" i="1"/>
  <c r="D538" i="1"/>
  <c r="F538" i="1"/>
  <c r="K538" i="1"/>
  <c r="L538" i="1"/>
  <c r="D539" i="1"/>
  <c r="F539" i="1"/>
  <c r="K539" i="1"/>
  <c r="L539" i="1"/>
  <c r="D540" i="1"/>
  <c r="F540" i="1"/>
  <c r="K540" i="1"/>
  <c r="L540" i="1"/>
  <c r="D541" i="1"/>
  <c r="F541" i="1"/>
  <c r="K541" i="1"/>
  <c r="L541" i="1"/>
  <c r="D542" i="1"/>
  <c r="F542" i="1"/>
  <c r="K542" i="1"/>
  <c r="L542" i="1"/>
  <c r="D543" i="1"/>
  <c r="F543" i="1"/>
  <c r="K543" i="1"/>
  <c r="L543" i="1"/>
  <c r="D544" i="1"/>
  <c r="F544" i="1"/>
  <c r="K544" i="1"/>
  <c r="L544" i="1"/>
  <c r="D545" i="1"/>
  <c r="F545" i="1"/>
  <c r="K545" i="1"/>
  <c r="L545" i="1"/>
  <c r="D546" i="1"/>
  <c r="F546" i="1"/>
  <c r="K546" i="1"/>
  <c r="L546" i="1"/>
  <c r="D547" i="1"/>
  <c r="F547" i="1"/>
  <c r="K547" i="1"/>
  <c r="L547" i="1"/>
  <c r="D548" i="1"/>
  <c r="F548" i="1"/>
  <c r="K548" i="1"/>
  <c r="L548" i="1"/>
  <c r="D549" i="1"/>
  <c r="F549" i="1"/>
  <c r="K549" i="1"/>
  <c r="L549" i="1"/>
  <c r="D550" i="1"/>
  <c r="F550" i="1"/>
  <c r="K550" i="1"/>
  <c r="L550" i="1"/>
  <c r="D551" i="1"/>
  <c r="F551" i="1"/>
  <c r="K551" i="1"/>
  <c r="L551" i="1"/>
  <c r="D552" i="1"/>
  <c r="F552" i="1"/>
  <c r="K552" i="1"/>
  <c r="L552" i="1"/>
  <c r="D553" i="1"/>
  <c r="F553" i="1"/>
  <c r="K553" i="1"/>
  <c r="L553" i="1"/>
  <c r="D554" i="1"/>
  <c r="F554" i="1"/>
  <c r="K554" i="1"/>
  <c r="L554" i="1"/>
  <c r="D555" i="1"/>
  <c r="F555" i="1"/>
  <c r="K555" i="1"/>
  <c r="L555" i="1"/>
  <c r="D556" i="1"/>
  <c r="F556" i="1"/>
  <c r="K556" i="1"/>
  <c r="L556" i="1"/>
  <c r="D557" i="1"/>
  <c r="F557" i="1"/>
  <c r="K557" i="1"/>
  <c r="L557" i="1"/>
  <c r="D558" i="1"/>
  <c r="F558" i="1"/>
  <c r="K558" i="1"/>
  <c r="L558" i="1"/>
  <c r="D559" i="1"/>
  <c r="F559" i="1"/>
  <c r="K559" i="1"/>
  <c r="L559" i="1"/>
  <c r="D560" i="1"/>
  <c r="F560" i="1"/>
  <c r="K560" i="1"/>
  <c r="L560" i="1"/>
  <c r="D561" i="1"/>
  <c r="F561" i="1"/>
  <c r="K561" i="1"/>
  <c r="L561" i="1"/>
  <c r="D562" i="1"/>
  <c r="F562" i="1"/>
  <c r="K562" i="1"/>
  <c r="L562" i="1"/>
  <c r="D563" i="1"/>
  <c r="F563" i="1"/>
  <c r="K563" i="1"/>
  <c r="L563" i="1"/>
  <c r="D564" i="1"/>
  <c r="F564" i="1"/>
  <c r="K564" i="1"/>
  <c r="L564" i="1"/>
  <c r="D565" i="1"/>
  <c r="F565" i="1"/>
  <c r="K565" i="1"/>
  <c r="L565" i="1"/>
  <c r="D566" i="1"/>
  <c r="F566" i="1"/>
  <c r="K566" i="1"/>
  <c r="L566" i="1"/>
  <c r="D567" i="1"/>
  <c r="F567" i="1"/>
  <c r="K567" i="1"/>
  <c r="L567" i="1"/>
  <c r="D568" i="1"/>
  <c r="F568" i="1"/>
  <c r="K568" i="1"/>
  <c r="L568" i="1"/>
  <c r="D569" i="1"/>
  <c r="F569" i="1"/>
  <c r="K569" i="1"/>
  <c r="L569" i="1"/>
  <c r="D570" i="1"/>
  <c r="F570" i="1"/>
  <c r="K570" i="1"/>
  <c r="L570" i="1"/>
  <c r="D571" i="1"/>
  <c r="F571" i="1"/>
  <c r="K571" i="1"/>
  <c r="L571" i="1"/>
  <c r="D572" i="1"/>
  <c r="F572" i="1"/>
  <c r="K572" i="1"/>
  <c r="L572" i="1"/>
  <c r="D573" i="1"/>
  <c r="F573" i="1"/>
  <c r="K573" i="1"/>
  <c r="L573" i="1"/>
  <c r="D574" i="1"/>
  <c r="F574" i="1"/>
  <c r="K574" i="1"/>
  <c r="L574" i="1"/>
  <c r="D575" i="1"/>
  <c r="F575" i="1"/>
  <c r="K575" i="1"/>
  <c r="L575" i="1"/>
  <c r="D576" i="1"/>
  <c r="F576" i="1"/>
  <c r="K576" i="1"/>
  <c r="L576" i="1"/>
  <c r="D577" i="1"/>
  <c r="F577" i="1"/>
  <c r="K577" i="1"/>
  <c r="L577" i="1"/>
  <c r="D578" i="1"/>
  <c r="F578" i="1"/>
  <c r="K578" i="1"/>
  <c r="L578" i="1"/>
  <c r="D579" i="1"/>
  <c r="F579" i="1"/>
  <c r="K579" i="1"/>
  <c r="L579" i="1"/>
  <c r="D580" i="1"/>
  <c r="F580" i="1"/>
  <c r="K580" i="1"/>
  <c r="L580" i="1"/>
  <c r="D581" i="1"/>
  <c r="F581" i="1"/>
  <c r="K581" i="1"/>
  <c r="L581" i="1"/>
  <c r="D582" i="1"/>
  <c r="F582" i="1"/>
  <c r="K582" i="1"/>
  <c r="L582" i="1"/>
  <c r="D583" i="1"/>
  <c r="F583" i="1"/>
  <c r="K583" i="1"/>
  <c r="L583" i="1"/>
  <c r="D584" i="1"/>
  <c r="F584" i="1"/>
  <c r="K584" i="1"/>
  <c r="L584" i="1"/>
  <c r="D585" i="1"/>
  <c r="F585" i="1"/>
  <c r="K585" i="1"/>
  <c r="L585" i="1"/>
  <c r="D586" i="1"/>
  <c r="F586" i="1"/>
  <c r="K586" i="1"/>
  <c r="L586" i="1"/>
  <c r="D587" i="1"/>
  <c r="F587" i="1"/>
  <c r="K587" i="1"/>
  <c r="L587" i="1"/>
  <c r="D588" i="1"/>
  <c r="F588" i="1"/>
  <c r="K588" i="1"/>
  <c r="L588" i="1"/>
  <c r="D589" i="1"/>
  <c r="F589" i="1"/>
  <c r="K589" i="1"/>
  <c r="L589" i="1"/>
  <c r="D590" i="1"/>
  <c r="F590" i="1"/>
  <c r="K590" i="1"/>
  <c r="L590" i="1"/>
  <c r="D591" i="1"/>
  <c r="F591" i="1"/>
  <c r="K591" i="1"/>
  <c r="L591" i="1"/>
  <c r="D592" i="1"/>
  <c r="F592" i="1"/>
  <c r="K592" i="1"/>
  <c r="L592" i="1"/>
  <c r="D593" i="1"/>
  <c r="F593" i="1"/>
  <c r="K593" i="1"/>
  <c r="L593" i="1"/>
  <c r="D594" i="1"/>
  <c r="F594" i="1"/>
  <c r="K594" i="1"/>
  <c r="L594" i="1"/>
  <c r="D595" i="1"/>
  <c r="F595" i="1"/>
  <c r="K595" i="1"/>
  <c r="L595" i="1"/>
  <c r="D596" i="1"/>
  <c r="F596" i="1"/>
  <c r="K596" i="1"/>
  <c r="L596" i="1"/>
  <c r="D597" i="1"/>
  <c r="F597" i="1"/>
  <c r="K597" i="1"/>
  <c r="L597" i="1"/>
  <c r="D598" i="1"/>
  <c r="F598" i="1"/>
  <c r="K598" i="1"/>
  <c r="L598" i="1"/>
  <c r="D599" i="1"/>
  <c r="F599" i="1"/>
  <c r="K599" i="1"/>
  <c r="L599" i="1"/>
  <c r="D600" i="1"/>
  <c r="F600" i="1"/>
  <c r="K600" i="1"/>
  <c r="L600" i="1"/>
  <c r="D601" i="1"/>
  <c r="F601" i="1"/>
  <c r="K601" i="1"/>
  <c r="L601" i="1"/>
  <c r="D602" i="1"/>
  <c r="F602" i="1"/>
  <c r="K602" i="1"/>
  <c r="L602" i="1"/>
  <c r="D603" i="1"/>
  <c r="F603" i="1"/>
  <c r="K603" i="1"/>
  <c r="L603" i="1"/>
  <c r="D604" i="1"/>
  <c r="F604" i="1"/>
  <c r="K604" i="1"/>
  <c r="L604" i="1"/>
  <c r="D605" i="1"/>
  <c r="F605" i="1"/>
  <c r="K605" i="1"/>
  <c r="L605" i="1"/>
  <c r="D606" i="1"/>
  <c r="F606" i="1"/>
  <c r="K606" i="1"/>
  <c r="L606" i="1"/>
  <c r="D607" i="1"/>
  <c r="F607" i="1"/>
  <c r="K607" i="1"/>
  <c r="L607" i="1"/>
  <c r="D608" i="1"/>
  <c r="F608" i="1"/>
  <c r="K608" i="1"/>
  <c r="L608" i="1"/>
  <c r="D609" i="1"/>
  <c r="F609" i="1"/>
  <c r="K609" i="1"/>
  <c r="L609" i="1"/>
  <c r="D610" i="1"/>
  <c r="F610" i="1"/>
  <c r="K610" i="1"/>
  <c r="L610" i="1"/>
  <c r="D611" i="1"/>
  <c r="F611" i="1"/>
  <c r="K611" i="1"/>
  <c r="L611" i="1"/>
  <c r="D612" i="1"/>
  <c r="F612" i="1"/>
  <c r="K612" i="1"/>
  <c r="L612" i="1"/>
  <c r="D613" i="1"/>
  <c r="F613" i="1"/>
  <c r="K613" i="1"/>
  <c r="L613" i="1"/>
  <c r="D614" i="1"/>
  <c r="F614" i="1"/>
  <c r="K614" i="1"/>
  <c r="L614" i="1"/>
  <c r="D615" i="1"/>
  <c r="F615" i="1"/>
  <c r="K615" i="1"/>
  <c r="L615" i="1"/>
  <c r="D616" i="1"/>
  <c r="F616" i="1"/>
  <c r="K616" i="1"/>
  <c r="L616" i="1"/>
  <c r="D617" i="1"/>
  <c r="F617" i="1"/>
  <c r="K617" i="1"/>
  <c r="L617" i="1"/>
  <c r="D618" i="1"/>
  <c r="F618" i="1"/>
  <c r="K618" i="1"/>
  <c r="L618" i="1"/>
  <c r="D619" i="1"/>
  <c r="F619" i="1"/>
  <c r="K619" i="1"/>
  <c r="L619" i="1"/>
  <c r="D620" i="1"/>
  <c r="F620" i="1"/>
  <c r="K620" i="1"/>
  <c r="L620" i="1"/>
  <c r="D621" i="1"/>
  <c r="F621" i="1"/>
  <c r="K621" i="1"/>
  <c r="L621" i="1"/>
  <c r="D622" i="1"/>
  <c r="F622" i="1"/>
  <c r="K622" i="1"/>
  <c r="L622" i="1"/>
  <c r="D623" i="1"/>
  <c r="F623" i="1"/>
  <c r="K623" i="1"/>
  <c r="L623" i="1"/>
  <c r="D624" i="1"/>
  <c r="F624" i="1"/>
  <c r="K624" i="1"/>
  <c r="L624" i="1"/>
  <c r="D625" i="1"/>
  <c r="F625" i="1"/>
  <c r="K625" i="1"/>
  <c r="L625" i="1"/>
  <c r="D626" i="1"/>
  <c r="F626" i="1"/>
  <c r="K626" i="1"/>
  <c r="L626" i="1"/>
  <c r="D627" i="1"/>
  <c r="F627" i="1"/>
  <c r="K627" i="1"/>
  <c r="L627" i="1"/>
  <c r="D628" i="1"/>
  <c r="F628" i="1"/>
  <c r="K628" i="1"/>
  <c r="L628" i="1"/>
  <c r="D629" i="1"/>
  <c r="F629" i="1"/>
  <c r="K629" i="1"/>
  <c r="L629" i="1"/>
  <c r="D630" i="1"/>
  <c r="F630" i="1"/>
  <c r="K630" i="1"/>
  <c r="L630" i="1"/>
  <c r="D631" i="1"/>
  <c r="F631" i="1"/>
  <c r="K631" i="1"/>
  <c r="L631" i="1"/>
  <c r="D632" i="1"/>
  <c r="F632" i="1"/>
  <c r="K632" i="1"/>
  <c r="L632" i="1"/>
  <c r="D633" i="1"/>
  <c r="F633" i="1"/>
  <c r="K633" i="1"/>
  <c r="L633" i="1"/>
  <c r="D634" i="1"/>
  <c r="F634" i="1"/>
  <c r="K634" i="1"/>
  <c r="L634" i="1"/>
  <c r="D635" i="1"/>
  <c r="F635" i="1"/>
  <c r="K635" i="1"/>
  <c r="L635" i="1"/>
  <c r="D636" i="1"/>
  <c r="F636" i="1"/>
  <c r="K636" i="1"/>
  <c r="L636" i="1"/>
  <c r="D637" i="1"/>
  <c r="F637" i="1"/>
  <c r="K637" i="1"/>
  <c r="L637" i="1"/>
  <c r="D638" i="1"/>
  <c r="F638" i="1"/>
  <c r="K638" i="1"/>
  <c r="L638" i="1"/>
  <c r="D639" i="1"/>
  <c r="F639" i="1"/>
  <c r="K639" i="1"/>
  <c r="L639" i="1"/>
  <c r="D640" i="1"/>
  <c r="F640" i="1"/>
  <c r="K640" i="1"/>
  <c r="L640" i="1"/>
  <c r="D641" i="1"/>
  <c r="F641" i="1"/>
  <c r="K641" i="1"/>
  <c r="L641" i="1"/>
  <c r="D642" i="1"/>
  <c r="F642" i="1"/>
  <c r="K642" i="1"/>
  <c r="L642" i="1"/>
  <c r="D643" i="1"/>
  <c r="F643" i="1"/>
  <c r="K643" i="1"/>
  <c r="L643" i="1"/>
  <c r="D644" i="1"/>
  <c r="F644" i="1"/>
  <c r="K644" i="1"/>
  <c r="L644" i="1"/>
  <c r="D645" i="1"/>
  <c r="F645" i="1"/>
  <c r="K645" i="1"/>
  <c r="L645" i="1"/>
  <c r="D646" i="1"/>
  <c r="F646" i="1"/>
  <c r="K646" i="1"/>
  <c r="L646" i="1"/>
  <c r="D647" i="1"/>
  <c r="F647" i="1"/>
  <c r="K647" i="1"/>
  <c r="L647" i="1"/>
  <c r="D648" i="1"/>
  <c r="F648" i="1"/>
  <c r="K648" i="1"/>
  <c r="L648" i="1"/>
  <c r="D649" i="1"/>
  <c r="F649" i="1"/>
  <c r="K649" i="1"/>
  <c r="L649" i="1"/>
  <c r="D650" i="1"/>
  <c r="F650" i="1"/>
  <c r="K650" i="1"/>
  <c r="L650" i="1"/>
  <c r="D651" i="1"/>
  <c r="F651" i="1"/>
  <c r="K651" i="1"/>
  <c r="L651" i="1"/>
  <c r="D652" i="1"/>
  <c r="F652" i="1"/>
  <c r="K652" i="1"/>
  <c r="L652" i="1"/>
  <c r="D653" i="1"/>
  <c r="F653" i="1"/>
  <c r="K653" i="1"/>
  <c r="L653" i="1"/>
  <c r="D654" i="1"/>
  <c r="F654" i="1"/>
  <c r="K654" i="1"/>
  <c r="L654" i="1"/>
  <c r="D655" i="1"/>
  <c r="F655" i="1"/>
  <c r="K655" i="1"/>
  <c r="L655" i="1"/>
  <c r="D656" i="1"/>
  <c r="F656" i="1"/>
  <c r="K656" i="1"/>
  <c r="L656" i="1"/>
  <c r="D657" i="1"/>
  <c r="F657" i="1"/>
  <c r="K657" i="1"/>
  <c r="L657" i="1"/>
  <c r="D658" i="1"/>
  <c r="F658" i="1"/>
  <c r="K658" i="1"/>
  <c r="L658" i="1"/>
  <c r="D659" i="1"/>
  <c r="F659" i="1"/>
  <c r="K659" i="1"/>
  <c r="L659" i="1"/>
  <c r="D660" i="1"/>
  <c r="F660" i="1"/>
  <c r="K660" i="1"/>
  <c r="L660" i="1"/>
  <c r="D661" i="1"/>
  <c r="F661" i="1"/>
  <c r="K661" i="1"/>
  <c r="L661" i="1"/>
  <c r="D662" i="1"/>
  <c r="F662" i="1"/>
  <c r="K662" i="1"/>
  <c r="L662" i="1"/>
  <c r="D663" i="1"/>
  <c r="F663" i="1"/>
  <c r="K663" i="1"/>
  <c r="L663" i="1"/>
  <c r="D664" i="1"/>
  <c r="F664" i="1"/>
  <c r="K664" i="1"/>
  <c r="L664" i="1"/>
  <c r="D665" i="1"/>
  <c r="F665" i="1"/>
  <c r="K665" i="1"/>
  <c r="L665" i="1"/>
  <c r="D666" i="1"/>
  <c r="F666" i="1"/>
  <c r="K666" i="1"/>
  <c r="L666" i="1"/>
  <c r="D667" i="1"/>
  <c r="F667" i="1"/>
  <c r="K667" i="1"/>
  <c r="L667" i="1"/>
  <c r="D668" i="1"/>
  <c r="F668" i="1"/>
  <c r="K668" i="1"/>
  <c r="L668" i="1"/>
  <c r="D669" i="1"/>
  <c r="F669" i="1"/>
  <c r="K669" i="1"/>
  <c r="L669" i="1"/>
  <c r="D670" i="1"/>
  <c r="F670" i="1"/>
  <c r="K670" i="1"/>
  <c r="L670" i="1"/>
  <c r="D671" i="1"/>
  <c r="F671" i="1"/>
  <c r="K671" i="1"/>
  <c r="L671" i="1"/>
  <c r="D672" i="1"/>
  <c r="F672" i="1"/>
  <c r="K672" i="1"/>
  <c r="L672" i="1"/>
  <c r="D673" i="1"/>
  <c r="F673" i="1"/>
  <c r="K673" i="1"/>
  <c r="L673" i="1"/>
  <c r="D674" i="1"/>
  <c r="F674" i="1"/>
  <c r="K674" i="1"/>
  <c r="L674" i="1"/>
  <c r="D675" i="1"/>
  <c r="F675" i="1"/>
  <c r="K675" i="1"/>
  <c r="L675" i="1"/>
  <c r="D676" i="1"/>
  <c r="F676" i="1"/>
  <c r="K676" i="1"/>
  <c r="L676" i="1"/>
  <c r="D677" i="1"/>
  <c r="F677" i="1"/>
  <c r="K677" i="1"/>
  <c r="L677" i="1"/>
  <c r="D678" i="1"/>
  <c r="F678" i="1"/>
  <c r="K678" i="1"/>
  <c r="L678" i="1"/>
  <c r="D679" i="1"/>
  <c r="F679" i="1"/>
  <c r="K679" i="1"/>
  <c r="L679" i="1"/>
  <c r="D680" i="1"/>
  <c r="F680" i="1"/>
  <c r="K680" i="1"/>
  <c r="L680" i="1"/>
  <c r="D681" i="1"/>
  <c r="F681" i="1"/>
  <c r="K681" i="1"/>
  <c r="L681" i="1"/>
  <c r="D682" i="1"/>
  <c r="F682" i="1"/>
  <c r="K682" i="1"/>
  <c r="L682" i="1"/>
  <c r="D683" i="1"/>
  <c r="F683" i="1"/>
  <c r="K683" i="1"/>
  <c r="L683" i="1"/>
  <c r="D684" i="1"/>
  <c r="F684" i="1"/>
  <c r="K684" i="1"/>
  <c r="L684" i="1"/>
  <c r="D685" i="1"/>
  <c r="F685" i="1"/>
  <c r="K685" i="1"/>
  <c r="L685" i="1"/>
  <c r="D686" i="1"/>
  <c r="F686" i="1"/>
  <c r="K686" i="1"/>
  <c r="L686" i="1"/>
  <c r="D687" i="1"/>
  <c r="F687" i="1"/>
  <c r="K687" i="1"/>
  <c r="L687" i="1"/>
  <c r="D688" i="1"/>
  <c r="F688" i="1"/>
  <c r="K688" i="1"/>
  <c r="L688" i="1"/>
  <c r="D689" i="1"/>
  <c r="F689" i="1"/>
  <c r="K689" i="1"/>
  <c r="L689" i="1"/>
  <c r="D690" i="1"/>
  <c r="F690" i="1"/>
  <c r="K690" i="1"/>
  <c r="L690" i="1"/>
  <c r="D691" i="1"/>
  <c r="F691" i="1"/>
  <c r="K691" i="1"/>
  <c r="L691" i="1"/>
  <c r="D692" i="1"/>
  <c r="F692" i="1"/>
  <c r="K692" i="1"/>
  <c r="L692" i="1"/>
  <c r="D693" i="1"/>
  <c r="F693" i="1"/>
  <c r="K693" i="1"/>
  <c r="L693" i="1"/>
  <c r="D694" i="1"/>
  <c r="F694" i="1"/>
  <c r="K694" i="1"/>
  <c r="L694" i="1"/>
  <c r="D695" i="1"/>
  <c r="F695" i="1"/>
  <c r="K695" i="1"/>
  <c r="L695" i="1"/>
  <c r="D696" i="1"/>
  <c r="F696" i="1"/>
  <c r="K696" i="1"/>
  <c r="L696" i="1"/>
  <c r="D697" i="1"/>
  <c r="F697" i="1"/>
  <c r="K697" i="1"/>
  <c r="L697" i="1"/>
  <c r="D698" i="1"/>
  <c r="F698" i="1"/>
  <c r="K698" i="1"/>
  <c r="L698" i="1"/>
  <c r="D699" i="1"/>
  <c r="F699" i="1"/>
  <c r="K699" i="1"/>
  <c r="L699" i="1"/>
  <c r="D700" i="1"/>
  <c r="F700" i="1"/>
  <c r="K700" i="1"/>
  <c r="L700" i="1"/>
  <c r="D701" i="1"/>
  <c r="F701" i="1"/>
  <c r="K701" i="1"/>
  <c r="L701" i="1"/>
  <c r="D702" i="1"/>
  <c r="F702" i="1"/>
  <c r="K702" i="1"/>
  <c r="L702" i="1"/>
  <c r="D703" i="1"/>
  <c r="F703" i="1"/>
  <c r="K703" i="1"/>
  <c r="L703" i="1"/>
  <c r="D704" i="1"/>
  <c r="F704" i="1"/>
  <c r="K704" i="1"/>
  <c r="L704" i="1"/>
  <c r="D705" i="1"/>
  <c r="F705" i="1"/>
  <c r="K705" i="1"/>
  <c r="L705" i="1"/>
  <c r="D706" i="1"/>
  <c r="F706" i="1"/>
  <c r="K706" i="1"/>
  <c r="L706" i="1"/>
  <c r="D707" i="1"/>
  <c r="F707" i="1"/>
  <c r="K707" i="1"/>
  <c r="L707" i="1"/>
  <c r="D708" i="1"/>
  <c r="F708" i="1"/>
  <c r="K708" i="1"/>
  <c r="L708" i="1"/>
  <c r="D709" i="1"/>
  <c r="F709" i="1"/>
  <c r="K709" i="1"/>
  <c r="L709" i="1"/>
  <c r="D710" i="1"/>
  <c r="F710" i="1"/>
  <c r="K710" i="1"/>
  <c r="L710" i="1"/>
  <c r="D711" i="1"/>
  <c r="F711" i="1"/>
  <c r="K711" i="1"/>
  <c r="L711" i="1"/>
  <c r="D712" i="1"/>
  <c r="F712" i="1"/>
  <c r="K712" i="1"/>
  <c r="L712" i="1"/>
  <c r="D713" i="1"/>
  <c r="F713" i="1"/>
  <c r="K713" i="1"/>
  <c r="L713" i="1"/>
  <c r="D714" i="1"/>
  <c r="F714" i="1"/>
  <c r="K714" i="1"/>
  <c r="L714" i="1"/>
  <c r="D715" i="1"/>
  <c r="F715" i="1"/>
  <c r="K715" i="1"/>
  <c r="L715" i="1"/>
  <c r="D716" i="1"/>
  <c r="F716" i="1"/>
  <c r="K716" i="1"/>
  <c r="L716" i="1"/>
  <c r="D717" i="1"/>
  <c r="F717" i="1"/>
  <c r="K717" i="1"/>
  <c r="L717" i="1"/>
  <c r="D718" i="1"/>
  <c r="F718" i="1"/>
  <c r="K718" i="1"/>
  <c r="L718" i="1"/>
  <c r="D719" i="1"/>
  <c r="F719" i="1"/>
  <c r="K719" i="1"/>
  <c r="L719" i="1"/>
  <c r="D720" i="1"/>
  <c r="F720" i="1"/>
  <c r="K720" i="1"/>
  <c r="L720" i="1"/>
  <c r="D721" i="1"/>
  <c r="F721" i="1"/>
  <c r="K721" i="1"/>
  <c r="L721" i="1"/>
  <c r="D722" i="1"/>
  <c r="F722" i="1"/>
  <c r="K722" i="1"/>
  <c r="L722" i="1"/>
  <c r="D723" i="1"/>
  <c r="F723" i="1"/>
  <c r="K723" i="1"/>
  <c r="L723" i="1"/>
  <c r="D724" i="1"/>
  <c r="F724" i="1"/>
  <c r="K724" i="1"/>
  <c r="L724" i="1"/>
  <c r="D725" i="1"/>
  <c r="F725" i="1"/>
  <c r="K725" i="1"/>
  <c r="L725" i="1"/>
  <c r="D726" i="1"/>
  <c r="F726" i="1"/>
  <c r="K726" i="1"/>
  <c r="L726" i="1"/>
  <c r="D727" i="1"/>
  <c r="F727" i="1"/>
  <c r="K727" i="1"/>
  <c r="L727" i="1"/>
  <c r="D728" i="1"/>
  <c r="F728" i="1"/>
  <c r="K728" i="1"/>
  <c r="L728" i="1"/>
  <c r="D729" i="1"/>
  <c r="F729" i="1"/>
  <c r="K729" i="1"/>
  <c r="L729" i="1"/>
  <c r="D730" i="1"/>
  <c r="F730" i="1"/>
  <c r="K730" i="1"/>
  <c r="L730" i="1"/>
  <c r="D731" i="1"/>
  <c r="F731" i="1"/>
  <c r="K731" i="1"/>
  <c r="L731" i="1"/>
  <c r="D732" i="1"/>
  <c r="F732" i="1"/>
  <c r="K732" i="1"/>
  <c r="L732" i="1"/>
  <c r="D733" i="1"/>
  <c r="F733" i="1"/>
  <c r="K733" i="1"/>
  <c r="L733" i="1"/>
  <c r="D734" i="1"/>
  <c r="F734" i="1"/>
  <c r="K734" i="1"/>
  <c r="L734" i="1"/>
  <c r="D735" i="1"/>
  <c r="F735" i="1"/>
  <c r="K735" i="1"/>
  <c r="L735" i="1"/>
  <c r="D736" i="1"/>
  <c r="F736" i="1"/>
  <c r="K736" i="1"/>
  <c r="L736" i="1"/>
  <c r="D737" i="1"/>
  <c r="F737" i="1"/>
  <c r="K737" i="1"/>
  <c r="L737" i="1"/>
  <c r="D738" i="1"/>
  <c r="F738" i="1"/>
  <c r="K738" i="1"/>
  <c r="L738" i="1"/>
  <c r="D739" i="1"/>
  <c r="F739" i="1"/>
  <c r="K739" i="1"/>
  <c r="L739" i="1"/>
  <c r="D740" i="1"/>
  <c r="F740" i="1"/>
  <c r="K740" i="1"/>
  <c r="L740" i="1"/>
  <c r="D741" i="1"/>
  <c r="F741" i="1"/>
  <c r="K741" i="1"/>
  <c r="L741" i="1"/>
  <c r="D742" i="1"/>
  <c r="F742" i="1"/>
  <c r="K742" i="1"/>
  <c r="L742" i="1"/>
  <c r="D743" i="1"/>
  <c r="F743" i="1"/>
  <c r="K743" i="1"/>
  <c r="L743" i="1"/>
  <c r="D744" i="1"/>
  <c r="F744" i="1"/>
  <c r="K744" i="1"/>
  <c r="L744" i="1"/>
  <c r="D745" i="1"/>
  <c r="F745" i="1"/>
  <c r="K745" i="1"/>
  <c r="L745" i="1"/>
  <c r="D746" i="1"/>
  <c r="F746" i="1"/>
  <c r="K746" i="1"/>
  <c r="L746" i="1"/>
  <c r="D747" i="1"/>
  <c r="F747" i="1"/>
  <c r="K747" i="1"/>
  <c r="L747" i="1"/>
  <c r="D748" i="1"/>
  <c r="F748" i="1"/>
  <c r="K748" i="1"/>
  <c r="L748" i="1"/>
  <c r="D749" i="1"/>
  <c r="F749" i="1"/>
  <c r="K749" i="1"/>
  <c r="L749" i="1"/>
  <c r="D750" i="1"/>
  <c r="F750" i="1"/>
  <c r="K750" i="1"/>
  <c r="L750" i="1"/>
  <c r="D751" i="1"/>
  <c r="F751" i="1"/>
  <c r="K751" i="1"/>
  <c r="L751" i="1"/>
  <c r="D752" i="1"/>
  <c r="F752" i="1"/>
  <c r="K752" i="1"/>
  <c r="L752" i="1"/>
  <c r="D753" i="1"/>
  <c r="F753" i="1"/>
  <c r="K753" i="1"/>
  <c r="L753" i="1"/>
  <c r="D754" i="1"/>
  <c r="F754" i="1"/>
  <c r="K754" i="1"/>
  <c r="L754" i="1"/>
  <c r="D755" i="1"/>
  <c r="F755" i="1"/>
  <c r="K755" i="1"/>
  <c r="L755" i="1"/>
  <c r="D756" i="1"/>
  <c r="F756" i="1"/>
  <c r="K756" i="1"/>
  <c r="L756" i="1"/>
  <c r="D757" i="1"/>
  <c r="F757" i="1"/>
  <c r="K757" i="1"/>
  <c r="L757" i="1"/>
  <c r="D758" i="1"/>
  <c r="F758" i="1"/>
  <c r="K758" i="1"/>
  <c r="L758" i="1"/>
  <c r="D759" i="1"/>
  <c r="F759" i="1"/>
  <c r="K759" i="1"/>
  <c r="L759" i="1"/>
  <c r="D760" i="1"/>
  <c r="F760" i="1"/>
  <c r="K760" i="1"/>
  <c r="L760" i="1"/>
  <c r="D761" i="1"/>
  <c r="F761" i="1"/>
  <c r="K761" i="1"/>
  <c r="L761" i="1"/>
  <c r="D762" i="1"/>
  <c r="F762" i="1"/>
  <c r="K762" i="1"/>
  <c r="L762" i="1"/>
  <c r="D763" i="1"/>
  <c r="F763" i="1"/>
  <c r="K763" i="1"/>
  <c r="L763" i="1"/>
  <c r="D764" i="1"/>
  <c r="F764" i="1"/>
  <c r="K764" i="1"/>
  <c r="L764" i="1"/>
  <c r="D765" i="1"/>
  <c r="F765" i="1"/>
  <c r="K765" i="1"/>
  <c r="L765" i="1"/>
  <c r="D766" i="1"/>
  <c r="F766" i="1"/>
  <c r="K766" i="1"/>
  <c r="L766" i="1"/>
  <c r="D767" i="1"/>
  <c r="F767" i="1"/>
  <c r="K767" i="1"/>
  <c r="L767" i="1"/>
  <c r="D768" i="1"/>
  <c r="F768" i="1"/>
  <c r="K768" i="1"/>
  <c r="L768" i="1"/>
  <c r="D769" i="1"/>
  <c r="F769" i="1"/>
  <c r="K769" i="1"/>
  <c r="L769" i="1"/>
  <c r="D770" i="1"/>
  <c r="F770" i="1"/>
  <c r="K770" i="1"/>
  <c r="L770" i="1"/>
  <c r="D771" i="1"/>
  <c r="F771" i="1"/>
  <c r="K771" i="1"/>
  <c r="L771" i="1"/>
  <c r="D772" i="1"/>
  <c r="F772" i="1"/>
  <c r="K772" i="1"/>
  <c r="L772" i="1"/>
  <c r="D773" i="1"/>
  <c r="F773" i="1"/>
  <c r="K773" i="1"/>
  <c r="L773" i="1"/>
  <c r="D774" i="1"/>
  <c r="F774" i="1"/>
  <c r="K774" i="1"/>
  <c r="L774" i="1"/>
  <c r="D775" i="1"/>
  <c r="F775" i="1"/>
  <c r="K775" i="1"/>
  <c r="L775" i="1"/>
  <c r="D776" i="1"/>
  <c r="F776" i="1"/>
  <c r="K776" i="1"/>
  <c r="L776" i="1"/>
  <c r="D777" i="1"/>
  <c r="F777" i="1"/>
  <c r="K777" i="1"/>
  <c r="L777" i="1"/>
  <c r="D778" i="1"/>
  <c r="F778" i="1"/>
  <c r="K778" i="1"/>
  <c r="L778" i="1"/>
  <c r="D779" i="1"/>
  <c r="F779" i="1"/>
  <c r="K779" i="1"/>
  <c r="L779" i="1"/>
  <c r="D780" i="1"/>
  <c r="F780" i="1"/>
  <c r="K780" i="1"/>
  <c r="L780" i="1"/>
  <c r="D781" i="1"/>
  <c r="F781" i="1"/>
  <c r="K781" i="1"/>
  <c r="L781" i="1"/>
  <c r="D782" i="1"/>
  <c r="F782" i="1"/>
  <c r="K782" i="1"/>
  <c r="L782" i="1"/>
  <c r="D783" i="1"/>
  <c r="F783" i="1"/>
  <c r="K783" i="1"/>
  <c r="L783" i="1"/>
  <c r="D784" i="1"/>
  <c r="F784" i="1"/>
  <c r="K784" i="1"/>
  <c r="L784" i="1"/>
  <c r="D785" i="1"/>
  <c r="F785" i="1"/>
  <c r="K785" i="1"/>
  <c r="L785" i="1"/>
  <c r="D786" i="1"/>
  <c r="F786" i="1"/>
  <c r="K786" i="1"/>
  <c r="L786" i="1"/>
  <c r="D787" i="1"/>
  <c r="F787" i="1"/>
  <c r="K787" i="1"/>
  <c r="L787" i="1"/>
  <c r="D788" i="1"/>
  <c r="F788" i="1"/>
  <c r="K788" i="1"/>
  <c r="L788" i="1"/>
  <c r="D789" i="1"/>
  <c r="F789" i="1"/>
  <c r="K789" i="1"/>
  <c r="L789" i="1"/>
  <c r="D790" i="1"/>
  <c r="F790" i="1"/>
  <c r="K790" i="1"/>
  <c r="L790" i="1"/>
  <c r="D791" i="1"/>
  <c r="F791" i="1"/>
  <c r="K791" i="1"/>
  <c r="L791" i="1"/>
  <c r="D792" i="1"/>
  <c r="F792" i="1"/>
  <c r="K792" i="1"/>
  <c r="L792" i="1"/>
  <c r="D793" i="1"/>
  <c r="F793" i="1"/>
  <c r="K793" i="1"/>
  <c r="L793" i="1"/>
  <c r="D794" i="1"/>
  <c r="F794" i="1"/>
  <c r="K794" i="1"/>
  <c r="L794" i="1"/>
  <c r="D795" i="1"/>
  <c r="F795" i="1"/>
  <c r="K795" i="1"/>
  <c r="L795" i="1"/>
  <c r="D796" i="1"/>
  <c r="F796" i="1"/>
  <c r="K796" i="1"/>
  <c r="L796" i="1"/>
  <c r="D797" i="1"/>
  <c r="F797" i="1"/>
  <c r="K797" i="1"/>
  <c r="L797" i="1"/>
  <c r="D798" i="1"/>
  <c r="F798" i="1"/>
  <c r="K798" i="1"/>
  <c r="L798" i="1"/>
  <c r="D799" i="1"/>
  <c r="F799" i="1"/>
  <c r="K799" i="1"/>
  <c r="L799" i="1"/>
  <c r="D800" i="1"/>
  <c r="F800" i="1"/>
  <c r="K800" i="1"/>
  <c r="L800" i="1"/>
  <c r="D801" i="1"/>
  <c r="F801" i="1"/>
  <c r="K801" i="1"/>
  <c r="L801" i="1"/>
  <c r="D802" i="1"/>
  <c r="F802" i="1"/>
  <c r="K802" i="1"/>
  <c r="L802" i="1"/>
  <c r="D803" i="1"/>
  <c r="F803" i="1"/>
  <c r="K803" i="1"/>
  <c r="L803" i="1"/>
  <c r="D804" i="1"/>
  <c r="F804" i="1"/>
  <c r="K804" i="1"/>
  <c r="L804" i="1"/>
  <c r="D805" i="1"/>
  <c r="F805" i="1"/>
  <c r="K805" i="1"/>
  <c r="L805" i="1"/>
  <c r="D806" i="1"/>
  <c r="F806" i="1"/>
  <c r="K806" i="1"/>
  <c r="L806" i="1"/>
  <c r="D807" i="1"/>
  <c r="F807" i="1"/>
  <c r="K807" i="1"/>
  <c r="L807" i="1"/>
  <c r="D808" i="1"/>
  <c r="F808" i="1"/>
  <c r="K808" i="1"/>
  <c r="L808" i="1"/>
  <c r="D809" i="1"/>
  <c r="F809" i="1"/>
  <c r="K809" i="1"/>
  <c r="L809" i="1"/>
  <c r="D810" i="1"/>
  <c r="F810" i="1"/>
  <c r="K810" i="1"/>
  <c r="L810" i="1"/>
  <c r="D811" i="1"/>
  <c r="F811" i="1"/>
  <c r="K811" i="1"/>
  <c r="L811" i="1"/>
  <c r="D812" i="1"/>
  <c r="F812" i="1"/>
  <c r="K812" i="1"/>
  <c r="L812" i="1"/>
  <c r="D813" i="1"/>
  <c r="F813" i="1"/>
  <c r="K813" i="1"/>
  <c r="L813" i="1"/>
  <c r="D814" i="1"/>
  <c r="F814" i="1"/>
  <c r="K814" i="1"/>
  <c r="L814" i="1"/>
  <c r="D815" i="1"/>
  <c r="F815" i="1"/>
  <c r="K815" i="1"/>
  <c r="L815" i="1"/>
  <c r="D816" i="1"/>
  <c r="F816" i="1"/>
  <c r="K816" i="1"/>
  <c r="L816" i="1"/>
  <c r="D817" i="1"/>
  <c r="F817" i="1"/>
  <c r="K817" i="1"/>
  <c r="L817" i="1"/>
  <c r="D818" i="1"/>
  <c r="F818" i="1"/>
  <c r="K818" i="1"/>
  <c r="L818" i="1"/>
  <c r="D819" i="1"/>
  <c r="F819" i="1"/>
  <c r="K819" i="1"/>
  <c r="L819" i="1"/>
  <c r="D820" i="1"/>
  <c r="F820" i="1"/>
  <c r="K820" i="1"/>
  <c r="L820" i="1"/>
  <c r="D821" i="1"/>
  <c r="F821" i="1"/>
  <c r="K821" i="1"/>
  <c r="L821" i="1"/>
  <c r="D822" i="1"/>
  <c r="F822" i="1"/>
  <c r="K822" i="1"/>
  <c r="L822" i="1"/>
  <c r="D823" i="1"/>
  <c r="F823" i="1"/>
  <c r="K823" i="1"/>
  <c r="L823" i="1"/>
  <c r="D824" i="1"/>
  <c r="F824" i="1"/>
  <c r="K824" i="1"/>
  <c r="L824" i="1"/>
  <c r="D825" i="1"/>
  <c r="F825" i="1"/>
  <c r="K825" i="1"/>
  <c r="L825" i="1"/>
  <c r="D826" i="1"/>
  <c r="F826" i="1"/>
  <c r="K826" i="1"/>
  <c r="L826" i="1"/>
  <c r="D827" i="1"/>
  <c r="F827" i="1"/>
  <c r="K827" i="1"/>
  <c r="L827" i="1"/>
  <c r="D828" i="1"/>
  <c r="F828" i="1"/>
  <c r="K828" i="1"/>
  <c r="L828" i="1"/>
  <c r="D829" i="1"/>
  <c r="F829" i="1"/>
  <c r="K829" i="1"/>
  <c r="L829" i="1"/>
  <c r="D830" i="1"/>
  <c r="F830" i="1"/>
  <c r="K830" i="1"/>
  <c r="L830" i="1"/>
  <c r="D831" i="1"/>
  <c r="F831" i="1"/>
  <c r="K831" i="1"/>
  <c r="L831" i="1"/>
  <c r="D832" i="1"/>
  <c r="F832" i="1"/>
  <c r="K832" i="1"/>
  <c r="L832" i="1"/>
  <c r="D833" i="1"/>
  <c r="F833" i="1"/>
  <c r="K833" i="1"/>
  <c r="L833" i="1"/>
  <c r="D834" i="1"/>
  <c r="F834" i="1"/>
  <c r="K834" i="1"/>
  <c r="L834" i="1"/>
  <c r="D835" i="1"/>
  <c r="F835" i="1"/>
  <c r="K835" i="1"/>
  <c r="L835" i="1"/>
  <c r="D836" i="1"/>
  <c r="F836" i="1"/>
  <c r="K836" i="1"/>
  <c r="L836" i="1"/>
  <c r="D837" i="1"/>
  <c r="F837" i="1"/>
  <c r="K837" i="1"/>
  <c r="L837" i="1"/>
  <c r="D838" i="1"/>
  <c r="F838" i="1"/>
  <c r="K838" i="1"/>
  <c r="L838" i="1"/>
  <c r="D839" i="1"/>
  <c r="F839" i="1"/>
  <c r="K839" i="1"/>
  <c r="L839" i="1"/>
  <c r="D840" i="1"/>
  <c r="F840" i="1"/>
  <c r="K840" i="1"/>
  <c r="L840" i="1"/>
  <c r="D841" i="1"/>
  <c r="F841" i="1"/>
  <c r="K841" i="1"/>
  <c r="L841" i="1"/>
  <c r="D842" i="1"/>
  <c r="F842" i="1"/>
  <c r="K842" i="1"/>
  <c r="L842" i="1"/>
  <c r="D843" i="1"/>
  <c r="F843" i="1"/>
  <c r="K843" i="1"/>
  <c r="L843" i="1"/>
  <c r="D844" i="1"/>
  <c r="F844" i="1"/>
  <c r="K844" i="1"/>
  <c r="L844" i="1"/>
  <c r="D845" i="1"/>
  <c r="F845" i="1"/>
  <c r="K845" i="1"/>
  <c r="L845" i="1"/>
  <c r="D846" i="1"/>
  <c r="F846" i="1"/>
  <c r="K846" i="1"/>
  <c r="L846" i="1"/>
  <c r="D847" i="1"/>
  <c r="F847" i="1"/>
  <c r="K847" i="1"/>
  <c r="L847" i="1"/>
  <c r="D848" i="1"/>
  <c r="F848" i="1"/>
  <c r="K848" i="1"/>
  <c r="L848" i="1"/>
  <c r="D849" i="1"/>
  <c r="F849" i="1"/>
  <c r="K849" i="1"/>
  <c r="L849" i="1"/>
  <c r="D850" i="1"/>
  <c r="F850" i="1"/>
  <c r="K850" i="1"/>
  <c r="L850" i="1"/>
  <c r="D851" i="1"/>
  <c r="F851" i="1"/>
  <c r="K851" i="1"/>
  <c r="L851" i="1"/>
  <c r="D852" i="1"/>
  <c r="F852" i="1"/>
  <c r="K852" i="1"/>
  <c r="L852" i="1"/>
  <c r="D853" i="1"/>
  <c r="F853" i="1"/>
  <c r="K853" i="1"/>
  <c r="L853" i="1"/>
  <c r="D854" i="1"/>
  <c r="F854" i="1"/>
  <c r="K854" i="1"/>
  <c r="L854" i="1"/>
  <c r="D855" i="1"/>
  <c r="F855" i="1"/>
  <c r="K855" i="1"/>
  <c r="L855" i="1"/>
  <c r="D856" i="1"/>
  <c r="F856" i="1"/>
  <c r="K856" i="1"/>
  <c r="L856" i="1"/>
  <c r="D857" i="1"/>
  <c r="F857" i="1"/>
  <c r="K857" i="1"/>
  <c r="L857" i="1"/>
  <c r="D858" i="1"/>
  <c r="F858" i="1"/>
  <c r="K858" i="1"/>
  <c r="L858" i="1"/>
  <c r="D859" i="1"/>
  <c r="F859" i="1"/>
  <c r="K859" i="1"/>
  <c r="L859" i="1"/>
  <c r="D860" i="1"/>
  <c r="F860" i="1"/>
  <c r="K860" i="1"/>
  <c r="L860" i="1"/>
  <c r="D861" i="1"/>
  <c r="F861" i="1"/>
  <c r="K861" i="1"/>
  <c r="L861" i="1"/>
  <c r="D862" i="1"/>
  <c r="F862" i="1"/>
  <c r="K862" i="1"/>
  <c r="L862" i="1"/>
  <c r="D863" i="1"/>
  <c r="F863" i="1"/>
  <c r="K863" i="1"/>
  <c r="L863" i="1"/>
  <c r="D864" i="1"/>
  <c r="F864" i="1"/>
  <c r="K864" i="1"/>
  <c r="L864" i="1"/>
  <c r="D865" i="1"/>
  <c r="F865" i="1"/>
  <c r="K865" i="1"/>
  <c r="L865" i="1"/>
  <c r="D866" i="1"/>
  <c r="F866" i="1"/>
  <c r="K866" i="1"/>
  <c r="L866" i="1"/>
  <c r="D867" i="1"/>
  <c r="F867" i="1"/>
  <c r="K867" i="1"/>
  <c r="L867" i="1"/>
  <c r="D868" i="1"/>
  <c r="F868" i="1"/>
  <c r="K868" i="1"/>
  <c r="L868" i="1"/>
  <c r="D869" i="1"/>
  <c r="F869" i="1"/>
  <c r="K869" i="1"/>
  <c r="L869" i="1"/>
  <c r="D870" i="1"/>
  <c r="F870" i="1"/>
  <c r="K870" i="1"/>
  <c r="L870" i="1"/>
  <c r="D871" i="1"/>
  <c r="F871" i="1"/>
  <c r="K871" i="1"/>
  <c r="L871" i="1"/>
  <c r="D872" i="1"/>
  <c r="F872" i="1"/>
  <c r="K872" i="1"/>
  <c r="L872" i="1"/>
  <c r="D873" i="1"/>
  <c r="F873" i="1"/>
  <c r="K873" i="1"/>
  <c r="L873" i="1"/>
  <c r="D874" i="1"/>
  <c r="F874" i="1"/>
  <c r="K874" i="1"/>
  <c r="L874" i="1"/>
  <c r="D875" i="1"/>
  <c r="F875" i="1"/>
  <c r="K875" i="1"/>
  <c r="L875" i="1"/>
  <c r="D876" i="1"/>
  <c r="F876" i="1"/>
  <c r="K876" i="1"/>
  <c r="L876" i="1"/>
  <c r="D877" i="1"/>
  <c r="F877" i="1"/>
  <c r="K877" i="1"/>
  <c r="L877" i="1"/>
  <c r="D878" i="1"/>
  <c r="F878" i="1"/>
  <c r="K878" i="1"/>
  <c r="L878" i="1"/>
  <c r="D879" i="1"/>
  <c r="F879" i="1"/>
  <c r="K879" i="1"/>
  <c r="L879" i="1"/>
  <c r="D880" i="1"/>
  <c r="F880" i="1"/>
  <c r="K880" i="1"/>
  <c r="L880" i="1"/>
  <c r="D881" i="1"/>
  <c r="F881" i="1"/>
  <c r="K881" i="1"/>
  <c r="L881" i="1"/>
  <c r="D882" i="1"/>
  <c r="F882" i="1"/>
  <c r="K882" i="1"/>
  <c r="L882" i="1"/>
  <c r="D883" i="1"/>
  <c r="F883" i="1"/>
  <c r="K883" i="1"/>
  <c r="L883" i="1"/>
  <c r="D884" i="1"/>
  <c r="F884" i="1"/>
  <c r="K884" i="1"/>
  <c r="L884" i="1"/>
  <c r="D885" i="1"/>
  <c r="F885" i="1"/>
  <c r="K885" i="1"/>
  <c r="L885" i="1"/>
  <c r="D886" i="1"/>
  <c r="F886" i="1"/>
  <c r="K886" i="1"/>
  <c r="L886" i="1"/>
  <c r="D887" i="1"/>
  <c r="F887" i="1"/>
  <c r="K887" i="1"/>
  <c r="L887" i="1"/>
  <c r="D888" i="1"/>
  <c r="F888" i="1"/>
  <c r="K888" i="1"/>
  <c r="L888" i="1"/>
  <c r="D889" i="1"/>
  <c r="F889" i="1"/>
  <c r="K889" i="1"/>
  <c r="L889" i="1"/>
  <c r="D890" i="1"/>
  <c r="F890" i="1"/>
  <c r="K890" i="1"/>
  <c r="L890" i="1"/>
  <c r="D891" i="1"/>
  <c r="F891" i="1"/>
  <c r="K891" i="1"/>
  <c r="L891" i="1"/>
  <c r="D892" i="1"/>
  <c r="F892" i="1"/>
  <c r="K892" i="1"/>
  <c r="L892" i="1"/>
  <c r="D893" i="1"/>
  <c r="F893" i="1"/>
  <c r="K893" i="1"/>
  <c r="L893" i="1"/>
  <c r="D894" i="1"/>
  <c r="F894" i="1"/>
  <c r="K894" i="1"/>
  <c r="L894" i="1"/>
  <c r="D895" i="1"/>
  <c r="F895" i="1"/>
  <c r="K895" i="1"/>
  <c r="L895" i="1"/>
  <c r="D896" i="1"/>
  <c r="F896" i="1"/>
  <c r="K896" i="1"/>
  <c r="L896" i="1"/>
  <c r="D897" i="1"/>
  <c r="F897" i="1"/>
  <c r="K897" i="1"/>
  <c r="L897" i="1"/>
  <c r="D898" i="1"/>
  <c r="F898" i="1"/>
  <c r="K898" i="1"/>
  <c r="L898" i="1"/>
  <c r="D899" i="1"/>
  <c r="F899" i="1"/>
  <c r="K899" i="1"/>
  <c r="L899" i="1"/>
  <c r="D900" i="1"/>
  <c r="F900" i="1"/>
  <c r="K900" i="1"/>
  <c r="L900" i="1"/>
  <c r="D901" i="1"/>
  <c r="F901" i="1"/>
  <c r="K901" i="1"/>
  <c r="L901" i="1"/>
  <c r="D902" i="1"/>
  <c r="F902" i="1"/>
  <c r="K902" i="1"/>
  <c r="L902" i="1"/>
  <c r="D903" i="1"/>
  <c r="F903" i="1"/>
  <c r="K903" i="1"/>
  <c r="L903" i="1"/>
  <c r="D904" i="1"/>
  <c r="F904" i="1"/>
  <c r="K904" i="1"/>
  <c r="L904" i="1"/>
  <c r="D905" i="1"/>
  <c r="F905" i="1"/>
  <c r="K905" i="1"/>
  <c r="L905" i="1"/>
  <c r="D906" i="1"/>
  <c r="F906" i="1"/>
  <c r="K906" i="1"/>
  <c r="L906" i="1"/>
  <c r="D907" i="1"/>
  <c r="F907" i="1"/>
  <c r="K907" i="1"/>
  <c r="L907" i="1"/>
  <c r="D908" i="1"/>
  <c r="F908" i="1"/>
  <c r="K908" i="1"/>
  <c r="L908" i="1"/>
  <c r="D909" i="1"/>
  <c r="F909" i="1"/>
  <c r="K909" i="1"/>
  <c r="L909" i="1"/>
  <c r="D910" i="1"/>
  <c r="F910" i="1"/>
  <c r="K910" i="1"/>
  <c r="L910" i="1"/>
  <c r="D911" i="1"/>
  <c r="F911" i="1"/>
  <c r="K911" i="1"/>
  <c r="L911" i="1"/>
  <c r="D912" i="1"/>
  <c r="F912" i="1"/>
  <c r="K912" i="1"/>
  <c r="L912" i="1"/>
  <c r="D913" i="1"/>
  <c r="F913" i="1"/>
  <c r="K913" i="1"/>
  <c r="L913" i="1"/>
  <c r="D914" i="1"/>
  <c r="F914" i="1"/>
  <c r="K914" i="1"/>
  <c r="L914" i="1"/>
  <c r="D915" i="1"/>
  <c r="F915" i="1"/>
  <c r="K915" i="1"/>
  <c r="L915" i="1"/>
  <c r="D916" i="1"/>
  <c r="F916" i="1"/>
  <c r="K916" i="1"/>
  <c r="L916" i="1"/>
  <c r="D917" i="1"/>
  <c r="F917" i="1"/>
  <c r="K917" i="1"/>
  <c r="L917" i="1"/>
  <c r="D918" i="1"/>
  <c r="F918" i="1"/>
  <c r="K918" i="1"/>
  <c r="L918" i="1"/>
  <c r="D919" i="1"/>
  <c r="F919" i="1"/>
  <c r="K919" i="1"/>
  <c r="L919" i="1"/>
  <c r="D920" i="1"/>
  <c r="F920" i="1"/>
  <c r="K920" i="1"/>
  <c r="L920" i="1"/>
  <c r="D921" i="1"/>
  <c r="F921" i="1"/>
  <c r="K921" i="1"/>
  <c r="L921" i="1"/>
  <c r="D922" i="1"/>
  <c r="F922" i="1"/>
  <c r="K922" i="1"/>
  <c r="L922" i="1"/>
  <c r="D923" i="1"/>
  <c r="F923" i="1"/>
  <c r="K923" i="1"/>
  <c r="L923" i="1"/>
  <c r="D924" i="1"/>
  <c r="F924" i="1"/>
  <c r="K924" i="1"/>
  <c r="L924" i="1"/>
  <c r="D925" i="1"/>
  <c r="F925" i="1"/>
  <c r="K925" i="1"/>
  <c r="L925" i="1"/>
  <c r="D926" i="1"/>
  <c r="F926" i="1"/>
  <c r="K926" i="1"/>
  <c r="L926" i="1"/>
  <c r="D927" i="1"/>
  <c r="F927" i="1"/>
  <c r="K927" i="1"/>
  <c r="L927" i="1"/>
  <c r="D928" i="1"/>
  <c r="F928" i="1"/>
  <c r="K928" i="1"/>
  <c r="L928" i="1"/>
  <c r="D929" i="1"/>
  <c r="F929" i="1"/>
  <c r="K929" i="1"/>
  <c r="L929" i="1"/>
  <c r="D930" i="1"/>
  <c r="F930" i="1"/>
  <c r="K930" i="1"/>
  <c r="L930" i="1"/>
  <c r="D931" i="1"/>
  <c r="F931" i="1"/>
  <c r="K931" i="1"/>
  <c r="L931" i="1"/>
  <c r="D932" i="1"/>
  <c r="F932" i="1"/>
  <c r="K932" i="1"/>
  <c r="L932" i="1"/>
  <c r="D933" i="1"/>
  <c r="F933" i="1"/>
  <c r="K933" i="1"/>
  <c r="L933" i="1"/>
  <c r="D934" i="1"/>
  <c r="F934" i="1"/>
  <c r="K934" i="1"/>
  <c r="L934" i="1"/>
  <c r="D935" i="1"/>
  <c r="F935" i="1"/>
  <c r="K935" i="1"/>
  <c r="L935" i="1"/>
  <c r="D936" i="1"/>
  <c r="F936" i="1"/>
  <c r="K936" i="1"/>
  <c r="L936" i="1"/>
  <c r="D937" i="1"/>
  <c r="F937" i="1"/>
  <c r="K937" i="1"/>
  <c r="L937" i="1"/>
  <c r="D938" i="1"/>
  <c r="F938" i="1"/>
  <c r="K938" i="1"/>
  <c r="L938" i="1"/>
  <c r="D939" i="1"/>
  <c r="F939" i="1"/>
  <c r="K939" i="1"/>
  <c r="L939" i="1"/>
  <c r="D940" i="1"/>
  <c r="F940" i="1"/>
  <c r="K940" i="1"/>
  <c r="L940" i="1"/>
  <c r="D941" i="1"/>
  <c r="F941" i="1"/>
  <c r="K941" i="1"/>
  <c r="L941" i="1"/>
  <c r="D942" i="1"/>
  <c r="F942" i="1"/>
  <c r="K942" i="1"/>
  <c r="L942" i="1"/>
  <c r="D943" i="1"/>
  <c r="F943" i="1"/>
  <c r="K943" i="1"/>
  <c r="L943" i="1"/>
  <c r="D944" i="1"/>
  <c r="F944" i="1"/>
  <c r="K944" i="1"/>
  <c r="L944" i="1"/>
  <c r="D945" i="1"/>
  <c r="F945" i="1"/>
  <c r="K945" i="1"/>
  <c r="L945" i="1"/>
  <c r="D946" i="1"/>
  <c r="F946" i="1"/>
  <c r="K946" i="1"/>
  <c r="L946" i="1"/>
  <c r="D947" i="1"/>
  <c r="F947" i="1"/>
  <c r="K947" i="1"/>
  <c r="L947" i="1"/>
  <c r="D948" i="1"/>
  <c r="F948" i="1"/>
  <c r="K948" i="1"/>
  <c r="L948" i="1"/>
  <c r="D949" i="1"/>
  <c r="F949" i="1"/>
  <c r="K949" i="1"/>
  <c r="L949" i="1"/>
  <c r="D950" i="1"/>
  <c r="F950" i="1"/>
  <c r="K950" i="1"/>
  <c r="L950" i="1"/>
  <c r="D951" i="1"/>
  <c r="F951" i="1"/>
  <c r="K951" i="1"/>
  <c r="L951" i="1"/>
  <c r="D952" i="1"/>
  <c r="F952" i="1"/>
  <c r="K952" i="1"/>
  <c r="L952" i="1"/>
  <c r="D953" i="1"/>
  <c r="F953" i="1"/>
  <c r="K953" i="1"/>
  <c r="L953" i="1"/>
  <c r="D954" i="1"/>
  <c r="F954" i="1"/>
  <c r="K954" i="1"/>
  <c r="L954" i="1"/>
  <c r="D955" i="1"/>
  <c r="F955" i="1"/>
  <c r="K955" i="1"/>
  <c r="L955" i="1"/>
  <c r="D956" i="1"/>
  <c r="F956" i="1"/>
  <c r="K956" i="1"/>
  <c r="L956" i="1"/>
  <c r="D957" i="1"/>
  <c r="F957" i="1"/>
  <c r="K957" i="1"/>
  <c r="L957" i="1"/>
  <c r="D958" i="1"/>
  <c r="F958" i="1"/>
  <c r="K958" i="1"/>
  <c r="L958" i="1"/>
  <c r="D959" i="1"/>
  <c r="F959" i="1"/>
  <c r="K959" i="1"/>
  <c r="L959" i="1"/>
  <c r="D960" i="1"/>
  <c r="F960" i="1"/>
  <c r="K960" i="1"/>
  <c r="L960" i="1"/>
  <c r="D961" i="1"/>
  <c r="F961" i="1"/>
  <c r="K961" i="1"/>
  <c r="L961" i="1"/>
  <c r="D962" i="1"/>
  <c r="F962" i="1"/>
  <c r="K962" i="1"/>
  <c r="L962" i="1"/>
  <c r="D963" i="1"/>
  <c r="F963" i="1"/>
  <c r="K963" i="1"/>
  <c r="L963" i="1"/>
  <c r="D964" i="1"/>
  <c r="F964" i="1"/>
  <c r="K964" i="1"/>
  <c r="L964" i="1"/>
  <c r="D965" i="1"/>
  <c r="F965" i="1"/>
  <c r="K965" i="1"/>
  <c r="L965" i="1"/>
  <c r="D966" i="1"/>
  <c r="F966" i="1"/>
  <c r="K966" i="1"/>
  <c r="L966" i="1"/>
  <c r="D967" i="1"/>
  <c r="F967" i="1"/>
  <c r="K967" i="1"/>
  <c r="L967" i="1"/>
  <c r="D968" i="1"/>
  <c r="F968" i="1"/>
  <c r="K968" i="1"/>
  <c r="L968" i="1"/>
  <c r="D969" i="1"/>
  <c r="F969" i="1"/>
  <c r="K969" i="1"/>
  <c r="L969" i="1"/>
  <c r="D970" i="1"/>
  <c r="F970" i="1"/>
  <c r="K970" i="1"/>
  <c r="L970" i="1"/>
  <c r="D971" i="1"/>
  <c r="F971" i="1"/>
  <c r="K971" i="1"/>
  <c r="L971" i="1"/>
  <c r="D972" i="1"/>
  <c r="F972" i="1"/>
  <c r="K972" i="1"/>
  <c r="L972" i="1"/>
  <c r="D973" i="1"/>
  <c r="F973" i="1"/>
  <c r="K973" i="1"/>
  <c r="L973" i="1"/>
  <c r="D974" i="1"/>
  <c r="F974" i="1"/>
  <c r="K974" i="1"/>
  <c r="L974" i="1"/>
  <c r="D975" i="1"/>
  <c r="F975" i="1"/>
  <c r="K975" i="1"/>
  <c r="L975" i="1"/>
  <c r="D976" i="1"/>
  <c r="F976" i="1"/>
  <c r="K976" i="1"/>
  <c r="L976" i="1"/>
  <c r="D977" i="1"/>
  <c r="F977" i="1"/>
  <c r="K977" i="1"/>
  <c r="L977" i="1"/>
  <c r="D978" i="1"/>
  <c r="F978" i="1"/>
  <c r="K978" i="1"/>
  <c r="L978" i="1"/>
  <c r="D979" i="1"/>
  <c r="F979" i="1"/>
  <c r="K979" i="1"/>
  <c r="L979" i="1"/>
  <c r="D980" i="1"/>
  <c r="F980" i="1"/>
  <c r="K980" i="1"/>
  <c r="L980" i="1"/>
  <c r="D981" i="1"/>
  <c r="F981" i="1"/>
  <c r="K981" i="1"/>
  <c r="L981" i="1"/>
  <c r="D982" i="1"/>
  <c r="F982" i="1"/>
  <c r="K982" i="1"/>
  <c r="L982" i="1"/>
  <c r="D983" i="1"/>
  <c r="F983" i="1"/>
  <c r="K983" i="1"/>
  <c r="L983" i="1"/>
  <c r="D984" i="1"/>
  <c r="F984" i="1"/>
  <c r="K984" i="1"/>
  <c r="L984" i="1"/>
  <c r="D985" i="1"/>
  <c r="F985" i="1"/>
  <c r="K985" i="1"/>
  <c r="L985" i="1"/>
  <c r="D986" i="1"/>
  <c r="F986" i="1"/>
  <c r="K986" i="1"/>
  <c r="L986" i="1"/>
  <c r="D987" i="1"/>
  <c r="F987" i="1"/>
  <c r="K987" i="1"/>
  <c r="L987" i="1"/>
  <c r="D988" i="1"/>
  <c r="F988" i="1"/>
  <c r="K988" i="1"/>
  <c r="L988" i="1"/>
  <c r="D989" i="1"/>
  <c r="F989" i="1"/>
  <c r="K989" i="1"/>
  <c r="L989" i="1"/>
  <c r="D990" i="1"/>
  <c r="F990" i="1"/>
  <c r="K990" i="1"/>
  <c r="L990" i="1"/>
  <c r="D991" i="1"/>
  <c r="F991" i="1"/>
  <c r="K991" i="1"/>
  <c r="L991" i="1"/>
  <c r="D992" i="1"/>
  <c r="F992" i="1"/>
  <c r="K992" i="1"/>
  <c r="L992" i="1"/>
  <c r="D993" i="1"/>
  <c r="F993" i="1"/>
  <c r="K993" i="1"/>
  <c r="L993" i="1"/>
  <c r="D994" i="1"/>
  <c r="F994" i="1"/>
  <c r="K994" i="1"/>
  <c r="L994" i="1"/>
  <c r="D995" i="1"/>
  <c r="F995" i="1"/>
  <c r="K995" i="1"/>
  <c r="L995" i="1"/>
  <c r="D996" i="1"/>
  <c r="F996" i="1"/>
  <c r="K996" i="1"/>
  <c r="L996" i="1"/>
  <c r="D997" i="1"/>
  <c r="F997" i="1"/>
  <c r="K997" i="1"/>
  <c r="L997" i="1"/>
  <c r="D998" i="1"/>
  <c r="F998" i="1"/>
  <c r="K998" i="1"/>
  <c r="L998" i="1"/>
  <c r="D999" i="1"/>
  <c r="F999" i="1"/>
  <c r="K999" i="1"/>
  <c r="L999" i="1"/>
  <c r="D1000" i="1"/>
  <c r="F1000" i="1"/>
  <c r="K1000" i="1"/>
  <c r="L1000" i="1"/>
  <c r="D1001" i="1"/>
  <c r="F1001" i="1"/>
  <c r="K1001" i="1"/>
  <c r="L1001" i="1"/>
  <c r="D1002" i="1"/>
  <c r="F1002" i="1"/>
  <c r="K1002" i="1"/>
  <c r="L1002" i="1"/>
  <c r="D1003" i="1"/>
  <c r="F1003" i="1"/>
  <c r="K1003" i="1"/>
  <c r="L1003" i="1"/>
  <c r="D1004" i="1"/>
  <c r="F1004" i="1"/>
  <c r="K1004" i="1"/>
  <c r="L1004" i="1"/>
  <c r="D1005" i="1"/>
  <c r="F1005" i="1"/>
  <c r="K1005" i="1"/>
  <c r="L1005" i="1"/>
  <c r="D1006" i="1"/>
  <c r="F1006" i="1"/>
  <c r="K1006" i="1"/>
  <c r="L1006" i="1"/>
  <c r="D1007" i="1"/>
  <c r="F1007" i="1"/>
  <c r="K1007" i="1"/>
  <c r="L1007" i="1"/>
  <c r="D1008" i="1"/>
  <c r="F1008" i="1"/>
  <c r="K1008" i="1"/>
  <c r="L1008" i="1"/>
  <c r="D1009" i="1"/>
  <c r="F1009" i="1"/>
  <c r="K1009" i="1"/>
  <c r="L1009" i="1"/>
  <c r="D1010" i="1"/>
  <c r="F1010" i="1"/>
  <c r="K1010" i="1"/>
  <c r="L1010" i="1"/>
  <c r="D1011" i="1"/>
  <c r="F1011" i="1"/>
  <c r="K1011" i="1"/>
  <c r="L1011" i="1"/>
  <c r="D1012" i="1"/>
  <c r="F1012" i="1"/>
  <c r="K1012" i="1"/>
  <c r="L1012" i="1"/>
  <c r="D1013" i="1"/>
  <c r="F1013" i="1"/>
  <c r="K1013" i="1"/>
  <c r="L1013" i="1"/>
  <c r="D1014" i="1"/>
  <c r="F1014" i="1"/>
  <c r="K1014" i="1"/>
  <c r="L1014" i="1"/>
  <c r="D1015" i="1"/>
  <c r="F1015" i="1"/>
  <c r="K1015" i="1"/>
  <c r="L1015" i="1"/>
  <c r="D1016" i="1"/>
  <c r="F1016" i="1"/>
  <c r="K1016" i="1"/>
  <c r="L1016" i="1"/>
  <c r="D1017" i="1"/>
  <c r="F1017" i="1"/>
  <c r="K1017" i="1"/>
  <c r="L1017" i="1"/>
  <c r="D1018" i="1"/>
  <c r="F1018" i="1"/>
  <c r="K1018" i="1"/>
  <c r="L1018" i="1"/>
  <c r="D1019" i="1"/>
  <c r="F1019" i="1"/>
  <c r="K1019" i="1"/>
  <c r="L1019" i="1"/>
  <c r="D1020" i="1"/>
  <c r="F1020" i="1"/>
  <c r="K1020" i="1"/>
  <c r="L1020" i="1"/>
  <c r="D1021" i="1"/>
  <c r="F1021" i="1"/>
  <c r="K1021" i="1"/>
  <c r="L1021" i="1"/>
  <c r="D1022" i="1"/>
  <c r="F1022" i="1"/>
  <c r="K1022" i="1"/>
  <c r="L1022" i="1"/>
  <c r="D1023" i="1"/>
  <c r="F1023" i="1"/>
  <c r="K1023" i="1"/>
  <c r="L1023" i="1"/>
  <c r="D1024" i="1"/>
  <c r="F1024" i="1"/>
  <c r="K1024" i="1"/>
  <c r="L1024" i="1"/>
  <c r="D1025" i="1"/>
  <c r="F1025" i="1"/>
  <c r="K1025" i="1"/>
  <c r="L1025" i="1"/>
  <c r="D1026" i="1"/>
  <c r="F1026" i="1"/>
  <c r="K1026" i="1"/>
  <c r="L1026" i="1"/>
  <c r="D1027" i="1"/>
  <c r="F1027" i="1"/>
  <c r="K1027" i="1"/>
  <c r="L1027" i="1"/>
  <c r="D1028" i="1"/>
  <c r="F1028" i="1"/>
  <c r="K1028" i="1"/>
  <c r="L1028" i="1"/>
  <c r="D1029" i="1"/>
  <c r="F1029" i="1"/>
  <c r="K1029" i="1"/>
  <c r="L1029" i="1"/>
  <c r="D1030" i="1"/>
  <c r="F1030" i="1"/>
  <c r="K1030" i="1"/>
  <c r="L1030" i="1"/>
  <c r="D1031" i="1"/>
  <c r="F1031" i="1"/>
  <c r="K1031" i="1"/>
  <c r="L1031" i="1"/>
  <c r="D1032" i="1"/>
  <c r="F1032" i="1"/>
  <c r="K1032" i="1"/>
  <c r="L1032" i="1"/>
  <c r="D1033" i="1"/>
  <c r="F1033" i="1"/>
  <c r="K1033" i="1"/>
  <c r="L1033" i="1"/>
  <c r="D1034" i="1"/>
  <c r="F1034" i="1"/>
  <c r="K1034" i="1"/>
  <c r="L1034" i="1"/>
  <c r="D1035" i="1"/>
  <c r="F1035" i="1"/>
  <c r="K1035" i="1"/>
  <c r="L1035" i="1"/>
  <c r="D1036" i="1"/>
  <c r="F1036" i="1"/>
  <c r="K1036" i="1"/>
  <c r="L1036" i="1"/>
  <c r="D1037" i="1"/>
  <c r="F1037" i="1"/>
  <c r="K1037" i="1"/>
  <c r="L1037" i="1"/>
  <c r="D1038" i="1"/>
  <c r="F1038" i="1"/>
  <c r="K1038" i="1"/>
  <c r="L1038" i="1"/>
  <c r="D1039" i="1"/>
  <c r="F1039" i="1"/>
  <c r="K1039" i="1"/>
  <c r="L1039" i="1"/>
  <c r="D1040" i="1"/>
  <c r="F1040" i="1"/>
  <c r="K1040" i="1"/>
  <c r="L1040" i="1"/>
  <c r="D1041" i="1"/>
  <c r="F1041" i="1"/>
  <c r="K1041" i="1"/>
  <c r="L1041" i="1"/>
  <c r="D1042" i="1"/>
  <c r="F1042" i="1"/>
  <c r="K1042" i="1"/>
  <c r="L1042" i="1"/>
  <c r="D1043" i="1"/>
  <c r="F1043" i="1"/>
  <c r="K1043" i="1"/>
  <c r="L1043" i="1"/>
  <c r="D1044" i="1"/>
  <c r="F1044" i="1"/>
  <c r="K1044" i="1"/>
  <c r="L1044" i="1"/>
  <c r="D1045" i="1"/>
  <c r="F1045" i="1"/>
  <c r="K1045" i="1"/>
  <c r="L1045" i="1"/>
  <c r="D1046" i="1"/>
  <c r="F1046" i="1"/>
  <c r="K1046" i="1"/>
  <c r="L1046" i="1"/>
  <c r="D1047" i="1"/>
  <c r="F1047" i="1"/>
  <c r="K1047" i="1"/>
  <c r="L1047" i="1"/>
  <c r="D1048" i="1"/>
  <c r="F1048" i="1"/>
  <c r="K1048" i="1"/>
  <c r="L1048" i="1"/>
  <c r="D1049" i="1"/>
  <c r="F1049" i="1"/>
  <c r="K1049" i="1"/>
  <c r="L1049" i="1"/>
  <c r="D1050" i="1"/>
  <c r="F1050" i="1"/>
  <c r="K1050" i="1"/>
  <c r="L1050" i="1"/>
  <c r="D1051" i="1"/>
  <c r="F1051" i="1"/>
  <c r="K1051" i="1"/>
  <c r="L1051" i="1"/>
  <c r="D1052" i="1"/>
  <c r="F1052" i="1"/>
  <c r="K1052" i="1"/>
  <c r="L1052" i="1"/>
  <c r="D1053" i="1"/>
  <c r="F1053" i="1"/>
  <c r="K1053" i="1"/>
  <c r="L1053" i="1"/>
  <c r="D1054" i="1"/>
  <c r="F1054" i="1"/>
  <c r="K1054" i="1"/>
  <c r="L1054" i="1"/>
  <c r="D1055" i="1"/>
  <c r="F1055" i="1"/>
  <c r="K1055" i="1"/>
  <c r="L1055" i="1"/>
  <c r="D1056" i="1"/>
  <c r="F1056" i="1"/>
  <c r="K1056" i="1"/>
  <c r="L1056" i="1"/>
  <c r="D1057" i="1"/>
  <c r="F1057" i="1"/>
  <c r="K1057" i="1"/>
  <c r="L1057" i="1"/>
  <c r="D1058" i="1"/>
  <c r="F1058" i="1"/>
  <c r="K1058" i="1"/>
  <c r="L1058" i="1"/>
  <c r="D1059" i="1"/>
  <c r="F1059" i="1"/>
  <c r="K1059" i="1"/>
  <c r="L1059" i="1"/>
  <c r="D1060" i="1"/>
  <c r="F1060" i="1"/>
  <c r="K1060" i="1"/>
  <c r="L1060" i="1"/>
  <c r="D1061" i="1"/>
  <c r="F1061" i="1"/>
  <c r="K1061" i="1"/>
  <c r="L1061" i="1"/>
  <c r="D1062" i="1"/>
  <c r="F1062" i="1"/>
  <c r="K1062" i="1"/>
  <c r="L1062" i="1"/>
  <c r="D1063" i="1"/>
  <c r="F1063" i="1"/>
  <c r="K1063" i="1"/>
  <c r="L1063" i="1"/>
  <c r="D1064" i="1"/>
  <c r="F1064" i="1"/>
  <c r="K1064" i="1"/>
  <c r="L1064" i="1"/>
  <c r="D1065" i="1"/>
  <c r="F1065" i="1"/>
  <c r="K1065" i="1"/>
  <c r="L1065" i="1"/>
  <c r="D1066" i="1"/>
  <c r="F1066" i="1"/>
  <c r="K1066" i="1"/>
  <c r="L1066" i="1"/>
  <c r="D1067" i="1"/>
  <c r="F1067" i="1"/>
  <c r="K1067" i="1"/>
  <c r="L1067" i="1"/>
  <c r="D1068" i="1"/>
  <c r="F1068" i="1"/>
  <c r="K1068" i="1"/>
  <c r="L1068" i="1"/>
  <c r="D1069" i="1"/>
  <c r="F1069" i="1"/>
  <c r="K1069" i="1"/>
  <c r="L1069" i="1"/>
  <c r="D1070" i="1"/>
  <c r="F1070" i="1"/>
  <c r="K1070" i="1"/>
  <c r="L1070" i="1"/>
  <c r="D1071" i="1"/>
  <c r="F1071" i="1"/>
  <c r="K1071" i="1"/>
  <c r="L1071" i="1"/>
  <c r="D1072" i="1"/>
  <c r="F1072" i="1"/>
  <c r="K1072" i="1"/>
  <c r="L1072" i="1"/>
  <c r="D1073" i="1"/>
  <c r="F1073" i="1"/>
  <c r="K1073" i="1"/>
  <c r="L1073" i="1"/>
  <c r="D1074" i="1"/>
  <c r="F1074" i="1"/>
  <c r="K1074" i="1"/>
  <c r="L1074" i="1"/>
  <c r="D1075" i="1"/>
  <c r="F1075" i="1"/>
  <c r="K1075" i="1"/>
  <c r="L1075" i="1"/>
  <c r="D1076" i="1"/>
  <c r="F1076" i="1"/>
  <c r="K1076" i="1"/>
  <c r="L1076" i="1"/>
  <c r="D1077" i="1"/>
  <c r="F1077" i="1"/>
  <c r="K1077" i="1"/>
  <c r="L1077" i="1"/>
  <c r="D1078" i="1"/>
  <c r="F1078" i="1"/>
  <c r="K1078" i="1"/>
  <c r="L1078" i="1"/>
  <c r="D1079" i="1"/>
  <c r="F1079" i="1"/>
  <c r="K1079" i="1"/>
  <c r="L1079" i="1"/>
  <c r="D1080" i="1"/>
  <c r="F1080" i="1"/>
  <c r="K1080" i="1"/>
  <c r="L1080" i="1"/>
  <c r="D1081" i="1"/>
  <c r="F1081" i="1"/>
  <c r="K1081" i="1"/>
  <c r="L1081" i="1"/>
  <c r="D1082" i="1"/>
  <c r="F1082" i="1"/>
  <c r="K1082" i="1"/>
  <c r="L1082" i="1"/>
  <c r="D1083" i="1"/>
  <c r="F1083" i="1"/>
  <c r="K1083" i="1"/>
  <c r="L1083" i="1"/>
  <c r="D1084" i="1"/>
  <c r="F1084" i="1"/>
  <c r="K1084" i="1"/>
  <c r="L1084" i="1"/>
  <c r="D1085" i="1"/>
  <c r="F1085" i="1"/>
  <c r="K1085" i="1"/>
  <c r="L1085" i="1"/>
  <c r="D1086" i="1"/>
  <c r="F1086" i="1"/>
  <c r="K1086" i="1"/>
  <c r="L1086" i="1"/>
  <c r="D1087" i="1"/>
  <c r="F1087" i="1"/>
  <c r="K1087" i="1"/>
  <c r="L1087" i="1"/>
  <c r="D1088" i="1"/>
  <c r="F1088" i="1"/>
  <c r="K1088" i="1"/>
  <c r="L1088" i="1"/>
  <c r="D1089" i="1"/>
  <c r="F1089" i="1"/>
  <c r="K1089" i="1"/>
  <c r="L1089" i="1"/>
  <c r="D1090" i="1"/>
  <c r="F1090" i="1"/>
  <c r="K1090" i="1"/>
  <c r="L1090" i="1"/>
  <c r="D1091" i="1"/>
  <c r="F1091" i="1"/>
  <c r="K1091" i="1"/>
  <c r="L1091" i="1"/>
  <c r="D1092" i="1"/>
  <c r="F1092" i="1"/>
  <c r="K1092" i="1"/>
  <c r="L1092" i="1"/>
  <c r="D1093" i="1"/>
  <c r="F1093" i="1"/>
  <c r="K1093" i="1"/>
  <c r="L1093" i="1"/>
  <c r="D1094" i="1"/>
  <c r="F1094" i="1"/>
  <c r="K1094" i="1"/>
  <c r="L1094" i="1"/>
  <c r="D1095" i="1"/>
  <c r="F1095" i="1"/>
  <c r="K1095" i="1"/>
  <c r="L1095" i="1"/>
  <c r="D1096" i="1"/>
  <c r="F1096" i="1"/>
  <c r="K1096" i="1"/>
  <c r="L1096" i="1"/>
  <c r="D1097" i="1"/>
  <c r="F1097" i="1"/>
  <c r="K1097" i="1"/>
  <c r="L1097" i="1"/>
  <c r="D1098" i="1"/>
  <c r="F1098" i="1"/>
  <c r="K1098" i="1"/>
  <c r="L1098" i="1"/>
  <c r="D1099" i="1"/>
  <c r="F1099" i="1"/>
  <c r="K1099" i="1"/>
  <c r="L1099" i="1"/>
  <c r="D1100" i="1"/>
  <c r="F1100" i="1"/>
  <c r="K1100" i="1"/>
  <c r="L1100" i="1"/>
  <c r="D1101" i="1"/>
  <c r="F1101" i="1"/>
  <c r="K1101" i="1"/>
  <c r="L1101" i="1"/>
  <c r="D1102" i="1"/>
  <c r="F1102" i="1"/>
  <c r="K1102" i="1"/>
  <c r="L1102" i="1"/>
  <c r="D1103" i="1"/>
  <c r="F1103" i="1"/>
  <c r="K1103" i="1"/>
  <c r="L1103" i="1"/>
  <c r="D1104" i="1"/>
  <c r="F1104" i="1"/>
  <c r="K1104" i="1"/>
  <c r="L1104" i="1"/>
  <c r="D1105" i="1"/>
  <c r="F1105" i="1"/>
  <c r="K1105" i="1"/>
  <c r="L1105" i="1"/>
  <c r="D1106" i="1"/>
  <c r="F1106" i="1"/>
  <c r="K1106" i="1"/>
  <c r="L1106" i="1"/>
  <c r="D1107" i="1"/>
  <c r="F1107" i="1"/>
  <c r="K1107" i="1"/>
  <c r="L1107" i="1"/>
  <c r="D1108" i="1"/>
  <c r="F1108" i="1"/>
  <c r="K1108" i="1"/>
  <c r="L1108" i="1"/>
  <c r="D1109" i="1"/>
  <c r="F1109" i="1"/>
  <c r="K1109" i="1"/>
  <c r="L1109" i="1"/>
  <c r="D1110" i="1"/>
  <c r="F1110" i="1"/>
  <c r="K1110" i="1"/>
  <c r="L1110" i="1"/>
  <c r="D1111" i="1"/>
  <c r="F1111" i="1"/>
  <c r="K1111" i="1"/>
  <c r="L1111" i="1"/>
  <c r="D1112" i="1"/>
  <c r="F1112" i="1"/>
  <c r="K1112" i="1"/>
  <c r="L1112" i="1"/>
  <c r="D1113" i="1"/>
  <c r="F1113" i="1"/>
  <c r="K1113" i="1"/>
  <c r="L1113" i="1"/>
  <c r="D1114" i="1"/>
  <c r="F1114" i="1"/>
  <c r="K1114" i="1"/>
  <c r="L1114" i="1"/>
  <c r="D1115" i="1"/>
  <c r="F1115" i="1"/>
  <c r="K1115" i="1"/>
  <c r="L1115" i="1"/>
  <c r="D1116" i="1"/>
  <c r="F1116" i="1"/>
  <c r="K1116" i="1"/>
  <c r="L1116" i="1"/>
  <c r="D1117" i="1"/>
  <c r="F1117" i="1"/>
  <c r="K1117" i="1"/>
  <c r="L1117" i="1"/>
  <c r="D1118" i="1"/>
  <c r="F1118" i="1"/>
  <c r="K1118" i="1"/>
  <c r="L1118" i="1"/>
  <c r="D1119" i="1"/>
  <c r="F1119" i="1"/>
  <c r="K1119" i="1"/>
  <c r="L1119" i="1"/>
  <c r="D1120" i="1"/>
  <c r="F1120" i="1"/>
  <c r="K1120" i="1"/>
  <c r="L1120" i="1"/>
  <c r="D1121" i="1"/>
  <c r="F1121" i="1"/>
  <c r="K1121" i="1"/>
  <c r="L1121" i="1"/>
  <c r="D1122" i="1"/>
  <c r="F1122" i="1"/>
  <c r="K1122" i="1"/>
  <c r="L1122" i="1"/>
  <c r="D1123" i="1"/>
  <c r="F1123" i="1"/>
  <c r="K1123" i="1"/>
  <c r="L1123" i="1"/>
  <c r="D1124" i="1"/>
  <c r="F1124" i="1"/>
  <c r="K1124" i="1"/>
  <c r="L1124" i="1"/>
  <c r="D1125" i="1"/>
  <c r="F1125" i="1"/>
  <c r="K1125" i="1"/>
  <c r="L1125" i="1"/>
  <c r="D1126" i="1"/>
  <c r="F1126" i="1"/>
  <c r="K1126" i="1"/>
  <c r="L1126" i="1"/>
  <c r="D1127" i="1"/>
  <c r="F1127" i="1"/>
  <c r="K1127" i="1"/>
  <c r="L1127" i="1"/>
  <c r="D1128" i="1"/>
  <c r="F1128" i="1"/>
  <c r="K1128" i="1"/>
  <c r="L1128" i="1"/>
  <c r="D1129" i="1"/>
  <c r="F1129" i="1"/>
  <c r="K1129" i="1"/>
  <c r="L1129" i="1"/>
  <c r="D1130" i="1"/>
  <c r="F1130" i="1"/>
  <c r="K1130" i="1"/>
  <c r="L1130" i="1"/>
  <c r="D1131" i="1"/>
  <c r="F1131" i="1"/>
  <c r="K1131" i="1"/>
  <c r="L1131" i="1"/>
  <c r="D1132" i="1"/>
  <c r="F1132" i="1"/>
  <c r="K1132" i="1"/>
  <c r="L1132" i="1"/>
  <c r="D1133" i="1"/>
  <c r="F1133" i="1"/>
  <c r="K1133" i="1"/>
  <c r="L1133" i="1"/>
  <c r="D1134" i="1"/>
  <c r="F1134" i="1"/>
  <c r="K1134" i="1"/>
  <c r="L1134" i="1"/>
  <c r="D1135" i="1"/>
  <c r="F1135" i="1"/>
  <c r="K1135" i="1"/>
  <c r="L1135" i="1"/>
  <c r="D1136" i="1"/>
  <c r="F1136" i="1"/>
  <c r="K1136" i="1"/>
  <c r="L1136" i="1"/>
  <c r="D1137" i="1"/>
  <c r="F1137" i="1"/>
  <c r="K1137" i="1"/>
  <c r="L1137" i="1"/>
  <c r="D1138" i="1"/>
  <c r="F1138" i="1"/>
  <c r="K1138" i="1"/>
  <c r="L1138" i="1"/>
  <c r="D1139" i="1"/>
  <c r="F1139" i="1"/>
  <c r="K1139" i="1"/>
  <c r="L1139" i="1"/>
  <c r="D1140" i="1"/>
  <c r="F1140" i="1"/>
  <c r="K1140" i="1"/>
  <c r="L1140" i="1"/>
  <c r="D1141" i="1"/>
  <c r="F1141" i="1"/>
  <c r="K1141" i="1"/>
  <c r="L1141" i="1"/>
  <c r="D1142" i="1"/>
  <c r="F1142" i="1"/>
  <c r="K1142" i="1"/>
  <c r="L1142" i="1"/>
  <c r="D1143" i="1"/>
  <c r="F1143" i="1"/>
  <c r="K1143" i="1"/>
  <c r="L1143" i="1"/>
  <c r="D1144" i="1"/>
  <c r="F1144" i="1"/>
  <c r="K1144" i="1"/>
  <c r="L1144" i="1"/>
  <c r="D1145" i="1"/>
  <c r="F1145" i="1"/>
  <c r="K1145" i="1"/>
  <c r="L1145" i="1"/>
  <c r="D1146" i="1"/>
  <c r="F1146" i="1"/>
  <c r="K1146" i="1"/>
  <c r="L1146" i="1"/>
  <c r="D1147" i="1"/>
  <c r="F1147" i="1"/>
  <c r="K1147" i="1"/>
  <c r="L1147" i="1"/>
  <c r="D1148" i="1"/>
  <c r="F1148" i="1"/>
  <c r="K1148" i="1"/>
  <c r="L1148" i="1"/>
  <c r="D1149" i="1"/>
  <c r="F1149" i="1"/>
  <c r="K1149" i="1"/>
  <c r="L1149" i="1"/>
  <c r="D1150" i="1"/>
  <c r="F1150" i="1"/>
  <c r="K1150" i="1"/>
  <c r="L1150" i="1"/>
  <c r="D1151" i="1"/>
  <c r="F1151" i="1"/>
  <c r="K1151" i="1"/>
  <c r="L1151" i="1"/>
  <c r="D1152" i="1"/>
  <c r="F1152" i="1"/>
  <c r="K1152" i="1"/>
  <c r="L1152" i="1"/>
  <c r="D1153" i="1"/>
  <c r="F1153" i="1"/>
  <c r="K1153" i="1"/>
  <c r="L1153" i="1"/>
  <c r="D1154" i="1"/>
  <c r="F1154" i="1"/>
  <c r="K1154" i="1"/>
  <c r="L1154" i="1"/>
  <c r="D1155" i="1"/>
  <c r="F1155" i="1"/>
  <c r="K1155" i="1"/>
  <c r="L1155" i="1"/>
  <c r="D1156" i="1"/>
  <c r="F1156" i="1"/>
  <c r="K1156" i="1"/>
  <c r="L1156" i="1"/>
  <c r="D1157" i="1"/>
  <c r="F1157" i="1"/>
  <c r="K1157" i="1"/>
  <c r="L1157" i="1"/>
  <c r="D1158" i="1"/>
  <c r="F1158" i="1"/>
  <c r="K1158" i="1"/>
  <c r="L1158" i="1"/>
  <c r="D1159" i="1"/>
  <c r="F1159" i="1"/>
  <c r="K1159" i="1"/>
  <c r="L1159" i="1"/>
  <c r="D1160" i="1"/>
  <c r="F1160" i="1"/>
  <c r="K1160" i="1"/>
  <c r="L1160" i="1"/>
  <c r="D1161" i="1"/>
  <c r="F1161" i="1"/>
  <c r="K1161" i="1"/>
  <c r="L1161" i="1"/>
  <c r="D1162" i="1"/>
  <c r="F1162" i="1"/>
  <c r="K1162" i="1"/>
  <c r="L1162" i="1"/>
  <c r="D1163" i="1"/>
  <c r="F1163" i="1"/>
  <c r="K1163" i="1"/>
  <c r="L1163" i="1"/>
  <c r="D1164" i="1"/>
  <c r="F1164" i="1"/>
  <c r="K1164" i="1"/>
  <c r="L1164" i="1"/>
  <c r="D1165" i="1"/>
  <c r="F1165" i="1"/>
  <c r="K1165" i="1"/>
  <c r="L1165" i="1"/>
  <c r="D1166" i="1"/>
  <c r="F1166" i="1"/>
  <c r="K1166" i="1"/>
  <c r="L1166" i="1"/>
  <c r="D1167" i="1"/>
  <c r="F1167" i="1"/>
  <c r="K1167" i="1"/>
  <c r="L1167" i="1"/>
  <c r="D1168" i="1"/>
  <c r="F1168" i="1"/>
  <c r="K1168" i="1"/>
  <c r="L1168" i="1"/>
  <c r="D1169" i="1"/>
  <c r="F1169" i="1"/>
  <c r="K1169" i="1"/>
  <c r="L1169" i="1"/>
  <c r="D1170" i="1"/>
  <c r="F1170" i="1"/>
  <c r="K1170" i="1"/>
  <c r="L1170" i="1"/>
  <c r="D1171" i="1"/>
  <c r="F1171" i="1"/>
  <c r="K1171" i="1"/>
  <c r="L1171" i="1"/>
  <c r="D1172" i="1"/>
  <c r="F1172" i="1"/>
  <c r="K1172" i="1"/>
  <c r="L1172" i="1"/>
  <c r="D1173" i="1"/>
  <c r="F1173" i="1"/>
  <c r="K1173" i="1"/>
  <c r="L1173" i="1"/>
  <c r="D1174" i="1"/>
  <c r="F1174" i="1"/>
  <c r="K1174" i="1"/>
  <c r="L1174" i="1"/>
  <c r="D1175" i="1"/>
  <c r="F1175" i="1"/>
  <c r="K1175" i="1"/>
  <c r="L1175" i="1"/>
  <c r="D1176" i="1"/>
  <c r="F1176" i="1"/>
  <c r="K1176" i="1"/>
  <c r="L1176" i="1"/>
  <c r="D1177" i="1"/>
  <c r="F1177" i="1"/>
  <c r="K1177" i="1"/>
  <c r="L1177" i="1"/>
  <c r="D1178" i="1"/>
  <c r="F1178" i="1"/>
  <c r="K1178" i="1"/>
  <c r="L1178" i="1"/>
  <c r="D1179" i="1"/>
  <c r="F1179" i="1"/>
  <c r="K1179" i="1"/>
  <c r="L1179" i="1"/>
  <c r="D1180" i="1"/>
  <c r="F1180" i="1"/>
  <c r="K1180" i="1"/>
  <c r="L1180" i="1"/>
  <c r="D1181" i="1"/>
  <c r="F1181" i="1"/>
  <c r="K1181" i="1"/>
  <c r="L1181" i="1"/>
  <c r="D1182" i="1"/>
  <c r="F1182" i="1"/>
  <c r="K1182" i="1"/>
  <c r="L1182" i="1"/>
  <c r="D1183" i="1"/>
  <c r="F1183" i="1"/>
  <c r="K1183" i="1"/>
  <c r="L1183" i="1"/>
  <c r="D1184" i="1"/>
  <c r="F1184" i="1"/>
  <c r="K1184" i="1"/>
  <c r="L1184" i="1"/>
  <c r="D1185" i="1"/>
  <c r="F1185" i="1"/>
  <c r="K1185" i="1"/>
  <c r="L1185" i="1"/>
  <c r="D1186" i="1"/>
  <c r="F1186" i="1"/>
  <c r="K1186" i="1"/>
  <c r="L1186" i="1"/>
  <c r="D1187" i="1"/>
  <c r="F1187" i="1"/>
  <c r="K1187" i="1"/>
  <c r="L1187" i="1"/>
  <c r="D1188" i="1"/>
  <c r="F1188" i="1"/>
  <c r="K1188" i="1"/>
  <c r="L1188" i="1"/>
  <c r="D1189" i="1"/>
  <c r="F1189" i="1"/>
  <c r="K1189" i="1"/>
  <c r="L1189" i="1"/>
  <c r="D1190" i="1"/>
  <c r="F1190" i="1"/>
  <c r="K1190" i="1"/>
  <c r="L1190" i="1"/>
  <c r="D1191" i="1"/>
  <c r="F1191" i="1"/>
  <c r="K1191" i="1"/>
  <c r="L1191" i="1"/>
  <c r="D1192" i="1"/>
  <c r="F1192" i="1"/>
  <c r="K1192" i="1"/>
  <c r="L1192" i="1"/>
  <c r="D1193" i="1"/>
  <c r="F1193" i="1"/>
  <c r="K1193" i="1"/>
  <c r="L1193" i="1"/>
  <c r="D1194" i="1"/>
  <c r="F1194" i="1"/>
  <c r="K1194" i="1"/>
  <c r="L1194" i="1"/>
  <c r="D1195" i="1"/>
  <c r="F1195" i="1"/>
  <c r="K1195" i="1"/>
  <c r="L1195" i="1"/>
  <c r="D1196" i="1"/>
  <c r="F1196" i="1"/>
  <c r="K1196" i="1"/>
  <c r="L1196" i="1"/>
  <c r="D1197" i="1"/>
  <c r="F1197" i="1"/>
  <c r="K1197" i="1"/>
  <c r="L1197" i="1"/>
  <c r="D1198" i="1"/>
  <c r="F1198" i="1"/>
  <c r="K1198" i="1"/>
  <c r="L1198" i="1"/>
  <c r="D1199" i="1"/>
  <c r="F1199" i="1"/>
  <c r="K1199" i="1"/>
  <c r="L1199" i="1"/>
  <c r="D1200" i="1"/>
  <c r="F1200" i="1"/>
  <c r="K1200" i="1"/>
  <c r="L1200" i="1"/>
  <c r="D1201" i="1"/>
  <c r="F1201" i="1"/>
  <c r="K1201" i="1"/>
  <c r="L1201" i="1"/>
  <c r="D1202" i="1"/>
  <c r="F1202" i="1"/>
  <c r="K1202" i="1"/>
  <c r="L1202" i="1"/>
  <c r="D1203" i="1"/>
  <c r="F1203" i="1"/>
  <c r="K1203" i="1"/>
  <c r="L1203" i="1"/>
  <c r="D1204" i="1"/>
  <c r="F1204" i="1"/>
  <c r="K1204" i="1"/>
  <c r="L1204" i="1"/>
  <c r="D1205" i="1"/>
  <c r="F1205" i="1"/>
  <c r="K1205" i="1"/>
  <c r="L1205" i="1"/>
  <c r="D1206" i="1"/>
  <c r="F1206" i="1"/>
  <c r="K1206" i="1"/>
  <c r="L1206" i="1"/>
  <c r="D1207" i="1"/>
  <c r="F1207" i="1"/>
  <c r="K1207" i="1"/>
  <c r="L1207" i="1"/>
  <c r="D1208" i="1"/>
  <c r="F1208" i="1"/>
  <c r="K1208" i="1"/>
  <c r="L1208" i="1"/>
  <c r="D1209" i="1"/>
  <c r="F1209" i="1"/>
  <c r="K1209" i="1"/>
  <c r="L1209" i="1"/>
  <c r="D1210" i="1"/>
  <c r="F1210" i="1"/>
  <c r="K1210" i="1"/>
  <c r="L1210" i="1"/>
  <c r="D1211" i="1"/>
  <c r="F1211" i="1"/>
  <c r="K1211" i="1"/>
  <c r="L1211" i="1"/>
  <c r="D1212" i="1"/>
  <c r="F1212" i="1"/>
  <c r="K1212" i="1"/>
  <c r="L1212" i="1"/>
  <c r="D1213" i="1"/>
  <c r="F1213" i="1"/>
  <c r="K1213" i="1"/>
  <c r="L1213" i="1"/>
  <c r="D1214" i="1"/>
  <c r="F1214" i="1"/>
  <c r="K1214" i="1"/>
  <c r="L1214" i="1"/>
  <c r="D1215" i="1"/>
  <c r="F1215" i="1"/>
  <c r="K1215" i="1"/>
  <c r="L1215" i="1"/>
  <c r="D1216" i="1"/>
  <c r="F1216" i="1"/>
  <c r="K1216" i="1"/>
  <c r="L1216" i="1"/>
  <c r="D1217" i="1"/>
  <c r="F1217" i="1"/>
  <c r="K1217" i="1"/>
  <c r="L1217" i="1"/>
  <c r="D1218" i="1"/>
  <c r="F1218" i="1"/>
  <c r="K1218" i="1"/>
  <c r="L1218" i="1"/>
  <c r="D1219" i="1"/>
  <c r="F1219" i="1"/>
  <c r="K1219" i="1"/>
  <c r="L1219" i="1"/>
  <c r="D1220" i="1"/>
  <c r="F1220" i="1"/>
  <c r="K1220" i="1"/>
  <c r="L1220" i="1"/>
  <c r="D1221" i="1"/>
  <c r="F1221" i="1"/>
  <c r="K1221" i="1"/>
  <c r="L1221" i="1"/>
  <c r="D1222" i="1"/>
  <c r="F1222" i="1"/>
  <c r="K1222" i="1"/>
  <c r="L1222" i="1"/>
  <c r="D1223" i="1"/>
  <c r="F1223" i="1"/>
  <c r="K1223" i="1"/>
  <c r="L1223" i="1"/>
  <c r="D1224" i="1"/>
  <c r="F1224" i="1"/>
  <c r="K1224" i="1"/>
  <c r="L1224" i="1"/>
  <c r="D1225" i="1"/>
  <c r="F1225" i="1"/>
  <c r="K1225" i="1"/>
  <c r="L1225" i="1"/>
  <c r="D1226" i="1"/>
  <c r="F1226" i="1"/>
  <c r="K1226" i="1"/>
  <c r="L1226" i="1"/>
  <c r="D1227" i="1"/>
  <c r="F1227" i="1"/>
  <c r="K1227" i="1"/>
  <c r="L1227" i="1"/>
  <c r="D1228" i="1"/>
  <c r="F1228" i="1"/>
  <c r="K1228" i="1"/>
  <c r="L1228" i="1"/>
  <c r="D1229" i="1"/>
  <c r="F1229" i="1"/>
  <c r="K1229" i="1"/>
  <c r="L1229" i="1"/>
  <c r="D1230" i="1"/>
  <c r="F1230" i="1"/>
  <c r="K1230" i="1"/>
  <c r="L1230" i="1"/>
  <c r="D1231" i="1"/>
  <c r="F1231" i="1"/>
  <c r="K1231" i="1"/>
  <c r="L1231" i="1"/>
  <c r="D1232" i="1"/>
  <c r="F1232" i="1"/>
  <c r="K1232" i="1"/>
  <c r="L1232" i="1"/>
  <c r="D1233" i="1"/>
  <c r="F1233" i="1"/>
  <c r="K1233" i="1"/>
  <c r="L1233" i="1"/>
  <c r="D1234" i="1"/>
  <c r="F1234" i="1"/>
  <c r="K1234" i="1"/>
  <c r="L1234" i="1"/>
  <c r="D1235" i="1"/>
  <c r="F1235" i="1"/>
  <c r="K1235" i="1"/>
  <c r="L1235" i="1"/>
  <c r="D1236" i="1"/>
  <c r="F1236" i="1"/>
  <c r="K1236" i="1"/>
  <c r="L1236" i="1"/>
  <c r="D1237" i="1"/>
  <c r="F1237" i="1"/>
  <c r="K1237" i="1"/>
  <c r="L1237" i="1"/>
  <c r="D1238" i="1"/>
  <c r="F1238" i="1"/>
  <c r="K1238" i="1"/>
  <c r="L1238" i="1"/>
  <c r="D1239" i="1"/>
  <c r="F1239" i="1"/>
  <c r="K1239" i="1"/>
  <c r="L1239" i="1"/>
  <c r="D1240" i="1"/>
  <c r="F1240" i="1"/>
  <c r="K1240" i="1"/>
  <c r="L1240" i="1"/>
  <c r="D1241" i="1"/>
  <c r="F1241" i="1"/>
  <c r="K1241" i="1"/>
  <c r="L1241" i="1"/>
  <c r="D1242" i="1"/>
  <c r="F1242" i="1"/>
  <c r="K1242" i="1"/>
  <c r="L1242" i="1"/>
  <c r="D1243" i="1"/>
  <c r="F1243" i="1"/>
  <c r="K1243" i="1"/>
  <c r="L1243" i="1"/>
  <c r="D1244" i="1"/>
  <c r="F1244" i="1"/>
  <c r="K1244" i="1"/>
  <c r="L1244" i="1"/>
  <c r="D1245" i="1"/>
  <c r="F1245" i="1"/>
  <c r="K1245" i="1"/>
  <c r="L1245" i="1"/>
  <c r="D1246" i="1"/>
  <c r="F1246" i="1"/>
  <c r="K1246" i="1"/>
  <c r="L1246" i="1"/>
  <c r="D1247" i="1"/>
  <c r="F1247" i="1"/>
  <c r="K1247" i="1"/>
  <c r="L1247" i="1"/>
  <c r="D1248" i="1"/>
  <c r="F1248" i="1"/>
  <c r="K1248" i="1"/>
  <c r="L1248" i="1"/>
  <c r="D1249" i="1"/>
  <c r="F1249" i="1"/>
  <c r="K1249" i="1"/>
  <c r="L1249" i="1"/>
  <c r="D1250" i="1"/>
  <c r="F1250" i="1"/>
  <c r="K1250" i="1"/>
  <c r="L1250" i="1"/>
  <c r="D1251" i="1"/>
  <c r="F1251" i="1"/>
  <c r="K1251" i="1"/>
  <c r="L1251" i="1"/>
  <c r="D1252" i="1"/>
  <c r="F1252" i="1"/>
  <c r="K1252" i="1"/>
  <c r="L1252" i="1"/>
  <c r="D1253" i="1"/>
  <c r="F1253" i="1"/>
  <c r="K1253" i="1"/>
  <c r="L1253" i="1"/>
  <c r="D1254" i="1"/>
  <c r="F1254" i="1"/>
  <c r="K1254" i="1"/>
  <c r="L1254" i="1"/>
  <c r="D1255" i="1"/>
  <c r="F1255" i="1"/>
  <c r="K1255" i="1"/>
  <c r="L1255" i="1"/>
  <c r="D1256" i="1"/>
  <c r="F1256" i="1"/>
  <c r="K1256" i="1"/>
  <c r="L1256" i="1"/>
  <c r="D1257" i="1"/>
  <c r="F1257" i="1"/>
  <c r="K1257" i="1"/>
  <c r="L1257" i="1"/>
  <c r="D1258" i="1"/>
  <c r="F1258" i="1"/>
  <c r="K1258" i="1"/>
  <c r="L1258" i="1"/>
  <c r="D1259" i="1"/>
  <c r="F1259" i="1"/>
  <c r="K1259" i="1"/>
  <c r="L1259" i="1"/>
  <c r="D1260" i="1"/>
  <c r="F1260" i="1"/>
  <c r="K1260" i="1"/>
  <c r="L1260" i="1"/>
  <c r="D1261" i="1"/>
  <c r="F1261" i="1"/>
  <c r="K1261" i="1"/>
  <c r="L1261" i="1"/>
  <c r="D1262" i="1"/>
  <c r="F1262" i="1"/>
  <c r="K1262" i="1"/>
  <c r="L1262" i="1"/>
  <c r="D1263" i="1"/>
  <c r="F1263" i="1"/>
  <c r="K1263" i="1"/>
  <c r="L1263" i="1"/>
  <c r="D1264" i="1"/>
  <c r="F1264" i="1"/>
  <c r="K1264" i="1"/>
  <c r="L1264" i="1"/>
  <c r="D1265" i="1"/>
  <c r="F1265" i="1"/>
  <c r="K1265" i="1"/>
  <c r="L1265" i="1"/>
  <c r="D1266" i="1"/>
  <c r="F1266" i="1"/>
  <c r="K1266" i="1"/>
  <c r="L1266" i="1"/>
  <c r="D1267" i="1"/>
  <c r="F1267" i="1"/>
  <c r="K1267" i="1"/>
  <c r="L1267" i="1"/>
  <c r="D1268" i="1"/>
  <c r="F1268" i="1"/>
  <c r="K1268" i="1"/>
  <c r="L1268" i="1"/>
  <c r="D1269" i="1"/>
  <c r="F1269" i="1"/>
  <c r="K1269" i="1"/>
  <c r="L1269" i="1"/>
  <c r="D1270" i="1"/>
  <c r="F1270" i="1"/>
  <c r="K1270" i="1"/>
  <c r="L1270" i="1"/>
  <c r="D1271" i="1"/>
  <c r="F1271" i="1"/>
  <c r="K1271" i="1"/>
  <c r="L1271" i="1"/>
  <c r="D1272" i="1"/>
  <c r="F1272" i="1"/>
  <c r="K1272" i="1"/>
  <c r="L1272" i="1"/>
  <c r="D1273" i="1"/>
  <c r="F1273" i="1"/>
  <c r="K1273" i="1"/>
  <c r="L1273" i="1"/>
  <c r="D1274" i="1"/>
  <c r="F1274" i="1"/>
  <c r="K1274" i="1"/>
  <c r="L1274" i="1"/>
  <c r="D1275" i="1"/>
  <c r="F1275" i="1"/>
  <c r="K1275" i="1"/>
  <c r="L1275" i="1"/>
  <c r="D1276" i="1"/>
  <c r="F1276" i="1"/>
  <c r="K1276" i="1"/>
  <c r="L1276" i="1"/>
  <c r="D1277" i="1"/>
  <c r="F1277" i="1"/>
  <c r="K1277" i="1"/>
  <c r="L1277" i="1"/>
  <c r="D1278" i="1"/>
  <c r="F1278" i="1"/>
  <c r="K1278" i="1"/>
  <c r="L1278" i="1"/>
  <c r="D1279" i="1"/>
  <c r="F1279" i="1"/>
  <c r="K1279" i="1"/>
  <c r="L1279" i="1"/>
  <c r="D1280" i="1"/>
  <c r="F1280" i="1"/>
  <c r="K1280" i="1"/>
  <c r="L1280" i="1"/>
  <c r="D1281" i="1"/>
  <c r="F1281" i="1"/>
  <c r="K1281" i="1"/>
  <c r="L1281" i="1"/>
  <c r="D1282" i="1"/>
  <c r="F1282" i="1"/>
  <c r="K1282" i="1"/>
  <c r="L1282" i="1"/>
  <c r="D1283" i="1"/>
  <c r="F1283" i="1"/>
  <c r="K1283" i="1"/>
  <c r="L1283" i="1"/>
  <c r="D1284" i="1"/>
  <c r="F1284" i="1"/>
  <c r="K1284" i="1"/>
  <c r="L1284" i="1"/>
  <c r="D1285" i="1"/>
  <c r="F1285" i="1"/>
  <c r="K1285" i="1"/>
  <c r="L1285" i="1"/>
  <c r="D1286" i="1"/>
  <c r="F1286" i="1"/>
  <c r="K1286" i="1"/>
  <c r="L1286" i="1"/>
  <c r="D1287" i="1"/>
  <c r="F1287" i="1"/>
  <c r="K1287" i="1"/>
  <c r="L1287" i="1"/>
  <c r="D1288" i="1"/>
  <c r="F1288" i="1"/>
  <c r="K1288" i="1"/>
  <c r="L1288" i="1"/>
  <c r="D1289" i="1"/>
  <c r="F1289" i="1"/>
  <c r="K1289" i="1"/>
  <c r="L1289" i="1"/>
  <c r="D1290" i="1"/>
  <c r="F1290" i="1"/>
  <c r="K1290" i="1"/>
  <c r="L1290" i="1"/>
  <c r="D1291" i="1"/>
  <c r="F1291" i="1"/>
  <c r="K1291" i="1"/>
  <c r="L1291" i="1"/>
  <c r="D1292" i="1"/>
  <c r="F1292" i="1"/>
  <c r="K1292" i="1"/>
  <c r="L1292" i="1"/>
  <c r="D1293" i="1"/>
  <c r="F1293" i="1"/>
  <c r="K1293" i="1"/>
  <c r="L1293" i="1"/>
  <c r="D1294" i="1"/>
  <c r="F1294" i="1"/>
  <c r="K1294" i="1"/>
  <c r="L1294" i="1"/>
  <c r="D1295" i="1"/>
  <c r="F1295" i="1"/>
  <c r="K1295" i="1"/>
  <c r="L1295" i="1"/>
  <c r="D1296" i="1"/>
  <c r="F1296" i="1"/>
  <c r="K1296" i="1"/>
  <c r="L1296" i="1"/>
  <c r="D1297" i="1"/>
  <c r="F1297" i="1"/>
  <c r="K1297" i="1"/>
  <c r="L1297" i="1"/>
  <c r="D1298" i="1"/>
  <c r="F1298" i="1"/>
  <c r="K1298" i="1"/>
  <c r="L1298" i="1"/>
  <c r="D1299" i="1"/>
  <c r="F1299" i="1"/>
  <c r="K1299" i="1"/>
  <c r="L1299" i="1"/>
  <c r="D1300" i="1"/>
  <c r="F1300" i="1"/>
  <c r="K1300" i="1"/>
  <c r="L1300" i="1"/>
  <c r="D1301" i="1"/>
  <c r="F1301" i="1"/>
  <c r="K1301" i="1"/>
  <c r="L1301" i="1"/>
  <c r="D1302" i="1"/>
  <c r="F1302" i="1"/>
  <c r="K1302" i="1"/>
  <c r="L1302" i="1"/>
  <c r="D1303" i="1"/>
  <c r="F1303" i="1"/>
  <c r="K1303" i="1"/>
  <c r="L1303" i="1"/>
  <c r="D1304" i="1"/>
  <c r="F1304" i="1"/>
  <c r="K1304" i="1"/>
  <c r="L1304" i="1"/>
  <c r="D1305" i="1"/>
  <c r="F1305" i="1"/>
  <c r="K1305" i="1"/>
  <c r="L1305" i="1"/>
  <c r="D1306" i="1"/>
  <c r="F1306" i="1"/>
  <c r="K1306" i="1"/>
  <c r="L1306" i="1"/>
  <c r="D1307" i="1"/>
  <c r="F1307" i="1"/>
  <c r="K1307" i="1"/>
  <c r="L1307" i="1"/>
  <c r="D1308" i="1"/>
  <c r="F1308" i="1"/>
  <c r="K1308" i="1"/>
  <c r="L1308" i="1"/>
  <c r="D1309" i="1"/>
  <c r="F1309" i="1"/>
  <c r="K1309" i="1"/>
  <c r="L1309" i="1"/>
  <c r="D1310" i="1"/>
  <c r="F1310" i="1"/>
  <c r="K1310" i="1"/>
  <c r="L1310" i="1"/>
  <c r="D1311" i="1"/>
  <c r="F1311" i="1"/>
  <c r="K1311" i="1"/>
  <c r="L1311" i="1"/>
  <c r="D1312" i="1"/>
  <c r="F1312" i="1"/>
  <c r="K1312" i="1"/>
  <c r="L1312" i="1"/>
  <c r="D1313" i="1"/>
  <c r="F1313" i="1"/>
  <c r="K1313" i="1"/>
  <c r="L1313" i="1"/>
  <c r="D1314" i="1"/>
  <c r="F1314" i="1"/>
  <c r="K1314" i="1"/>
  <c r="L1314" i="1"/>
  <c r="D1315" i="1"/>
  <c r="F1315" i="1"/>
  <c r="K1315" i="1"/>
  <c r="L1315" i="1"/>
  <c r="D1316" i="1"/>
  <c r="F1316" i="1"/>
  <c r="K1316" i="1"/>
  <c r="L1316" i="1"/>
  <c r="D1317" i="1"/>
  <c r="F1317" i="1"/>
  <c r="K1317" i="1"/>
  <c r="L1317" i="1"/>
  <c r="D1318" i="1"/>
  <c r="F1318" i="1"/>
  <c r="K1318" i="1"/>
  <c r="L1318" i="1"/>
  <c r="D1319" i="1"/>
  <c r="F1319" i="1"/>
  <c r="K1319" i="1"/>
  <c r="L1319" i="1"/>
  <c r="D1320" i="1"/>
  <c r="F1320" i="1"/>
  <c r="K1320" i="1"/>
  <c r="L1320" i="1"/>
  <c r="D1321" i="1"/>
  <c r="F1321" i="1"/>
  <c r="K1321" i="1"/>
  <c r="L1321" i="1"/>
  <c r="D1322" i="1"/>
  <c r="F1322" i="1"/>
  <c r="K1322" i="1"/>
  <c r="L1322" i="1"/>
  <c r="D1323" i="1"/>
  <c r="F1323" i="1"/>
  <c r="K1323" i="1"/>
  <c r="L1323" i="1"/>
  <c r="D1324" i="1"/>
  <c r="F1324" i="1"/>
  <c r="K1324" i="1"/>
  <c r="L1324" i="1"/>
  <c r="D1325" i="1"/>
  <c r="F1325" i="1"/>
  <c r="K1325" i="1"/>
  <c r="L1325" i="1"/>
  <c r="D1326" i="1"/>
  <c r="F1326" i="1"/>
  <c r="K1326" i="1"/>
  <c r="L1326" i="1"/>
  <c r="D1327" i="1"/>
  <c r="F1327" i="1"/>
  <c r="K1327" i="1"/>
  <c r="L1327" i="1"/>
  <c r="D1328" i="1"/>
  <c r="F1328" i="1"/>
  <c r="K1328" i="1"/>
  <c r="L1328" i="1"/>
  <c r="D1329" i="1"/>
  <c r="F1329" i="1"/>
  <c r="K1329" i="1"/>
  <c r="L1329" i="1"/>
  <c r="D1330" i="1"/>
  <c r="F1330" i="1"/>
  <c r="K1330" i="1"/>
  <c r="L1330" i="1"/>
  <c r="D1331" i="1"/>
  <c r="F1331" i="1"/>
  <c r="K1331" i="1"/>
  <c r="L1331" i="1"/>
  <c r="D1332" i="1"/>
  <c r="F1332" i="1"/>
  <c r="K1332" i="1"/>
  <c r="L1332" i="1"/>
  <c r="D1333" i="1"/>
  <c r="F1333" i="1"/>
  <c r="K1333" i="1"/>
  <c r="L1333" i="1"/>
  <c r="D1334" i="1"/>
  <c r="F1334" i="1"/>
  <c r="K1334" i="1"/>
  <c r="L1334" i="1"/>
  <c r="D1335" i="1"/>
  <c r="F1335" i="1"/>
  <c r="K1335" i="1"/>
  <c r="L1335" i="1"/>
  <c r="D1336" i="1"/>
  <c r="F1336" i="1"/>
  <c r="K1336" i="1"/>
  <c r="L1336" i="1"/>
  <c r="D1337" i="1"/>
  <c r="F1337" i="1"/>
  <c r="K1337" i="1"/>
  <c r="L1337" i="1"/>
  <c r="D1338" i="1"/>
  <c r="F1338" i="1"/>
  <c r="K1338" i="1"/>
  <c r="L1338" i="1"/>
  <c r="D1339" i="1"/>
  <c r="F1339" i="1"/>
  <c r="K1339" i="1"/>
  <c r="L1339" i="1"/>
  <c r="D1340" i="1"/>
  <c r="F1340" i="1"/>
  <c r="K1340" i="1"/>
  <c r="L1340" i="1"/>
  <c r="D1341" i="1"/>
  <c r="F1341" i="1"/>
  <c r="K1341" i="1"/>
  <c r="L1341" i="1"/>
  <c r="D1342" i="1"/>
  <c r="F1342" i="1"/>
  <c r="K1342" i="1"/>
  <c r="L1342" i="1"/>
  <c r="D1343" i="1"/>
  <c r="F1343" i="1"/>
  <c r="K1343" i="1"/>
  <c r="L1343" i="1"/>
  <c r="D1344" i="1"/>
  <c r="F1344" i="1"/>
  <c r="K1344" i="1"/>
  <c r="L1344" i="1"/>
  <c r="D1345" i="1"/>
  <c r="F1345" i="1"/>
  <c r="K1345" i="1"/>
  <c r="L1345" i="1"/>
  <c r="D1346" i="1"/>
  <c r="F1346" i="1"/>
  <c r="K1346" i="1"/>
  <c r="L1346" i="1"/>
  <c r="D1347" i="1"/>
  <c r="F1347" i="1"/>
  <c r="K1347" i="1"/>
  <c r="L1347" i="1"/>
  <c r="D1348" i="1"/>
  <c r="F1348" i="1"/>
  <c r="K1348" i="1"/>
  <c r="L1348" i="1"/>
  <c r="D1349" i="1"/>
  <c r="F1349" i="1"/>
  <c r="K1349" i="1"/>
  <c r="L1349" i="1"/>
  <c r="D1350" i="1"/>
  <c r="F1350" i="1"/>
  <c r="K1350" i="1"/>
  <c r="L1350" i="1"/>
  <c r="D1351" i="1"/>
  <c r="F1351" i="1"/>
  <c r="K1351" i="1"/>
  <c r="L1351" i="1"/>
  <c r="D1352" i="1"/>
  <c r="F1352" i="1"/>
  <c r="K1352" i="1"/>
  <c r="L1352" i="1"/>
  <c r="D1353" i="1"/>
  <c r="F1353" i="1"/>
  <c r="K1353" i="1"/>
  <c r="L1353" i="1"/>
  <c r="D1354" i="1"/>
  <c r="F1354" i="1"/>
  <c r="K1354" i="1"/>
  <c r="L1354" i="1"/>
  <c r="D1355" i="1"/>
  <c r="F1355" i="1"/>
  <c r="K1355" i="1"/>
  <c r="L1355" i="1"/>
  <c r="D1356" i="1"/>
  <c r="F1356" i="1"/>
  <c r="K1356" i="1"/>
  <c r="L1356" i="1"/>
  <c r="D1357" i="1"/>
  <c r="F1357" i="1"/>
  <c r="K1357" i="1"/>
  <c r="L1357" i="1"/>
  <c r="D1358" i="1"/>
  <c r="F1358" i="1"/>
  <c r="K1358" i="1"/>
  <c r="L1358" i="1"/>
  <c r="D1359" i="1"/>
  <c r="F1359" i="1"/>
  <c r="K1359" i="1"/>
  <c r="L1359" i="1"/>
  <c r="D1360" i="1"/>
  <c r="F1360" i="1"/>
  <c r="K1360" i="1"/>
  <c r="L1360" i="1"/>
  <c r="D1361" i="1"/>
  <c r="F1361" i="1"/>
  <c r="K1361" i="1"/>
  <c r="L1361" i="1"/>
  <c r="D1362" i="1"/>
  <c r="F1362" i="1"/>
  <c r="K1362" i="1"/>
  <c r="L1362" i="1"/>
  <c r="D1363" i="1"/>
  <c r="F1363" i="1"/>
  <c r="K1363" i="1"/>
  <c r="L1363" i="1"/>
  <c r="D1364" i="1"/>
  <c r="F1364" i="1"/>
  <c r="K1364" i="1"/>
  <c r="L1364" i="1"/>
  <c r="D1365" i="1"/>
  <c r="F1365" i="1"/>
  <c r="K1365" i="1"/>
  <c r="L1365" i="1"/>
  <c r="D1366" i="1"/>
  <c r="F1366" i="1"/>
  <c r="K1366" i="1"/>
  <c r="L1366" i="1"/>
  <c r="D1367" i="1"/>
  <c r="F1367" i="1"/>
  <c r="K1367" i="1"/>
  <c r="L1367" i="1"/>
  <c r="D1368" i="1"/>
  <c r="F1368" i="1"/>
  <c r="K1368" i="1"/>
  <c r="L1368" i="1"/>
  <c r="D1369" i="1"/>
  <c r="F1369" i="1"/>
  <c r="K1369" i="1"/>
  <c r="L1369" i="1"/>
  <c r="D1370" i="1"/>
  <c r="F1370" i="1"/>
  <c r="K1370" i="1"/>
  <c r="L1370" i="1"/>
  <c r="D1371" i="1"/>
  <c r="F1371" i="1"/>
  <c r="K1371" i="1"/>
  <c r="L1371" i="1"/>
  <c r="D1372" i="1"/>
  <c r="F1372" i="1"/>
  <c r="K1372" i="1"/>
  <c r="L1372" i="1"/>
  <c r="D1373" i="1"/>
  <c r="F1373" i="1"/>
  <c r="K1373" i="1"/>
  <c r="L1373" i="1"/>
  <c r="D1374" i="1"/>
  <c r="F1374" i="1"/>
  <c r="K1374" i="1"/>
  <c r="L1374" i="1"/>
  <c r="D1375" i="1"/>
  <c r="F1375" i="1"/>
  <c r="K1375" i="1"/>
  <c r="L1375" i="1"/>
  <c r="D1376" i="1"/>
  <c r="F1376" i="1"/>
  <c r="K1376" i="1"/>
  <c r="L1376" i="1"/>
  <c r="D1377" i="1"/>
  <c r="F1377" i="1"/>
  <c r="K1377" i="1"/>
  <c r="L1377" i="1"/>
  <c r="D1378" i="1"/>
  <c r="F1378" i="1"/>
  <c r="K1378" i="1"/>
  <c r="L1378" i="1"/>
  <c r="D1379" i="1"/>
  <c r="F1379" i="1"/>
  <c r="K1379" i="1"/>
  <c r="L1379" i="1"/>
  <c r="D1380" i="1"/>
  <c r="F1380" i="1"/>
  <c r="K1380" i="1"/>
  <c r="L1380" i="1"/>
  <c r="D1381" i="1"/>
  <c r="F1381" i="1"/>
  <c r="K1381" i="1"/>
  <c r="L1381" i="1"/>
  <c r="D1382" i="1"/>
  <c r="F1382" i="1"/>
  <c r="K1382" i="1"/>
  <c r="L1382" i="1"/>
  <c r="D1383" i="1"/>
  <c r="F1383" i="1"/>
  <c r="K1383" i="1"/>
  <c r="L1383" i="1"/>
  <c r="D1384" i="1"/>
  <c r="F1384" i="1"/>
  <c r="K1384" i="1"/>
  <c r="L1384" i="1"/>
  <c r="D1385" i="1"/>
  <c r="F1385" i="1"/>
  <c r="K1385" i="1"/>
  <c r="L1385" i="1"/>
  <c r="D1386" i="1"/>
  <c r="F1386" i="1"/>
  <c r="K1386" i="1"/>
  <c r="L1386" i="1"/>
  <c r="D1387" i="1"/>
  <c r="F1387" i="1"/>
  <c r="K1387" i="1"/>
  <c r="L1387" i="1"/>
  <c r="D1388" i="1"/>
  <c r="F1388" i="1"/>
  <c r="K1388" i="1"/>
  <c r="L1388" i="1"/>
  <c r="D1389" i="1"/>
  <c r="F1389" i="1"/>
  <c r="K1389" i="1"/>
  <c r="L1389" i="1"/>
  <c r="D1390" i="1"/>
  <c r="F1390" i="1"/>
  <c r="K1390" i="1"/>
  <c r="L1390" i="1"/>
  <c r="D1391" i="1"/>
  <c r="F1391" i="1"/>
  <c r="K1391" i="1"/>
  <c r="L1391" i="1"/>
  <c r="D1392" i="1"/>
  <c r="F1392" i="1"/>
  <c r="K1392" i="1"/>
  <c r="L1392" i="1"/>
  <c r="D1393" i="1"/>
  <c r="F1393" i="1"/>
  <c r="K1393" i="1"/>
  <c r="L1393" i="1"/>
  <c r="D1394" i="1"/>
  <c r="F1394" i="1"/>
  <c r="K1394" i="1"/>
  <c r="L1394" i="1"/>
  <c r="D1395" i="1"/>
  <c r="F1395" i="1"/>
  <c r="K1395" i="1"/>
  <c r="L1395" i="1"/>
  <c r="D1396" i="1"/>
  <c r="F1396" i="1"/>
  <c r="K1396" i="1"/>
  <c r="L1396" i="1"/>
  <c r="D1397" i="1"/>
  <c r="F1397" i="1"/>
  <c r="K1397" i="1"/>
  <c r="L1397" i="1"/>
  <c r="D1398" i="1"/>
  <c r="F1398" i="1"/>
  <c r="K1398" i="1"/>
  <c r="L1398" i="1"/>
  <c r="D1399" i="1"/>
  <c r="F1399" i="1"/>
  <c r="K1399" i="1"/>
  <c r="L1399" i="1"/>
  <c r="D1400" i="1"/>
  <c r="F1400" i="1"/>
  <c r="K1400" i="1"/>
  <c r="L1400" i="1"/>
  <c r="D1401" i="1"/>
  <c r="F1401" i="1"/>
  <c r="K1401" i="1"/>
  <c r="L1401" i="1"/>
  <c r="D1402" i="1"/>
  <c r="F1402" i="1"/>
  <c r="K1402" i="1"/>
  <c r="L1402" i="1"/>
  <c r="D1403" i="1"/>
  <c r="F1403" i="1"/>
  <c r="K1403" i="1"/>
  <c r="L1403" i="1"/>
  <c r="D1404" i="1"/>
  <c r="F1404" i="1"/>
  <c r="K1404" i="1"/>
  <c r="L1404" i="1"/>
  <c r="D1405" i="1"/>
  <c r="F1405" i="1"/>
  <c r="K1405" i="1"/>
  <c r="L1405" i="1"/>
  <c r="D1406" i="1"/>
  <c r="F1406" i="1"/>
  <c r="K1406" i="1"/>
  <c r="L1406" i="1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30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219" i="4"/>
  <c r="L2" i="1"/>
  <c r="K2" i="1"/>
  <c r="AG3" i="2" l="1"/>
  <c r="G3" i="1" s="1"/>
  <c r="AG4" i="2"/>
  <c r="G4" i="1" s="1"/>
  <c r="AG5" i="2"/>
  <c r="G5" i="1" s="1"/>
  <c r="AG6" i="2"/>
  <c r="G6" i="1" s="1"/>
  <c r="AG7" i="2"/>
  <c r="G7" i="1" s="1"/>
  <c r="AG8" i="2"/>
  <c r="G8" i="1" s="1"/>
  <c r="AG9" i="2"/>
  <c r="G9" i="1" s="1"/>
  <c r="AG10" i="2"/>
  <c r="G10" i="1" s="1"/>
  <c r="AG11" i="2"/>
  <c r="G11" i="1" s="1"/>
  <c r="AG12" i="2"/>
  <c r="G12" i="1" s="1"/>
  <c r="AG13" i="2"/>
  <c r="G13" i="1" s="1"/>
  <c r="AG14" i="2"/>
  <c r="G14" i="1" s="1"/>
  <c r="AG15" i="2"/>
  <c r="G15" i="1" s="1"/>
  <c r="AG16" i="2"/>
  <c r="G16" i="1" s="1"/>
  <c r="AG17" i="2"/>
  <c r="G17" i="1" s="1"/>
  <c r="AG18" i="2"/>
  <c r="G18" i="1" s="1"/>
  <c r="AG19" i="2"/>
  <c r="G19" i="1" s="1"/>
  <c r="AG20" i="2"/>
  <c r="G20" i="1" s="1"/>
  <c r="AG21" i="2"/>
  <c r="G21" i="1" s="1"/>
  <c r="AG22" i="2"/>
  <c r="G22" i="1" s="1"/>
  <c r="AG23" i="2"/>
  <c r="G23" i="1" s="1"/>
  <c r="AG24" i="2"/>
  <c r="G24" i="1" s="1"/>
  <c r="AG25" i="2"/>
  <c r="G25" i="1" s="1"/>
  <c r="AG26" i="2"/>
  <c r="G26" i="1" s="1"/>
  <c r="AG27" i="2"/>
  <c r="G27" i="1" s="1"/>
  <c r="AG28" i="2"/>
  <c r="G28" i="1" s="1"/>
  <c r="AG29" i="2"/>
  <c r="G29" i="1" s="1"/>
  <c r="AG30" i="2"/>
  <c r="G30" i="1" s="1"/>
  <c r="AG31" i="2"/>
  <c r="G31" i="1" s="1"/>
  <c r="AG32" i="2"/>
  <c r="G32" i="1" s="1"/>
  <c r="AG33" i="2"/>
  <c r="G33" i="1" s="1"/>
  <c r="AG34" i="2"/>
  <c r="G34" i="1" s="1"/>
  <c r="AG35" i="2"/>
  <c r="G35" i="1" s="1"/>
  <c r="AG36" i="2"/>
  <c r="G36" i="1" s="1"/>
  <c r="AG37" i="2"/>
  <c r="G37" i="1" s="1"/>
  <c r="AG38" i="2"/>
  <c r="G38" i="1" s="1"/>
  <c r="AG39" i="2"/>
  <c r="G39" i="1" s="1"/>
  <c r="AG40" i="2"/>
  <c r="G40" i="1" s="1"/>
  <c r="AG41" i="2"/>
  <c r="G41" i="1" s="1"/>
  <c r="AG42" i="2"/>
  <c r="G42" i="1" s="1"/>
  <c r="AG43" i="2"/>
  <c r="G43" i="1" s="1"/>
  <c r="AG44" i="2"/>
  <c r="G44" i="1" s="1"/>
  <c r="AG45" i="2"/>
  <c r="G45" i="1" s="1"/>
  <c r="AG46" i="2"/>
  <c r="G46" i="1" s="1"/>
  <c r="AG47" i="2"/>
  <c r="G47" i="1" s="1"/>
  <c r="AG48" i="2"/>
  <c r="G48" i="1" s="1"/>
  <c r="AG49" i="2"/>
  <c r="G49" i="1" s="1"/>
  <c r="AG50" i="2"/>
  <c r="G50" i="1" s="1"/>
  <c r="AG51" i="2"/>
  <c r="G51" i="1" s="1"/>
  <c r="AG52" i="2"/>
  <c r="G52" i="1" s="1"/>
  <c r="AG53" i="2"/>
  <c r="G53" i="1" s="1"/>
  <c r="AG54" i="2"/>
  <c r="G54" i="1" s="1"/>
  <c r="AG55" i="2"/>
  <c r="G55" i="1" s="1"/>
  <c r="AG56" i="2"/>
  <c r="G56" i="1" s="1"/>
  <c r="AG57" i="2"/>
  <c r="G57" i="1" s="1"/>
  <c r="AG58" i="2"/>
  <c r="G58" i="1" s="1"/>
  <c r="AG59" i="2"/>
  <c r="G59" i="1" s="1"/>
  <c r="AG60" i="2"/>
  <c r="G60" i="1" s="1"/>
  <c r="AG61" i="2"/>
  <c r="G61" i="1" s="1"/>
  <c r="AG62" i="2"/>
  <c r="G62" i="1" s="1"/>
  <c r="AG63" i="2"/>
  <c r="G63" i="1" s="1"/>
  <c r="AG64" i="2"/>
  <c r="G64" i="1" s="1"/>
  <c r="AG65" i="2"/>
  <c r="G65" i="1" s="1"/>
  <c r="AG66" i="2"/>
  <c r="G66" i="1" s="1"/>
  <c r="AG67" i="2"/>
  <c r="G67" i="1" s="1"/>
  <c r="AG68" i="2"/>
  <c r="G68" i="1" s="1"/>
  <c r="AG69" i="2"/>
  <c r="G69" i="1" s="1"/>
  <c r="AG70" i="2"/>
  <c r="G70" i="1" s="1"/>
  <c r="AG71" i="2"/>
  <c r="G71" i="1" s="1"/>
  <c r="AG72" i="2"/>
  <c r="G72" i="1" s="1"/>
  <c r="AG73" i="2"/>
  <c r="G73" i="1" s="1"/>
  <c r="AG74" i="2"/>
  <c r="G74" i="1" s="1"/>
  <c r="AG75" i="2"/>
  <c r="G75" i="1" s="1"/>
  <c r="AG76" i="2"/>
  <c r="G76" i="1" s="1"/>
  <c r="AG77" i="2"/>
  <c r="G77" i="1" s="1"/>
  <c r="AG78" i="2"/>
  <c r="G78" i="1" s="1"/>
  <c r="AG79" i="2"/>
  <c r="G79" i="1" s="1"/>
  <c r="AG80" i="2"/>
  <c r="G80" i="1" s="1"/>
  <c r="AG81" i="2"/>
  <c r="G81" i="1" s="1"/>
  <c r="AG82" i="2"/>
  <c r="G82" i="1" s="1"/>
  <c r="AG83" i="2"/>
  <c r="G83" i="1" s="1"/>
  <c r="AG84" i="2"/>
  <c r="G84" i="1" s="1"/>
  <c r="AG85" i="2"/>
  <c r="G85" i="1" s="1"/>
  <c r="AG86" i="2"/>
  <c r="G86" i="1" s="1"/>
  <c r="AG87" i="2"/>
  <c r="G87" i="1" s="1"/>
  <c r="AG88" i="2"/>
  <c r="G88" i="1" s="1"/>
  <c r="AG89" i="2"/>
  <c r="G89" i="1" s="1"/>
  <c r="AG90" i="2"/>
  <c r="G90" i="1" s="1"/>
  <c r="AG91" i="2"/>
  <c r="G91" i="1" s="1"/>
  <c r="AG92" i="2"/>
  <c r="G92" i="1" s="1"/>
  <c r="AG93" i="2"/>
  <c r="G93" i="1" s="1"/>
  <c r="AG94" i="2"/>
  <c r="G94" i="1" s="1"/>
  <c r="AG95" i="2"/>
  <c r="G95" i="1" s="1"/>
  <c r="AG96" i="2"/>
  <c r="G96" i="1" s="1"/>
  <c r="AG97" i="2"/>
  <c r="G97" i="1" s="1"/>
  <c r="AG98" i="2"/>
  <c r="G98" i="1" s="1"/>
  <c r="AG99" i="2"/>
  <c r="G99" i="1" s="1"/>
  <c r="AG100" i="2"/>
  <c r="G100" i="1" s="1"/>
  <c r="AG101" i="2"/>
  <c r="G101" i="1" s="1"/>
  <c r="AG102" i="2"/>
  <c r="G102" i="1" s="1"/>
  <c r="AG103" i="2"/>
  <c r="G103" i="1" s="1"/>
  <c r="AG104" i="2"/>
  <c r="G104" i="1" s="1"/>
  <c r="AG105" i="2"/>
  <c r="G105" i="1" s="1"/>
  <c r="AG106" i="2"/>
  <c r="G106" i="1" s="1"/>
  <c r="AG107" i="2"/>
  <c r="G107" i="1" s="1"/>
  <c r="AG108" i="2"/>
  <c r="G108" i="1" s="1"/>
  <c r="AG109" i="2"/>
  <c r="G109" i="1" s="1"/>
  <c r="AG110" i="2"/>
  <c r="G110" i="1" s="1"/>
  <c r="AG111" i="2"/>
  <c r="G111" i="1" s="1"/>
  <c r="AG112" i="2"/>
  <c r="G112" i="1" s="1"/>
  <c r="AG113" i="2"/>
  <c r="G113" i="1" s="1"/>
  <c r="AG114" i="2"/>
  <c r="G114" i="1" s="1"/>
  <c r="AG115" i="2"/>
  <c r="G115" i="1" s="1"/>
  <c r="AG116" i="2"/>
  <c r="G116" i="1" s="1"/>
  <c r="AG117" i="2"/>
  <c r="G117" i="1" s="1"/>
  <c r="AG118" i="2"/>
  <c r="G118" i="1" s="1"/>
  <c r="AG119" i="2"/>
  <c r="G119" i="1" s="1"/>
  <c r="AG120" i="2"/>
  <c r="G120" i="1" s="1"/>
  <c r="AG121" i="2"/>
  <c r="G121" i="1" s="1"/>
  <c r="AG122" i="2"/>
  <c r="G122" i="1" s="1"/>
  <c r="AG123" i="2"/>
  <c r="G123" i="1" s="1"/>
  <c r="AG124" i="2"/>
  <c r="G124" i="1" s="1"/>
  <c r="AG125" i="2"/>
  <c r="G125" i="1" s="1"/>
  <c r="AG126" i="2"/>
  <c r="G126" i="1" s="1"/>
  <c r="AG127" i="2"/>
  <c r="G127" i="1" s="1"/>
  <c r="AG128" i="2"/>
  <c r="G128" i="1" s="1"/>
  <c r="AG129" i="2"/>
  <c r="G129" i="1" s="1"/>
  <c r="AG130" i="2"/>
  <c r="G130" i="1" s="1"/>
  <c r="AG131" i="2"/>
  <c r="G131" i="1" s="1"/>
  <c r="AG132" i="2"/>
  <c r="G132" i="1" s="1"/>
  <c r="AG133" i="2"/>
  <c r="G133" i="1" s="1"/>
  <c r="AG134" i="2"/>
  <c r="G134" i="1" s="1"/>
  <c r="AG135" i="2"/>
  <c r="G135" i="1" s="1"/>
  <c r="AG136" i="2"/>
  <c r="G136" i="1" s="1"/>
  <c r="AG137" i="2"/>
  <c r="G137" i="1" s="1"/>
  <c r="AG138" i="2"/>
  <c r="G138" i="1" s="1"/>
  <c r="AG139" i="2"/>
  <c r="G139" i="1" s="1"/>
  <c r="AG140" i="2"/>
  <c r="G140" i="1" s="1"/>
  <c r="AG141" i="2"/>
  <c r="G141" i="1" s="1"/>
  <c r="AG142" i="2"/>
  <c r="G142" i="1" s="1"/>
  <c r="AG143" i="2"/>
  <c r="G143" i="1" s="1"/>
  <c r="AG144" i="2"/>
  <c r="G144" i="1" s="1"/>
  <c r="AG145" i="2"/>
  <c r="G145" i="1" s="1"/>
  <c r="AG146" i="2"/>
  <c r="G146" i="1" s="1"/>
  <c r="AG147" i="2"/>
  <c r="G147" i="1" s="1"/>
  <c r="AG148" i="2"/>
  <c r="G148" i="1" s="1"/>
  <c r="AG149" i="2"/>
  <c r="G149" i="1" s="1"/>
  <c r="AG150" i="2"/>
  <c r="G150" i="1" s="1"/>
  <c r="AG151" i="2"/>
  <c r="G151" i="1" s="1"/>
  <c r="AG152" i="2"/>
  <c r="G152" i="1" s="1"/>
  <c r="AG153" i="2"/>
  <c r="G153" i="1" s="1"/>
  <c r="AG154" i="2"/>
  <c r="G154" i="1" s="1"/>
  <c r="AG155" i="2"/>
  <c r="G155" i="1" s="1"/>
  <c r="AG156" i="2"/>
  <c r="G156" i="1" s="1"/>
  <c r="AG157" i="2"/>
  <c r="G157" i="1" s="1"/>
  <c r="AG158" i="2"/>
  <c r="G158" i="1" s="1"/>
  <c r="AG159" i="2"/>
  <c r="G159" i="1" s="1"/>
  <c r="AG160" i="2"/>
  <c r="G160" i="1" s="1"/>
  <c r="AG161" i="2"/>
  <c r="G161" i="1" s="1"/>
  <c r="AG162" i="2"/>
  <c r="G162" i="1" s="1"/>
  <c r="AG163" i="2"/>
  <c r="G163" i="1" s="1"/>
  <c r="AG164" i="2"/>
  <c r="G164" i="1" s="1"/>
  <c r="AG165" i="2"/>
  <c r="G165" i="1" s="1"/>
  <c r="AG166" i="2"/>
  <c r="G166" i="1" s="1"/>
  <c r="AG167" i="2"/>
  <c r="G167" i="1" s="1"/>
  <c r="AG168" i="2"/>
  <c r="G168" i="1" s="1"/>
  <c r="AG169" i="2"/>
  <c r="G169" i="1" s="1"/>
  <c r="AG170" i="2"/>
  <c r="G170" i="1" s="1"/>
  <c r="AG171" i="2"/>
  <c r="G171" i="1" s="1"/>
  <c r="AG172" i="2"/>
  <c r="G172" i="1" s="1"/>
  <c r="AG173" i="2"/>
  <c r="G173" i="1" s="1"/>
  <c r="AG174" i="2"/>
  <c r="G174" i="1" s="1"/>
  <c r="AG175" i="2"/>
  <c r="G175" i="1" s="1"/>
  <c r="AG176" i="2"/>
  <c r="G176" i="1" s="1"/>
  <c r="AG177" i="2"/>
  <c r="G177" i="1" s="1"/>
  <c r="AG178" i="2"/>
  <c r="G178" i="1" s="1"/>
  <c r="AG179" i="2"/>
  <c r="G179" i="1" s="1"/>
  <c r="AG180" i="2"/>
  <c r="G180" i="1" s="1"/>
  <c r="AG181" i="2"/>
  <c r="G181" i="1" s="1"/>
  <c r="AG182" i="2"/>
  <c r="G182" i="1" s="1"/>
  <c r="AG183" i="2"/>
  <c r="G183" i="1" s="1"/>
  <c r="AG184" i="2"/>
  <c r="G184" i="1" s="1"/>
  <c r="AG185" i="2"/>
  <c r="G185" i="1" s="1"/>
  <c r="AG186" i="2"/>
  <c r="G186" i="1" s="1"/>
  <c r="AG187" i="2"/>
  <c r="G187" i="1" s="1"/>
  <c r="AG188" i="2"/>
  <c r="G188" i="1" s="1"/>
  <c r="AG189" i="2"/>
  <c r="G189" i="1" s="1"/>
  <c r="AG190" i="2"/>
  <c r="G190" i="1" s="1"/>
  <c r="AG191" i="2"/>
  <c r="G191" i="1" s="1"/>
  <c r="AG192" i="2"/>
  <c r="G192" i="1" s="1"/>
  <c r="AG193" i="2"/>
  <c r="G193" i="1" s="1"/>
  <c r="AG194" i="2"/>
  <c r="G194" i="1" s="1"/>
  <c r="AG195" i="2"/>
  <c r="G195" i="1" s="1"/>
  <c r="AG196" i="2"/>
  <c r="G196" i="1" s="1"/>
  <c r="AG197" i="2"/>
  <c r="G197" i="1" s="1"/>
  <c r="AG198" i="2"/>
  <c r="G198" i="1" s="1"/>
  <c r="AG199" i="2"/>
  <c r="G199" i="1" s="1"/>
  <c r="AG200" i="2"/>
  <c r="G200" i="1" s="1"/>
  <c r="AG201" i="2"/>
  <c r="G201" i="1" s="1"/>
  <c r="AG202" i="2"/>
  <c r="G202" i="1" s="1"/>
  <c r="AG203" i="2"/>
  <c r="G203" i="1" s="1"/>
  <c r="AG204" i="2"/>
  <c r="G204" i="1" s="1"/>
  <c r="AG205" i="2"/>
  <c r="G205" i="1" s="1"/>
  <c r="AG206" i="2"/>
  <c r="G206" i="1" s="1"/>
  <c r="AG207" i="2"/>
  <c r="G207" i="1" s="1"/>
  <c r="AG208" i="2"/>
  <c r="G208" i="1" s="1"/>
  <c r="AG209" i="2"/>
  <c r="G209" i="1" s="1"/>
  <c r="AG210" i="2"/>
  <c r="G210" i="1" s="1"/>
  <c r="AG211" i="2"/>
  <c r="G211" i="1" s="1"/>
  <c r="AG212" i="2"/>
  <c r="G212" i="1" s="1"/>
  <c r="AG213" i="2"/>
  <c r="G213" i="1" s="1"/>
  <c r="AG214" i="2"/>
  <c r="G214" i="1" s="1"/>
  <c r="AG215" i="2"/>
  <c r="G215" i="1" s="1"/>
  <c r="AG216" i="2"/>
  <c r="G216" i="1" s="1"/>
  <c r="AG217" i="2"/>
  <c r="G217" i="1" s="1"/>
  <c r="AG218" i="2"/>
  <c r="G218" i="1" s="1"/>
  <c r="AG219" i="2"/>
  <c r="G219" i="1" s="1"/>
  <c r="AG220" i="2"/>
  <c r="G220" i="1" s="1"/>
  <c r="AG221" i="2"/>
  <c r="G221" i="1" s="1"/>
  <c r="AG222" i="2"/>
  <c r="G222" i="1" s="1"/>
  <c r="AG223" i="2"/>
  <c r="G223" i="1" s="1"/>
  <c r="AG224" i="2"/>
  <c r="G224" i="1" s="1"/>
  <c r="AG225" i="2"/>
  <c r="G225" i="1" s="1"/>
  <c r="AG226" i="2"/>
  <c r="G226" i="1" s="1"/>
  <c r="AG227" i="2"/>
  <c r="G227" i="1" s="1"/>
  <c r="AG228" i="2"/>
  <c r="G228" i="1" s="1"/>
  <c r="AG229" i="2"/>
  <c r="G229" i="1" s="1"/>
  <c r="AG230" i="2"/>
  <c r="G230" i="1" s="1"/>
  <c r="AG231" i="2"/>
  <c r="G231" i="1" s="1"/>
  <c r="AG232" i="2"/>
  <c r="G232" i="1" s="1"/>
  <c r="AG233" i="2"/>
  <c r="G233" i="1" s="1"/>
  <c r="AG234" i="2"/>
  <c r="G234" i="1" s="1"/>
  <c r="AG235" i="2"/>
  <c r="G235" i="1" s="1"/>
  <c r="AG236" i="2"/>
  <c r="G236" i="1" s="1"/>
  <c r="AG237" i="2"/>
  <c r="G237" i="1" s="1"/>
  <c r="AG238" i="2"/>
  <c r="G238" i="1" s="1"/>
  <c r="AG239" i="2"/>
  <c r="G239" i="1" s="1"/>
  <c r="AG240" i="2"/>
  <c r="G240" i="1" s="1"/>
  <c r="AG241" i="2"/>
  <c r="G241" i="1" s="1"/>
  <c r="AG242" i="2"/>
  <c r="G242" i="1" s="1"/>
  <c r="AG243" i="2"/>
  <c r="G243" i="1" s="1"/>
  <c r="AG244" i="2"/>
  <c r="G244" i="1" s="1"/>
  <c r="AG245" i="2"/>
  <c r="G245" i="1" s="1"/>
  <c r="AG246" i="2"/>
  <c r="G246" i="1" s="1"/>
  <c r="AG247" i="2"/>
  <c r="G247" i="1" s="1"/>
  <c r="AG248" i="2"/>
  <c r="G248" i="1" s="1"/>
  <c r="AG249" i="2"/>
  <c r="G249" i="1" s="1"/>
  <c r="AG250" i="2"/>
  <c r="G250" i="1" s="1"/>
  <c r="AG251" i="2"/>
  <c r="G251" i="1" s="1"/>
  <c r="AG252" i="2"/>
  <c r="G252" i="1" s="1"/>
  <c r="AG253" i="2"/>
  <c r="G253" i="1" s="1"/>
  <c r="AG254" i="2"/>
  <c r="G254" i="1" s="1"/>
  <c r="AG255" i="2"/>
  <c r="G255" i="1" s="1"/>
  <c r="AG256" i="2"/>
  <c r="G256" i="1" s="1"/>
  <c r="AG257" i="2"/>
  <c r="G257" i="1" s="1"/>
  <c r="AG258" i="2"/>
  <c r="G258" i="1" s="1"/>
  <c r="AG259" i="2"/>
  <c r="G259" i="1" s="1"/>
  <c r="AG260" i="2"/>
  <c r="G260" i="1" s="1"/>
  <c r="AG261" i="2"/>
  <c r="G261" i="1" s="1"/>
  <c r="AG262" i="2"/>
  <c r="G262" i="1" s="1"/>
  <c r="AG263" i="2"/>
  <c r="G263" i="1" s="1"/>
  <c r="AG264" i="2"/>
  <c r="G264" i="1" s="1"/>
  <c r="AG265" i="2"/>
  <c r="G265" i="1" s="1"/>
  <c r="AG266" i="2"/>
  <c r="G266" i="1" s="1"/>
  <c r="AG267" i="2"/>
  <c r="G267" i="1" s="1"/>
  <c r="AG268" i="2"/>
  <c r="G268" i="1" s="1"/>
  <c r="AG269" i="2"/>
  <c r="G269" i="1" s="1"/>
  <c r="AG270" i="2"/>
  <c r="G270" i="1" s="1"/>
  <c r="AG271" i="2"/>
  <c r="G271" i="1" s="1"/>
  <c r="AG272" i="2"/>
  <c r="G272" i="1" s="1"/>
  <c r="AG273" i="2"/>
  <c r="G273" i="1" s="1"/>
  <c r="AG274" i="2"/>
  <c r="G274" i="1" s="1"/>
  <c r="AG275" i="2"/>
  <c r="G275" i="1" s="1"/>
  <c r="AG276" i="2"/>
  <c r="G276" i="1" s="1"/>
  <c r="AG277" i="2"/>
  <c r="G277" i="1" s="1"/>
  <c r="AG278" i="2"/>
  <c r="G278" i="1" s="1"/>
  <c r="AG279" i="2"/>
  <c r="G279" i="1" s="1"/>
  <c r="AG280" i="2"/>
  <c r="G280" i="1" s="1"/>
  <c r="AG281" i="2"/>
  <c r="G281" i="1" s="1"/>
  <c r="AG282" i="2"/>
  <c r="G282" i="1" s="1"/>
  <c r="AG283" i="2"/>
  <c r="G283" i="1" s="1"/>
  <c r="AG284" i="2"/>
  <c r="G284" i="1" s="1"/>
  <c r="AG285" i="2"/>
  <c r="G285" i="1" s="1"/>
  <c r="AG286" i="2"/>
  <c r="G286" i="1" s="1"/>
  <c r="AG287" i="2"/>
  <c r="G287" i="1" s="1"/>
  <c r="AG288" i="2"/>
  <c r="G288" i="1" s="1"/>
  <c r="AG289" i="2"/>
  <c r="G289" i="1" s="1"/>
  <c r="AG290" i="2"/>
  <c r="G290" i="1" s="1"/>
  <c r="AG291" i="2"/>
  <c r="G291" i="1" s="1"/>
  <c r="AG292" i="2"/>
  <c r="G292" i="1" s="1"/>
  <c r="AG293" i="2"/>
  <c r="G293" i="1" s="1"/>
  <c r="AG294" i="2"/>
  <c r="G294" i="1" s="1"/>
  <c r="AG295" i="2"/>
  <c r="G295" i="1" s="1"/>
  <c r="AG296" i="2"/>
  <c r="G296" i="1" s="1"/>
  <c r="AG297" i="2"/>
  <c r="G297" i="1" s="1"/>
  <c r="AG298" i="2"/>
  <c r="G298" i="1" s="1"/>
  <c r="AG299" i="2"/>
  <c r="G299" i="1" s="1"/>
  <c r="AG300" i="2"/>
  <c r="G300" i="1" s="1"/>
  <c r="AG301" i="2"/>
  <c r="G301" i="1" s="1"/>
  <c r="AG302" i="2"/>
  <c r="G302" i="1" s="1"/>
  <c r="AG303" i="2"/>
  <c r="G303" i="1" s="1"/>
  <c r="AG304" i="2"/>
  <c r="G304" i="1" s="1"/>
  <c r="AG305" i="2"/>
  <c r="G305" i="1" s="1"/>
  <c r="AG306" i="2"/>
  <c r="G306" i="1" s="1"/>
  <c r="AG307" i="2"/>
  <c r="G307" i="1" s="1"/>
  <c r="AG308" i="2"/>
  <c r="G308" i="1" s="1"/>
  <c r="AG309" i="2"/>
  <c r="G309" i="1" s="1"/>
  <c r="AG310" i="2"/>
  <c r="G310" i="1" s="1"/>
  <c r="AG311" i="2"/>
  <c r="G311" i="1" s="1"/>
  <c r="AG312" i="2"/>
  <c r="G312" i="1" s="1"/>
  <c r="AG313" i="2"/>
  <c r="G313" i="1" s="1"/>
  <c r="AG314" i="2"/>
  <c r="G314" i="1" s="1"/>
  <c r="AG315" i="2"/>
  <c r="G315" i="1" s="1"/>
  <c r="AG316" i="2"/>
  <c r="G316" i="1" s="1"/>
  <c r="AG317" i="2"/>
  <c r="G317" i="1" s="1"/>
  <c r="AG318" i="2"/>
  <c r="G318" i="1" s="1"/>
  <c r="AG319" i="2"/>
  <c r="G319" i="1" s="1"/>
  <c r="AG320" i="2"/>
  <c r="G320" i="1" s="1"/>
  <c r="AG321" i="2"/>
  <c r="G321" i="1" s="1"/>
  <c r="AG322" i="2"/>
  <c r="G322" i="1" s="1"/>
  <c r="AG323" i="2"/>
  <c r="G323" i="1" s="1"/>
  <c r="AG324" i="2"/>
  <c r="G324" i="1" s="1"/>
  <c r="AG325" i="2"/>
  <c r="G325" i="1" s="1"/>
  <c r="AG326" i="2"/>
  <c r="G326" i="1" s="1"/>
  <c r="AG327" i="2"/>
  <c r="G327" i="1" s="1"/>
  <c r="AG328" i="2"/>
  <c r="G328" i="1" s="1"/>
  <c r="AG329" i="2"/>
  <c r="G329" i="1" s="1"/>
  <c r="AG330" i="2"/>
  <c r="G330" i="1" s="1"/>
  <c r="AG331" i="2"/>
  <c r="G331" i="1" s="1"/>
  <c r="AG332" i="2"/>
  <c r="G332" i="1" s="1"/>
  <c r="AG333" i="2"/>
  <c r="G333" i="1" s="1"/>
  <c r="AG334" i="2"/>
  <c r="G334" i="1" s="1"/>
  <c r="AG335" i="2"/>
  <c r="G335" i="1" s="1"/>
  <c r="AG336" i="2"/>
  <c r="G336" i="1" s="1"/>
  <c r="AG337" i="2"/>
  <c r="G337" i="1" s="1"/>
  <c r="AG338" i="2"/>
  <c r="G338" i="1" s="1"/>
  <c r="AG339" i="2"/>
  <c r="G339" i="1" s="1"/>
  <c r="AG340" i="2"/>
  <c r="G340" i="1" s="1"/>
  <c r="AG341" i="2"/>
  <c r="G341" i="1" s="1"/>
  <c r="AG342" i="2"/>
  <c r="G342" i="1" s="1"/>
  <c r="AG343" i="2"/>
  <c r="G343" i="1" s="1"/>
  <c r="AG344" i="2"/>
  <c r="G344" i="1" s="1"/>
  <c r="AG345" i="2"/>
  <c r="G345" i="1" s="1"/>
  <c r="AG346" i="2"/>
  <c r="G346" i="1" s="1"/>
  <c r="AG347" i="2"/>
  <c r="G347" i="1" s="1"/>
  <c r="AG348" i="2"/>
  <c r="G348" i="1" s="1"/>
  <c r="AG349" i="2"/>
  <c r="G349" i="1" s="1"/>
  <c r="AG350" i="2"/>
  <c r="G350" i="1" s="1"/>
  <c r="AG351" i="2"/>
  <c r="G351" i="1" s="1"/>
  <c r="AG352" i="2"/>
  <c r="G352" i="1" s="1"/>
  <c r="AG353" i="2"/>
  <c r="G353" i="1" s="1"/>
  <c r="AG354" i="2"/>
  <c r="G354" i="1" s="1"/>
  <c r="AG355" i="2"/>
  <c r="G355" i="1" s="1"/>
  <c r="AG356" i="2"/>
  <c r="G356" i="1" s="1"/>
  <c r="AG357" i="2"/>
  <c r="G357" i="1" s="1"/>
  <c r="AG358" i="2"/>
  <c r="G358" i="1" s="1"/>
  <c r="AG359" i="2"/>
  <c r="G359" i="1" s="1"/>
  <c r="AG360" i="2"/>
  <c r="G360" i="1" s="1"/>
  <c r="AG361" i="2"/>
  <c r="G361" i="1" s="1"/>
  <c r="AG362" i="2"/>
  <c r="G362" i="1" s="1"/>
  <c r="AG363" i="2"/>
  <c r="G363" i="1" s="1"/>
  <c r="AG364" i="2"/>
  <c r="G364" i="1" s="1"/>
  <c r="AG365" i="2"/>
  <c r="G365" i="1" s="1"/>
  <c r="AG366" i="2"/>
  <c r="G366" i="1" s="1"/>
  <c r="AG367" i="2"/>
  <c r="G367" i="1" s="1"/>
  <c r="AG368" i="2"/>
  <c r="G368" i="1" s="1"/>
  <c r="AG369" i="2"/>
  <c r="G369" i="1" s="1"/>
  <c r="AG370" i="2"/>
  <c r="G370" i="1" s="1"/>
  <c r="AG371" i="2"/>
  <c r="G371" i="1" s="1"/>
  <c r="AG372" i="2"/>
  <c r="G372" i="1" s="1"/>
  <c r="AG373" i="2"/>
  <c r="G373" i="1" s="1"/>
  <c r="AG374" i="2"/>
  <c r="G374" i="1" s="1"/>
  <c r="AG375" i="2"/>
  <c r="G375" i="1" s="1"/>
  <c r="AG376" i="2"/>
  <c r="G376" i="1" s="1"/>
  <c r="AG377" i="2"/>
  <c r="G377" i="1" s="1"/>
  <c r="AG378" i="2"/>
  <c r="G378" i="1" s="1"/>
  <c r="AG379" i="2"/>
  <c r="G379" i="1" s="1"/>
  <c r="AG380" i="2"/>
  <c r="G380" i="1" s="1"/>
  <c r="AG381" i="2"/>
  <c r="G381" i="1" s="1"/>
  <c r="AG382" i="2"/>
  <c r="G382" i="1" s="1"/>
  <c r="AG383" i="2"/>
  <c r="G383" i="1" s="1"/>
  <c r="AG384" i="2"/>
  <c r="G384" i="1" s="1"/>
  <c r="AG385" i="2"/>
  <c r="G385" i="1" s="1"/>
  <c r="AG386" i="2"/>
  <c r="G386" i="1" s="1"/>
  <c r="AG387" i="2"/>
  <c r="G387" i="1" s="1"/>
  <c r="AG388" i="2"/>
  <c r="G388" i="1" s="1"/>
  <c r="AG389" i="2"/>
  <c r="G389" i="1" s="1"/>
  <c r="AG390" i="2"/>
  <c r="G390" i="1" s="1"/>
  <c r="AG391" i="2"/>
  <c r="G391" i="1" s="1"/>
  <c r="AG392" i="2"/>
  <c r="G392" i="1" s="1"/>
  <c r="AG393" i="2"/>
  <c r="G393" i="1" s="1"/>
  <c r="AG394" i="2"/>
  <c r="G394" i="1" s="1"/>
  <c r="AG395" i="2"/>
  <c r="G395" i="1" s="1"/>
  <c r="AG396" i="2"/>
  <c r="G396" i="1" s="1"/>
  <c r="AG397" i="2"/>
  <c r="G397" i="1" s="1"/>
  <c r="AG398" i="2"/>
  <c r="G398" i="1" s="1"/>
  <c r="AG399" i="2"/>
  <c r="G399" i="1" s="1"/>
  <c r="AG400" i="2"/>
  <c r="G400" i="1" s="1"/>
  <c r="AG401" i="2"/>
  <c r="G401" i="1" s="1"/>
  <c r="AG402" i="2"/>
  <c r="G402" i="1" s="1"/>
  <c r="AG403" i="2"/>
  <c r="G403" i="1" s="1"/>
  <c r="AG404" i="2"/>
  <c r="G404" i="1" s="1"/>
  <c r="AG405" i="2"/>
  <c r="G405" i="1" s="1"/>
  <c r="AG406" i="2"/>
  <c r="G406" i="1" s="1"/>
  <c r="AG407" i="2"/>
  <c r="G407" i="1" s="1"/>
  <c r="AG408" i="2"/>
  <c r="G408" i="1" s="1"/>
  <c r="AG409" i="2"/>
  <c r="G409" i="1" s="1"/>
  <c r="AG410" i="2"/>
  <c r="G410" i="1" s="1"/>
  <c r="AG411" i="2"/>
  <c r="G411" i="1" s="1"/>
  <c r="AG412" i="2"/>
  <c r="G412" i="1" s="1"/>
  <c r="AG413" i="2"/>
  <c r="G413" i="1" s="1"/>
  <c r="AG414" i="2"/>
  <c r="G414" i="1" s="1"/>
  <c r="AG415" i="2"/>
  <c r="G415" i="1" s="1"/>
  <c r="AG416" i="2"/>
  <c r="G416" i="1" s="1"/>
  <c r="AG417" i="2"/>
  <c r="G417" i="1" s="1"/>
  <c r="AG418" i="2"/>
  <c r="G418" i="1" s="1"/>
  <c r="AG419" i="2"/>
  <c r="G419" i="1" s="1"/>
  <c r="AG420" i="2"/>
  <c r="G420" i="1" s="1"/>
  <c r="AG421" i="2"/>
  <c r="G421" i="1" s="1"/>
  <c r="AG422" i="2"/>
  <c r="G422" i="1" s="1"/>
  <c r="AG423" i="2"/>
  <c r="G423" i="1" s="1"/>
  <c r="AG424" i="2"/>
  <c r="G424" i="1" s="1"/>
  <c r="AG425" i="2"/>
  <c r="G425" i="1" s="1"/>
  <c r="AG426" i="2"/>
  <c r="G426" i="1" s="1"/>
  <c r="AG427" i="2"/>
  <c r="G427" i="1" s="1"/>
  <c r="AG428" i="2"/>
  <c r="G428" i="1" s="1"/>
  <c r="AG429" i="2"/>
  <c r="G429" i="1" s="1"/>
  <c r="AG430" i="2"/>
  <c r="G430" i="1" s="1"/>
  <c r="AG431" i="2"/>
  <c r="G431" i="1" s="1"/>
  <c r="AG432" i="2"/>
  <c r="G432" i="1" s="1"/>
  <c r="AG433" i="2"/>
  <c r="G433" i="1" s="1"/>
  <c r="AG434" i="2"/>
  <c r="G434" i="1" s="1"/>
  <c r="AG435" i="2"/>
  <c r="G435" i="1" s="1"/>
  <c r="AG436" i="2"/>
  <c r="G436" i="1" s="1"/>
  <c r="AG437" i="2"/>
  <c r="G437" i="1" s="1"/>
  <c r="AG438" i="2"/>
  <c r="G438" i="1" s="1"/>
  <c r="AG439" i="2"/>
  <c r="G439" i="1" s="1"/>
  <c r="AG440" i="2"/>
  <c r="G440" i="1" s="1"/>
  <c r="AG441" i="2"/>
  <c r="G441" i="1" s="1"/>
  <c r="AG442" i="2"/>
  <c r="G442" i="1" s="1"/>
  <c r="AG443" i="2"/>
  <c r="G443" i="1" s="1"/>
  <c r="AG444" i="2"/>
  <c r="G444" i="1" s="1"/>
  <c r="AG445" i="2"/>
  <c r="G445" i="1" s="1"/>
  <c r="AG446" i="2"/>
  <c r="G446" i="1" s="1"/>
  <c r="AG447" i="2"/>
  <c r="G447" i="1" s="1"/>
  <c r="AG448" i="2"/>
  <c r="G448" i="1" s="1"/>
  <c r="AG449" i="2"/>
  <c r="G449" i="1" s="1"/>
  <c r="AG450" i="2"/>
  <c r="G450" i="1" s="1"/>
  <c r="AG451" i="2"/>
  <c r="G451" i="1" s="1"/>
  <c r="AG452" i="2"/>
  <c r="G452" i="1" s="1"/>
  <c r="AG453" i="2"/>
  <c r="G453" i="1" s="1"/>
  <c r="AG454" i="2"/>
  <c r="G454" i="1" s="1"/>
  <c r="AG455" i="2"/>
  <c r="G455" i="1" s="1"/>
  <c r="AG456" i="2"/>
  <c r="G456" i="1" s="1"/>
  <c r="AG457" i="2"/>
  <c r="G457" i="1" s="1"/>
  <c r="AG458" i="2"/>
  <c r="G458" i="1" s="1"/>
  <c r="AG459" i="2"/>
  <c r="G459" i="1" s="1"/>
  <c r="AG460" i="2"/>
  <c r="G460" i="1" s="1"/>
  <c r="AG461" i="2"/>
  <c r="G461" i="1" s="1"/>
  <c r="AG462" i="2"/>
  <c r="G462" i="1" s="1"/>
  <c r="AG463" i="2"/>
  <c r="G463" i="1" s="1"/>
  <c r="AG464" i="2"/>
  <c r="G464" i="1" s="1"/>
  <c r="AG465" i="2"/>
  <c r="G465" i="1" s="1"/>
  <c r="AG466" i="2"/>
  <c r="G466" i="1" s="1"/>
  <c r="AG467" i="2"/>
  <c r="G467" i="1" s="1"/>
  <c r="AG468" i="2"/>
  <c r="G468" i="1" s="1"/>
  <c r="AG469" i="2"/>
  <c r="G469" i="1" s="1"/>
  <c r="AG470" i="2"/>
  <c r="G470" i="1" s="1"/>
  <c r="AG471" i="2"/>
  <c r="G471" i="1" s="1"/>
  <c r="AG472" i="2"/>
  <c r="G472" i="1" s="1"/>
  <c r="AG473" i="2"/>
  <c r="G473" i="1" s="1"/>
  <c r="AG474" i="2"/>
  <c r="G474" i="1" s="1"/>
  <c r="AG475" i="2"/>
  <c r="G475" i="1" s="1"/>
  <c r="AG476" i="2"/>
  <c r="G476" i="1" s="1"/>
  <c r="AG477" i="2"/>
  <c r="G477" i="1" s="1"/>
  <c r="AG478" i="2"/>
  <c r="G478" i="1" s="1"/>
  <c r="AG479" i="2"/>
  <c r="G479" i="1" s="1"/>
  <c r="AG480" i="2"/>
  <c r="G480" i="1" s="1"/>
  <c r="AG481" i="2"/>
  <c r="G481" i="1" s="1"/>
  <c r="AG482" i="2"/>
  <c r="G482" i="1" s="1"/>
  <c r="AG483" i="2"/>
  <c r="G483" i="1" s="1"/>
  <c r="AG484" i="2"/>
  <c r="G484" i="1" s="1"/>
  <c r="AG485" i="2"/>
  <c r="G485" i="1" s="1"/>
  <c r="AG486" i="2"/>
  <c r="G486" i="1" s="1"/>
  <c r="AG487" i="2"/>
  <c r="G487" i="1" s="1"/>
  <c r="AG488" i="2"/>
  <c r="G488" i="1" s="1"/>
  <c r="AG489" i="2"/>
  <c r="G489" i="1" s="1"/>
  <c r="AG490" i="2"/>
  <c r="G490" i="1" s="1"/>
  <c r="AG491" i="2"/>
  <c r="G491" i="1" s="1"/>
  <c r="AG492" i="2"/>
  <c r="G492" i="1" s="1"/>
  <c r="AG493" i="2"/>
  <c r="G493" i="1" s="1"/>
  <c r="AG494" i="2"/>
  <c r="G494" i="1" s="1"/>
  <c r="AG495" i="2"/>
  <c r="G495" i="1" s="1"/>
  <c r="AG496" i="2"/>
  <c r="G496" i="1" s="1"/>
  <c r="AG497" i="2"/>
  <c r="G497" i="1" s="1"/>
  <c r="AG498" i="2"/>
  <c r="G498" i="1" s="1"/>
  <c r="AG499" i="2"/>
  <c r="G499" i="1" s="1"/>
  <c r="AG500" i="2"/>
  <c r="G500" i="1" s="1"/>
  <c r="AG501" i="2"/>
  <c r="G501" i="1" s="1"/>
  <c r="AG502" i="2"/>
  <c r="G502" i="1" s="1"/>
  <c r="AG503" i="2"/>
  <c r="G503" i="1" s="1"/>
  <c r="AG504" i="2"/>
  <c r="G504" i="1" s="1"/>
  <c r="AG505" i="2"/>
  <c r="G505" i="1" s="1"/>
  <c r="AG506" i="2"/>
  <c r="G506" i="1" s="1"/>
  <c r="AG507" i="2"/>
  <c r="G507" i="1" s="1"/>
  <c r="AG508" i="2"/>
  <c r="G508" i="1" s="1"/>
  <c r="AG509" i="2"/>
  <c r="G509" i="1" s="1"/>
  <c r="AG510" i="2"/>
  <c r="G510" i="1" s="1"/>
  <c r="AG511" i="2"/>
  <c r="G511" i="1" s="1"/>
  <c r="AG512" i="2"/>
  <c r="G512" i="1" s="1"/>
  <c r="AG513" i="2"/>
  <c r="G513" i="1" s="1"/>
  <c r="AG514" i="2"/>
  <c r="G514" i="1" s="1"/>
  <c r="AG515" i="2"/>
  <c r="G515" i="1" s="1"/>
  <c r="AG516" i="2"/>
  <c r="G516" i="1" s="1"/>
  <c r="AG517" i="2"/>
  <c r="G517" i="1" s="1"/>
  <c r="AG518" i="2"/>
  <c r="G518" i="1" s="1"/>
  <c r="AG519" i="2"/>
  <c r="G519" i="1" s="1"/>
  <c r="AG520" i="2"/>
  <c r="G520" i="1" s="1"/>
  <c r="AG521" i="2"/>
  <c r="G521" i="1" s="1"/>
  <c r="AG522" i="2"/>
  <c r="G522" i="1" s="1"/>
  <c r="AG523" i="2"/>
  <c r="G523" i="1" s="1"/>
  <c r="AG524" i="2"/>
  <c r="G524" i="1" s="1"/>
  <c r="AG525" i="2"/>
  <c r="G525" i="1" s="1"/>
  <c r="AG526" i="2"/>
  <c r="G526" i="1" s="1"/>
  <c r="AG527" i="2"/>
  <c r="G527" i="1" s="1"/>
  <c r="AG528" i="2"/>
  <c r="G528" i="1" s="1"/>
  <c r="AG529" i="2"/>
  <c r="G529" i="1" s="1"/>
  <c r="AG530" i="2"/>
  <c r="G530" i="1" s="1"/>
  <c r="AG531" i="2"/>
  <c r="G531" i="1" s="1"/>
  <c r="AG532" i="2"/>
  <c r="G532" i="1" s="1"/>
  <c r="AG533" i="2"/>
  <c r="G533" i="1" s="1"/>
  <c r="AG534" i="2"/>
  <c r="G534" i="1" s="1"/>
  <c r="AG535" i="2"/>
  <c r="G535" i="1" s="1"/>
  <c r="AG536" i="2"/>
  <c r="G536" i="1" s="1"/>
  <c r="AG537" i="2"/>
  <c r="G537" i="1" s="1"/>
  <c r="AG538" i="2"/>
  <c r="G538" i="1" s="1"/>
  <c r="AG539" i="2"/>
  <c r="G539" i="1" s="1"/>
  <c r="AG540" i="2"/>
  <c r="G540" i="1" s="1"/>
  <c r="AG541" i="2"/>
  <c r="G541" i="1" s="1"/>
  <c r="AG542" i="2"/>
  <c r="G542" i="1" s="1"/>
  <c r="AG543" i="2"/>
  <c r="G543" i="1" s="1"/>
  <c r="AG544" i="2"/>
  <c r="G544" i="1" s="1"/>
  <c r="AG545" i="2"/>
  <c r="G545" i="1" s="1"/>
  <c r="AG546" i="2"/>
  <c r="G546" i="1" s="1"/>
  <c r="AG547" i="2"/>
  <c r="G547" i="1" s="1"/>
  <c r="AG548" i="2"/>
  <c r="G548" i="1" s="1"/>
  <c r="AG549" i="2"/>
  <c r="G549" i="1" s="1"/>
  <c r="AG550" i="2"/>
  <c r="G550" i="1" s="1"/>
  <c r="AG551" i="2"/>
  <c r="G551" i="1" s="1"/>
  <c r="AG552" i="2"/>
  <c r="G552" i="1" s="1"/>
  <c r="AG553" i="2"/>
  <c r="G553" i="1" s="1"/>
  <c r="AG554" i="2"/>
  <c r="G554" i="1" s="1"/>
  <c r="AG555" i="2"/>
  <c r="G555" i="1" s="1"/>
  <c r="AG556" i="2"/>
  <c r="G556" i="1" s="1"/>
  <c r="AG557" i="2"/>
  <c r="G557" i="1" s="1"/>
  <c r="AG558" i="2"/>
  <c r="G558" i="1" s="1"/>
  <c r="AG559" i="2"/>
  <c r="G559" i="1" s="1"/>
  <c r="AG560" i="2"/>
  <c r="G560" i="1" s="1"/>
  <c r="AG561" i="2"/>
  <c r="G561" i="1" s="1"/>
  <c r="AG562" i="2"/>
  <c r="G562" i="1" s="1"/>
  <c r="AG563" i="2"/>
  <c r="G563" i="1" s="1"/>
  <c r="AG564" i="2"/>
  <c r="G564" i="1" s="1"/>
  <c r="AG565" i="2"/>
  <c r="G565" i="1" s="1"/>
  <c r="AG566" i="2"/>
  <c r="G566" i="1" s="1"/>
  <c r="AG567" i="2"/>
  <c r="G567" i="1" s="1"/>
  <c r="AG568" i="2"/>
  <c r="G568" i="1" s="1"/>
  <c r="AG569" i="2"/>
  <c r="G569" i="1" s="1"/>
  <c r="AG570" i="2"/>
  <c r="G570" i="1" s="1"/>
  <c r="AG571" i="2"/>
  <c r="G571" i="1" s="1"/>
  <c r="AG572" i="2"/>
  <c r="G572" i="1" s="1"/>
  <c r="AG573" i="2"/>
  <c r="G573" i="1" s="1"/>
  <c r="AG574" i="2"/>
  <c r="G574" i="1" s="1"/>
  <c r="AG575" i="2"/>
  <c r="G575" i="1" s="1"/>
  <c r="AG576" i="2"/>
  <c r="G576" i="1" s="1"/>
  <c r="AG577" i="2"/>
  <c r="G577" i="1" s="1"/>
  <c r="AG578" i="2"/>
  <c r="G578" i="1" s="1"/>
  <c r="AG579" i="2"/>
  <c r="G579" i="1" s="1"/>
  <c r="AG580" i="2"/>
  <c r="G580" i="1" s="1"/>
  <c r="AG581" i="2"/>
  <c r="G581" i="1" s="1"/>
  <c r="AG582" i="2"/>
  <c r="G582" i="1" s="1"/>
  <c r="AG583" i="2"/>
  <c r="G583" i="1" s="1"/>
  <c r="AG584" i="2"/>
  <c r="G584" i="1" s="1"/>
  <c r="AG585" i="2"/>
  <c r="G585" i="1" s="1"/>
  <c r="AG586" i="2"/>
  <c r="G586" i="1" s="1"/>
  <c r="AG587" i="2"/>
  <c r="G587" i="1" s="1"/>
  <c r="AG588" i="2"/>
  <c r="G588" i="1" s="1"/>
  <c r="AG589" i="2"/>
  <c r="G589" i="1" s="1"/>
  <c r="AG590" i="2"/>
  <c r="G590" i="1" s="1"/>
  <c r="AG591" i="2"/>
  <c r="G591" i="1" s="1"/>
  <c r="AG592" i="2"/>
  <c r="G592" i="1" s="1"/>
  <c r="AG593" i="2"/>
  <c r="G593" i="1" s="1"/>
  <c r="AG594" i="2"/>
  <c r="G594" i="1" s="1"/>
  <c r="AG595" i="2"/>
  <c r="G595" i="1" s="1"/>
  <c r="AG596" i="2"/>
  <c r="G596" i="1" s="1"/>
  <c r="AG597" i="2"/>
  <c r="G597" i="1" s="1"/>
  <c r="AG598" i="2"/>
  <c r="G598" i="1" s="1"/>
  <c r="AG599" i="2"/>
  <c r="G599" i="1" s="1"/>
  <c r="AG600" i="2"/>
  <c r="G600" i="1" s="1"/>
  <c r="AG601" i="2"/>
  <c r="G601" i="1" s="1"/>
  <c r="AG602" i="2"/>
  <c r="G602" i="1" s="1"/>
  <c r="AG603" i="2"/>
  <c r="G603" i="1" s="1"/>
  <c r="AG604" i="2"/>
  <c r="G604" i="1" s="1"/>
  <c r="AG605" i="2"/>
  <c r="G605" i="1" s="1"/>
  <c r="AG606" i="2"/>
  <c r="G606" i="1" s="1"/>
  <c r="AG607" i="2"/>
  <c r="G607" i="1" s="1"/>
  <c r="AG608" i="2"/>
  <c r="G608" i="1" s="1"/>
  <c r="AG609" i="2"/>
  <c r="G609" i="1" s="1"/>
  <c r="AG610" i="2"/>
  <c r="G610" i="1" s="1"/>
  <c r="AG611" i="2"/>
  <c r="G611" i="1" s="1"/>
  <c r="AG612" i="2"/>
  <c r="G612" i="1" s="1"/>
  <c r="AG613" i="2"/>
  <c r="G613" i="1" s="1"/>
  <c r="AG614" i="2"/>
  <c r="G614" i="1" s="1"/>
  <c r="AG615" i="2"/>
  <c r="G615" i="1" s="1"/>
  <c r="AG616" i="2"/>
  <c r="G616" i="1" s="1"/>
  <c r="AG617" i="2"/>
  <c r="G617" i="1" s="1"/>
  <c r="AG618" i="2"/>
  <c r="G618" i="1" s="1"/>
  <c r="AG619" i="2"/>
  <c r="G619" i="1" s="1"/>
  <c r="AG620" i="2"/>
  <c r="G620" i="1" s="1"/>
  <c r="AG621" i="2"/>
  <c r="G621" i="1" s="1"/>
  <c r="AG622" i="2"/>
  <c r="G622" i="1" s="1"/>
  <c r="AG623" i="2"/>
  <c r="G623" i="1" s="1"/>
  <c r="AG624" i="2"/>
  <c r="G624" i="1" s="1"/>
  <c r="AG625" i="2"/>
  <c r="G625" i="1" s="1"/>
  <c r="AG626" i="2"/>
  <c r="G626" i="1" s="1"/>
  <c r="AG627" i="2"/>
  <c r="G627" i="1" s="1"/>
  <c r="AG628" i="2"/>
  <c r="G628" i="1" s="1"/>
  <c r="AG629" i="2"/>
  <c r="G629" i="1" s="1"/>
  <c r="AG630" i="2"/>
  <c r="G630" i="1" s="1"/>
  <c r="AG631" i="2"/>
  <c r="G631" i="1" s="1"/>
  <c r="AG632" i="2"/>
  <c r="G632" i="1" s="1"/>
  <c r="AG633" i="2"/>
  <c r="G633" i="1" s="1"/>
  <c r="AG634" i="2"/>
  <c r="G634" i="1" s="1"/>
  <c r="AG635" i="2"/>
  <c r="G635" i="1" s="1"/>
  <c r="AG636" i="2"/>
  <c r="G636" i="1" s="1"/>
  <c r="AG637" i="2"/>
  <c r="G637" i="1" s="1"/>
  <c r="AG638" i="2"/>
  <c r="G638" i="1" s="1"/>
  <c r="AG639" i="2"/>
  <c r="G639" i="1" s="1"/>
  <c r="AG640" i="2"/>
  <c r="G640" i="1" s="1"/>
  <c r="AG641" i="2"/>
  <c r="G641" i="1" s="1"/>
  <c r="AG642" i="2"/>
  <c r="G642" i="1" s="1"/>
  <c r="AG643" i="2"/>
  <c r="G643" i="1" s="1"/>
  <c r="AG644" i="2"/>
  <c r="G644" i="1" s="1"/>
  <c r="AG645" i="2"/>
  <c r="G645" i="1" s="1"/>
  <c r="AG646" i="2"/>
  <c r="G646" i="1" s="1"/>
  <c r="AG647" i="2"/>
  <c r="G647" i="1" s="1"/>
  <c r="AG648" i="2"/>
  <c r="G648" i="1" s="1"/>
  <c r="AG649" i="2"/>
  <c r="G649" i="1" s="1"/>
  <c r="AG650" i="2"/>
  <c r="G650" i="1" s="1"/>
  <c r="AG651" i="2"/>
  <c r="G651" i="1" s="1"/>
  <c r="AG652" i="2"/>
  <c r="G652" i="1" s="1"/>
  <c r="AG653" i="2"/>
  <c r="G653" i="1" s="1"/>
  <c r="AG654" i="2"/>
  <c r="G654" i="1" s="1"/>
  <c r="AG655" i="2"/>
  <c r="G655" i="1" s="1"/>
  <c r="AG656" i="2"/>
  <c r="G656" i="1" s="1"/>
  <c r="AG657" i="2"/>
  <c r="G657" i="1" s="1"/>
  <c r="AG658" i="2"/>
  <c r="G658" i="1" s="1"/>
  <c r="AG659" i="2"/>
  <c r="G659" i="1" s="1"/>
  <c r="AG660" i="2"/>
  <c r="G660" i="1" s="1"/>
  <c r="AG661" i="2"/>
  <c r="G661" i="1" s="1"/>
  <c r="AG662" i="2"/>
  <c r="G662" i="1" s="1"/>
  <c r="AG663" i="2"/>
  <c r="G663" i="1" s="1"/>
  <c r="AG664" i="2"/>
  <c r="G664" i="1" s="1"/>
  <c r="AG665" i="2"/>
  <c r="G665" i="1" s="1"/>
  <c r="AG666" i="2"/>
  <c r="G666" i="1" s="1"/>
  <c r="AG667" i="2"/>
  <c r="G667" i="1" s="1"/>
  <c r="AG668" i="2"/>
  <c r="G668" i="1" s="1"/>
  <c r="AG669" i="2"/>
  <c r="G669" i="1" s="1"/>
  <c r="AG670" i="2"/>
  <c r="G670" i="1" s="1"/>
  <c r="AG671" i="2"/>
  <c r="G671" i="1" s="1"/>
  <c r="AG672" i="2"/>
  <c r="G672" i="1" s="1"/>
  <c r="AG673" i="2"/>
  <c r="G673" i="1" s="1"/>
  <c r="AG674" i="2"/>
  <c r="G674" i="1" s="1"/>
  <c r="AG675" i="2"/>
  <c r="G675" i="1" s="1"/>
  <c r="AG676" i="2"/>
  <c r="G676" i="1" s="1"/>
  <c r="AG677" i="2"/>
  <c r="G677" i="1" s="1"/>
  <c r="AG678" i="2"/>
  <c r="G678" i="1" s="1"/>
  <c r="AG679" i="2"/>
  <c r="G679" i="1" s="1"/>
  <c r="AG680" i="2"/>
  <c r="G680" i="1" s="1"/>
  <c r="AG681" i="2"/>
  <c r="G681" i="1" s="1"/>
  <c r="AG682" i="2"/>
  <c r="G682" i="1" s="1"/>
  <c r="AG683" i="2"/>
  <c r="G683" i="1" s="1"/>
  <c r="AG684" i="2"/>
  <c r="G684" i="1" s="1"/>
  <c r="AG685" i="2"/>
  <c r="G685" i="1" s="1"/>
  <c r="AG686" i="2"/>
  <c r="G686" i="1" s="1"/>
  <c r="AG687" i="2"/>
  <c r="G687" i="1" s="1"/>
  <c r="AG688" i="2"/>
  <c r="G688" i="1" s="1"/>
  <c r="AG689" i="2"/>
  <c r="G689" i="1" s="1"/>
  <c r="AG690" i="2"/>
  <c r="G690" i="1" s="1"/>
  <c r="AG691" i="2"/>
  <c r="G691" i="1" s="1"/>
  <c r="AG692" i="2"/>
  <c r="G692" i="1" s="1"/>
  <c r="AG693" i="2"/>
  <c r="G693" i="1" s="1"/>
  <c r="AG694" i="2"/>
  <c r="G694" i="1" s="1"/>
  <c r="AG695" i="2"/>
  <c r="G695" i="1" s="1"/>
  <c r="AG696" i="2"/>
  <c r="G696" i="1" s="1"/>
  <c r="AG697" i="2"/>
  <c r="G697" i="1" s="1"/>
  <c r="AG698" i="2"/>
  <c r="G698" i="1" s="1"/>
  <c r="AG699" i="2"/>
  <c r="G699" i="1" s="1"/>
  <c r="AG700" i="2"/>
  <c r="G700" i="1" s="1"/>
  <c r="AG701" i="2"/>
  <c r="G701" i="1" s="1"/>
  <c r="AG702" i="2"/>
  <c r="G702" i="1" s="1"/>
  <c r="AG703" i="2"/>
  <c r="G703" i="1" s="1"/>
  <c r="AG704" i="2"/>
  <c r="G704" i="1" s="1"/>
  <c r="AG705" i="2"/>
  <c r="G705" i="1" s="1"/>
  <c r="AG706" i="2"/>
  <c r="G706" i="1" s="1"/>
  <c r="AG707" i="2"/>
  <c r="G707" i="1" s="1"/>
  <c r="AG708" i="2"/>
  <c r="G708" i="1" s="1"/>
  <c r="AG709" i="2"/>
  <c r="G709" i="1" s="1"/>
  <c r="AG710" i="2"/>
  <c r="G710" i="1" s="1"/>
  <c r="AG711" i="2"/>
  <c r="G711" i="1" s="1"/>
  <c r="AG712" i="2"/>
  <c r="G712" i="1" s="1"/>
  <c r="AG713" i="2"/>
  <c r="G713" i="1" s="1"/>
  <c r="AG714" i="2"/>
  <c r="G714" i="1" s="1"/>
  <c r="AG715" i="2"/>
  <c r="G715" i="1" s="1"/>
  <c r="AG716" i="2"/>
  <c r="G716" i="1" s="1"/>
  <c r="AG717" i="2"/>
  <c r="G717" i="1" s="1"/>
  <c r="AG718" i="2"/>
  <c r="G718" i="1" s="1"/>
  <c r="AG719" i="2"/>
  <c r="G719" i="1" s="1"/>
  <c r="AG720" i="2"/>
  <c r="G720" i="1" s="1"/>
  <c r="AG721" i="2"/>
  <c r="G721" i="1" s="1"/>
  <c r="AG722" i="2"/>
  <c r="G722" i="1" s="1"/>
  <c r="AG723" i="2"/>
  <c r="G723" i="1" s="1"/>
  <c r="AG724" i="2"/>
  <c r="G724" i="1" s="1"/>
  <c r="AG725" i="2"/>
  <c r="G725" i="1" s="1"/>
  <c r="AG726" i="2"/>
  <c r="G726" i="1" s="1"/>
  <c r="AG727" i="2"/>
  <c r="G727" i="1" s="1"/>
  <c r="AG728" i="2"/>
  <c r="G728" i="1" s="1"/>
  <c r="AG729" i="2"/>
  <c r="G729" i="1" s="1"/>
  <c r="AG730" i="2"/>
  <c r="G730" i="1" s="1"/>
  <c r="AG731" i="2"/>
  <c r="G731" i="1" s="1"/>
  <c r="AG732" i="2"/>
  <c r="G732" i="1" s="1"/>
  <c r="AG733" i="2"/>
  <c r="G733" i="1" s="1"/>
  <c r="AG734" i="2"/>
  <c r="G734" i="1" s="1"/>
  <c r="AG735" i="2"/>
  <c r="G735" i="1" s="1"/>
  <c r="AG736" i="2"/>
  <c r="G736" i="1" s="1"/>
  <c r="AG737" i="2"/>
  <c r="G737" i="1" s="1"/>
  <c r="AG738" i="2"/>
  <c r="G738" i="1" s="1"/>
  <c r="AG739" i="2"/>
  <c r="G739" i="1" s="1"/>
  <c r="AG740" i="2"/>
  <c r="G740" i="1" s="1"/>
  <c r="AG741" i="2"/>
  <c r="G741" i="1" s="1"/>
  <c r="AG742" i="2"/>
  <c r="G742" i="1" s="1"/>
  <c r="AG743" i="2"/>
  <c r="G743" i="1" s="1"/>
  <c r="AG744" i="2"/>
  <c r="G744" i="1" s="1"/>
  <c r="AG745" i="2"/>
  <c r="G745" i="1" s="1"/>
  <c r="AG746" i="2"/>
  <c r="G746" i="1" s="1"/>
  <c r="AG747" i="2"/>
  <c r="G747" i="1" s="1"/>
  <c r="AG748" i="2"/>
  <c r="G748" i="1" s="1"/>
  <c r="AG749" i="2"/>
  <c r="G749" i="1" s="1"/>
  <c r="AG750" i="2"/>
  <c r="G750" i="1" s="1"/>
  <c r="AG751" i="2"/>
  <c r="G751" i="1" s="1"/>
  <c r="AG752" i="2"/>
  <c r="G752" i="1" s="1"/>
  <c r="AG753" i="2"/>
  <c r="G753" i="1" s="1"/>
  <c r="AG754" i="2"/>
  <c r="G754" i="1" s="1"/>
  <c r="AG755" i="2"/>
  <c r="G755" i="1" s="1"/>
  <c r="AG756" i="2"/>
  <c r="G756" i="1" s="1"/>
  <c r="AG757" i="2"/>
  <c r="G757" i="1" s="1"/>
  <c r="AG758" i="2"/>
  <c r="G758" i="1" s="1"/>
  <c r="AG759" i="2"/>
  <c r="G759" i="1" s="1"/>
  <c r="AG760" i="2"/>
  <c r="G760" i="1" s="1"/>
  <c r="AG761" i="2"/>
  <c r="G761" i="1" s="1"/>
  <c r="AG762" i="2"/>
  <c r="G762" i="1" s="1"/>
  <c r="AG763" i="2"/>
  <c r="G763" i="1" s="1"/>
  <c r="AG764" i="2"/>
  <c r="G764" i="1" s="1"/>
  <c r="AG765" i="2"/>
  <c r="G765" i="1" s="1"/>
  <c r="AG766" i="2"/>
  <c r="G766" i="1" s="1"/>
  <c r="AG767" i="2"/>
  <c r="G767" i="1" s="1"/>
  <c r="AG768" i="2"/>
  <c r="G768" i="1" s="1"/>
  <c r="AG769" i="2"/>
  <c r="G769" i="1" s="1"/>
  <c r="AG770" i="2"/>
  <c r="G770" i="1" s="1"/>
  <c r="AG771" i="2"/>
  <c r="G771" i="1" s="1"/>
  <c r="AG772" i="2"/>
  <c r="G772" i="1" s="1"/>
  <c r="AG773" i="2"/>
  <c r="G773" i="1" s="1"/>
  <c r="AG774" i="2"/>
  <c r="G774" i="1" s="1"/>
  <c r="AG775" i="2"/>
  <c r="G775" i="1" s="1"/>
  <c r="AG776" i="2"/>
  <c r="G776" i="1" s="1"/>
  <c r="AG777" i="2"/>
  <c r="G777" i="1" s="1"/>
  <c r="AG778" i="2"/>
  <c r="G778" i="1" s="1"/>
  <c r="AG779" i="2"/>
  <c r="G779" i="1" s="1"/>
  <c r="AG780" i="2"/>
  <c r="G780" i="1" s="1"/>
  <c r="AG781" i="2"/>
  <c r="G781" i="1" s="1"/>
  <c r="AG782" i="2"/>
  <c r="G782" i="1" s="1"/>
  <c r="AG783" i="2"/>
  <c r="G783" i="1" s="1"/>
  <c r="AG784" i="2"/>
  <c r="G784" i="1" s="1"/>
  <c r="AG785" i="2"/>
  <c r="G785" i="1" s="1"/>
  <c r="AG786" i="2"/>
  <c r="G786" i="1" s="1"/>
  <c r="AG787" i="2"/>
  <c r="G787" i="1" s="1"/>
  <c r="AG788" i="2"/>
  <c r="G788" i="1" s="1"/>
  <c r="AG789" i="2"/>
  <c r="G789" i="1" s="1"/>
  <c r="AG790" i="2"/>
  <c r="G790" i="1" s="1"/>
  <c r="AG791" i="2"/>
  <c r="G791" i="1" s="1"/>
  <c r="AG792" i="2"/>
  <c r="G792" i="1" s="1"/>
  <c r="AG793" i="2"/>
  <c r="G793" i="1" s="1"/>
  <c r="AG794" i="2"/>
  <c r="G794" i="1" s="1"/>
  <c r="AG795" i="2"/>
  <c r="G795" i="1" s="1"/>
  <c r="AG796" i="2"/>
  <c r="G796" i="1" s="1"/>
  <c r="AG797" i="2"/>
  <c r="G797" i="1" s="1"/>
  <c r="AG798" i="2"/>
  <c r="G798" i="1" s="1"/>
  <c r="AG799" i="2"/>
  <c r="G799" i="1" s="1"/>
  <c r="AG800" i="2"/>
  <c r="G800" i="1" s="1"/>
  <c r="AG801" i="2"/>
  <c r="G801" i="1" s="1"/>
  <c r="AG802" i="2"/>
  <c r="G802" i="1" s="1"/>
  <c r="AG803" i="2"/>
  <c r="G803" i="1" s="1"/>
  <c r="AG804" i="2"/>
  <c r="G804" i="1" s="1"/>
  <c r="AG805" i="2"/>
  <c r="G805" i="1" s="1"/>
  <c r="AG806" i="2"/>
  <c r="G806" i="1" s="1"/>
  <c r="AG807" i="2"/>
  <c r="G807" i="1" s="1"/>
  <c r="AG808" i="2"/>
  <c r="G808" i="1" s="1"/>
  <c r="AG809" i="2"/>
  <c r="G809" i="1" s="1"/>
  <c r="AG810" i="2"/>
  <c r="G810" i="1" s="1"/>
  <c r="AG811" i="2"/>
  <c r="G811" i="1" s="1"/>
  <c r="AG812" i="2"/>
  <c r="G812" i="1" s="1"/>
  <c r="AG813" i="2"/>
  <c r="G813" i="1" s="1"/>
  <c r="AG814" i="2"/>
  <c r="G814" i="1" s="1"/>
  <c r="AG815" i="2"/>
  <c r="G815" i="1" s="1"/>
  <c r="AG816" i="2"/>
  <c r="G816" i="1" s="1"/>
  <c r="AG817" i="2"/>
  <c r="G817" i="1" s="1"/>
  <c r="AG818" i="2"/>
  <c r="G818" i="1" s="1"/>
  <c r="AG819" i="2"/>
  <c r="G819" i="1" s="1"/>
  <c r="AG820" i="2"/>
  <c r="G820" i="1" s="1"/>
  <c r="AG821" i="2"/>
  <c r="G821" i="1" s="1"/>
  <c r="AG822" i="2"/>
  <c r="G822" i="1" s="1"/>
  <c r="AG823" i="2"/>
  <c r="G823" i="1" s="1"/>
  <c r="AG824" i="2"/>
  <c r="G824" i="1" s="1"/>
  <c r="AG825" i="2"/>
  <c r="G825" i="1" s="1"/>
  <c r="AG826" i="2"/>
  <c r="G826" i="1" s="1"/>
  <c r="AG827" i="2"/>
  <c r="G827" i="1" s="1"/>
  <c r="AG828" i="2"/>
  <c r="G828" i="1" s="1"/>
  <c r="AG829" i="2"/>
  <c r="G829" i="1" s="1"/>
  <c r="AG830" i="2"/>
  <c r="G830" i="1" s="1"/>
  <c r="AG831" i="2"/>
  <c r="G831" i="1" s="1"/>
  <c r="AG832" i="2"/>
  <c r="G832" i="1" s="1"/>
  <c r="AG833" i="2"/>
  <c r="G833" i="1" s="1"/>
  <c r="AG834" i="2"/>
  <c r="G834" i="1" s="1"/>
  <c r="AG835" i="2"/>
  <c r="G835" i="1" s="1"/>
  <c r="AG836" i="2"/>
  <c r="G836" i="1" s="1"/>
  <c r="AG837" i="2"/>
  <c r="G837" i="1" s="1"/>
  <c r="AG838" i="2"/>
  <c r="G838" i="1" s="1"/>
  <c r="AG839" i="2"/>
  <c r="G839" i="1" s="1"/>
  <c r="AG840" i="2"/>
  <c r="G840" i="1" s="1"/>
  <c r="AG841" i="2"/>
  <c r="G841" i="1" s="1"/>
  <c r="AG842" i="2"/>
  <c r="G842" i="1" s="1"/>
  <c r="AG843" i="2"/>
  <c r="G843" i="1" s="1"/>
  <c r="AG844" i="2"/>
  <c r="G844" i="1" s="1"/>
  <c r="AG845" i="2"/>
  <c r="G845" i="1" s="1"/>
  <c r="AG846" i="2"/>
  <c r="G846" i="1" s="1"/>
  <c r="AG847" i="2"/>
  <c r="G847" i="1" s="1"/>
  <c r="AG848" i="2"/>
  <c r="G848" i="1" s="1"/>
  <c r="AG849" i="2"/>
  <c r="G849" i="1" s="1"/>
  <c r="AG850" i="2"/>
  <c r="G850" i="1" s="1"/>
  <c r="AG851" i="2"/>
  <c r="G851" i="1" s="1"/>
  <c r="AG852" i="2"/>
  <c r="G852" i="1" s="1"/>
  <c r="AG853" i="2"/>
  <c r="G853" i="1" s="1"/>
  <c r="AG854" i="2"/>
  <c r="G854" i="1" s="1"/>
  <c r="AG855" i="2"/>
  <c r="G855" i="1" s="1"/>
  <c r="AG856" i="2"/>
  <c r="G856" i="1" s="1"/>
  <c r="AG857" i="2"/>
  <c r="G857" i="1" s="1"/>
  <c r="AG858" i="2"/>
  <c r="G858" i="1" s="1"/>
  <c r="AG859" i="2"/>
  <c r="G859" i="1" s="1"/>
  <c r="AG860" i="2"/>
  <c r="G860" i="1" s="1"/>
  <c r="AG861" i="2"/>
  <c r="G861" i="1" s="1"/>
  <c r="AG862" i="2"/>
  <c r="G862" i="1" s="1"/>
  <c r="AG863" i="2"/>
  <c r="G863" i="1" s="1"/>
  <c r="AG864" i="2"/>
  <c r="G864" i="1" s="1"/>
  <c r="AG865" i="2"/>
  <c r="G865" i="1" s="1"/>
  <c r="AG866" i="2"/>
  <c r="G866" i="1" s="1"/>
  <c r="AG867" i="2"/>
  <c r="G867" i="1" s="1"/>
  <c r="AG868" i="2"/>
  <c r="G868" i="1" s="1"/>
  <c r="AG869" i="2"/>
  <c r="G869" i="1" s="1"/>
  <c r="AG870" i="2"/>
  <c r="G870" i="1" s="1"/>
  <c r="AG871" i="2"/>
  <c r="G871" i="1" s="1"/>
  <c r="AG872" i="2"/>
  <c r="G872" i="1" s="1"/>
  <c r="AG873" i="2"/>
  <c r="G873" i="1" s="1"/>
  <c r="AG874" i="2"/>
  <c r="G874" i="1" s="1"/>
  <c r="AG875" i="2"/>
  <c r="G875" i="1" s="1"/>
  <c r="AG876" i="2"/>
  <c r="G876" i="1" s="1"/>
  <c r="AG877" i="2"/>
  <c r="G877" i="1" s="1"/>
  <c r="AG878" i="2"/>
  <c r="G878" i="1" s="1"/>
  <c r="AG879" i="2"/>
  <c r="G879" i="1" s="1"/>
  <c r="AG880" i="2"/>
  <c r="G880" i="1" s="1"/>
  <c r="AG881" i="2"/>
  <c r="G881" i="1" s="1"/>
  <c r="AG882" i="2"/>
  <c r="G882" i="1" s="1"/>
  <c r="AG883" i="2"/>
  <c r="G883" i="1" s="1"/>
  <c r="AG884" i="2"/>
  <c r="G884" i="1" s="1"/>
  <c r="AG885" i="2"/>
  <c r="G885" i="1" s="1"/>
  <c r="AG886" i="2"/>
  <c r="G886" i="1" s="1"/>
  <c r="AG887" i="2"/>
  <c r="G887" i="1" s="1"/>
  <c r="AG888" i="2"/>
  <c r="G888" i="1" s="1"/>
  <c r="AG889" i="2"/>
  <c r="G889" i="1" s="1"/>
  <c r="AG890" i="2"/>
  <c r="G890" i="1" s="1"/>
  <c r="AG891" i="2"/>
  <c r="G891" i="1" s="1"/>
  <c r="AG892" i="2"/>
  <c r="G892" i="1" s="1"/>
  <c r="AG893" i="2"/>
  <c r="G893" i="1" s="1"/>
  <c r="AG894" i="2"/>
  <c r="G894" i="1" s="1"/>
  <c r="AG895" i="2"/>
  <c r="G895" i="1" s="1"/>
  <c r="AG896" i="2"/>
  <c r="G896" i="1" s="1"/>
  <c r="AG897" i="2"/>
  <c r="G897" i="1" s="1"/>
  <c r="AG898" i="2"/>
  <c r="G898" i="1" s="1"/>
  <c r="AG899" i="2"/>
  <c r="G899" i="1" s="1"/>
  <c r="AG900" i="2"/>
  <c r="G900" i="1" s="1"/>
  <c r="AG901" i="2"/>
  <c r="G901" i="1" s="1"/>
  <c r="AG902" i="2"/>
  <c r="G902" i="1" s="1"/>
  <c r="AG903" i="2"/>
  <c r="G903" i="1" s="1"/>
  <c r="AG904" i="2"/>
  <c r="G904" i="1" s="1"/>
  <c r="AG905" i="2"/>
  <c r="G905" i="1" s="1"/>
  <c r="AG906" i="2"/>
  <c r="G906" i="1" s="1"/>
  <c r="AG907" i="2"/>
  <c r="G907" i="1" s="1"/>
  <c r="AG908" i="2"/>
  <c r="G908" i="1" s="1"/>
  <c r="AG909" i="2"/>
  <c r="G909" i="1" s="1"/>
  <c r="AG910" i="2"/>
  <c r="G910" i="1" s="1"/>
  <c r="AG911" i="2"/>
  <c r="G911" i="1" s="1"/>
  <c r="AG912" i="2"/>
  <c r="G912" i="1" s="1"/>
  <c r="AG913" i="2"/>
  <c r="G913" i="1" s="1"/>
  <c r="AG914" i="2"/>
  <c r="G914" i="1" s="1"/>
  <c r="AG915" i="2"/>
  <c r="G915" i="1" s="1"/>
  <c r="AG916" i="2"/>
  <c r="G916" i="1" s="1"/>
  <c r="AG917" i="2"/>
  <c r="G917" i="1" s="1"/>
  <c r="AG918" i="2"/>
  <c r="G918" i="1" s="1"/>
  <c r="AG919" i="2"/>
  <c r="G919" i="1" s="1"/>
  <c r="AG920" i="2"/>
  <c r="G920" i="1" s="1"/>
  <c r="AG921" i="2"/>
  <c r="G921" i="1" s="1"/>
  <c r="AG922" i="2"/>
  <c r="G922" i="1" s="1"/>
  <c r="AG923" i="2"/>
  <c r="G923" i="1" s="1"/>
  <c r="AG924" i="2"/>
  <c r="G924" i="1" s="1"/>
  <c r="AG925" i="2"/>
  <c r="G925" i="1" s="1"/>
  <c r="AG926" i="2"/>
  <c r="G926" i="1" s="1"/>
  <c r="AG927" i="2"/>
  <c r="G927" i="1" s="1"/>
  <c r="AG928" i="2"/>
  <c r="G928" i="1" s="1"/>
  <c r="AG929" i="2"/>
  <c r="G929" i="1" s="1"/>
  <c r="AG930" i="2"/>
  <c r="G930" i="1" s="1"/>
  <c r="AG931" i="2"/>
  <c r="G931" i="1" s="1"/>
  <c r="AG932" i="2"/>
  <c r="G932" i="1" s="1"/>
  <c r="AG933" i="2"/>
  <c r="G933" i="1" s="1"/>
  <c r="AG934" i="2"/>
  <c r="G934" i="1" s="1"/>
  <c r="AG935" i="2"/>
  <c r="G935" i="1" s="1"/>
  <c r="AG936" i="2"/>
  <c r="G936" i="1" s="1"/>
  <c r="AG937" i="2"/>
  <c r="G937" i="1" s="1"/>
  <c r="AG938" i="2"/>
  <c r="G938" i="1" s="1"/>
  <c r="AG939" i="2"/>
  <c r="G939" i="1" s="1"/>
  <c r="AG940" i="2"/>
  <c r="G940" i="1" s="1"/>
  <c r="AG941" i="2"/>
  <c r="G941" i="1" s="1"/>
  <c r="AG942" i="2"/>
  <c r="G942" i="1" s="1"/>
  <c r="AG943" i="2"/>
  <c r="G943" i="1" s="1"/>
  <c r="AG944" i="2"/>
  <c r="G944" i="1" s="1"/>
  <c r="AG945" i="2"/>
  <c r="G945" i="1" s="1"/>
  <c r="AG946" i="2"/>
  <c r="G946" i="1" s="1"/>
  <c r="AG947" i="2"/>
  <c r="G947" i="1" s="1"/>
  <c r="AG948" i="2"/>
  <c r="G948" i="1" s="1"/>
  <c r="AG949" i="2"/>
  <c r="G949" i="1" s="1"/>
  <c r="AG950" i="2"/>
  <c r="G950" i="1" s="1"/>
  <c r="AG951" i="2"/>
  <c r="G951" i="1" s="1"/>
  <c r="AG952" i="2"/>
  <c r="G952" i="1" s="1"/>
  <c r="AG953" i="2"/>
  <c r="G953" i="1" s="1"/>
  <c r="AG954" i="2"/>
  <c r="G954" i="1" s="1"/>
  <c r="AG955" i="2"/>
  <c r="G955" i="1" s="1"/>
  <c r="AG956" i="2"/>
  <c r="G956" i="1" s="1"/>
  <c r="AG957" i="2"/>
  <c r="G957" i="1" s="1"/>
  <c r="AG958" i="2"/>
  <c r="G958" i="1" s="1"/>
  <c r="AG959" i="2"/>
  <c r="G959" i="1" s="1"/>
  <c r="AG960" i="2"/>
  <c r="G960" i="1" s="1"/>
  <c r="AG961" i="2"/>
  <c r="G961" i="1" s="1"/>
  <c r="AG962" i="2"/>
  <c r="G962" i="1" s="1"/>
  <c r="AG963" i="2"/>
  <c r="G963" i="1" s="1"/>
  <c r="AG964" i="2"/>
  <c r="G964" i="1" s="1"/>
  <c r="AG965" i="2"/>
  <c r="G965" i="1" s="1"/>
  <c r="AG966" i="2"/>
  <c r="G966" i="1" s="1"/>
  <c r="AG967" i="2"/>
  <c r="G967" i="1" s="1"/>
  <c r="AG968" i="2"/>
  <c r="G968" i="1" s="1"/>
  <c r="AG969" i="2"/>
  <c r="G969" i="1" s="1"/>
  <c r="AG970" i="2"/>
  <c r="G970" i="1" s="1"/>
  <c r="AG971" i="2"/>
  <c r="G971" i="1" s="1"/>
  <c r="AG972" i="2"/>
  <c r="G972" i="1" s="1"/>
  <c r="AG973" i="2"/>
  <c r="G973" i="1" s="1"/>
  <c r="AG974" i="2"/>
  <c r="G974" i="1" s="1"/>
  <c r="AG975" i="2"/>
  <c r="G975" i="1" s="1"/>
  <c r="AG976" i="2"/>
  <c r="G976" i="1" s="1"/>
  <c r="AG977" i="2"/>
  <c r="G977" i="1" s="1"/>
  <c r="AG978" i="2"/>
  <c r="G978" i="1" s="1"/>
  <c r="AG979" i="2"/>
  <c r="G979" i="1" s="1"/>
  <c r="AG980" i="2"/>
  <c r="G980" i="1" s="1"/>
  <c r="AG981" i="2"/>
  <c r="G981" i="1" s="1"/>
  <c r="AG982" i="2"/>
  <c r="G982" i="1" s="1"/>
  <c r="AG983" i="2"/>
  <c r="G983" i="1" s="1"/>
  <c r="AG984" i="2"/>
  <c r="G984" i="1" s="1"/>
  <c r="AG985" i="2"/>
  <c r="G985" i="1" s="1"/>
  <c r="AG986" i="2"/>
  <c r="G986" i="1" s="1"/>
  <c r="AG987" i="2"/>
  <c r="G987" i="1" s="1"/>
  <c r="AG988" i="2"/>
  <c r="G988" i="1" s="1"/>
  <c r="AG989" i="2"/>
  <c r="G989" i="1" s="1"/>
  <c r="AG990" i="2"/>
  <c r="G990" i="1" s="1"/>
  <c r="AG991" i="2"/>
  <c r="G991" i="1" s="1"/>
  <c r="AG992" i="2"/>
  <c r="G992" i="1" s="1"/>
  <c r="AG993" i="2"/>
  <c r="G993" i="1" s="1"/>
  <c r="AG994" i="2"/>
  <c r="G994" i="1" s="1"/>
  <c r="AG995" i="2"/>
  <c r="G995" i="1" s="1"/>
  <c r="AG996" i="2"/>
  <c r="G996" i="1" s="1"/>
  <c r="AG997" i="2"/>
  <c r="G997" i="1" s="1"/>
  <c r="AG998" i="2"/>
  <c r="G998" i="1" s="1"/>
  <c r="AG999" i="2"/>
  <c r="G999" i="1" s="1"/>
  <c r="AG1000" i="2"/>
  <c r="G1000" i="1" s="1"/>
  <c r="AG1001" i="2"/>
  <c r="G1001" i="1" s="1"/>
  <c r="AG1002" i="2"/>
  <c r="G1002" i="1" s="1"/>
  <c r="AG1003" i="2"/>
  <c r="G1003" i="1" s="1"/>
  <c r="AG1004" i="2"/>
  <c r="G1004" i="1" s="1"/>
  <c r="AG1005" i="2"/>
  <c r="G1005" i="1" s="1"/>
  <c r="AG1006" i="2"/>
  <c r="G1006" i="1" s="1"/>
  <c r="AG1007" i="2"/>
  <c r="G1007" i="1" s="1"/>
  <c r="AG1008" i="2"/>
  <c r="G1008" i="1" s="1"/>
  <c r="AG1009" i="2"/>
  <c r="G1009" i="1" s="1"/>
  <c r="AG1010" i="2"/>
  <c r="G1010" i="1" s="1"/>
  <c r="AG1011" i="2"/>
  <c r="G1011" i="1" s="1"/>
  <c r="AG1012" i="2"/>
  <c r="G1012" i="1" s="1"/>
  <c r="AG1013" i="2"/>
  <c r="G1013" i="1" s="1"/>
  <c r="AG1014" i="2"/>
  <c r="G1014" i="1" s="1"/>
  <c r="AG1015" i="2"/>
  <c r="G1015" i="1" s="1"/>
  <c r="AG1016" i="2"/>
  <c r="G1016" i="1" s="1"/>
  <c r="AG1017" i="2"/>
  <c r="G1017" i="1" s="1"/>
  <c r="AG1018" i="2"/>
  <c r="G1018" i="1" s="1"/>
  <c r="AG1019" i="2"/>
  <c r="G1019" i="1" s="1"/>
  <c r="AG1020" i="2"/>
  <c r="G1020" i="1" s="1"/>
  <c r="AG1021" i="2"/>
  <c r="G1021" i="1" s="1"/>
  <c r="AG1022" i="2"/>
  <c r="G1022" i="1" s="1"/>
  <c r="AG1023" i="2"/>
  <c r="G1023" i="1" s="1"/>
  <c r="AG1024" i="2"/>
  <c r="G1024" i="1" s="1"/>
  <c r="AG1025" i="2"/>
  <c r="G1025" i="1" s="1"/>
  <c r="AG1026" i="2"/>
  <c r="G1026" i="1" s="1"/>
  <c r="AG1027" i="2"/>
  <c r="G1027" i="1" s="1"/>
  <c r="AG1028" i="2"/>
  <c r="G1028" i="1" s="1"/>
  <c r="AG1029" i="2"/>
  <c r="G1029" i="1" s="1"/>
  <c r="AG1030" i="2"/>
  <c r="G1030" i="1" s="1"/>
  <c r="AG1031" i="2"/>
  <c r="G1031" i="1" s="1"/>
  <c r="AG1032" i="2"/>
  <c r="G1032" i="1" s="1"/>
  <c r="AG1033" i="2"/>
  <c r="G1033" i="1" s="1"/>
  <c r="AG1034" i="2"/>
  <c r="G1034" i="1" s="1"/>
  <c r="AG1035" i="2"/>
  <c r="G1035" i="1" s="1"/>
  <c r="AG1036" i="2"/>
  <c r="G1036" i="1" s="1"/>
  <c r="AG1037" i="2"/>
  <c r="G1037" i="1" s="1"/>
  <c r="AG1038" i="2"/>
  <c r="G1038" i="1" s="1"/>
  <c r="AG1039" i="2"/>
  <c r="G1039" i="1" s="1"/>
  <c r="AG1040" i="2"/>
  <c r="G1040" i="1" s="1"/>
  <c r="AG1041" i="2"/>
  <c r="G1041" i="1" s="1"/>
  <c r="AG1042" i="2"/>
  <c r="G1042" i="1" s="1"/>
  <c r="AG1043" i="2"/>
  <c r="G1043" i="1" s="1"/>
  <c r="AG1044" i="2"/>
  <c r="G1044" i="1" s="1"/>
  <c r="AG1045" i="2"/>
  <c r="G1045" i="1" s="1"/>
  <c r="AG1046" i="2"/>
  <c r="G1046" i="1" s="1"/>
  <c r="AG1047" i="2"/>
  <c r="G1047" i="1" s="1"/>
  <c r="AG1048" i="2"/>
  <c r="G1048" i="1" s="1"/>
  <c r="AG1049" i="2"/>
  <c r="G1049" i="1" s="1"/>
  <c r="AG1050" i="2"/>
  <c r="G1050" i="1" s="1"/>
  <c r="AG1051" i="2"/>
  <c r="G1051" i="1" s="1"/>
  <c r="AG1052" i="2"/>
  <c r="G1052" i="1" s="1"/>
  <c r="AG1053" i="2"/>
  <c r="G1053" i="1" s="1"/>
  <c r="AG1054" i="2"/>
  <c r="G1054" i="1" s="1"/>
  <c r="AG1055" i="2"/>
  <c r="G1055" i="1" s="1"/>
  <c r="AG1056" i="2"/>
  <c r="G1056" i="1" s="1"/>
  <c r="AG1057" i="2"/>
  <c r="G1057" i="1" s="1"/>
  <c r="AG1058" i="2"/>
  <c r="G1058" i="1" s="1"/>
  <c r="AG1059" i="2"/>
  <c r="G1059" i="1" s="1"/>
  <c r="AG1060" i="2"/>
  <c r="G1060" i="1" s="1"/>
  <c r="AG1061" i="2"/>
  <c r="G1061" i="1" s="1"/>
  <c r="AG1062" i="2"/>
  <c r="G1062" i="1" s="1"/>
  <c r="AG1063" i="2"/>
  <c r="G1063" i="1" s="1"/>
  <c r="AG1064" i="2"/>
  <c r="G1064" i="1" s="1"/>
  <c r="AG1065" i="2"/>
  <c r="G1065" i="1" s="1"/>
  <c r="AG1066" i="2"/>
  <c r="G1066" i="1" s="1"/>
  <c r="AG1067" i="2"/>
  <c r="G1067" i="1" s="1"/>
  <c r="AG1068" i="2"/>
  <c r="G1068" i="1" s="1"/>
  <c r="AG1069" i="2"/>
  <c r="G1069" i="1" s="1"/>
  <c r="AG1070" i="2"/>
  <c r="G1070" i="1" s="1"/>
  <c r="AG1071" i="2"/>
  <c r="G1071" i="1" s="1"/>
  <c r="AG1072" i="2"/>
  <c r="G1072" i="1" s="1"/>
  <c r="AG1073" i="2"/>
  <c r="G1073" i="1" s="1"/>
  <c r="AG1074" i="2"/>
  <c r="G1074" i="1" s="1"/>
  <c r="AG1075" i="2"/>
  <c r="G1075" i="1" s="1"/>
  <c r="AG1076" i="2"/>
  <c r="G1076" i="1" s="1"/>
  <c r="AG1077" i="2"/>
  <c r="G1077" i="1" s="1"/>
  <c r="AG1078" i="2"/>
  <c r="G1078" i="1" s="1"/>
  <c r="AG1079" i="2"/>
  <c r="G1079" i="1" s="1"/>
  <c r="AG1080" i="2"/>
  <c r="G1080" i="1" s="1"/>
  <c r="AG1081" i="2"/>
  <c r="G1081" i="1" s="1"/>
  <c r="AG1082" i="2"/>
  <c r="G1082" i="1" s="1"/>
  <c r="AG1083" i="2"/>
  <c r="G1083" i="1" s="1"/>
  <c r="AG1084" i="2"/>
  <c r="G1084" i="1" s="1"/>
  <c r="AG1085" i="2"/>
  <c r="G1085" i="1" s="1"/>
  <c r="AG1086" i="2"/>
  <c r="G1086" i="1" s="1"/>
  <c r="AG1087" i="2"/>
  <c r="G1087" i="1" s="1"/>
  <c r="AG1088" i="2"/>
  <c r="G1088" i="1" s="1"/>
  <c r="AG1089" i="2"/>
  <c r="G1089" i="1" s="1"/>
  <c r="AG1090" i="2"/>
  <c r="G1090" i="1" s="1"/>
  <c r="AG1091" i="2"/>
  <c r="G1091" i="1" s="1"/>
  <c r="AG1092" i="2"/>
  <c r="G1092" i="1" s="1"/>
  <c r="AG1093" i="2"/>
  <c r="G1093" i="1" s="1"/>
  <c r="AG1094" i="2"/>
  <c r="G1094" i="1" s="1"/>
  <c r="AG1095" i="2"/>
  <c r="G1095" i="1" s="1"/>
  <c r="AG1096" i="2"/>
  <c r="G1096" i="1" s="1"/>
  <c r="AG1097" i="2"/>
  <c r="G1097" i="1" s="1"/>
  <c r="AG1098" i="2"/>
  <c r="G1098" i="1" s="1"/>
  <c r="AG1099" i="2"/>
  <c r="G1099" i="1" s="1"/>
  <c r="AG1100" i="2"/>
  <c r="G1100" i="1" s="1"/>
  <c r="AG1101" i="2"/>
  <c r="G1101" i="1" s="1"/>
  <c r="AG1102" i="2"/>
  <c r="G1102" i="1" s="1"/>
  <c r="AG1103" i="2"/>
  <c r="G1103" i="1" s="1"/>
  <c r="AG1104" i="2"/>
  <c r="G1104" i="1" s="1"/>
  <c r="AG1105" i="2"/>
  <c r="G1105" i="1" s="1"/>
  <c r="AG1106" i="2"/>
  <c r="G1106" i="1" s="1"/>
  <c r="AG1107" i="2"/>
  <c r="G1107" i="1" s="1"/>
  <c r="AG1108" i="2"/>
  <c r="G1108" i="1" s="1"/>
  <c r="AG1109" i="2"/>
  <c r="G1109" i="1" s="1"/>
  <c r="AG1110" i="2"/>
  <c r="G1110" i="1" s="1"/>
  <c r="AG1111" i="2"/>
  <c r="G1111" i="1" s="1"/>
  <c r="AG1112" i="2"/>
  <c r="G1112" i="1" s="1"/>
  <c r="AG1113" i="2"/>
  <c r="G1113" i="1" s="1"/>
  <c r="AG1114" i="2"/>
  <c r="G1114" i="1" s="1"/>
  <c r="AG1115" i="2"/>
  <c r="G1115" i="1" s="1"/>
  <c r="AG1116" i="2"/>
  <c r="G1116" i="1" s="1"/>
  <c r="AG1117" i="2"/>
  <c r="G1117" i="1" s="1"/>
  <c r="AG1118" i="2"/>
  <c r="G1118" i="1" s="1"/>
  <c r="AG1119" i="2"/>
  <c r="G1119" i="1" s="1"/>
  <c r="AG1120" i="2"/>
  <c r="G1120" i="1" s="1"/>
  <c r="AG1121" i="2"/>
  <c r="G1121" i="1" s="1"/>
  <c r="AG1122" i="2"/>
  <c r="G1122" i="1" s="1"/>
  <c r="AG1123" i="2"/>
  <c r="G1123" i="1" s="1"/>
  <c r="AG1124" i="2"/>
  <c r="G1124" i="1" s="1"/>
  <c r="AG1125" i="2"/>
  <c r="G1125" i="1" s="1"/>
  <c r="AG1126" i="2"/>
  <c r="G1126" i="1" s="1"/>
  <c r="AG1127" i="2"/>
  <c r="G1127" i="1" s="1"/>
  <c r="AG1128" i="2"/>
  <c r="G1128" i="1" s="1"/>
  <c r="AG1129" i="2"/>
  <c r="G1129" i="1" s="1"/>
  <c r="AG1130" i="2"/>
  <c r="G1130" i="1" s="1"/>
  <c r="AG1131" i="2"/>
  <c r="G1131" i="1" s="1"/>
  <c r="AG1132" i="2"/>
  <c r="G1132" i="1" s="1"/>
  <c r="AG1133" i="2"/>
  <c r="G1133" i="1" s="1"/>
  <c r="AG1134" i="2"/>
  <c r="G1134" i="1" s="1"/>
  <c r="AG1135" i="2"/>
  <c r="G1135" i="1" s="1"/>
  <c r="AG1136" i="2"/>
  <c r="G1136" i="1" s="1"/>
  <c r="AG1137" i="2"/>
  <c r="G1137" i="1" s="1"/>
  <c r="AG1138" i="2"/>
  <c r="G1138" i="1" s="1"/>
  <c r="AG1139" i="2"/>
  <c r="G1139" i="1" s="1"/>
  <c r="AG1140" i="2"/>
  <c r="G1140" i="1" s="1"/>
  <c r="AG1141" i="2"/>
  <c r="G1141" i="1" s="1"/>
  <c r="AG1142" i="2"/>
  <c r="G1142" i="1" s="1"/>
  <c r="AG1143" i="2"/>
  <c r="G1143" i="1" s="1"/>
  <c r="AG1144" i="2"/>
  <c r="G1144" i="1" s="1"/>
  <c r="AG1145" i="2"/>
  <c r="G1145" i="1" s="1"/>
  <c r="AG1146" i="2"/>
  <c r="G1146" i="1" s="1"/>
  <c r="AG1147" i="2"/>
  <c r="G1147" i="1" s="1"/>
  <c r="AG1148" i="2"/>
  <c r="G1148" i="1" s="1"/>
  <c r="AG1149" i="2"/>
  <c r="G1149" i="1" s="1"/>
  <c r="AG1150" i="2"/>
  <c r="G1150" i="1" s="1"/>
  <c r="AG1151" i="2"/>
  <c r="G1151" i="1" s="1"/>
  <c r="AG1152" i="2"/>
  <c r="G1152" i="1" s="1"/>
  <c r="AG1153" i="2"/>
  <c r="G1153" i="1" s="1"/>
  <c r="AG1154" i="2"/>
  <c r="G1154" i="1" s="1"/>
  <c r="AG1155" i="2"/>
  <c r="G1155" i="1" s="1"/>
  <c r="AG1156" i="2"/>
  <c r="G1156" i="1" s="1"/>
  <c r="AG1157" i="2"/>
  <c r="G1157" i="1" s="1"/>
  <c r="AG1158" i="2"/>
  <c r="G1158" i="1" s="1"/>
  <c r="AG1159" i="2"/>
  <c r="G1159" i="1" s="1"/>
  <c r="AG1160" i="2"/>
  <c r="G1160" i="1" s="1"/>
  <c r="AG1161" i="2"/>
  <c r="G1161" i="1" s="1"/>
  <c r="AG1162" i="2"/>
  <c r="G1162" i="1" s="1"/>
  <c r="AG1163" i="2"/>
  <c r="G1163" i="1" s="1"/>
  <c r="AG1164" i="2"/>
  <c r="G1164" i="1" s="1"/>
  <c r="AG1165" i="2"/>
  <c r="G1165" i="1" s="1"/>
  <c r="AG1166" i="2"/>
  <c r="G1166" i="1" s="1"/>
  <c r="AG1167" i="2"/>
  <c r="G1167" i="1" s="1"/>
  <c r="AG1168" i="2"/>
  <c r="G1168" i="1" s="1"/>
  <c r="AG1169" i="2"/>
  <c r="G1169" i="1" s="1"/>
  <c r="AG1170" i="2"/>
  <c r="G1170" i="1" s="1"/>
  <c r="AG1171" i="2"/>
  <c r="G1171" i="1" s="1"/>
  <c r="AG1172" i="2"/>
  <c r="G1172" i="1" s="1"/>
  <c r="AG1173" i="2"/>
  <c r="G1173" i="1" s="1"/>
  <c r="AG1174" i="2"/>
  <c r="G1174" i="1" s="1"/>
  <c r="AG1175" i="2"/>
  <c r="G1175" i="1" s="1"/>
  <c r="AG1176" i="2"/>
  <c r="G1176" i="1" s="1"/>
  <c r="AG1177" i="2"/>
  <c r="G1177" i="1" s="1"/>
  <c r="AG1178" i="2"/>
  <c r="G1178" i="1" s="1"/>
  <c r="AG1179" i="2"/>
  <c r="G1179" i="1" s="1"/>
  <c r="AG1180" i="2"/>
  <c r="G1180" i="1" s="1"/>
  <c r="AG1181" i="2"/>
  <c r="G1181" i="1" s="1"/>
  <c r="AG1182" i="2"/>
  <c r="G1182" i="1" s="1"/>
  <c r="AG1183" i="2"/>
  <c r="G1183" i="1" s="1"/>
  <c r="AG1184" i="2"/>
  <c r="G1184" i="1" s="1"/>
  <c r="AG1185" i="2"/>
  <c r="G1185" i="1" s="1"/>
  <c r="AG1186" i="2"/>
  <c r="G1186" i="1" s="1"/>
  <c r="AG1187" i="2"/>
  <c r="G1187" i="1" s="1"/>
  <c r="AG1188" i="2"/>
  <c r="G1188" i="1" s="1"/>
  <c r="AG1189" i="2"/>
  <c r="G1189" i="1" s="1"/>
  <c r="AG1190" i="2"/>
  <c r="G1190" i="1" s="1"/>
  <c r="AG1191" i="2"/>
  <c r="G1191" i="1" s="1"/>
  <c r="AG1192" i="2"/>
  <c r="G1192" i="1" s="1"/>
  <c r="AG1193" i="2"/>
  <c r="G1193" i="1" s="1"/>
  <c r="AG1194" i="2"/>
  <c r="G1194" i="1" s="1"/>
  <c r="AG1195" i="2"/>
  <c r="G1195" i="1" s="1"/>
  <c r="AG1196" i="2"/>
  <c r="G1196" i="1" s="1"/>
  <c r="AG1197" i="2"/>
  <c r="G1197" i="1" s="1"/>
  <c r="AG1198" i="2"/>
  <c r="G1198" i="1" s="1"/>
  <c r="AG1199" i="2"/>
  <c r="G1199" i="1" s="1"/>
  <c r="AG1200" i="2"/>
  <c r="G1200" i="1" s="1"/>
  <c r="AG1201" i="2"/>
  <c r="G1201" i="1" s="1"/>
  <c r="AG1202" i="2"/>
  <c r="G1202" i="1" s="1"/>
  <c r="AG1203" i="2"/>
  <c r="G1203" i="1" s="1"/>
  <c r="AG1204" i="2"/>
  <c r="G1204" i="1" s="1"/>
  <c r="AG1205" i="2"/>
  <c r="G1205" i="1" s="1"/>
  <c r="AG1206" i="2"/>
  <c r="G1206" i="1" s="1"/>
  <c r="AG1207" i="2"/>
  <c r="G1207" i="1" s="1"/>
  <c r="AG1208" i="2"/>
  <c r="G1208" i="1" s="1"/>
  <c r="AG1209" i="2"/>
  <c r="G1209" i="1" s="1"/>
  <c r="AG1210" i="2"/>
  <c r="G1210" i="1" s="1"/>
  <c r="AG1211" i="2"/>
  <c r="G1211" i="1" s="1"/>
  <c r="AG1212" i="2"/>
  <c r="G1212" i="1" s="1"/>
  <c r="AG1213" i="2"/>
  <c r="G1213" i="1" s="1"/>
  <c r="AG1214" i="2"/>
  <c r="G1214" i="1" s="1"/>
  <c r="AG1215" i="2"/>
  <c r="G1215" i="1" s="1"/>
  <c r="AG1216" i="2"/>
  <c r="G1216" i="1" s="1"/>
  <c r="AG1217" i="2"/>
  <c r="G1217" i="1" s="1"/>
  <c r="AG1218" i="2"/>
  <c r="G1218" i="1" s="1"/>
  <c r="AG1219" i="2"/>
  <c r="G1219" i="1" s="1"/>
  <c r="AG1220" i="2"/>
  <c r="G1220" i="1" s="1"/>
  <c r="AG1221" i="2"/>
  <c r="G1221" i="1" s="1"/>
  <c r="AG1222" i="2"/>
  <c r="G1222" i="1" s="1"/>
  <c r="AG1223" i="2"/>
  <c r="G1223" i="1" s="1"/>
  <c r="AG1224" i="2"/>
  <c r="G1224" i="1" s="1"/>
  <c r="AG1225" i="2"/>
  <c r="G1225" i="1" s="1"/>
  <c r="AG1226" i="2"/>
  <c r="G1226" i="1" s="1"/>
  <c r="AG1227" i="2"/>
  <c r="G1227" i="1" s="1"/>
  <c r="AG1228" i="2"/>
  <c r="G1228" i="1" s="1"/>
  <c r="AG1229" i="2"/>
  <c r="G1229" i="1" s="1"/>
  <c r="AG1230" i="2"/>
  <c r="G1230" i="1" s="1"/>
  <c r="AG1231" i="2"/>
  <c r="G1231" i="1" s="1"/>
  <c r="AG1232" i="2"/>
  <c r="G1232" i="1" s="1"/>
  <c r="AG1233" i="2"/>
  <c r="G1233" i="1" s="1"/>
  <c r="AG1234" i="2"/>
  <c r="G1234" i="1" s="1"/>
  <c r="AG1235" i="2"/>
  <c r="G1235" i="1" s="1"/>
  <c r="AG1236" i="2"/>
  <c r="G1236" i="1" s="1"/>
  <c r="AG1237" i="2"/>
  <c r="G1237" i="1" s="1"/>
  <c r="AG1238" i="2"/>
  <c r="G1238" i="1" s="1"/>
  <c r="AG1239" i="2"/>
  <c r="G1239" i="1" s="1"/>
  <c r="AG1240" i="2"/>
  <c r="G1240" i="1" s="1"/>
  <c r="AG1241" i="2"/>
  <c r="G1241" i="1" s="1"/>
  <c r="AG1242" i="2"/>
  <c r="G1242" i="1" s="1"/>
  <c r="AG1243" i="2"/>
  <c r="G1243" i="1" s="1"/>
  <c r="AG1244" i="2"/>
  <c r="G1244" i="1" s="1"/>
  <c r="AG1245" i="2"/>
  <c r="G1245" i="1" s="1"/>
  <c r="AG1246" i="2"/>
  <c r="G1246" i="1" s="1"/>
  <c r="AG1247" i="2"/>
  <c r="G1247" i="1" s="1"/>
  <c r="AG1248" i="2"/>
  <c r="G1248" i="1" s="1"/>
  <c r="AG1249" i="2"/>
  <c r="G1249" i="1" s="1"/>
  <c r="AG1250" i="2"/>
  <c r="G1250" i="1" s="1"/>
  <c r="AG1251" i="2"/>
  <c r="G1251" i="1" s="1"/>
  <c r="AG1252" i="2"/>
  <c r="G1252" i="1" s="1"/>
  <c r="AG1253" i="2"/>
  <c r="G1253" i="1" s="1"/>
  <c r="AG1254" i="2"/>
  <c r="G1254" i="1" s="1"/>
  <c r="AG1255" i="2"/>
  <c r="G1255" i="1" s="1"/>
  <c r="AG1256" i="2"/>
  <c r="G1256" i="1" s="1"/>
  <c r="AG1257" i="2"/>
  <c r="G1257" i="1" s="1"/>
  <c r="AG1258" i="2"/>
  <c r="G1258" i="1" s="1"/>
  <c r="AG1259" i="2"/>
  <c r="G1259" i="1" s="1"/>
  <c r="AG1260" i="2"/>
  <c r="G1260" i="1" s="1"/>
  <c r="AG1261" i="2"/>
  <c r="G1261" i="1" s="1"/>
  <c r="AG1262" i="2"/>
  <c r="G1262" i="1" s="1"/>
  <c r="AG1263" i="2"/>
  <c r="G1263" i="1" s="1"/>
  <c r="AG1264" i="2"/>
  <c r="G1264" i="1" s="1"/>
  <c r="AG1265" i="2"/>
  <c r="G1265" i="1" s="1"/>
  <c r="AG1266" i="2"/>
  <c r="G1266" i="1" s="1"/>
  <c r="AG1267" i="2"/>
  <c r="G1267" i="1" s="1"/>
  <c r="AG1268" i="2"/>
  <c r="G1268" i="1" s="1"/>
  <c r="AG1269" i="2"/>
  <c r="G1269" i="1" s="1"/>
  <c r="AG1270" i="2"/>
  <c r="G1270" i="1" s="1"/>
  <c r="AG1271" i="2"/>
  <c r="G1271" i="1" s="1"/>
  <c r="AG1272" i="2"/>
  <c r="G1272" i="1" s="1"/>
  <c r="AG1273" i="2"/>
  <c r="G1273" i="1" s="1"/>
  <c r="AG1274" i="2"/>
  <c r="G1274" i="1" s="1"/>
  <c r="AG1275" i="2"/>
  <c r="G1275" i="1" s="1"/>
  <c r="AG1276" i="2"/>
  <c r="G1276" i="1" s="1"/>
  <c r="AG1277" i="2"/>
  <c r="G1277" i="1" s="1"/>
  <c r="AG1278" i="2"/>
  <c r="G1278" i="1" s="1"/>
  <c r="AG1279" i="2"/>
  <c r="G1279" i="1" s="1"/>
  <c r="AG1280" i="2"/>
  <c r="G1280" i="1" s="1"/>
  <c r="AG1281" i="2"/>
  <c r="G1281" i="1" s="1"/>
  <c r="AG1282" i="2"/>
  <c r="G1282" i="1" s="1"/>
  <c r="AG1283" i="2"/>
  <c r="G1283" i="1" s="1"/>
  <c r="AG1284" i="2"/>
  <c r="G1284" i="1" s="1"/>
  <c r="AG1285" i="2"/>
  <c r="G1285" i="1" s="1"/>
  <c r="AG1286" i="2"/>
  <c r="G1286" i="1" s="1"/>
  <c r="AG1287" i="2"/>
  <c r="G1287" i="1" s="1"/>
  <c r="AG1288" i="2"/>
  <c r="G1288" i="1" s="1"/>
  <c r="AG1289" i="2"/>
  <c r="G1289" i="1" s="1"/>
  <c r="AG1290" i="2"/>
  <c r="G1290" i="1" s="1"/>
  <c r="AG1291" i="2"/>
  <c r="G1291" i="1" s="1"/>
  <c r="AG1292" i="2"/>
  <c r="G1292" i="1" s="1"/>
  <c r="AG1293" i="2"/>
  <c r="G1293" i="1" s="1"/>
  <c r="AG1294" i="2"/>
  <c r="G1294" i="1" s="1"/>
  <c r="AG1295" i="2"/>
  <c r="G1295" i="1" s="1"/>
  <c r="AG1296" i="2"/>
  <c r="G1296" i="1" s="1"/>
  <c r="AG1297" i="2"/>
  <c r="G1297" i="1" s="1"/>
  <c r="AG1298" i="2"/>
  <c r="G1298" i="1" s="1"/>
  <c r="AG1299" i="2"/>
  <c r="G1299" i="1" s="1"/>
  <c r="AG1300" i="2"/>
  <c r="G1300" i="1" s="1"/>
  <c r="AG1301" i="2"/>
  <c r="G1301" i="1" s="1"/>
  <c r="AG1302" i="2"/>
  <c r="G1302" i="1" s="1"/>
  <c r="AG1303" i="2"/>
  <c r="G1303" i="1" s="1"/>
  <c r="AG1304" i="2"/>
  <c r="G1304" i="1" s="1"/>
  <c r="AG1305" i="2"/>
  <c r="G1305" i="1" s="1"/>
  <c r="AG1306" i="2"/>
  <c r="G1306" i="1" s="1"/>
  <c r="AG1307" i="2"/>
  <c r="G1307" i="1" s="1"/>
  <c r="AG1308" i="2"/>
  <c r="G1308" i="1" s="1"/>
  <c r="AG1309" i="2"/>
  <c r="G1309" i="1" s="1"/>
  <c r="AG1310" i="2"/>
  <c r="G1310" i="1" s="1"/>
  <c r="AG1311" i="2"/>
  <c r="G1311" i="1" s="1"/>
  <c r="AG1312" i="2"/>
  <c r="G1312" i="1" s="1"/>
  <c r="AG1313" i="2"/>
  <c r="G1313" i="1" s="1"/>
  <c r="AG1314" i="2"/>
  <c r="G1314" i="1" s="1"/>
  <c r="AG1315" i="2"/>
  <c r="G1315" i="1" s="1"/>
  <c r="AG1316" i="2"/>
  <c r="G1316" i="1" s="1"/>
  <c r="AG1317" i="2"/>
  <c r="G1317" i="1" s="1"/>
  <c r="AG1318" i="2"/>
  <c r="G1318" i="1" s="1"/>
  <c r="AG1319" i="2"/>
  <c r="G1319" i="1" s="1"/>
  <c r="AG1320" i="2"/>
  <c r="G1320" i="1" s="1"/>
  <c r="AG1321" i="2"/>
  <c r="G1321" i="1" s="1"/>
  <c r="AG1322" i="2"/>
  <c r="G1322" i="1" s="1"/>
  <c r="AG1323" i="2"/>
  <c r="G1323" i="1" s="1"/>
  <c r="AG1324" i="2"/>
  <c r="G1324" i="1" s="1"/>
  <c r="AG1325" i="2"/>
  <c r="G1325" i="1" s="1"/>
  <c r="AG1326" i="2"/>
  <c r="G1326" i="1" s="1"/>
  <c r="AG1327" i="2"/>
  <c r="G1327" i="1" s="1"/>
  <c r="AG1328" i="2"/>
  <c r="G1328" i="1" s="1"/>
  <c r="AG1329" i="2"/>
  <c r="G1329" i="1" s="1"/>
  <c r="AG1330" i="2"/>
  <c r="G1330" i="1" s="1"/>
  <c r="AG1331" i="2"/>
  <c r="G1331" i="1" s="1"/>
  <c r="AG1332" i="2"/>
  <c r="G1332" i="1" s="1"/>
  <c r="AG1333" i="2"/>
  <c r="G1333" i="1" s="1"/>
  <c r="AG1334" i="2"/>
  <c r="G1334" i="1" s="1"/>
  <c r="AG1335" i="2"/>
  <c r="G1335" i="1" s="1"/>
  <c r="AG1336" i="2"/>
  <c r="G1336" i="1" s="1"/>
  <c r="AG1337" i="2"/>
  <c r="G1337" i="1" s="1"/>
  <c r="AG1338" i="2"/>
  <c r="G1338" i="1" s="1"/>
  <c r="AG1339" i="2"/>
  <c r="G1339" i="1" s="1"/>
  <c r="AG1340" i="2"/>
  <c r="G1340" i="1" s="1"/>
  <c r="AG1341" i="2"/>
  <c r="G1341" i="1" s="1"/>
  <c r="AG1342" i="2"/>
  <c r="G1342" i="1" s="1"/>
  <c r="AG1343" i="2"/>
  <c r="G1343" i="1" s="1"/>
  <c r="AG1344" i="2"/>
  <c r="G1344" i="1" s="1"/>
  <c r="AG1345" i="2"/>
  <c r="G1345" i="1" s="1"/>
  <c r="AG1346" i="2"/>
  <c r="G1346" i="1" s="1"/>
  <c r="AG1347" i="2"/>
  <c r="G1347" i="1" s="1"/>
  <c r="AG1348" i="2"/>
  <c r="G1348" i="1" s="1"/>
  <c r="AG1349" i="2"/>
  <c r="G1349" i="1" s="1"/>
  <c r="AG1350" i="2"/>
  <c r="G1350" i="1" s="1"/>
  <c r="AG1351" i="2"/>
  <c r="G1351" i="1" s="1"/>
  <c r="AG1352" i="2"/>
  <c r="G1352" i="1" s="1"/>
  <c r="AG1353" i="2"/>
  <c r="G1353" i="1" s="1"/>
  <c r="AG1354" i="2"/>
  <c r="G1354" i="1" s="1"/>
  <c r="AG1355" i="2"/>
  <c r="G1355" i="1" s="1"/>
  <c r="AG1356" i="2"/>
  <c r="G1356" i="1" s="1"/>
  <c r="AG1357" i="2"/>
  <c r="G1357" i="1" s="1"/>
  <c r="AG1358" i="2"/>
  <c r="G1358" i="1" s="1"/>
  <c r="AG1359" i="2"/>
  <c r="G1359" i="1" s="1"/>
  <c r="AG1360" i="2"/>
  <c r="G1360" i="1" s="1"/>
  <c r="AG1361" i="2"/>
  <c r="G1361" i="1" s="1"/>
  <c r="AG1362" i="2"/>
  <c r="G1362" i="1" s="1"/>
  <c r="AG1363" i="2"/>
  <c r="G1363" i="1" s="1"/>
  <c r="AG1364" i="2"/>
  <c r="G1364" i="1" s="1"/>
  <c r="AG1365" i="2"/>
  <c r="G1365" i="1" s="1"/>
  <c r="AG1366" i="2"/>
  <c r="G1366" i="1" s="1"/>
  <c r="AG1367" i="2"/>
  <c r="G1367" i="1" s="1"/>
  <c r="AG1368" i="2"/>
  <c r="G1368" i="1" s="1"/>
  <c r="AG1369" i="2"/>
  <c r="G1369" i="1" s="1"/>
  <c r="AG1370" i="2"/>
  <c r="G1370" i="1" s="1"/>
  <c r="AG1371" i="2"/>
  <c r="G1371" i="1" s="1"/>
  <c r="AG1372" i="2"/>
  <c r="G1372" i="1" s="1"/>
  <c r="AG1373" i="2"/>
  <c r="G1373" i="1" s="1"/>
  <c r="AG1374" i="2"/>
  <c r="G1374" i="1" s="1"/>
  <c r="AG1375" i="2"/>
  <c r="G1375" i="1" s="1"/>
  <c r="AG1376" i="2"/>
  <c r="G1376" i="1" s="1"/>
  <c r="AG1377" i="2"/>
  <c r="G1377" i="1" s="1"/>
  <c r="AG1378" i="2"/>
  <c r="G1378" i="1" s="1"/>
  <c r="AG1379" i="2"/>
  <c r="G1379" i="1" s="1"/>
  <c r="AG1380" i="2"/>
  <c r="G1380" i="1" s="1"/>
  <c r="AG1381" i="2"/>
  <c r="G1381" i="1" s="1"/>
  <c r="AG1382" i="2"/>
  <c r="G1382" i="1" s="1"/>
  <c r="AG1383" i="2"/>
  <c r="G1383" i="1" s="1"/>
  <c r="AG1384" i="2"/>
  <c r="G1384" i="1" s="1"/>
  <c r="AG1385" i="2"/>
  <c r="G1385" i="1" s="1"/>
  <c r="AG1386" i="2"/>
  <c r="G1386" i="1" s="1"/>
  <c r="AG1387" i="2"/>
  <c r="G1387" i="1" s="1"/>
  <c r="AG1388" i="2"/>
  <c r="G1388" i="1" s="1"/>
  <c r="AG1389" i="2"/>
  <c r="G1389" i="1" s="1"/>
  <c r="AG1390" i="2"/>
  <c r="G1390" i="1" s="1"/>
  <c r="AG1391" i="2"/>
  <c r="G1391" i="1" s="1"/>
  <c r="AG1392" i="2"/>
  <c r="G1392" i="1" s="1"/>
  <c r="AG1393" i="2"/>
  <c r="G1393" i="1" s="1"/>
  <c r="AG1394" i="2"/>
  <c r="G1394" i="1" s="1"/>
  <c r="AG1395" i="2"/>
  <c r="G1395" i="1" s="1"/>
  <c r="AG1396" i="2"/>
  <c r="G1396" i="1" s="1"/>
  <c r="AG1397" i="2"/>
  <c r="G1397" i="1" s="1"/>
  <c r="AG1398" i="2"/>
  <c r="G1398" i="1" s="1"/>
  <c r="AG1399" i="2"/>
  <c r="G1399" i="1" s="1"/>
  <c r="AG1400" i="2"/>
  <c r="G1400" i="1" s="1"/>
  <c r="AG1401" i="2"/>
  <c r="G1401" i="1" s="1"/>
  <c r="AG1402" i="2"/>
  <c r="G1402" i="1" s="1"/>
  <c r="AG1403" i="2"/>
  <c r="G1403" i="1" s="1"/>
  <c r="AG1404" i="2"/>
  <c r="G1404" i="1" s="1"/>
  <c r="AG1405" i="2"/>
  <c r="G1405" i="1" s="1"/>
  <c r="AG1406" i="2"/>
  <c r="G1406" i="1" s="1"/>
  <c r="AG2" i="2"/>
  <c r="G2" i="1" s="1"/>
  <c r="F2" i="1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" i="7"/>
  <c r="D2" i="1"/>
  <c r="N134" i="10" l="1"/>
  <c r="N23" i="10"/>
  <c r="N30" i="10"/>
  <c r="N108" i="10"/>
  <c r="N102" i="10"/>
  <c r="N39" i="10"/>
  <c r="N68" i="10"/>
  <c r="N4" i="10"/>
  <c r="N32" i="10"/>
  <c r="N140" i="10"/>
  <c r="N116" i="10"/>
  <c r="N37" i="10"/>
  <c r="N63" i="10"/>
  <c r="N14" i="10"/>
  <c r="N50" i="10"/>
  <c r="N28" i="10"/>
  <c r="N84" i="10"/>
  <c r="N90" i="10"/>
  <c r="N51" i="10"/>
  <c r="N80" i="10"/>
  <c r="N59" i="10"/>
  <c r="N103" i="10"/>
  <c r="N161" i="10"/>
  <c r="N125" i="10"/>
  <c r="N91" i="10"/>
  <c r="N52" i="10"/>
  <c r="N78" i="10"/>
  <c r="N79" i="10"/>
  <c r="N137" i="10"/>
  <c r="N101" i="10"/>
  <c r="N27" i="10"/>
  <c r="N65" i="10"/>
  <c r="N164" i="10"/>
  <c r="N124" i="10"/>
  <c r="N156" i="10"/>
  <c r="N130" i="10"/>
  <c r="N20" i="10"/>
  <c r="N18" i="10"/>
  <c r="N149" i="10"/>
  <c r="N7" i="10"/>
  <c r="N73" i="10"/>
  <c r="N33" i="10"/>
  <c r="N97" i="10"/>
  <c r="N58" i="10"/>
  <c r="N19" i="10"/>
  <c r="N151" i="10"/>
  <c r="N46" i="10"/>
  <c r="N6" i="10"/>
  <c r="N72" i="10"/>
  <c r="N31" i="10"/>
  <c r="N127" i="10"/>
  <c r="N160" i="10"/>
  <c r="N94" i="10"/>
  <c r="N115" i="10"/>
  <c r="N107" i="10"/>
  <c r="N48" i="10"/>
  <c r="N139" i="10"/>
  <c r="N121" i="10"/>
  <c r="N85" i="10"/>
  <c r="N111" i="10"/>
  <c r="N169" i="10"/>
  <c r="N133" i="10"/>
  <c r="N26" i="10"/>
  <c r="N69" i="10"/>
  <c r="N122" i="10"/>
  <c r="N87" i="10"/>
  <c r="N145" i="10"/>
  <c r="N109" i="10"/>
  <c r="N168" i="10"/>
  <c r="N45" i="10"/>
  <c r="N60" i="10"/>
  <c r="N157" i="10"/>
  <c r="N98" i="10"/>
  <c r="N47" i="10"/>
  <c r="N38" i="10"/>
  <c r="N150" i="10"/>
  <c r="N74" i="10"/>
  <c r="N54" i="10"/>
  <c r="N12" i="10"/>
  <c r="N42" i="10"/>
  <c r="N105" i="10"/>
  <c r="N67" i="10"/>
  <c r="N128" i="10"/>
  <c r="N5" i="10"/>
  <c r="N55" i="10"/>
  <c r="N15" i="10"/>
  <c r="N81" i="10"/>
  <c r="N40" i="10"/>
  <c r="N104" i="10"/>
  <c r="N132" i="10"/>
  <c r="N148" i="10"/>
  <c r="N57" i="10"/>
  <c r="N25" i="10"/>
  <c r="N146" i="10"/>
  <c r="N138" i="10"/>
  <c r="N147" i="10"/>
  <c r="N2" i="10"/>
  <c r="N152" i="10"/>
  <c r="N29" i="10"/>
  <c r="N141" i="10"/>
  <c r="N35" i="10"/>
  <c r="N77" i="10"/>
  <c r="N62" i="10"/>
  <c r="N41" i="10"/>
  <c r="N153" i="10"/>
  <c r="N117" i="10"/>
  <c r="N8" i="10"/>
  <c r="N53" i="10"/>
  <c r="N34" i="10"/>
  <c r="N142" i="10"/>
  <c r="N92" i="10"/>
  <c r="N129" i="10"/>
  <c r="N22" i="10"/>
  <c r="N82" i="10"/>
  <c r="N86" i="10"/>
  <c r="N83" i="10"/>
  <c r="N106" i="10"/>
  <c r="N88" i="10"/>
  <c r="N158" i="10"/>
  <c r="N76" i="10"/>
  <c r="N136" i="10"/>
  <c r="N13" i="10"/>
  <c r="N159" i="10"/>
  <c r="N11" i="10"/>
  <c r="N89" i="10"/>
  <c r="N49" i="10"/>
  <c r="N112" i="10"/>
  <c r="N100" i="10"/>
  <c r="N135" i="10"/>
  <c r="N75" i="10"/>
  <c r="N131" i="10"/>
  <c r="N163" i="10"/>
  <c r="N44" i="10"/>
  <c r="N95" i="10"/>
  <c r="N43" i="10"/>
  <c r="J8" i="1"/>
  <c r="J16" i="1"/>
  <c r="J24" i="1"/>
  <c r="J32" i="1"/>
  <c r="J40" i="1"/>
  <c r="J48" i="1"/>
  <c r="J56" i="1"/>
  <c r="J64" i="1"/>
  <c r="J72" i="1"/>
  <c r="J80" i="1"/>
  <c r="J88" i="1"/>
  <c r="J96" i="1"/>
  <c r="J104" i="1"/>
  <c r="J112" i="1"/>
  <c r="J120" i="1"/>
  <c r="J128" i="1"/>
  <c r="J136" i="1"/>
  <c r="J144" i="1"/>
  <c r="J152" i="1"/>
  <c r="J160" i="1"/>
  <c r="J168" i="1"/>
  <c r="J176" i="1"/>
  <c r="J184" i="1"/>
  <c r="J192" i="1"/>
  <c r="J200" i="1"/>
  <c r="J208" i="1"/>
  <c r="J216" i="1"/>
  <c r="J224" i="1"/>
  <c r="J232" i="1"/>
  <c r="J240" i="1"/>
  <c r="J248" i="1"/>
  <c r="J256" i="1"/>
  <c r="J264" i="1"/>
  <c r="J272" i="1"/>
  <c r="J280" i="1"/>
  <c r="J288" i="1"/>
  <c r="J296" i="1"/>
  <c r="J304" i="1"/>
  <c r="J312" i="1"/>
  <c r="J320" i="1"/>
  <c r="J328" i="1"/>
  <c r="J336" i="1"/>
  <c r="J344" i="1"/>
  <c r="J352" i="1"/>
  <c r="J360" i="1"/>
  <c r="J368" i="1"/>
  <c r="J376" i="1"/>
  <c r="J384" i="1"/>
  <c r="J392" i="1"/>
  <c r="J400" i="1"/>
  <c r="J408" i="1"/>
  <c r="J416" i="1"/>
  <c r="J424" i="1"/>
  <c r="J432" i="1"/>
  <c r="J440" i="1"/>
  <c r="J448" i="1"/>
  <c r="J456" i="1"/>
  <c r="J464" i="1"/>
  <c r="J472" i="1"/>
  <c r="J480" i="1"/>
  <c r="J488" i="1"/>
  <c r="J496" i="1"/>
  <c r="J504" i="1"/>
  <c r="J512" i="1"/>
  <c r="J520" i="1"/>
  <c r="J528" i="1"/>
  <c r="J536" i="1"/>
  <c r="J544" i="1"/>
  <c r="J552" i="1"/>
  <c r="J560" i="1"/>
  <c r="J568" i="1"/>
  <c r="J576" i="1"/>
  <c r="J584" i="1"/>
  <c r="J592" i="1"/>
  <c r="J600" i="1"/>
  <c r="J608" i="1"/>
  <c r="J616" i="1"/>
  <c r="J624" i="1"/>
  <c r="J632" i="1"/>
  <c r="J640" i="1"/>
  <c r="J648" i="1"/>
  <c r="J656" i="1"/>
  <c r="J664" i="1"/>
  <c r="J672" i="1"/>
  <c r="J680" i="1"/>
  <c r="J688" i="1"/>
  <c r="J696" i="1"/>
  <c r="J704" i="1"/>
  <c r="J712" i="1"/>
  <c r="J720" i="1"/>
  <c r="J728" i="1"/>
  <c r="J736" i="1"/>
  <c r="J744" i="1"/>
  <c r="J752" i="1"/>
  <c r="J760" i="1"/>
  <c r="J768" i="1"/>
  <c r="J776" i="1"/>
  <c r="J784" i="1"/>
  <c r="J792" i="1"/>
  <c r="J800" i="1"/>
  <c r="J808" i="1"/>
  <c r="J816" i="1"/>
  <c r="J824" i="1"/>
  <c r="J832" i="1"/>
  <c r="J840" i="1"/>
  <c r="N96" i="10"/>
  <c r="N99" i="10"/>
  <c r="N144" i="10"/>
  <c r="N24" i="10"/>
  <c r="N143" i="10"/>
  <c r="J5" i="1"/>
  <c r="J13" i="1"/>
  <c r="J21" i="1"/>
  <c r="J29" i="1"/>
  <c r="J37" i="1"/>
  <c r="J45" i="1"/>
  <c r="J53" i="1"/>
  <c r="J61" i="1"/>
  <c r="J69" i="1"/>
  <c r="J77" i="1"/>
  <c r="J85" i="1"/>
  <c r="J93" i="1"/>
  <c r="J101" i="1"/>
  <c r="J109" i="1"/>
  <c r="J117" i="1"/>
  <c r="J125" i="1"/>
  <c r="J133" i="1"/>
  <c r="J141" i="1"/>
  <c r="J149" i="1"/>
  <c r="J157" i="1"/>
  <c r="J165" i="1"/>
  <c r="J173" i="1"/>
  <c r="J181" i="1"/>
  <c r="J189" i="1"/>
  <c r="J197" i="1"/>
  <c r="J205" i="1"/>
  <c r="J213" i="1"/>
  <c r="J221" i="1"/>
  <c r="J229" i="1"/>
  <c r="J237" i="1"/>
  <c r="J245" i="1"/>
  <c r="J253" i="1"/>
  <c r="J261" i="1"/>
  <c r="J269" i="1"/>
  <c r="J277" i="1"/>
  <c r="J285" i="1"/>
  <c r="J293" i="1"/>
  <c r="J301" i="1"/>
  <c r="J309" i="1"/>
  <c r="J317" i="1"/>
  <c r="J325" i="1"/>
  <c r="J333" i="1"/>
  <c r="J341" i="1"/>
  <c r="J349" i="1"/>
  <c r="J357" i="1"/>
  <c r="J365" i="1"/>
  <c r="J373" i="1"/>
  <c r="J381" i="1"/>
  <c r="J389" i="1"/>
  <c r="J397" i="1"/>
  <c r="J405" i="1"/>
  <c r="J413" i="1"/>
  <c r="J421" i="1"/>
  <c r="J429" i="1"/>
  <c r="J437" i="1"/>
  <c r="J445" i="1"/>
  <c r="J453" i="1"/>
  <c r="J461" i="1"/>
  <c r="J469" i="1"/>
  <c r="J477" i="1"/>
  <c r="J485" i="1"/>
  <c r="J493" i="1"/>
  <c r="J501" i="1"/>
  <c r="J509" i="1"/>
  <c r="J517" i="1"/>
  <c r="J525" i="1"/>
  <c r="J533" i="1"/>
  <c r="J541" i="1"/>
  <c r="J549" i="1"/>
  <c r="J557" i="1"/>
  <c r="J565" i="1"/>
  <c r="J573" i="1"/>
  <c r="J581" i="1"/>
  <c r="J589" i="1"/>
  <c r="J597" i="1"/>
  <c r="J605" i="1"/>
  <c r="J613" i="1"/>
  <c r="J621" i="1"/>
  <c r="J629" i="1"/>
  <c r="J637" i="1"/>
  <c r="J645" i="1"/>
  <c r="J653" i="1"/>
  <c r="J661" i="1"/>
  <c r="J669" i="1"/>
  <c r="J677" i="1"/>
  <c r="J685" i="1"/>
  <c r="J693" i="1"/>
  <c r="J701" i="1"/>
  <c r="J709" i="1"/>
  <c r="J717" i="1"/>
  <c r="J725" i="1"/>
  <c r="J733" i="1"/>
  <c r="J741" i="1"/>
  <c r="J749" i="1"/>
  <c r="J757" i="1"/>
  <c r="J765" i="1"/>
  <c r="J773" i="1"/>
  <c r="J781" i="1"/>
  <c r="J789" i="1"/>
  <c r="J797" i="1"/>
  <c r="J805" i="1"/>
  <c r="J813" i="1"/>
  <c r="N93" i="10"/>
  <c r="N10" i="10"/>
  <c r="N3" i="10"/>
  <c r="N118" i="10"/>
  <c r="N110" i="10"/>
  <c r="J10" i="1"/>
  <c r="J18" i="1"/>
  <c r="J26" i="1"/>
  <c r="J34" i="1"/>
  <c r="J42" i="1"/>
  <c r="J50" i="1"/>
  <c r="J58" i="1"/>
  <c r="J66" i="1"/>
  <c r="J74" i="1"/>
  <c r="J82" i="1"/>
  <c r="J90" i="1"/>
  <c r="J98" i="1"/>
  <c r="J106" i="1"/>
  <c r="J114" i="1"/>
  <c r="J122" i="1"/>
  <c r="J130" i="1"/>
  <c r="J138" i="1"/>
  <c r="J146" i="1"/>
  <c r="J154" i="1"/>
  <c r="J162" i="1"/>
  <c r="J170" i="1"/>
  <c r="J178" i="1"/>
  <c r="J186" i="1"/>
  <c r="J194" i="1"/>
  <c r="J202" i="1"/>
  <c r="J210" i="1"/>
  <c r="J218" i="1"/>
  <c r="J226" i="1"/>
  <c r="J234" i="1"/>
  <c r="J242" i="1"/>
  <c r="J250" i="1"/>
  <c r="J258" i="1"/>
  <c r="J266" i="1"/>
  <c r="J274" i="1"/>
  <c r="J282" i="1"/>
  <c r="J290" i="1"/>
  <c r="J298" i="1"/>
  <c r="J306" i="1"/>
  <c r="J314" i="1"/>
  <c r="J322" i="1"/>
  <c r="J330" i="1"/>
  <c r="J338" i="1"/>
  <c r="J346" i="1"/>
  <c r="J354" i="1"/>
  <c r="J362" i="1"/>
  <c r="J370" i="1"/>
  <c r="J378" i="1"/>
  <c r="J386" i="1"/>
  <c r="J394" i="1"/>
  <c r="J402" i="1"/>
  <c r="J410" i="1"/>
  <c r="J418" i="1"/>
  <c r="J426" i="1"/>
  <c r="J434" i="1"/>
  <c r="J442" i="1"/>
  <c r="J450" i="1"/>
  <c r="J458" i="1"/>
  <c r="J466" i="1"/>
  <c r="J474" i="1"/>
  <c r="J482" i="1"/>
  <c r="J490" i="1"/>
  <c r="J498" i="1"/>
  <c r="J506" i="1"/>
  <c r="J514" i="1"/>
  <c r="J522" i="1"/>
  <c r="J530" i="1"/>
  <c r="J538" i="1"/>
  <c r="J546" i="1"/>
  <c r="J554" i="1"/>
  <c r="J562" i="1"/>
  <c r="J570" i="1"/>
  <c r="J578" i="1"/>
  <c r="J586" i="1"/>
  <c r="J594" i="1"/>
  <c r="J602" i="1"/>
  <c r="J610" i="1"/>
  <c r="J618" i="1"/>
  <c r="J626" i="1"/>
  <c r="J634" i="1"/>
  <c r="J642" i="1"/>
  <c r="J650" i="1"/>
  <c r="J658" i="1"/>
  <c r="J666" i="1"/>
  <c r="J674" i="1"/>
  <c r="J682" i="1"/>
  <c r="J690" i="1"/>
  <c r="J698" i="1"/>
  <c r="J706" i="1"/>
  <c r="J714" i="1"/>
  <c r="J722" i="1"/>
  <c r="J730" i="1"/>
  <c r="J738" i="1"/>
  <c r="J746" i="1"/>
  <c r="J754" i="1"/>
  <c r="J762" i="1"/>
  <c r="J770" i="1"/>
  <c r="J778" i="1"/>
  <c r="N162" i="10"/>
  <c r="N114" i="10"/>
  <c r="N21" i="10"/>
  <c r="N155" i="10"/>
  <c r="N126" i="10"/>
  <c r="J7" i="1"/>
  <c r="J15" i="1"/>
  <c r="J23" i="1"/>
  <c r="J31" i="1"/>
  <c r="J39" i="1"/>
  <c r="J47" i="1"/>
  <c r="J55" i="1"/>
  <c r="J63" i="1"/>
  <c r="J71" i="1"/>
  <c r="J79" i="1"/>
  <c r="J87" i="1"/>
  <c r="J95" i="1"/>
  <c r="J103" i="1"/>
  <c r="J111" i="1"/>
  <c r="J119" i="1"/>
  <c r="J127" i="1"/>
  <c r="J135" i="1"/>
  <c r="J143" i="1"/>
  <c r="J151" i="1"/>
  <c r="J159" i="1"/>
  <c r="J167" i="1"/>
  <c r="J175" i="1"/>
  <c r="J183" i="1"/>
  <c r="J191" i="1"/>
  <c r="J199" i="1"/>
  <c r="J207" i="1"/>
  <c r="J215" i="1"/>
  <c r="J223" i="1"/>
  <c r="J231" i="1"/>
  <c r="J239" i="1"/>
  <c r="J247" i="1"/>
  <c r="J255" i="1"/>
  <c r="J263" i="1"/>
  <c r="J271" i="1"/>
  <c r="J279" i="1"/>
  <c r="J287" i="1"/>
  <c r="J295" i="1"/>
  <c r="J303" i="1"/>
  <c r="J311" i="1"/>
  <c r="J319" i="1"/>
  <c r="J327" i="1"/>
  <c r="J335" i="1"/>
  <c r="J343" i="1"/>
  <c r="J351" i="1"/>
  <c r="J359" i="1"/>
  <c r="J367" i="1"/>
  <c r="J375" i="1"/>
  <c r="J383" i="1"/>
  <c r="J391" i="1"/>
  <c r="J399" i="1"/>
  <c r="J407" i="1"/>
  <c r="J415" i="1"/>
  <c r="J423" i="1"/>
  <c r="J431" i="1"/>
  <c r="J439" i="1"/>
  <c r="J447" i="1"/>
  <c r="J455" i="1"/>
  <c r="J463" i="1"/>
  <c r="J471" i="1"/>
  <c r="J479" i="1"/>
  <c r="J487" i="1"/>
  <c r="J495" i="1"/>
  <c r="J503" i="1"/>
  <c r="J511" i="1"/>
  <c r="J519" i="1"/>
  <c r="J527" i="1"/>
  <c r="J535" i="1"/>
  <c r="J543" i="1"/>
  <c r="J551" i="1"/>
  <c r="J559" i="1"/>
  <c r="J567" i="1"/>
  <c r="J575" i="1"/>
  <c r="J583" i="1"/>
  <c r="J591" i="1"/>
  <c r="J599" i="1"/>
  <c r="J607" i="1"/>
  <c r="J615" i="1"/>
  <c r="J623" i="1"/>
  <c r="J631" i="1"/>
  <c r="J639" i="1"/>
  <c r="J647" i="1"/>
  <c r="J655" i="1"/>
  <c r="J663" i="1"/>
  <c r="J671" i="1"/>
  <c r="J679" i="1"/>
  <c r="J687" i="1"/>
  <c r="J695" i="1"/>
  <c r="J703" i="1"/>
  <c r="J711" i="1"/>
  <c r="J719" i="1"/>
  <c r="J727" i="1"/>
  <c r="J735" i="1"/>
  <c r="J743" i="1"/>
  <c r="J751" i="1"/>
  <c r="J759" i="1"/>
  <c r="J767" i="1"/>
  <c r="J775" i="1"/>
  <c r="J783" i="1"/>
  <c r="J791" i="1"/>
  <c r="N123" i="10"/>
  <c r="N36" i="10"/>
  <c r="N71" i="10"/>
  <c r="N17" i="10"/>
  <c r="N70" i="10"/>
  <c r="J4" i="1"/>
  <c r="J12" i="1"/>
  <c r="J20" i="1"/>
  <c r="J28" i="1"/>
  <c r="J36" i="1"/>
  <c r="J44" i="1"/>
  <c r="J52" i="1"/>
  <c r="J60" i="1"/>
  <c r="J68" i="1"/>
  <c r="J76" i="1"/>
  <c r="J84" i="1"/>
  <c r="J92" i="1"/>
  <c r="J100" i="1"/>
  <c r="J108" i="1"/>
  <c r="J116" i="1"/>
  <c r="J124" i="1"/>
  <c r="J132" i="1"/>
  <c r="J140" i="1"/>
  <c r="J148" i="1"/>
  <c r="J156" i="1"/>
  <c r="J164" i="1"/>
  <c r="J172" i="1"/>
  <c r="J180" i="1"/>
  <c r="J188" i="1"/>
  <c r="J196" i="1"/>
  <c r="J204" i="1"/>
  <c r="J212" i="1"/>
  <c r="J220" i="1"/>
  <c r="J228" i="1"/>
  <c r="J236" i="1"/>
  <c r="J244" i="1"/>
  <c r="J252" i="1"/>
  <c r="J260" i="1"/>
  <c r="J268" i="1"/>
  <c r="J276" i="1"/>
  <c r="J284" i="1"/>
  <c r="J292" i="1"/>
  <c r="J300" i="1"/>
  <c r="J308" i="1"/>
  <c r="J316" i="1"/>
  <c r="J324" i="1"/>
  <c r="J332" i="1"/>
  <c r="J340" i="1"/>
  <c r="J348" i="1"/>
  <c r="J356" i="1"/>
  <c r="J364" i="1"/>
  <c r="J372" i="1"/>
  <c r="J380" i="1"/>
  <c r="J388" i="1"/>
  <c r="J396" i="1"/>
  <c r="J404" i="1"/>
  <c r="J412" i="1"/>
  <c r="J420" i="1"/>
  <c r="J428" i="1"/>
  <c r="J436" i="1"/>
  <c r="J444" i="1"/>
  <c r="J452" i="1"/>
  <c r="J460" i="1"/>
  <c r="J468" i="1"/>
  <c r="J476" i="1"/>
  <c r="J484" i="1"/>
  <c r="J492" i="1"/>
  <c r="J500" i="1"/>
  <c r="J508" i="1"/>
  <c r="J516" i="1"/>
  <c r="J524" i="1"/>
  <c r="J532" i="1"/>
  <c r="J540" i="1"/>
  <c r="J548" i="1"/>
  <c r="J556" i="1"/>
  <c r="J564" i="1"/>
  <c r="J572" i="1"/>
  <c r="J580" i="1"/>
  <c r="J588" i="1"/>
  <c r="J596" i="1"/>
  <c r="J604" i="1"/>
  <c r="J612" i="1"/>
  <c r="J620" i="1"/>
  <c r="J628" i="1"/>
  <c r="J636" i="1"/>
  <c r="J644" i="1"/>
  <c r="J652" i="1"/>
  <c r="J660" i="1"/>
  <c r="J668" i="1"/>
  <c r="J676" i="1"/>
  <c r="J684" i="1"/>
  <c r="J692" i="1"/>
  <c r="J700" i="1"/>
  <c r="J708" i="1"/>
  <c r="J716" i="1"/>
  <c r="J724" i="1"/>
  <c r="J732" i="1"/>
  <c r="J740" i="1"/>
  <c r="J748" i="1"/>
  <c r="J756" i="1"/>
  <c r="J764" i="1"/>
  <c r="J772" i="1"/>
  <c r="J780" i="1"/>
  <c r="J788" i="1"/>
  <c r="J796" i="1"/>
  <c r="N56" i="10"/>
  <c r="N154" i="10"/>
  <c r="N167" i="10"/>
  <c r="N120" i="10"/>
  <c r="N165" i="10"/>
  <c r="J9" i="1"/>
  <c r="J17" i="1"/>
  <c r="J25" i="1"/>
  <c r="J33" i="1"/>
  <c r="J41" i="1"/>
  <c r="J49" i="1"/>
  <c r="J57" i="1"/>
  <c r="J65" i="1"/>
  <c r="J73" i="1"/>
  <c r="J81" i="1"/>
  <c r="J89" i="1"/>
  <c r="J97" i="1"/>
  <c r="J105" i="1"/>
  <c r="J113" i="1"/>
  <c r="J121" i="1"/>
  <c r="J129" i="1"/>
  <c r="J137" i="1"/>
  <c r="J145" i="1"/>
  <c r="J153" i="1"/>
  <c r="J161" i="1"/>
  <c r="J169" i="1"/>
  <c r="J177" i="1"/>
  <c r="J185" i="1"/>
  <c r="J193" i="1"/>
  <c r="J201" i="1"/>
  <c r="J209" i="1"/>
  <c r="J217" i="1"/>
  <c r="J225" i="1"/>
  <c r="J233" i="1"/>
  <c r="J241" i="1"/>
  <c r="J249" i="1"/>
  <c r="J257" i="1"/>
  <c r="J265" i="1"/>
  <c r="J273" i="1"/>
  <c r="J281" i="1"/>
  <c r="J289" i="1"/>
  <c r="J297" i="1"/>
  <c r="J305" i="1"/>
  <c r="J313" i="1"/>
  <c r="J321" i="1"/>
  <c r="J329" i="1"/>
  <c r="J337" i="1"/>
  <c r="J345" i="1"/>
  <c r="J353" i="1"/>
  <c r="J361" i="1"/>
  <c r="J369" i="1"/>
  <c r="J377" i="1"/>
  <c r="J385" i="1"/>
  <c r="J393" i="1"/>
  <c r="J401" i="1"/>
  <c r="J409" i="1"/>
  <c r="J417" i="1"/>
  <c r="J425" i="1"/>
  <c r="J433" i="1"/>
  <c r="J441" i="1"/>
  <c r="J449" i="1"/>
  <c r="J457" i="1"/>
  <c r="J465" i="1"/>
  <c r="J473" i="1"/>
  <c r="J481" i="1"/>
  <c r="J489" i="1"/>
  <c r="J497" i="1"/>
  <c r="J505" i="1"/>
  <c r="J513" i="1"/>
  <c r="J521" i="1"/>
  <c r="J529" i="1"/>
  <c r="J537" i="1"/>
  <c r="J545" i="1"/>
  <c r="J553" i="1"/>
  <c r="J561" i="1"/>
  <c r="J569" i="1"/>
  <c r="J577" i="1"/>
  <c r="J585" i="1"/>
  <c r="J593" i="1"/>
  <c r="J601" i="1"/>
  <c r="J609" i="1"/>
  <c r="J617" i="1"/>
  <c r="J625" i="1"/>
  <c r="J633" i="1"/>
  <c r="J641" i="1"/>
  <c r="J649" i="1"/>
  <c r="J657" i="1"/>
  <c r="J665" i="1"/>
  <c r="J673" i="1"/>
  <c r="J681" i="1"/>
  <c r="J689" i="1"/>
  <c r="J697" i="1"/>
  <c r="J705" i="1"/>
  <c r="J713" i="1"/>
  <c r="J721" i="1"/>
  <c r="J729" i="1"/>
  <c r="J737" i="1"/>
  <c r="J745" i="1"/>
  <c r="J753" i="1"/>
  <c r="J761" i="1"/>
  <c r="J769" i="1"/>
  <c r="J777" i="1"/>
  <c r="N9" i="10"/>
  <c r="N16" i="10"/>
  <c r="N166" i="10"/>
  <c r="N61" i="10"/>
  <c r="J6" i="1"/>
  <c r="J14" i="1"/>
  <c r="J22" i="1"/>
  <c r="J30" i="1"/>
  <c r="J38" i="1"/>
  <c r="J46" i="1"/>
  <c r="J54" i="1"/>
  <c r="J62" i="1"/>
  <c r="J70" i="1"/>
  <c r="J78" i="1"/>
  <c r="J86" i="1"/>
  <c r="J94" i="1"/>
  <c r="J102" i="1"/>
  <c r="J110" i="1"/>
  <c r="J118" i="1"/>
  <c r="J126" i="1"/>
  <c r="J134" i="1"/>
  <c r="J142" i="1"/>
  <c r="N113" i="10"/>
  <c r="J27" i="1"/>
  <c r="J91" i="1"/>
  <c r="J166" i="1"/>
  <c r="J198" i="1"/>
  <c r="J230" i="1"/>
  <c r="J262" i="1"/>
  <c r="J294" i="1"/>
  <c r="J326" i="1"/>
  <c r="J358" i="1"/>
  <c r="J390" i="1"/>
  <c r="J422" i="1"/>
  <c r="J454" i="1"/>
  <c r="J486" i="1"/>
  <c r="J518" i="1"/>
  <c r="J550" i="1"/>
  <c r="J582" i="1"/>
  <c r="J614" i="1"/>
  <c r="J646" i="1"/>
  <c r="J678" i="1"/>
  <c r="J710" i="1"/>
  <c r="J742" i="1"/>
  <c r="J774" i="1"/>
  <c r="J794" i="1"/>
  <c r="J801" i="1"/>
  <c r="J806" i="1"/>
  <c r="J811" i="1"/>
  <c r="J821" i="1"/>
  <c r="J826" i="1"/>
  <c r="J839" i="1"/>
  <c r="J844" i="1"/>
  <c r="J852" i="1"/>
  <c r="J860" i="1"/>
  <c r="J868" i="1"/>
  <c r="J876" i="1"/>
  <c r="J884" i="1"/>
  <c r="J892" i="1"/>
  <c r="J900" i="1"/>
  <c r="J908" i="1"/>
  <c r="J916" i="1"/>
  <c r="J924" i="1"/>
  <c r="J932" i="1"/>
  <c r="J940" i="1"/>
  <c r="J948" i="1"/>
  <c r="J956" i="1"/>
  <c r="J964" i="1"/>
  <c r="J972" i="1"/>
  <c r="J980" i="1"/>
  <c r="J988" i="1"/>
  <c r="J996" i="1"/>
  <c r="J1004" i="1"/>
  <c r="J1012" i="1"/>
  <c r="J1020" i="1"/>
  <c r="J1028" i="1"/>
  <c r="J1036" i="1"/>
  <c r="J1044" i="1"/>
  <c r="J1052" i="1"/>
  <c r="J1060" i="1"/>
  <c r="E1060" i="1" s="1"/>
  <c r="J1068" i="1"/>
  <c r="J1076" i="1"/>
  <c r="J1084" i="1"/>
  <c r="J1092" i="1"/>
  <c r="J1100" i="1"/>
  <c r="J1108" i="1"/>
  <c r="J1116" i="1"/>
  <c r="J1124" i="1"/>
  <c r="J1132" i="1"/>
  <c r="J1140" i="1"/>
  <c r="J1148" i="1"/>
  <c r="J1156" i="1"/>
  <c r="J1164" i="1"/>
  <c r="J1172" i="1"/>
  <c r="J1180" i="1"/>
  <c r="J1188" i="1"/>
  <c r="J1196" i="1"/>
  <c r="J1204" i="1"/>
  <c r="J1212" i="1"/>
  <c r="J1220" i="1"/>
  <c r="J1228" i="1"/>
  <c r="J1236" i="1"/>
  <c r="J1244" i="1"/>
  <c r="J1252" i="1"/>
  <c r="J1260" i="1"/>
  <c r="J1268" i="1"/>
  <c r="J1276" i="1"/>
  <c r="J1284" i="1"/>
  <c r="J1292" i="1"/>
  <c r="J1300" i="1"/>
  <c r="J1308" i="1"/>
  <c r="J1316" i="1"/>
  <c r="J1324" i="1"/>
  <c r="J1332" i="1"/>
  <c r="J1340" i="1"/>
  <c r="J1348" i="1"/>
  <c r="J1356" i="1"/>
  <c r="J1364" i="1"/>
  <c r="J1372" i="1"/>
  <c r="J1380" i="1"/>
  <c r="J1388" i="1"/>
  <c r="J1396" i="1"/>
  <c r="J1404" i="1"/>
  <c r="J307" i="1"/>
  <c r="J531" i="1"/>
  <c r="J785" i="1"/>
  <c r="J847" i="1"/>
  <c r="J895" i="1"/>
  <c r="J935" i="1"/>
  <c r="J975" i="1"/>
  <c r="J999" i="1"/>
  <c r="J1039" i="1"/>
  <c r="J1087" i="1"/>
  <c r="J1111" i="1"/>
  <c r="J1159" i="1"/>
  <c r="J1191" i="1"/>
  <c r="J1231" i="1"/>
  <c r="J1303" i="1"/>
  <c r="J1327" i="1"/>
  <c r="J1351" i="1"/>
  <c r="J1399" i="1"/>
  <c r="N119" i="10"/>
  <c r="J35" i="1"/>
  <c r="J99" i="1"/>
  <c r="J155" i="1"/>
  <c r="J187" i="1"/>
  <c r="J219" i="1"/>
  <c r="J251" i="1"/>
  <c r="J283" i="1"/>
  <c r="J315" i="1"/>
  <c r="J347" i="1"/>
  <c r="J379" i="1"/>
  <c r="J411" i="1"/>
  <c r="J443" i="1"/>
  <c r="J475" i="1"/>
  <c r="J507" i="1"/>
  <c r="J539" i="1"/>
  <c r="J571" i="1"/>
  <c r="J603" i="1"/>
  <c r="J635" i="1"/>
  <c r="J667" i="1"/>
  <c r="J699" i="1"/>
  <c r="J731" i="1"/>
  <c r="J763" i="1"/>
  <c r="J787" i="1"/>
  <c r="J818" i="1"/>
  <c r="J831" i="1"/>
  <c r="J836" i="1"/>
  <c r="J841" i="1"/>
  <c r="J849" i="1"/>
  <c r="J857" i="1"/>
  <c r="J865" i="1"/>
  <c r="J873" i="1"/>
  <c r="J881" i="1"/>
  <c r="J889" i="1"/>
  <c r="J897" i="1"/>
  <c r="J905" i="1"/>
  <c r="J913" i="1"/>
  <c r="J921" i="1"/>
  <c r="J929" i="1"/>
  <c r="J937" i="1"/>
  <c r="J945" i="1"/>
  <c r="J953" i="1"/>
  <c r="J961" i="1"/>
  <c r="J969" i="1"/>
  <c r="J977" i="1"/>
  <c r="J985" i="1"/>
  <c r="J993" i="1"/>
  <c r="J1001" i="1"/>
  <c r="J1009" i="1"/>
  <c r="J1017" i="1"/>
  <c r="J1025" i="1"/>
  <c r="J1033" i="1"/>
  <c r="J1041" i="1"/>
  <c r="J1049" i="1"/>
  <c r="J1057" i="1"/>
  <c r="J1065" i="1"/>
  <c r="J1073" i="1"/>
  <c r="J1081" i="1"/>
  <c r="J1089" i="1"/>
  <c r="J1097" i="1"/>
  <c r="J1105" i="1"/>
  <c r="J1113" i="1"/>
  <c r="J1121" i="1"/>
  <c r="J1129" i="1"/>
  <c r="J1137" i="1"/>
  <c r="J1145" i="1"/>
  <c r="J1153" i="1"/>
  <c r="J1161" i="1"/>
  <c r="J1169" i="1"/>
  <c r="J1177" i="1"/>
  <c r="J1185" i="1"/>
  <c r="J1193" i="1"/>
  <c r="J1201" i="1"/>
  <c r="J1209" i="1"/>
  <c r="J1217" i="1"/>
  <c r="J1225" i="1"/>
  <c r="J1233" i="1"/>
  <c r="J1241" i="1"/>
  <c r="J1249" i="1"/>
  <c r="J1257" i="1"/>
  <c r="J1265" i="1"/>
  <c r="J1273" i="1"/>
  <c r="J1281" i="1"/>
  <c r="J1289" i="1"/>
  <c r="J1297" i="1"/>
  <c r="J1305" i="1"/>
  <c r="J1313" i="1"/>
  <c r="J1321" i="1"/>
  <c r="J1329" i="1"/>
  <c r="J1337" i="1"/>
  <c r="J1345" i="1"/>
  <c r="J1353" i="1"/>
  <c r="J1361" i="1"/>
  <c r="J1369" i="1"/>
  <c r="J1377" i="1"/>
  <c r="J1385" i="1"/>
  <c r="J1393" i="1"/>
  <c r="J1401" i="1"/>
  <c r="J179" i="1"/>
  <c r="J691" i="1"/>
  <c r="J903" i="1"/>
  <c r="J951" i="1"/>
  <c r="J1007" i="1"/>
  <c r="J1055" i="1"/>
  <c r="J1095" i="1"/>
  <c r="J1135" i="1"/>
  <c r="J1175" i="1"/>
  <c r="J1199" i="1"/>
  <c r="J1263" i="1"/>
  <c r="J1383" i="1"/>
  <c r="N64" i="10"/>
  <c r="J43" i="1"/>
  <c r="J107" i="1"/>
  <c r="J174" i="1"/>
  <c r="J206" i="1"/>
  <c r="J238" i="1"/>
  <c r="J270" i="1"/>
  <c r="J302" i="1"/>
  <c r="J334" i="1"/>
  <c r="J366" i="1"/>
  <c r="J398" i="1"/>
  <c r="J430" i="1"/>
  <c r="J462" i="1"/>
  <c r="J494" i="1"/>
  <c r="J526" i="1"/>
  <c r="J558" i="1"/>
  <c r="J590" i="1"/>
  <c r="J622" i="1"/>
  <c r="J654" i="1"/>
  <c r="J686" i="1"/>
  <c r="J718" i="1"/>
  <c r="J750" i="1"/>
  <c r="J782" i="1"/>
  <c r="J798" i="1"/>
  <c r="J803" i="1"/>
  <c r="J823" i="1"/>
  <c r="J828" i="1"/>
  <c r="J833" i="1"/>
  <c r="J846" i="1"/>
  <c r="J854" i="1"/>
  <c r="J862" i="1"/>
  <c r="J870" i="1"/>
  <c r="J878" i="1"/>
  <c r="J886" i="1"/>
  <c r="J894" i="1"/>
  <c r="J902" i="1"/>
  <c r="J910" i="1"/>
  <c r="J918" i="1"/>
  <c r="J926" i="1"/>
  <c r="J934" i="1"/>
  <c r="J942" i="1"/>
  <c r="J950" i="1"/>
  <c r="J958" i="1"/>
  <c r="J966" i="1"/>
  <c r="J974" i="1"/>
  <c r="J982" i="1"/>
  <c r="J990" i="1"/>
  <c r="J998" i="1"/>
  <c r="J1006" i="1"/>
  <c r="J1014" i="1"/>
  <c r="J1022" i="1"/>
  <c r="J1030" i="1"/>
  <c r="J1038" i="1"/>
  <c r="J1046" i="1"/>
  <c r="J1054" i="1"/>
  <c r="J1062" i="1"/>
  <c r="J1070" i="1"/>
  <c r="J1078" i="1"/>
  <c r="J1086" i="1"/>
  <c r="J1094" i="1"/>
  <c r="J1102" i="1"/>
  <c r="J1110" i="1"/>
  <c r="J1118" i="1"/>
  <c r="J1126" i="1"/>
  <c r="J1134" i="1"/>
  <c r="J1142" i="1"/>
  <c r="J1150" i="1"/>
  <c r="J1158" i="1"/>
  <c r="J1166" i="1"/>
  <c r="J1174" i="1"/>
  <c r="J1182" i="1"/>
  <c r="J1190" i="1"/>
  <c r="J1198" i="1"/>
  <c r="J1206" i="1"/>
  <c r="J1214" i="1"/>
  <c r="J1222" i="1"/>
  <c r="J1230" i="1"/>
  <c r="J1238" i="1"/>
  <c r="J1246" i="1"/>
  <c r="J1254" i="1"/>
  <c r="J1262" i="1"/>
  <c r="J1270" i="1"/>
  <c r="J1278" i="1"/>
  <c r="J1286" i="1"/>
  <c r="J1294" i="1"/>
  <c r="J1302" i="1"/>
  <c r="J1310" i="1"/>
  <c r="J1318" i="1"/>
  <c r="J1326" i="1"/>
  <c r="J1334" i="1"/>
  <c r="J1342" i="1"/>
  <c r="J1350" i="1"/>
  <c r="J1358" i="1"/>
  <c r="J1366" i="1"/>
  <c r="J1374" i="1"/>
  <c r="J1382" i="1"/>
  <c r="J1390" i="1"/>
  <c r="J1398" i="1"/>
  <c r="J1406" i="1"/>
  <c r="J371" i="1"/>
  <c r="J563" i="1"/>
  <c r="J723" i="1"/>
  <c r="J871" i="1"/>
  <c r="J919" i="1"/>
  <c r="J943" i="1"/>
  <c r="J991" i="1"/>
  <c r="J1031" i="1"/>
  <c r="J1183" i="1"/>
  <c r="J1223" i="1"/>
  <c r="J1287" i="1"/>
  <c r="J1343" i="1"/>
  <c r="J1367" i="1"/>
  <c r="N66" i="10"/>
  <c r="J51" i="1"/>
  <c r="J115" i="1"/>
  <c r="J163" i="1"/>
  <c r="J195" i="1"/>
  <c r="J227" i="1"/>
  <c r="J259" i="1"/>
  <c r="J291" i="1"/>
  <c r="J323" i="1"/>
  <c r="J355" i="1"/>
  <c r="J387" i="1"/>
  <c r="J419" i="1"/>
  <c r="J451" i="1"/>
  <c r="J483" i="1"/>
  <c r="J515" i="1"/>
  <c r="J547" i="1"/>
  <c r="J579" i="1"/>
  <c r="J611" i="1"/>
  <c r="J643" i="1"/>
  <c r="J675" i="1"/>
  <c r="J707" i="1"/>
  <c r="J739" i="1"/>
  <c r="J771" i="1"/>
  <c r="J793" i="1"/>
  <c r="J810" i="1"/>
  <c r="J815" i="1"/>
  <c r="J820" i="1"/>
  <c r="J825" i="1"/>
  <c r="J838" i="1"/>
  <c r="J843" i="1"/>
  <c r="J851" i="1"/>
  <c r="J859" i="1"/>
  <c r="J867" i="1"/>
  <c r="J875" i="1"/>
  <c r="J883" i="1"/>
  <c r="J891" i="1"/>
  <c r="J899" i="1"/>
  <c r="J907" i="1"/>
  <c r="J915" i="1"/>
  <c r="J923" i="1"/>
  <c r="J931" i="1"/>
  <c r="J939" i="1"/>
  <c r="J947" i="1"/>
  <c r="J955" i="1"/>
  <c r="J963" i="1"/>
  <c r="J971" i="1"/>
  <c r="J979" i="1"/>
  <c r="J987" i="1"/>
  <c r="J995" i="1"/>
  <c r="J1003" i="1"/>
  <c r="J1011" i="1"/>
  <c r="J1019" i="1"/>
  <c r="J1027" i="1"/>
  <c r="J1035" i="1"/>
  <c r="J1043" i="1"/>
  <c r="J1051" i="1"/>
  <c r="J1059" i="1"/>
  <c r="J1067" i="1"/>
  <c r="J1075" i="1"/>
  <c r="J1083" i="1"/>
  <c r="J1091" i="1"/>
  <c r="J1099" i="1"/>
  <c r="J1107" i="1"/>
  <c r="J1115" i="1"/>
  <c r="J1123" i="1"/>
  <c r="J1131" i="1"/>
  <c r="J1139" i="1"/>
  <c r="J1147" i="1"/>
  <c r="J1155" i="1"/>
  <c r="J1163" i="1"/>
  <c r="J1171" i="1"/>
  <c r="J1179" i="1"/>
  <c r="J1187" i="1"/>
  <c r="J1195" i="1"/>
  <c r="J1203" i="1"/>
  <c r="J1211" i="1"/>
  <c r="J1219" i="1"/>
  <c r="J1227" i="1"/>
  <c r="J1235" i="1"/>
  <c r="J1243" i="1"/>
  <c r="J1251" i="1"/>
  <c r="J1259" i="1"/>
  <c r="J1267" i="1"/>
  <c r="J1275" i="1"/>
  <c r="J1283" i="1"/>
  <c r="J1291" i="1"/>
  <c r="J1299" i="1"/>
  <c r="J1307" i="1"/>
  <c r="J1315" i="1"/>
  <c r="J1323" i="1"/>
  <c r="J1331" i="1"/>
  <c r="J1339" i="1"/>
  <c r="J1347" i="1"/>
  <c r="J1355" i="1"/>
  <c r="J1363" i="1"/>
  <c r="J1371" i="1"/>
  <c r="J1379" i="1"/>
  <c r="J1387" i="1"/>
  <c r="J1395" i="1"/>
  <c r="J1403" i="1"/>
  <c r="J243" i="1"/>
  <c r="J467" i="1"/>
  <c r="J627" i="1"/>
  <c r="J863" i="1"/>
  <c r="J887" i="1"/>
  <c r="J927" i="1"/>
  <c r="J967" i="1"/>
  <c r="J1079" i="1"/>
  <c r="J1103" i="1"/>
  <c r="J1311" i="1"/>
  <c r="J1335" i="1"/>
  <c r="J1359" i="1"/>
  <c r="J59" i="1"/>
  <c r="J123" i="1"/>
  <c r="J150" i="1"/>
  <c r="J182" i="1"/>
  <c r="J214" i="1"/>
  <c r="J246" i="1"/>
  <c r="J278" i="1"/>
  <c r="J310" i="1"/>
  <c r="J342" i="1"/>
  <c r="J374" i="1"/>
  <c r="J406" i="1"/>
  <c r="J438" i="1"/>
  <c r="J470" i="1"/>
  <c r="J502" i="1"/>
  <c r="J534" i="1"/>
  <c r="J566" i="1"/>
  <c r="J598" i="1"/>
  <c r="J630" i="1"/>
  <c r="J662" i="1"/>
  <c r="J694" i="1"/>
  <c r="J726" i="1"/>
  <c r="J758" i="1"/>
  <c r="J786" i="1"/>
  <c r="J817" i="1"/>
  <c r="J830" i="1"/>
  <c r="J835" i="1"/>
  <c r="J848" i="1"/>
  <c r="J856" i="1"/>
  <c r="J864" i="1"/>
  <c r="J872" i="1"/>
  <c r="J880" i="1"/>
  <c r="J888" i="1"/>
  <c r="J896" i="1"/>
  <c r="J904" i="1"/>
  <c r="J912" i="1"/>
  <c r="J920" i="1"/>
  <c r="J928" i="1"/>
  <c r="J936" i="1"/>
  <c r="J944" i="1"/>
  <c r="J952" i="1"/>
  <c r="J960" i="1"/>
  <c r="J968" i="1"/>
  <c r="J976" i="1"/>
  <c r="J984" i="1"/>
  <c r="J992" i="1"/>
  <c r="J1000" i="1"/>
  <c r="J1008" i="1"/>
  <c r="J1016" i="1"/>
  <c r="J1024" i="1"/>
  <c r="J1032" i="1"/>
  <c r="J1040" i="1"/>
  <c r="J1048" i="1"/>
  <c r="J1056" i="1"/>
  <c r="J1064" i="1"/>
  <c r="J1072" i="1"/>
  <c r="J1080" i="1"/>
  <c r="J1088" i="1"/>
  <c r="J1096" i="1"/>
  <c r="J1104" i="1"/>
  <c r="J1112" i="1"/>
  <c r="J1120" i="1"/>
  <c r="J1128" i="1"/>
  <c r="J1136" i="1"/>
  <c r="J1144" i="1"/>
  <c r="J1152" i="1"/>
  <c r="J1160" i="1"/>
  <c r="J1168" i="1"/>
  <c r="J1176" i="1"/>
  <c r="J1184" i="1"/>
  <c r="J1192" i="1"/>
  <c r="J1200" i="1"/>
  <c r="J1208" i="1"/>
  <c r="J1216" i="1"/>
  <c r="J1224" i="1"/>
  <c r="J1232" i="1"/>
  <c r="J1240" i="1"/>
  <c r="J1248" i="1"/>
  <c r="J1256" i="1"/>
  <c r="J1264" i="1"/>
  <c r="J1272" i="1"/>
  <c r="J1280" i="1"/>
  <c r="J1288" i="1"/>
  <c r="J1296" i="1"/>
  <c r="J1304" i="1"/>
  <c r="J1312" i="1"/>
  <c r="J1320" i="1"/>
  <c r="J1328" i="1"/>
  <c r="J1336" i="1"/>
  <c r="J1344" i="1"/>
  <c r="J1352" i="1"/>
  <c r="J1360" i="1"/>
  <c r="J1368" i="1"/>
  <c r="J1376" i="1"/>
  <c r="J1384" i="1"/>
  <c r="J1392" i="1"/>
  <c r="J1400" i="1"/>
  <c r="J499" i="1"/>
  <c r="J659" i="1"/>
  <c r="J799" i="1"/>
  <c r="J834" i="1"/>
  <c r="J855" i="1"/>
  <c r="J959" i="1"/>
  <c r="J983" i="1"/>
  <c r="J1023" i="1"/>
  <c r="J1047" i="1"/>
  <c r="J1151" i="1"/>
  <c r="J1207" i="1"/>
  <c r="J1255" i="1"/>
  <c r="J1279" i="1"/>
  <c r="J1319" i="1"/>
  <c r="J1391" i="1"/>
  <c r="J3" i="1"/>
  <c r="J67" i="1"/>
  <c r="J131" i="1"/>
  <c r="J171" i="1"/>
  <c r="J203" i="1"/>
  <c r="J235" i="1"/>
  <c r="J267" i="1"/>
  <c r="J299" i="1"/>
  <c r="J331" i="1"/>
  <c r="J363" i="1"/>
  <c r="J395" i="1"/>
  <c r="J427" i="1"/>
  <c r="J459" i="1"/>
  <c r="J491" i="1"/>
  <c r="J523" i="1"/>
  <c r="J555" i="1"/>
  <c r="J587" i="1"/>
  <c r="J619" i="1"/>
  <c r="J651" i="1"/>
  <c r="J683" i="1"/>
  <c r="J715" i="1"/>
  <c r="J747" i="1"/>
  <c r="J779" i="1"/>
  <c r="J795" i="1"/>
  <c r="J802" i="1"/>
  <c r="J807" i="1"/>
  <c r="J812" i="1"/>
  <c r="J822" i="1"/>
  <c r="J827" i="1"/>
  <c r="J845" i="1"/>
  <c r="J853" i="1"/>
  <c r="J861" i="1"/>
  <c r="J869" i="1"/>
  <c r="J877" i="1"/>
  <c r="J885" i="1"/>
  <c r="J893" i="1"/>
  <c r="J901" i="1"/>
  <c r="J909" i="1"/>
  <c r="J917" i="1"/>
  <c r="J925" i="1"/>
  <c r="J933" i="1"/>
  <c r="J941" i="1"/>
  <c r="J949" i="1"/>
  <c r="J957" i="1"/>
  <c r="J965" i="1"/>
  <c r="J973" i="1"/>
  <c r="J981" i="1"/>
  <c r="J989" i="1"/>
  <c r="J997" i="1"/>
  <c r="J1005" i="1"/>
  <c r="J1013" i="1"/>
  <c r="J1021" i="1"/>
  <c r="J1029" i="1"/>
  <c r="J1037" i="1"/>
  <c r="J1045" i="1"/>
  <c r="J1053" i="1"/>
  <c r="J1061" i="1"/>
  <c r="J1069" i="1"/>
  <c r="J1077" i="1"/>
  <c r="J1085" i="1"/>
  <c r="J1093" i="1"/>
  <c r="J1101" i="1"/>
  <c r="J1109" i="1"/>
  <c r="J1117" i="1"/>
  <c r="J1125" i="1"/>
  <c r="J1133" i="1"/>
  <c r="J1141" i="1"/>
  <c r="J1149" i="1"/>
  <c r="J1157" i="1"/>
  <c r="J1165" i="1"/>
  <c r="J1173" i="1"/>
  <c r="J1181" i="1"/>
  <c r="J1189" i="1"/>
  <c r="J1197" i="1"/>
  <c r="J1205" i="1"/>
  <c r="J1213" i="1"/>
  <c r="J1221" i="1"/>
  <c r="J1229" i="1"/>
  <c r="J1237" i="1"/>
  <c r="J1245" i="1"/>
  <c r="J1253" i="1"/>
  <c r="J1261" i="1"/>
  <c r="J1269" i="1"/>
  <c r="J1277" i="1"/>
  <c r="J1285" i="1"/>
  <c r="J1293" i="1"/>
  <c r="J1301" i="1"/>
  <c r="J1309" i="1"/>
  <c r="J1317" i="1"/>
  <c r="J1325" i="1"/>
  <c r="J1333" i="1"/>
  <c r="J1341" i="1"/>
  <c r="J1349" i="1"/>
  <c r="J1357" i="1"/>
  <c r="J1365" i="1"/>
  <c r="J1373" i="1"/>
  <c r="J1381" i="1"/>
  <c r="J1389" i="1"/>
  <c r="J1397" i="1"/>
  <c r="J1405" i="1"/>
  <c r="J83" i="1"/>
  <c r="J147" i="1"/>
  <c r="J275" i="1"/>
  <c r="J339" i="1"/>
  <c r="J435" i="1"/>
  <c r="J829" i="1"/>
  <c r="J879" i="1"/>
  <c r="J911" i="1"/>
  <c r="J1015" i="1"/>
  <c r="J1063" i="1"/>
  <c r="J1127" i="1"/>
  <c r="J1167" i="1"/>
  <c r="J1247" i="1"/>
  <c r="J1271" i="1"/>
  <c r="J11" i="1"/>
  <c r="J75" i="1"/>
  <c r="J139" i="1"/>
  <c r="J158" i="1"/>
  <c r="J190" i="1"/>
  <c r="J222" i="1"/>
  <c r="J254" i="1"/>
  <c r="J286" i="1"/>
  <c r="J318" i="1"/>
  <c r="J350" i="1"/>
  <c r="J382" i="1"/>
  <c r="J414" i="1"/>
  <c r="J446" i="1"/>
  <c r="J478" i="1"/>
  <c r="J510" i="1"/>
  <c r="J542" i="1"/>
  <c r="J574" i="1"/>
  <c r="J606" i="1"/>
  <c r="J638" i="1"/>
  <c r="J670" i="1"/>
  <c r="J702" i="1"/>
  <c r="J734" i="1"/>
  <c r="J766" i="1"/>
  <c r="J790" i="1"/>
  <c r="J809" i="1"/>
  <c r="J814" i="1"/>
  <c r="J819" i="1"/>
  <c r="J837" i="1"/>
  <c r="J842" i="1"/>
  <c r="J850" i="1"/>
  <c r="J858" i="1"/>
  <c r="J866" i="1"/>
  <c r="J874" i="1"/>
  <c r="J882" i="1"/>
  <c r="J890" i="1"/>
  <c r="J898" i="1"/>
  <c r="J906" i="1"/>
  <c r="J914" i="1"/>
  <c r="J922" i="1"/>
  <c r="J930" i="1"/>
  <c r="J938" i="1"/>
  <c r="J946" i="1"/>
  <c r="J954" i="1"/>
  <c r="J962" i="1"/>
  <c r="J970" i="1"/>
  <c r="J978" i="1"/>
  <c r="J986" i="1"/>
  <c r="J994" i="1"/>
  <c r="J1002" i="1"/>
  <c r="J1010" i="1"/>
  <c r="J1018" i="1"/>
  <c r="J1026" i="1"/>
  <c r="J1034" i="1"/>
  <c r="J1042" i="1"/>
  <c r="J1050" i="1"/>
  <c r="J1058" i="1"/>
  <c r="J1066" i="1"/>
  <c r="J1074" i="1"/>
  <c r="J1082" i="1"/>
  <c r="J1090" i="1"/>
  <c r="J1098" i="1"/>
  <c r="J1106" i="1"/>
  <c r="J1114" i="1"/>
  <c r="J1122" i="1"/>
  <c r="J1130" i="1"/>
  <c r="J1138" i="1"/>
  <c r="J1146" i="1"/>
  <c r="J1154" i="1"/>
  <c r="J1162" i="1"/>
  <c r="J1170" i="1"/>
  <c r="J1178" i="1"/>
  <c r="J1186" i="1"/>
  <c r="J1194" i="1"/>
  <c r="J1202" i="1"/>
  <c r="J1210" i="1"/>
  <c r="J1218" i="1"/>
  <c r="J1226" i="1"/>
  <c r="J1234" i="1"/>
  <c r="J1242" i="1"/>
  <c r="J1250" i="1"/>
  <c r="J1258" i="1"/>
  <c r="J1266" i="1"/>
  <c r="J1274" i="1"/>
  <c r="J1282" i="1"/>
  <c r="J1290" i="1"/>
  <c r="J1298" i="1"/>
  <c r="J1306" i="1"/>
  <c r="J1314" i="1"/>
  <c r="J1322" i="1"/>
  <c r="J1330" i="1"/>
  <c r="J1338" i="1"/>
  <c r="J1346" i="1"/>
  <c r="J1354" i="1"/>
  <c r="J1362" i="1"/>
  <c r="J1370" i="1"/>
  <c r="J1378" i="1"/>
  <c r="J1386" i="1"/>
  <c r="J1394" i="1"/>
  <c r="J1402" i="1"/>
  <c r="J19" i="1"/>
  <c r="J211" i="1"/>
  <c r="J403" i="1"/>
  <c r="J595" i="1"/>
  <c r="J755" i="1"/>
  <c r="J804" i="1"/>
  <c r="J1071" i="1"/>
  <c r="J1119" i="1"/>
  <c r="J1143" i="1"/>
  <c r="J1215" i="1"/>
  <c r="J1239" i="1"/>
  <c r="J1295" i="1"/>
  <c r="J1375" i="1"/>
  <c r="F128" i="4"/>
  <c r="A128" i="4" s="1"/>
  <c r="F120" i="4"/>
  <c r="A120" i="4" s="1"/>
  <c r="F112" i="4"/>
  <c r="A112" i="4" s="1"/>
  <c r="F104" i="4"/>
  <c r="A104" i="4" s="1"/>
  <c r="F96" i="4"/>
  <c r="A96" i="4" s="1"/>
  <c r="F88" i="4"/>
  <c r="A88" i="4" s="1"/>
  <c r="F80" i="4"/>
  <c r="A80" i="4" s="1"/>
  <c r="F72" i="4"/>
  <c r="A72" i="4" s="1"/>
  <c r="F64" i="4"/>
  <c r="A64" i="4" s="1"/>
  <c r="F290" i="4"/>
  <c r="A290" i="4" s="1"/>
  <c r="F286" i="4"/>
  <c r="A286" i="4" s="1"/>
  <c r="F282" i="4"/>
  <c r="A282" i="4" s="1"/>
  <c r="F276" i="4"/>
  <c r="A276" i="4" s="1"/>
  <c r="F272" i="4"/>
  <c r="A272" i="4" s="1"/>
  <c r="F268" i="4"/>
  <c r="A268" i="4" s="1"/>
  <c r="F264" i="4"/>
  <c r="A264" i="4" s="1"/>
  <c r="F260" i="4"/>
  <c r="A260" i="4" s="1"/>
  <c r="F256" i="4"/>
  <c r="A256" i="4" s="1"/>
  <c r="F252" i="4"/>
  <c r="A252" i="4" s="1"/>
  <c r="F248" i="4"/>
  <c r="A248" i="4" s="1"/>
  <c r="F244" i="4"/>
  <c r="A244" i="4" s="1"/>
  <c r="F219" i="4"/>
  <c r="A219" i="4" s="1"/>
  <c r="F122" i="4"/>
  <c r="A122" i="4" s="1"/>
  <c r="F114" i="4"/>
  <c r="A114" i="4" s="1"/>
  <c r="F106" i="4"/>
  <c r="A106" i="4" s="1"/>
  <c r="F98" i="4"/>
  <c r="A98" i="4" s="1"/>
  <c r="F90" i="4"/>
  <c r="A90" i="4" s="1"/>
  <c r="F82" i="4"/>
  <c r="A82" i="4" s="1"/>
  <c r="F74" i="4"/>
  <c r="A74" i="4" s="1"/>
  <c r="F66" i="4"/>
  <c r="A66" i="4" s="1"/>
  <c r="F280" i="4"/>
  <c r="A280" i="4" s="1"/>
  <c r="F238" i="4"/>
  <c r="A238" i="4" s="1"/>
  <c r="F234" i="4"/>
  <c r="A234" i="4" s="1"/>
  <c r="F230" i="4"/>
  <c r="A230" i="4" s="1"/>
  <c r="F226" i="4"/>
  <c r="A226" i="4" s="1"/>
  <c r="F222" i="4"/>
  <c r="A222" i="4" s="1"/>
  <c r="F142" i="4"/>
  <c r="A142" i="4" s="1"/>
  <c r="F138" i="4"/>
  <c r="A138" i="4" s="1"/>
  <c r="F134" i="4"/>
  <c r="A134" i="4" s="1"/>
  <c r="F155" i="4"/>
  <c r="A155" i="4" s="1"/>
  <c r="F151" i="4"/>
  <c r="A151" i="4" s="1"/>
  <c r="F147" i="4"/>
  <c r="A147" i="4" s="1"/>
  <c r="F143" i="4"/>
  <c r="A143" i="4" s="1"/>
  <c r="F164" i="4"/>
  <c r="A164" i="4" s="1"/>
  <c r="F160" i="4"/>
  <c r="A160" i="4" s="1"/>
  <c r="F156" i="4"/>
  <c r="A156" i="4" s="1"/>
  <c r="F215" i="4"/>
  <c r="A215" i="4" s="1"/>
  <c r="F211" i="4"/>
  <c r="A211" i="4" s="1"/>
  <c r="F207" i="4"/>
  <c r="A207" i="4" s="1"/>
  <c r="F203" i="4"/>
  <c r="A203" i="4" s="1"/>
  <c r="F199" i="4"/>
  <c r="A199" i="4" s="1"/>
  <c r="F195" i="4"/>
  <c r="A195" i="4" s="1"/>
  <c r="F191" i="4"/>
  <c r="A191" i="4" s="1"/>
  <c r="F187" i="4"/>
  <c r="A187" i="4" s="1"/>
  <c r="F183" i="4"/>
  <c r="A183" i="4" s="1"/>
  <c r="F179" i="4"/>
  <c r="A179" i="4" s="1"/>
  <c r="F175" i="4"/>
  <c r="A175" i="4" s="1"/>
  <c r="F171" i="4"/>
  <c r="A171" i="4" s="1"/>
  <c r="F61" i="4"/>
  <c r="A61" i="4" s="1"/>
  <c r="F57" i="4"/>
  <c r="A57" i="4" s="1"/>
  <c r="F53" i="4"/>
  <c r="A53" i="4" s="1"/>
  <c r="F49" i="4"/>
  <c r="A49" i="4" s="1"/>
  <c r="F45" i="4"/>
  <c r="A45" i="4" s="1"/>
  <c r="F41" i="4"/>
  <c r="A41" i="4" s="1"/>
  <c r="F37" i="4"/>
  <c r="A37" i="4" s="1"/>
  <c r="F33" i="4"/>
  <c r="A33" i="4" s="1"/>
  <c r="F29" i="4"/>
  <c r="A29" i="4" s="1"/>
  <c r="F25" i="4"/>
  <c r="A25" i="4" s="1"/>
  <c r="F21" i="4"/>
  <c r="A21" i="4" s="1"/>
  <c r="F17" i="4"/>
  <c r="A17" i="4" s="1"/>
  <c r="F13" i="4"/>
  <c r="A13" i="4" s="1"/>
  <c r="F9" i="4"/>
  <c r="A9" i="4" s="1"/>
  <c r="F5" i="4"/>
  <c r="A5" i="4" s="1"/>
  <c r="F129" i="4"/>
  <c r="A129" i="4" s="1"/>
  <c r="F125" i="4"/>
  <c r="A125" i="4" s="1"/>
  <c r="F121" i="4"/>
  <c r="A121" i="4" s="1"/>
  <c r="F117" i="4"/>
  <c r="A117" i="4" s="1"/>
  <c r="F113" i="4"/>
  <c r="A113" i="4" s="1"/>
  <c r="F109" i="4"/>
  <c r="A109" i="4" s="1"/>
  <c r="F105" i="4"/>
  <c r="A105" i="4" s="1"/>
  <c r="F101" i="4"/>
  <c r="A101" i="4" s="1"/>
  <c r="F97" i="4"/>
  <c r="A97" i="4" s="1"/>
  <c r="F93" i="4"/>
  <c r="A93" i="4" s="1"/>
  <c r="F89" i="4"/>
  <c r="A89" i="4" s="1"/>
  <c r="F85" i="4"/>
  <c r="A85" i="4" s="1"/>
  <c r="F81" i="4"/>
  <c r="A81" i="4" s="1"/>
  <c r="F77" i="4"/>
  <c r="A77" i="4" s="1"/>
  <c r="F73" i="4"/>
  <c r="A73" i="4" s="1"/>
  <c r="F69" i="4"/>
  <c r="A69" i="4" s="1"/>
  <c r="F65" i="4"/>
  <c r="A65" i="4" s="1"/>
  <c r="F293" i="4"/>
  <c r="A293" i="4" s="1"/>
  <c r="F289" i="4"/>
  <c r="A289" i="4" s="1"/>
  <c r="F285" i="4"/>
  <c r="A285" i="4" s="1"/>
  <c r="F281" i="4"/>
  <c r="A281" i="4" s="1"/>
  <c r="F277" i="4"/>
  <c r="A277" i="4" s="1"/>
  <c r="F273" i="4"/>
  <c r="A273" i="4" s="1"/>
  <c r="F269" i="4"/>
  <c r="A269" i="4" s="1"/>
  <c r="F265" i="4"/>
  <c r="A265" i="4" s="1"/>
  <c r="F261" i="4"/>
  <c r="A261" i="4" s="1"/>
  <c r="F257" i="4"/>
  <c r="A257" i="4" s="1"/>
  <c r="F253" i="4"/>
  <c r="A253" i="4" s="1"/>
  <c r="F249" i="4"/>
  <c r="A249" i="4" s="1"/>
  <c r="F245" i="4"/>
  <c r="A245" i="4" s="1"/>
  <c r="F241" i="4"/>
  <c r="A241" i="4" s="1"/>
  <c r="F237" i="4"/>
  <c r="A237" i="4" s="1"/>
  <c r="F233" i="4"/>
  <c r="A233" i="4" s="1"/>
  <c r="F229" i="4"/>
  <c r="A229" i="4" s="1"/>
  <c r="F225" i="4"/>
  <c r="A225" i="4" s="1"/>
  <c r="F221" i="4"/>
  <c r="A221" i="4" s="1"/>
  <c r="F141" i="4"/>
  <c r="A141" i="4" s="1"/>
  <c r="F137" i="4"/>
  <c r="A137" i="4" s="1"/>
  <c r="F133" i="4"/>
  <c r="A133" i="4" s="1"/>
  <c r="F154" i="4"/>
  <c r="A154" i="4" s="1"/>
  <c r="F150" i="4"/>
  <c r="A150" i="4" s="1"/>
  <c r="F146" i="4"/>
  <c r="A146" i="4" s="1"/>
  <c r="F167" i="4"/>
  <c r="A167" i="4" s="1"/>
  <c r="F163" i="4"/>
  <c r="A163" i="4" s="1"/>
  <c r="F159" i="4"/>
  <c r="A159" i="4" s="1"/>
  <c r="F218" i="4"/>
  <c r="A218" i="4" s="1"/>
  <c r="F214" i="4"/>
  <c r="A214" i="4" s="1"/>
  <c r="F206" i="4"/>
  <c r="A206" i="4" s="1"/>
  <c r="F202" i="4"/>
  <c r="A202" i="4" s="1"/>
  <c r="F198" i="4"/>
  <c r="A198" i="4" s="1"/>
  <c r="F194" i="4"/>
  <c r="A194" i="4" s="1"/>
  <c r="F190" i="4"/>
  <c r="A190" i="4" s="1"/>
  <c r="F186" i="4"/>
  <c r="A186" i="4" s="1"/>
  <c r="F182" i="4"/>
  <c r="A182" i="4" s="1"/>
  <c r="F174" i="4"/>
  <c r="A174" i="4" s="1"/>
  <c r="F60" i="4"/>
  <c r="A60" i="4" s="1"/>
  <c r="F52" i="4"/>
  <c r="A52" i="4" s="1"/>
  <c r="F40" i="4"/>
  <c r="A40" i="4" s="1"/>
  <c r="F32" i="4"/>
  <c r="A32" i="4" s="1"/>
  <c r="F24" i="4"/>
  <c r="A24" i="4" s="1"/>
  <c r="F16" i="4"/>
  <c r="A16" i="4" s="1"/>
  <c r="F8" i="4"/>
  <c r="A8" i="4" s="1"/>
  <c r="F124" i="4"/>
  <c r="A124" i="4" s="1"/>
  <c r="F116" i="4"/>
  <c r="A116" i="4" s="1"/>
  <c r="F108" i="4"/>
  <c r="A108" i="4" s="1"/>
  <c r="F100" i="4"/>
  <c r="A100" i="4" s="1"/>
  <c r="F92" i="4"/>
  <c r="A92" i="4" s="1"/>
  <c r="F84" i="4"/>
  <c r="A84" i="4" s="1"/>
  <c r="F76" i="4"/>
  <c r="A76" i="4" s="1"/>
  <c r="F68" i="4"/>
  <c r="A68" i="4" s="1"/>
  <c r="F62" i="4"/>
  <c r="A62" i="4" s="1"/>
  <c r="F288" i="4"/>
  <c r="A288" i="4" s="1"/>
  <c r="F284" i="4"/>
  <c r="A284" i="4" s="1"/>
  <c r="F278" i="4"/>
  <c r="A278" i="4" s="1"/>
  <c r="F274" i="4"/>
  <c r="A274" i="4" s="1"/>
  <c r="F270" i="4"/>
  <c r="A270" i="4" s="1"/>
  <c r="F266" i="4"/>
  <c r="A266" i="4" s="1"/>
  <c r="F262" i="4"/>
  <c r="A262" i="4" s="1"/>
  <c r="F258" i="4"/>
  <c r="A258" i="4" s="1"/>
  <c r="F254" i="4"/>
  <c r="A254" i="4" s="1"/>
  <c r="F250" i="4"/>
  <c r="A250" i="4" s="1"/>
  <c r="F246" i="4"/>
  <c r="A246" i="4" s="1"/>
  <c r="F242" i="4"/>
  <c r="A242" i="4" s="1"/>
  <c r="F126" i="4"/>
  <c r="A126" i="4" s="1"/>
  <c r="F118" i="4"/>
  <c r="A118" i="4" s="1"/>
  <c r="F110" i="4"/>
  <c r="A110" i="4" s="1"/>
  <c r="F102" i="4"/>
  <c r="A102" i="4" s="1"/>
  <c r="F94" i="4"/>
  <c r="A94" i="4" s="1"/>
  <c r="F86" i="4"/>
  <c r="A86" i="4" s="1"/>
  <c r="F78" i="4"/>
  <c r="A78" i="4" s="1"/>
  <c r="F70" i="4"/>
  <c r="A70" i="4" s="1"/>
  <c r="F292" i="4"/>
  <c r="A292" i="4" s="1"/>
  <c r="F240" i="4"/>
  <c r="A240" i="4" s="1"/>
  <c r="F236" i="4"/>
  <c r="A236" i="4" s="1"/>
  <c r="F232" i="4"/>
  <c r="A232" i="4" s="1"/>
  <c r="F228" i="4"/>
  <c r="A228" i="4" s="1"/>
  <c r="F224" i="4"/>
  <c r="A224" i="4" s="1"/>
  <c r="F220" i="4"/>
  <c r="A220" i="4" s="1"/>
  <c r="F140" i="4"/>
  <c r="A140" i="4" s="1"/>
  <c r="F136" i="4"/>
  <c r="A136" i="4" s="1"/>
  <c r="F132" i="4"/>
  <c r="A132" i="4" s="1"/>
  <c r="F153" i="4"/>
  <c r="A153" i="4" s="1"/>
  <c r="F149" i="4"/>
  <c r="A149" i="4" s="1"/>
  <c r="F145" i="4"/>
  <c r="A145" i="4" s="1"/>
  <c r="F166" i="4"/>
  <c r="A166" i="4" s="1"/>
  <c r="F162" i="4"/>
  <c r="A162" i="4" s="1"/>
  <c r="F158" i="4"/>
  <c r="A158" i="4" s="1"/>
  <c r="F217" i="4"/>
  <c r="A217" i="4" s="1"/>
  <c r="F213" i="4"/>
  <c r="A213" i="4" s="1"/>
  <c r="F209" i="4"/>
  <c r="A209" i="4" s="1"/>
  <c r="F205" i="4"/>
  <c r="A205" i="4" s="1"/>
  <c r="F201" i="4"/>
  <c r="A201" i="4" s="1"/>
  <c r="F197" i="4"/>
  <c r="A197" i="4" s="1"/>
  <c r="F193" i="4"/>
  <c r="A193" i="4" s="1"/>
  <c r="F189" i="4"/>
  <c r="A189" i="4" s="1"/>
  <c r="F185" i="4"/>
  <c r="A185" i="4" s="1"/>
  <c r="F181" i="4"/>
  <c r="A181" i="4" s="1"/>
  <c r="F177" i="4"/>
  <c r="A177" i="4" s="1"/>
  <c r="F173" i="4"/>
  <c r="A173" i="4" s="1"/>
  <c r="F169" i="4"/>
  <c r="A169" i="4" s="1"/>
  <c r="F59" i="4"/>
  <c r="A59" i="4" s="1"/>
  <c r="F55" i="4"/>
  <c r="A55" i="4" s="1"/>
  <c r="F51" i="4"/>
  <c r="A51" i="4" s="1"/>
  <c r="F47" i="4"/>
  <c r="A47" i="4" s="1"/>
  <c r="F43" i="4"/>
  <c r="A43" i="4" s="1"/>
  <c r="F39" i="4"/>
  <c r="A39" i="4" s="1"/>
  <c r="F35" i="4"/>
  <c r="A35" i="4" s="1"/>
  <c r="F31" i="4"/>
  <c r="A31" i="4" s="1"/>
  <c r="F27" i="4"/>
  <c r="A27" i="4" s="1"/>
  <c r="F23" i="4"/>
  <c r="A23" i="4" s="1"/>
  <c r="F19" i="4"/>
  <c r="A19" i="4" s="1"/>
  <c r="F15" i="4"/>
  <c r="A15" i="4" s="1"/>
  <c r="F11" i="4"/>
  <c r="A11" i="4" s="1"/>
  <c r="F7" i="4"/>
  <c r="A7" i="4" s="1"/>
  <c r="F3" i="4"/>
  <c r="A3" i="4" s="1"/>
  <c r="F127" i="4"/>
  <c r="A127" i="4" s="1"/>
  <c r="F123" i="4"/>
  <c r="A123" i="4" s="1"/>
  <c r="F119" i="4"/>
  <c r="A119" i="4" s="1"/>
  <c r="F115" i="4"/>
  <c r="A115" i="4" s="1"/>
  <c r="F111" i="4"/>
  <c r="A111" i="4" s="1"/>
  <c r="F107" i="4"/>
  <c r="A107" i="4" s="1"/>
  <c r="F103" i="4"/>
  <c r="A103" i="4" s="1"/>
  <c r="F99" i="4"/>
  <c r="A99" i="4" s="1"/>
  <c r="F95" i="4"/>
  <c r="A95" i="4" s="1"/>
  <c r="F91" i="4"/>
  <c r="A91" i="4" s="1"/>
  <c r="F87" i="4"/>
  <c r="A87" i="4" s="1"/>
  <c r="F83" i="4"/>
  <c r="A83" i="4" s="1"/>
  <c r="F79" i="4"/>
  <c r="A79" i="4" s="1"/>
  <c r="F75" i="4"/>
  <c r="A75" i="4" s="1"/>
  <c r="F71" i="4"/>
  <c r="A71" i="4" s="1"/>
  <c r="F67" i="4"/>
  <c r="A67" i="4" s="1"/>
  <c r="F63" i="4"/>
  <c r="A63" i="4" s="1"/>
  <c r="F291" i="4"/>
  <c r="A291" i="4" s="1"/>
  <c r="F287" i="4"/>
  <c r="A287" i="4" s="1"/>
  <c r="F283" i="4"/>
  <c r="A283" i="4" s="1"/>
  <c r="F279" i="4"/>
  <c r="A279" i="4" s="1"/>
  <c r="F275" i="4"/>
  <c r="A275" i="4" s="1"/>
  <c r="F271" i="4"/>
  <c r="A271" i="4" s="1"/>
  <c r="F267" i="4"/>
  <c r="A267" i="4" s="1"/>
  <c r="F263" i="4"/>
  <c r="A263" i="4" s="1"/>
  <c r="F259" i="4"/>
  <c r="A259" i="4" s="1"/>
  <c r="F255" i="4"/>
  <c r="A255" i="4" s="1"/>
  <c r="F251" i="4"/>
  <c r="A251" i="4" s="1"/>
  <c r="F247" i="4"/>
  <c r="A247" i="4" s="1"/>
  <c r="F243" i="4"/>
  <c r="A243" i="4" s="1"/>
  <c r="F239" i="4"/>
  <c r="A239" i="4" s="1"/>
  <c r="F235" i="4"/>
  <c r="A235" i="4" s="1"/>
  <c r="F231" i="4"/>
  <c r="A231" i="4" s="1"/>
  <c r="F227" i="4"/>
  <c r="A227" i="4" s="1"/>
  <c r="F223" i="4"/>
  <c r="A223" i="4" s="1"/>
  <c r="F130" i="4"/>
  <c r="A130" i="4" s="1"/>
  <c r="F139" i="4"/>
  <c r="A139" i="4" s="1"/>
  <c r="F135" i="4"/>
  <c r="A135" i="4" s="1"/>
  <c r="F131" i="4"/>
  <c r="A131" i="4" s="1"/>
  <c r="F152" i="4"/>
  <c r="A152" i="4" s="1"/>
  <c r="F148" i="4"/>
  <c r="A148" i="4" s="1"/>
  <c r="F144" i="4"/>
  <c r="A144" i="4" s="1"/>
  <c r="F165" i="4"/>
  <c r="A165" i="4" s="1"/>
  <c r="F161" i="4"/>
  <c r="A161" i="4" s="1"/>
  <c r="F157" i="4"/>
  <c r="A157" i="4" s="1"/>
  <c r="F216" i="4"/>
  <c r="A216" i="4" s="1"/>
  <c r="F212" i="4"/>
  <c r="A212" i="4" s="1"/>
  <c r="F208" i="4"/>
  <c r="A208" i="4" s="1"/>
  <c r="F204" i="4"/>
  <c r="A204" i="4" s="1"/>
  <c r="F200" i="4"/>
  <c r="A200" i="4" s="1"/>
  <c r="F196" i="4"/>
  <c r="A196" i="4" s="1"/>
  <c r="F192" i="4"/>
  <c r="A192" i="4" s="1"/>
  <c r="F188" i="4"/>
  <c r="A188" i="4" s="1"/>
  <c r="F184" i="4"/>
  <c r="A184" i="4" s="1"/>
  <c r="F180" i="4"/>
  <c r="A180" i="4" s="1"/>
  <c r="F176" i="4"/>
  <c r="A176" i="4" s="1"/>
  <c r="F172" i="4"/>
  <c r="A172" i="4" s="1"/>
  <c r="F168" i="4"/>
  <c r="A168" i="4" s="1"/>
  <c r="F58" i="4"/>
  <c r="A58" i="4" s="1"/>
  <c r="F54" i="4"/>
  <c r="A54" i="4" s="1"/>
  <c r="F50" i="4"/>
  <c r="A50" i="4" s="1"/>
  <c r="F46" i="4"/>
  <c r="A46" i="4" s="1"/>
  <c r="F42" i="4"/>
  <c r="A42" i="4" s="1"/>
  <c r="F38" i="4"/>
  <c r="A38" i="4" s="1"/>
  <c r="F34" i="4"/>
  <c r="A34" i="4" s="1"/>
  <c r="F30" i="4"/>
  <c r="A30" i="4" s="1"/>
  <c r="F26" i="4"/>
  <c r="A26" i="4" s="1"/>
  <c r="F22" i="4"/>
  <c r="A22" i="4" s="1"/>
  <c r="F18" i="4"/>
  <c r="A18" i="4" s="1"/>
  <c r="F14" i="4"/>
  <c r="A14" i="4" s="1"/>
  <c r="F10" i="4"/>
  <c r="A10" i="4" s="1"/>
  <c r="F6" i="4"/>
  <c r="A6" i="4" s="1"/>
  <c r="F2" i="4"/>
  <c r="A2" i="4" s="1"/>
  <c r="F210" i="4"/>
  <c r="A210" i="4" s="1"/>
  <c r="F178" i="4"/>
  <c r="A178" i="4" s="1"/>
  <c r="F170" i="4"/>
  <c r="A170" i="4" s="1"/>
  <c r="F56" i="4"/>
  <c r="A56" i="4" s="1"/>
  <c r="F48" i="4"/>
  <c r="A48" i="4" s="1"/>
  <c r="F44" i="4"/>
  <c r="A44" i="4" s="1"/>
  <c r="F36" i="4"/>
  <c r="A36" i="4" s="1"/>
  <c r="F28" i="4"/>
  <c r="A28" i="4" s="1"/>
  <c r="F20" i="4"/>
  <c r="A20" i="4" s="1"/>
  <c r="F12" i="4"/>
  <c r="A12" i="4" s="1"/>
  <c r="F4" i="4"/>
  <c r="A4" i="4" s="1"/>
  <c r="J2" i="1"/>
  <c r="AJ1060" i="18" l="1"/>
  <c r="AH1060" i="2"/>
  <c r="E1282" i="1"/>
  <c r="E837" i="1"/>
  <c r="E1293" i="1"/>
  <c r="E747" i="1"/>
  <c r="E1248" i="1"/>
  <c r="E470" i="1"/>
  <c r="E1219" i="1"/>
  <c r="E451" i="1"/>
  <c r="E1230" i="1"/>
  <c r="E718" i="1"/>
  <c r="E1153" i="1"/>
  <c r="E379" i="1"/>
  <c r="E895" i="1"/>
  <c r="E1082" i="1"/>
  <c r="E382" i="1"/>
  <c r="E1015" i="1"/>
  <c r="E83" i="1"/>
  <c r="E1349" i="1"/>
  <c r="E1285" i="1"/>
  <c r="E1221" i="1"/>
  <c r="E1157" i="1"/>
  <c r="E1093" i="1"/>
  <c r="E1029" i="1"/>
  <c r="E965" i="1"/>
  <c r="E901" i="1"/>
  <c r="E827" i="1"/>
  <c r="E715" i="1"/>
  <c r="E19" i="1"/>
  <c r="E962" i="1"/>
  <c r="E147" i="1"/>
  <c r="E1101" i="1"/>
  <c r="E235" i="1"/>
  <c r="E1120" i="1"/>
  <c r="E214" i="1"/>
  <c r="E1027" i="1"/>
  <c r="E563" i="1"/>
  <c r="E910" i="1"/>
  <c r="E1345" i="1"/>
  <c r="E836" i="1"/>
  <c r="E1191" i="1"/>
  <c r="E1146" i="1"/>
  <c r="E139" i="1"/>
  <c r="E1154" i="1"/>
  <c r="E414" i="1"/>
  <c r="E1165" i="1"/>
  <c r="E491" i="1"/>
  <c r="E1312" i="1"/>
  <c r="E864" i="1"/>
  <c r="E1347" i="1"/>
  <c r="E1091" i="1"/>
  <c r="E195" i="1"/>
  <c r="E1102" i="1"/>
  <c r="E206" i="1"/>
  <c r="E1217" i="1"/>
  <c r="E635" i="1"/>
  <c r="E1252" i="1"/>
  <c r="E1402" i="1"/>
  <c r="E954" i="1"/>
  <c r="E1194" i="1"/>
  <c r="E1130" i="1"/>
  <c r="E1002" i="1"/>
  <c r="E938" i="1"/>
  <c r="E874" i="1"/>
  <c r="E809" i="1"/>
  <c r="E574" i="1"/>
  <c r="E318" i="1"/>
  <c r="E11" i="1"/>
  <c r="E1090" i="1"/>
  <c r="E1063" i="1"/>
  <c r="E1037" i="1"/>
  <c r="E855" i="1"/>
  <c r="E992" i="1"/>
  <c r="E1283" i="1"/>
  <c r="E838" i="1"/>
  <c r="E1358" i="1"/>
  <c r="E974" i="1"/>
  <c r="E1175" i="1"/>
  <c r="E1025" i="1"/>
  <c r="E1380" i="1"/>
  <c r="E1274" i="1"/>
  <c r="E638" i="1"/>
  <c r="E1258" i="1"/>
  <c r="E1066" i="1"/>
  <c r="E1218" i="1"/>
  <c r="E670" i="1"/>
  <c r="E1229" i="1"/>
  <c r="E845" i="1"/>
  <c r="E1184" i="1"/>
  <c r="E726" i="1"/>
  <c r="E1155" i="1"/>
  <c r="E707" i="1"/>
  <c r="E1166" i="1"/>
  <c r="E462" i="1"/>
  <c r="E1089" i="1"/>
  <c r="E99" i="1"/>
  <c r="E1124" i="1"/>
  <c r="E1210" i="1"/>
  <c r="E819" i="1"/>
  <c r="E1322" i="1"/>
  <c r="E1346" i="1"/>
  <c r="E898" i="1"/>
  <c r="E1357" i="1"/>
  <c r="E909" i="1"/>
  <c r="E1376" i="1"/>
  <c r="E928" i="1"/>
  <c r="E243" i="1"/>
  <c r="E899" i="1"/>
  <c r="E1294" i="1"/>
  <c r="E846" i="1"/>
  <c r="E1281" i="1"/>
  <c r="E897" i="1"/>
  <c r="E1188" i="1"/>
  <c r="E1338" i="1"/>
  <c r="E890" i="1"/>
  <c r="E804" i="1"/>
  <c r="E1143" i="1"/>
  <c r="E1026" i="1"/>
  <c r="E158" i="1"/>
  <c r="E973" i="1"/>
  <c r="E1279" i="1"/>
  <c r="E1056" i="1"/>
  <c r="E1103" i="1"/>
  <c r="E963" i="1"/>
  <c r="E1223" i="1"/>
  <c r="E1038" i="1"/>
  <c r="E179" i="1"/>
  <c r="E961" i="1"/>
  <c r="E1316" i="1"/>
  <c r="E1119" i="1"/>
  <c r="E1018" i="1"/>
  <c r="E1386" i="1"/>
  <c r="E2" i="1"/>
  <c r="E996" i="1"/>
  <c r="E932" i="1"/>
  <c r="E868" i="1"/>
  <c r="E806" i="1"/>
  <c r="E614" i="1"/>
  <c r="E358" i="1"/>
  <c r="E27" i="1"/>
  <c r="E94" i="1"/>
  <c r="E30" i="1"/>
  <c r="E777" i="1"/>
  <c r="E713" i="1"/>
  <c r="E649" i="1"/>
  <c r="E585" i="1"/>
  <c r="E521" i="1"/>
  <c r="E457" i="1"/>
  <c r="E393" i="1"/>
  <c r="E329" i="1"/>
  <c r="E265" i="1"/>
  <c r="E201" i="1"/>
  <c r="E137" i="1"/>
  <c r="E73" i="1"/>
  <c r="E9" i="1"/>
  <c r="E780" i="1"/>
  <c r="E716" i="1"/>
  <c r="E652" i="1"/>
  <c r="E588" i="1"/>
  <c r="E524" i="1"/>
  <c r="E460" i="1"/>
  <c r="E396" i="1"/>
  <c r="E332" i="1"/>
  <c r="E268" i="1"/>
  <c r="E204" i="1"/>
  <c r="E140" i="1"/>
  <c r="E76" i="1"/>
  <c r="E12" i="1"/>
  <c r="E783" i="1"/>
  <c r="E719" i="1"/>
  <c r="E655" i="1"/>
  <c r="E591" i="1"/>
  <c r="E527" i="1"/>
  <c r="E463" i="1"/>
  <c r="E399" i="1"/>
  <c r="E335" i="1"/>
  <c r="E271" i="1"/>
  <c r="E207" i="1"/>
  <c r="E143" i="1"/>
  <c r="E79" i="1"/>
  <c r="E15" i="1"/>
  <c r="E770" i="1"/>
  <c r="E706" i="1"/>
  <c r="E642" i="1"/>
  <c r="E578" i="1"/>
  <c r="E514" i="1"/>
  <c r="E450" i="1"/>
  <c r="E386" i="1"/>
  <c r="E322" i="1"/>
  <c r="E258" i="1"/>
  <c r="E194" i="1"/>
  <c r="E130" i="1"/>
  <c r="E66" i="1"/>
  <c r="O110" i="10"/>
  <c r="D110" i="11" s="1"/>
  <c r="E789" i="1"/>
  <c r="E725" i="1"/>
  <c r="E661" i="1"/>
  <c r="E597" i="1"/>
  <c r="E533" i="1"/>
  <c r="E469" i="1"/>
  <c r="E405" i="1"/>
  <c r="E341" i="1"/>
  <c r="E277" i="1"/>
  <c r="E213" i="1"/>
  <c r="E149" i="1"/>
  <c r="E85" i="1"/>
  <c r="E21" i="1"/>
  <c r="E840" i="1"/>
  <c r="E776" i="1"/>
  <c r="E712" i="1"/>
  <c r="E648" i="1"/>
  <c r="E584" i="1"/>
  <c r="E520" i="1"/>
  <c r="E456" i="1"/>
  <c r="E392" i="1"/>
  <c r="E328" i="1"/>
  <c r="E264" i="1"/>
  <c r="E200" i="1"/>
  <c r="E136" i="1"/>
  <c r="E72" i="1"/>
  <c r="E8" i="1"/>
  <c r="O100" i="10"/>
  <c r="D100" i="11" s="1"/>
  <c r="O76" i="10"/>
  <c r="D76" i="11" s="1"/>
  <c r="O129" i="10"/>
  <c r="D129" i="11" s="1"/>
  <c r="O41" i="10"/>
  <c r="D41" i="11" s="1"/>
  <c r="O147" i="10"/>
  <c r="D147" i="11" s="1"/>
  <c r="O40" i="10"/>
  <c r="D40" i="11" s="1"/>
  <c r="O42" i="10"/>
  <c r="D42" i="11" s="1"/>
  <c r="O157" i="10"/>
  <c r="D157" i="11" s="1"/>
  <c r="O69" i="10"/>
  <c r="D69" i="11" s="1"/>
  <c r="O48" i="10"/>
  <c r="D48" i="11" s="1"/>
  <c r="O6" i="10"/>
  <c r="D6" i="11" s="1"/>
  <c r="O7" i="10"/>
  <c r="D7" i="11" s="1"/>
  <c r="O65" i="10"/>
  <c r="D65" i="11" s="1"/>
  <c r="O125" i="10"/>
  <c r="D125" i="11" s="1"/>
  <c r="O28" i="10"/>
  <c r="D28" i="11" s="1"/>
  <c r="O4" i="10"/>
  <c r="D4" i="11" s="1"/>
  <c r="E459" i="1"/>
  <c r="E203" i="1"/>
  <c r="E1255" i="1"/>
  <c r="E834" i="1"/>
  <c r="E1368" i="1"/>
  <c r="E1304" i="1"/>
  <c r="E1240" i="1"/>
  <c r="E1176" i="1"/>
  <c r="E1112" i="1"/>
  <c r="E1048" i="1"/>
  <c r="E984" i="1"/>
  <c r="E920" i="1"/>
  <c r="E856" i="1"/>
  <c r="E694" i="1"/>
  <c r="E438" i="1"/>
  <c r="E182" i="1"/>
  <c r="E1079" i="1"/>
  <c r="E1403" i="1"/>
  <c r="E1339" i="1"/>
  <c r="E1275" i="1"/>
  <c r="E1211" i="1"/>
  <c r="E1147" i="1"/>
  <c r="E1083" i="1"/>
  <c r="E1019" i="1"/>
  <c r="E955" i="1"/>
  <c r="E891" i="1"/>
  <c r="E825" i="1"/>
  <c r="E675" i="1"/>
  <c r="E419" i="1"/>
  <c r="E163" i="1"/>
  <c r="E1183" i="1"/>
  <c r="E371" i="1"/>
  <c r="E1350" i="1"/>
  <c r="E1286" i="1"/>
  <c r="E1222" i="1"/>
  <c r="E1158" i="1"/>
  <c r="E1094" i="1"/>
  <c r="E1030" i="1"/>
  <c r="E966" i="1"/>
  <c r="E902" i="1"/>
  <c r="E833" i="1"/>
  <c r="E686" i="1"/>
  <c r="E430" i="1"/>
  <c r="E174" i="1"/>
  <c r="E1135" i="1"/>
  <c r="E1401" i="1"/>
  <c r="E1337" i="1"/>
  <c r="E1273" i="1"/>
  <c r="E1209" i="1"/>
  <c r="E1145" i="1"/>
  <c r="E1081" i="1"/>
  <c r="E1017" i="1"/>
  <c r="E953" i="1"/>
  <c r="E889" i="1"/>
  <c r="E831" i="1"/>
  <c r="E603" i="1"/>
  <c r="E347" i="1"/>
  <c r="E35" i="1"/>
  <c r="E1159" i="1"/>
  <c r="E847" i="1"/>
  <c r="E1372" i="1"/>
  <c r="E1308" i="1"/>
  <c r="E1244" i="1"/>
  <c r="E1180" i="1"/>
  <c r="E1116" i="1"/>
  <c r="E1052" i="1"/>
  <c r="E988" i="1"/>
  <c r="E924" i="1"/>
  <c r="E860" i="1"/>
  <c r="E801" i="1"/>
  <c r="E582" i="1"/>
  <c r="E326" i="1"/>
  <c r="O113" i="10"/>
  <c r="D113" i="11" s="1"/>
  <c r="E86" i="1"/>
  <c r="E22" i="1"/>
  <c r="E769" i="1"/>
  <c r="E705" i="1"/>
  <c r="E641" i="1"/>
  <c r="E577" i="1"/>
  <c r="E513" i="1"/>
  <c r="E449" i="1"/>
  <c r="E385" i="1"/>
  <c r="E321" i="1"/>
  <c r="E257" i="1"/>
  <c r="E193" i="1"/>
  <c r="E129" i="1"/>
  <c r="E65" i="1"/>
  <c r="O165" i="10"/>
  <c r="D165" i="11" s="1"/>
  <c r="E772" i="1"/>
  <c r="E708" i="1"/>
  <c r="E644" i="1"/>
  <c r="E580" i="1"/>
  <c r="E516" i="1"/>
  <c r="E452" i="1"/>
  <c r="E388" i="1"/>
  <c r="E324" i="1"/>
  <c r="E260" i="1"/>
  <c r="E196" i="1"/>
  <c r="E132" i="1"/>
  <c r="E68" i="1"/>
  <c r="E4" i="1"/>
  <c r="E775" i="1"/>
  <c r="E711" i="1"/>
  <c r="E647" i="1"/>
  <c r="E583" i="1"/>
  <c r="E519" i="1"/>
  <c r="E455" i="1"/>
  <c r="E391" i="1"/>
  <c r="E327" i="1"/>
  <c r="E263" i="1"/>
  <c r="E199" i="1"/>
  <c r="E135" i="1"/>
  <c r="E71" i="1"/>
  <c r="E7" i="1"/>
  <c r="E762" i="1"/>
  <c r="E698" i="1"/>
  <c r="E634" i="1"/>
  <c r="E570" i="1"/>
  <c r="E506" i="1"/>
  <c r="E442" i="1"/>
  <c r="E378" i="1"/>
  <c r="E314" i="1"/>
  <c r="E250" i="1"/>
  <c r="E186" i="1"/>
  <c r="E122" i="1"/>
  <c r="E58" i="1"/>
  <c r="O118" i="10"/>
  <c r="D118" i="11" s="1"/>
  <c r="E781" i="1"/>
  <c r="E717" i="1"/>
  <c r="E653" i="1"/>
  <c r="E589" i="1"/>
  <c r="E525" i="1"/>
  <c r="E461" i="1"/>
  <c r="E397" i="1"/>
  <c r="E333" i="1"/>
  <c r="E269" i="1"/>
  <c r="E205" i="1"/>
  <c r="E141" i="1"/>
  <c r="E77" i="1"/>
  <c r="E13" i="1"/>
  <c r="E832" i="1"/>
  <c r="E768" i="1"/>
  <c r="E704" i="1"/>
  <c r="E640" i="1"/>
  <c r="E576" i="1"/>
  <c r="E512" i="1"/>
  <c r="E448" i="1"/>
  <c r="E384" i="1"/>
  <c r="E320" i="1"/>
  <c r="E256" i="1"/>
  <c r="E192" i="1"/>
  <c r="E128" i="1"/>
  <c r="E64" i="1"/>
  <c r="O43" i="10"/>
  <c r="D43" i="11" s="1"/>
  <c r="O112" i="10"/>
  <c r="D112" i="11" s="1"/>
  <c r="O158" i="10"/>
  <c r="D158" i="11" s="1"/>
  <c r="O92" i="10"/>
  <c r="D92" i="11" s="1"/>
  <c r="O62" i="10"/>
  <c r="D62" i="11" s="1"/>
  <c r="O138" i="10"/>
  <c r="D138" i="11" s="1"/>
  <c r="O81" i="10"/>
  <c r="D81" i="11" s="1"/>
  <c r="O12" i="10"/>
  <c r="D12" i="11" s="1"/>
  <c r="O60" i="10"/>
  <c r="D60" i="11" s="1"/>
  <c r="O26" i="10"/>
  <c r="D26" i="11" s="1"/>
  <c r="O107" i="10"/>
  <c r="D107" i="11" s="1"/>
  <c r="O46" i="10"/>
  <c r="D46" i="11" s="1"/>
  <c r="O149" i="10"/>
  <c r="D149" i="11" s="1"/>
  <c r="O27" i="10"/>
  <c r="D27" i="11" s="1"/>
  <c r="O161" i="10"/>
  <c r="D161" i="11" s="1"/>
  <c r="O50" i="10"/>
  <c r="D50" i="11" s="1"/>
  <c r="O68" i="10"/>
  <c r="D68" i="11" s="1"/>
  <c r="E1071" i="1"/>
  <c r="E1394" i="1"/>
  <c r="E1330" i="1"/>
  <c r="E1266" i="1"/>
  <c r="E1202" i="1"/>
  <c r="E1138" i="1"/>
  <c r="E1074" i="1"/>
  <c r="E1010" i="1"/>
  <c r="E946" i="1"/>
  <c r="E882" i="1"/>
  <c r="E814" i="1"/>
  <c r="E606" i="1"/>
  <c r="E350" i="1"/>
  <c r="E75" i="1"/>
  <c r="E911" i="1"/>
  <c r="E1405" i="1"/>
  <c r="E1341" i="1"/>
  <c r="E1277" i="1"/>
  <c r="E1213" i="1"/>
  <c r="E1149" i="1"/>
  <c r="E1085" i="1"/>
  <c r="E1021" i="1"/>
  <c r="E957" i="1"/>
  <c r="E893" i="1"/>
  <c r="E822" i="1"/>
  <c r="E683" i="1"/>
  <c r="E427" i="1"/>
  <c r="E171" i="1"/>
  <c r="E1207" i="1"/>
  <c r="E799" i="1"/>
  <c r="E1360" i="1"/>
  <c r="E1296" i="1"/>
  <c r="E1232" i="1"/>
  <c r="E1168" i="1"/>
  <c r="E1104" i="1"/>
  <c r="E1040" i="1"/>
  <c r="E976" i="1"/>
  <c r="E912" i="1"/>
  <c r="E848" i="1"/>
  <c r="E662" i="1"/>
  <c r="E406" i="1"/>
  <c r="E150" i="1"/>
  <c r="E967" i="1"/>
  <c r="E1395" i="1"/>
  <c r="E1331" i="1"/>
  <c r="E1267" i="1"/>
  <c r="E1203" i="1"/>
  <c r="E1139" i="1"/>
  <c r="E1075" i="1"/>
  <c r="E1011" i="1"/>
  <c r="E947" i="1"/>
  <c r="E883" i="1"/>
  <c r="E820" i="1"/>
  <c r="E643" i="1"/>
  <c r="E387" i="1"/>
  <c r="E115" i="1"/>
  <c r="E1031" i="1"/>
  <c r="E1406" i="1"/>
  <c r="E1342" i="1"/>
  <c r="E1278" i="1"/>
  <c r="E1214" i="1"/>
  <c r="E1150" i="1"/>
  <c r="E1086" i="1"/>
  <c r="E1022" i="1"/>
  <c r="E958" i="1"/>
  <c r="E894" i="1"/>
  <c r="E828" i="1"/>
  <c r="E654" i="1"/>
  <c r="E398" i="1"/>
  <c r="E107" i="1"/>
  <c r="E1095" i="1"/>
  <c r="E1393" i="1"/>
  <c r="E1329" i="1"/>
  <c r="E1265" i="1"/>
  <c r="E1201" i="1"/>
  <c r="E1137" i="1"/>
  <c r="E1073" i="1"/>
  <c r="E1009" i="1"/>
  <c r="E945" i="1"/>
  <c r="E881" i="1"/>
  <c r="E818" i="1"/>
  <c r="E571" i="1"/>
  <c r="E315" i="1"/>
  <c r="O119" i="10"/>
  <c r="D119" i="11" s="1"/>
  <c r="E1111" i="1"/>
  <c r="E785" i="1"/>
  <c r="E1364" i="1"/>
  <c r="E1300" i="1"/>
  <c r="E1236" i="1"/>
  <c r="E1172" i="1"/>
  <c r="E1108" i="1"/>
  <c r="E1044" i="1"/>
  <c r="E980" i="1"/>
  <c r="E916" i="1"/>
  <c r="E852" i="1"/>
  <c r="E794" i="1"/>
  <c r="E550" i="1"/>
  <c r="E294" i="1"/>
  <c r="E142" i="1"/>
  <c r="E78" i="1"/>
  <c r="E14" i="1"/>
  <c r="E761" i="1"/>
  <c r="E697" i="1"/>
  <c r="E633" i="1"/>
  <c r="E569" i="1"/>
  <c r="E505" i="1"/>
  <c r="E441" i="1"/>
  <c r="E377" i="1"/>
  <c r="E313" i="1"/>
  <c r="E249" i="1"/>
  <c r="E185" i="1"/>
  <c r="E121" i="1"/>
  <c r="E57" i="1"/>
  <c r="O120" i="10"/>
  <c r="D120" i="11" s="1"/>
  <c r="E764" i="1"/>
  <c r="E700" i="1"/>
  <c r="E636" i="1"/>
  <c r="E572" i="1"/>
  <c r="E508" i="1"/>
  <c r="E444" i="1"/>
  <c r="E380" i="1"/>
  <c r="E316" i="1"/>
  <c r="E252" i="1"/>
  <c r="E188" i="1"/>
  <c r="E124" i="1"/>
  <c r="E60" i="1"/>
  <c r="O70" i="10"/>
  <c r="D70" i="11" s="1"/>
  <c r="E767" i="1"/>
  <c r="E703" i="1"/>
  <c r="E639" i="1"/>
  <c r="E575" i="1"/>
  <c r="E511" i="1"/>
  <c r="E447" i="1"/>
  <c r="E383" i="1"/>
  <c r="E319" i="1"/>
  <c r="E255" i="1"/>
  <c r="E191" i="1"/>
  <c r="E127" i="1"/>
  <c r="E63" i="1"/>
  <c r="O126" i="10"/>
  <c r="D126" i="11" s="1"/>
  <c r="E754" i="1"/>
  <c r="E690" i="1"/>
  <c r="E626" i="1"/>
  <c r="E562" i="1"/>
  <c r="E498" i="1"/>
  <c r="E434" i="1"/>
  <c r="E370" i="1"/>
  <c r="E306" i="1"/>
  <c r="E242" i="1"/>
  <c r="E178" i="1"/>
  <c r="E114" i="1"/>
  <c r="E50" i="1"/>
  <c r="O3" i="10"/>
  <c r="D3" i="11" s="1"/>
  <c r="E773" i="1"/>
  <c r="E709" i="1"/>
  <c r="E645" i="1"/>
  <c r="E581" i="1"/>
  <c r="E517" i="1"/>
  <c r="E453" i="1"/>
  <c r="E389" i="1"/>
  <c r="E325" i="1"/>
  <c r="E261" i="1"/>
  <c r="E197" i="1"/>
  <c r="E133" i="1"/>
  <c r="E69" i="1"/>
  <c r="E5" i="1"/>
  <c r="E824" i="1"/>
  <c r="E760" i="1"/>
  <c r="E696" i="1"/>
  <c r="E632" i="1"/>
  <c r="E568" i="1"/>
  <c r="E504" i="1"/>
  <c r="E440" i="1"/>
  <c r="E376" i="1"/>
  <c r="E312" i="1"/>
  <c r="E248" i="1"/>
  <c r="E184" i="1"/>
  <c r="E120" i="1"/>
  <c r="E56" i="1"/>
  <c r="O95" i="10"/>
  <c r="D95" i="11" s="1"/>
  <c r="O49" i="10"/>
  <c r="D49" i="11" s="1"/>
  <c r="O88" i="10"/>
  <c r="D88" i="11" s="1"/>
  <c r="O142" i="10"/>
  <c r="D142" i="11" s="1"/>
  <c r="O77" i="10"/>
  <c r="D77" i="11" s="1"/>
  <c r="O146" i="10"/>
  <c r="D146" i="11" s="1"/>
  <c r="O15" i="10"/>
  <c r="D15" i="11" s="1"/>
  <c r="O54" i="10"/>
  <c r="D54" i="11" s="1"/>
  <c r="O45" i="10"/>
  <c r="D45" i="11" s="1"/>
  <c r="O133" i="10"/>
  <c r="D133" i="11" s="1"/>
  <c r="O115" i="10"/>
  <c r="D115" i="11" s="1"/>
  <c r="O151" i="10"/>
  <c r="D151" i="11" s="1"/>
  <c r="O18" i="10"/>
  <c r="D18" i="11" s="1"/>
  <c r="O101" i="10"/>
  <c r="D101" i="11" s="1"/>
  <c r="O103" i="10"/>
  <c r="D103" i="11" s="1"/>
  <c r="O14" i="10"/>
  <c r="D14" i="11" s="1"/>
  <c r="O39" i="10"/>
  <c r="D39" i="11" s="1"/>
  <c r="E879" i="1"/>
  <c r="E1397" i="1"/>
  <c r="E1333" i="1"/>
  <c r="E1269" i="1"/>
  <c r="E1205" i="1"/>
  <c r="E1141" i="1"/>
  <c r="E1077" i="1"/>
  <c r="E1013" i="1"/>
  <c r="E949" i="1"/>
  <c r="E885" i="1"/>
  <c r="E812" i="1"/>
  <c r="E651" i="1"/>
  <c r="E395" i="1"/>
  <c r="E131" i="1"/>
  <c r="E1151" i="1"/>
  <c r="E659" i="1"/>
  <c r="E1352" i="1"/>
  <c r="E1288" i="1"/>
  <c r="E1224" i="1"/>
  <c r="E1160" i="1"/>
  <c r="E1096" i="1"/>
  <c r="E1032" i="1"/>
  <c r="E968" i="1"/>
  <c r="E904" i="1"/>
  <c r="E835" i="1"/>
  <c r="E630" i="1"/>
  <c r="E374" i="1"/>
  <c r="E123" i="1"/>
  <c r="E927" i="1"/>
  <c r="E1387" i="1"/>
  <c r="E1323" i="1"/>
  <c r="E1259" i="1"/>
  <c r="E1195" i="1"/>
  <c r="E1131" i="1"/>
  <c r="E1067" i="1"/>
  <c r="E1003" i="1"/>
  <c r="E939" i="1"/>
  <c r="E875" i="1"/>
  <c r="E815" i="1"/>
  <c r="E611" i="1"/>
  <c r="E355" i="1"/>
  <c r="E51" i="1"/>
  <c r="E991" i="1"/>
  <c r="E1398" i="1"/>
  <c r="E1334" i="1"/>
  <c r="E1270" i="1"/>
  <c r="E1206" i="1"/>
  <c r="E1142" i="1"/>
  <c r="E1078" i="1"/>
  <c r="E1014" i="1"/>
  <c r="E950" i="1"/>
  <c r="E886" i="1"/>
  <c r="E823" i="1"/>
  <c r="E622" i="1"/>
  <c r="E366" i="1"/>
  <c r="E43" i="1"/>
  <c r="E1055" i="1"/>
  <c r="E1385" i="1"/>
  <c r="E1321" i="1"/>
  <c r="E1257" i="1"/>
  <c r="E1193" i="1"/>
  <c r="E1129" i="1"/>
  <c r="E1065" i="1"/>
  <c r="E1001" i="1"/>
  <c r="E937" i="1"/>
  <c r="E873" i="1"/>
  <c r="E787" i="1"/>
  <c r="E539" i="1"/>
  <c r="E283" i="1"/>
  <c r="E1399" i="1"/>
  <c r="E1087" i="1"/>
  <c r="E531" i="1"/>
  <c r="E1356" i="1"/>
  <c r="E1292" i="1"/>
  <c r="E1228" i="1"/>
  <c r="E1164" i="1"/>
  <c r="E1100" i="1"/>
  <c r="E1036" i="1"/>
  <c r="E972" i="1"/>
  <c r="E908" i="1"/>
  <c r="E844" i="1"/>
  <c r="E774" i="1"/>
  <c r="E518" i="1"/>
  <c r="E262" i="1"/>
  <c r="E134" i="1"/>
  <c r="E70" i="1"/>
  <c r="E6" i="1"/>
  <c r="E753" i="1"/>
  <c r="E689" i="1"/>
  <c r="E625" i="1"/>
  <c r="E561" i="1"/>
  <c r="E497" i="1"/>
  <c r="E433" i="1"/>
  <c r="E369" i="1"/>
  <c r="E305" i="1"/>
  <c r="E241" i="1"/>
  <c r="E177" i="1"/>
  <c r="E113" i="1"/>
  <c r="E49" i="1"/>
  <c r="O167" i="10"/>
  <c r="D167" i="11" s="1"/>
  <c r="E756" i="1"/>
  <c r="E692" i="1"/>
  <c r="E628" i="1"/>
  <c r="E564" i="1"/>
  <c r="E500" i="1"/>
  <c r="E436" i="1"/>
  <c r="E372" i="1"/>
  <c r="E308" i="1"/>
  <c r="E244" i="1"/>
  <c r="E180" i="1"/>
  <c r="E116" i="1"/>
  <c r="E52" i="1"/>
  <c r="O17" i="10"/>
  <c r="D17" i="11" s="1"/>
  <c r="E759" i="1"/>
  <c r="E695" i="1"/>
  <c r="E631" i="1"/>
  <c r="E567" i="1"/>
  <c r="E503" i="1"/>
  <c r="E439" i="1"/>
  <c r="E375" i="1"/>
  <c r="E311" i="1"/>
  <c r="E247" i="1"/>
  <c r="E183" i="1"/>
  <c r="E119" i="1"/>
  <c r="E55" i="1"/>
  <c r="O155" i="10"/>
  <c r="D155" i="11" s="1"/>
  <c r="E746" i="1"/>
  <c r="E682" i="1"/>
  <c r="E618" i="1"/>
  <c r="E554" i="1"/>
  <c r="E490" i="1"/>
  <c r="E426" i="1"/>
  <c r="E362" i="1"/>
  <c r="E298" i="1"/>
  <c r="E234" i="1"/>
  <c r="E170" i="1"/>
  <c r="E106" i="1"/>
  <c r="E42" i="1"/>
  <c r="O10" i="10"/>
  <c r="D10" i="11" s="1"/>
  <c r="E765" i="1"/>
  <c r="E701" i="1"/>
  <c r="E637" i="1"/>
  <c r="E573" i="1"/>
  <c r="E509" i="1"/>
  <c r="E445" i="1"/>
  <c r="E381" i="1"/>
  <c r="E317" i="1"/>
  <c r="E253" i="1"/>
  <c r="E189" i="1"/>
  <c r="E125" i="1"/>
  <c r="E61" i="1"/>
  <c r="O143" i="10"/>
  <c r="D143" i="11" s="1"/>
  <c r="E816" i="1"/>
  <c r="E752" i="1"/>
  <c r="E688" i="1"/>
  <c r="E624" i="1"/>
  <c r="E560" i="1"/>
  <c r="E496" i="1"/>
  <c r="E432" i="1"/>
  <c r="E368" i="1"/>
  <c r="E304" i="1"/>
  <c r="E240" i="1"/>
  <c r="E176" i="1"/>
  <c r="E112" i="1"/>
  <c r="E48" i="1"/>
  <c r="O44" i="10"/>
  <c r="D44" i="11" s="1"/>
  <c r="O89" i="10"/>
  <c r="D89" i="11" s="1"/>
  <c r="O106" i="10"/>
  <c r="D106" i="11" s="1"/>
  <c r="O34" i="10"/>
  <c r="D34" i="11" s="1"/>
  <c r="O35" i="10"/>
  <c r="D35" i="11" s="1"/>
  <c r="O25" i="10"/>
  <c r="D25" i="11" s="1"/>
  <c r="O55" i="10"/>
  <c r="D55" i="11" s="1"/>
  <c r="O74" i="10"/>
  <c r="D74" i="11" s="1"/>
  <c r="O168" i="10"/>
  <c r="D168" i="11" s="1"/>
  <c r="O169" i="10"/>
  <c r="D169" i="11" s="1"/>
  <c r="O94" i="10"/>
  <c r="D94" i="11" s="1"/>
  <c r="O19" i="10"/>
  <c r="D19" i="11" s="1"/>
  <c r="O20" i="10"/>
  <c r="D20" i="11" s="1"/>
  <c r="O137" i="10"/>
  <c r="D137" i="11" s="1"/>
  <c r="O59" i="10"/>
  <c r="D59" i="11" s="1"/>
  <c r="O63" i="10"/>
  <c r="D63" i="11" s="1"/>
  <c r="O102" i="10"/>
  <c r="D102" i="11" s="1"/>
  <c r="E1375" i="1"/>
  <c r="E755" i="1"/>
  <c r="E1378" i="1"/>
  <c r="E1314" i="1"/>
  <c r="E1250" i="1"/>
  <c r="E1186" i="1"/>
  <c r="E1122" i="1"/>
  <c r="E1058" i="1"/>
  <c r="E994" i="1"/>
  <c r="E930" i="1"/>
  <c r="E866" i="1"/>
  <c r="E790" i="1"/>
  <c r="E542" i="1"/>
  <c r="E286" i="1"/>
  <c r="E1271" i="1"/>
  <c r="E829" i="1"/>
  <c r="E1389" i="1"/>
  <c r="E1325" i="1"/>
  <c r="E1261" i="1"/>
  <c r="E1197" i="1"/>
  <c r="E1133" i="1"/>
  <c r="E1069" i="1"/>
  <c r="E1005" i="1"/>
  <c r="E941" i="1"/>
  <c r="E877" i="1"/>
  <c r="E807" i="1"/>
  <c r="E619" i="1"/>
  <c r="E363" i="1"/>
  <c r="E67" i="1"/>
  <c r="E1047" i="1"/>
  <c r="E499" i="1"/>
  <c r="E1344" i="1"/>
  <c r="E1280" i="1"/>
  <c r="E1216" i="1"/>
  <c r="E1152" i="1"/>
  <c r="E1088" i="1"/>
  <c r="E1024" i="1"/>
  <c r="E960" i="1"/>
  <c r="E896" i="1"/>
  <c r="E830" i="1"/>
  <c r="E598" i="1"/>
  <c r="E342" i="1"/>
  <c r="E59" i="1"/>
  <c r="E887" i="1"/>
  <c r="E1379" i="1"/>
  <c r="E1315" i="1"/>
  <c r="E1251" i="1"/>
  <c r="E1187" i="1"/>
  <c r="E1123" i="1"/>
  <c r="E1059" i="1"/>
  <c r="E995" i="1"/>
  <c r="E931" i="1"/>
  <c r="E867" i="1"/>
  <c r="E810" i="1"/>
  <c r="E579" i="1"/>
  <c r="E323" i="1"/>
  <c r="O66" i="10"/>
  <c r="D66" i="11" s="1"/>
  <c r="E943" i="1"/>
  <c r="E1390" i="1"/>
  <c r="E1326" i="1"/>
  <c r="E1262" i="1"/>
  <c r="E1198" i="1"/>
  <c r="E1134" i="1"/>
  <c r="E1070" i="1"/>
  <c r="E1006" i="1"/>
  <c r="E942" i="1"/>
  <c r="E878" i="1"/>
  <c r="E803" i="1"/>
  <c r="E590" i="1"/>
  <c r="E334" i="1"/>
  <c r="O64" i="10"/>
  <c r="D64" i="11" s="1"/>
  <c r="E1007" i="1"/>
  <c r="E1377" i="1"/>
  <c r="E1313" i="1"/>
  <c r="E1249" i="1"/>
  <c r="E1185" i="1"/>
  <c r="E1121" i="1"/>
  <c r="E1057" i="1"/>
  <c r="E993" i="1"/>
  <c r="E929" i="1"/>
  <c r="E865" i="1"/>
  <c r="E763" i="1"/>
  <c r="E507" i="1"/>
  <c r="E251" i="1"/>
  <c r="E1351" i="1"/>
  <c r="E1039" i="1"/>
  <c r="E307" i="1"/>
  <c r="E1348" i="1"/>
  <c r="E1284" i="1"/>
  <c r="E1220" i="1"/>
  <c r="E1156" i="1"/>
  <c r="E1092" i="1"/>
  <c r="E1028" i="1"/>
  <c r="E964" i="1"/>
  <c r="E900" i="1"/>
  <c r="E839" i="1"/>
  <c r="E742" i="1"/>
  <c r="E486" i="1"/>
  <c r="E230" i="1"/>
  <c r="E126" i="1"/>
  <c r="E62" i="1"/>
  <c r="O61" i="10"/>
  <c r="D61" i="11" s="1"/>
  <c r="E745" i="1"/>
  <c r="E681" i="1"/>
  <c r="E617" i="1"/>
  <c r="E553" i="1"/>
  <c r="E489" i="1"/>
  <c r="E425" i="1"/>
  <c r="E361" i="1"/>
  <c r="E297" i="1"/>
  <c r="E233" i="1"/>
  <c r="E169" i="1"/>
  <c r="E105" i="1"/>
  <c r="E41" i="1"/>
  <c r="O154" i="10"/>
  <c r="D154" i="11" s="1"/>
  <c r="E748" i="1"/>
  <c r="E684" i="1"/>
  <c r="E620" i="1"/>
  <c r="E556" i="1"/>
  <c r="E492" i="1"/>
  <c r="E428" i="1"/>
  <c r="E364" i="1"/>
  <c r="E300" i="1"/>
  <c r="E236" i="1"/>
  <c r="E172" i="1"/>
  <c r="E108" i="1"/>
  <c r="E44" i="1"/>
  <c r="O71" i="10"/>
  <c r="D71" i="11" s="1"/>
  <c r="E751" i="1"/>
  <c r="E687" i="1"/>
  <c r="E623" i="1"/>
  <c r="E559" i="1"/>
  <c r="E495" i="1"/>
  <c r="E431" i="1"/>
  <c r="E367" i="1"/>
  <c r="E303" i="1"/>
  <c r="E239" i="1"/>
  <c r="E175" i="1"/>
  <c r="E111" i="1"/>
  <c r="E47" i="1"/>
  <c r="O21" i="10"/>
  <c r="D21" i="11" s="1"/>
  <c r="E738" i="1"/>
  <c r="E674" i="1"/>
  <c r="E610" i="1"/>
  <c r="E546" i="1"/>
  <c r="E482" i="1"/>
  <c r="E418" i="1"/>
  <c r="E354" i="1"/>
  <c r="E290" i="1"/>
  <c r="E226" i="1"/>
  <c r="E162" i="1"/>
  <c r="E98" i="1"/>
  <c r="E34" i="1"/>
  <c r="O93" i="10"/>
  <c r="D93" i="11" s="1"/>
  <c r="E757" i="1"/>
  <c r="E693" i="1"/>
  <c r="E629" i="1"/>
  <c r="E565" i="1"/>
  <c r="E501" i="1"/>
  <c r="E437" i="1"/>
  <c r="E373" i="1"/>
  <c r="E309" i="1"/>
  <c r="E245" i="1"/>
  <c r="E181" i="1"/>
  <c r="E117" i="1"/>
  <c r="E53" i="1"/>
  <c r="O24" i="10"/>
  <c r="D24" i="11" s="1"/>
  <c r="E808" i="1"/>
  <c r="E744" i="1"/>
  <c r="E680" i="1"/>
  <c r="E616" i="1"/>
  <c r="E552" i="1"/>
  <c r="E488" i="1"/>
  <c r="E424" i="1"/>
  <c r="E360" i="1"/>
  <c r="E296" i="1"/>
  <c r="E232" i="1"/>
  <c r="E168" i="1"/>
  <c r="E104" i="1"/>
  <c r="E40" i="1"/>
  <c r="O163" i="10"/>
  <c r="D163" i="11" s="1"/>
  <c r="O11" i="10"/>
  <c r="D11" i="11" s="1"/>
  <c r="O83" i="10"/>
  <c r="D83" i="11" s="1"/>
  <c r="O53" i="10"/>
  <c r="D53" i="11" s="1"/>
  <c r="O141" i="10"/>
  <c r="D141" i="11" s="1"/>
  <c r="O57" i="10"/>
  <c r="D57" i="11" s="1"/>
  <c r="O5" i="10"/>
  <c r="D5" i="11" s="1"/>
  <c r="O150" i="10"/>
  <c r="D150" i="11" s="1"/>
  <c r="O109" i="10"/>
  <c r="D109" i="11" s="1"/>
  <c r="O111" i="10"/>
  <c r="D111" i="11" s="1"/>
  <c r="O160" i="10"/>
  <c r="D160" i="11" s="1"/>
  <c r="O58" i="10"/>
  <c r="D58" i="11" s="1"/>
  <c r="O130" i="10"/>
  <c r="D130" i="11" s="1"/>
  <c r="O79" i="10"/>
  <c r="D79" i="11" s="1"/>
  <c r="O80" i="10"/>
  <c r="D80" i="11" s="1"/>
  <c r="O37" i="10"/>
  <c r="D37" i="11" s="1"/>
  <c r="O108" i="10"/>
  <c r="D108" i="11" s="1"/>
  <c r="E1295" i="1"/>
  <c r="E595" i="1"/>
  <c r="E1370" i="1"/>
  <c r="E1306" i="1"/>
  <c r="E1242" i="1"/>
  <c r="E1178" i="1"/>
  <c r="E1114" i="1"/>
  <c r="E1050" i="1"/>
  <c r="E986" i="1"/>
  <c r="E922" i="1"/>
  <c r="E858" i="1"/>
  <c r="E766" i="1"/>
  <c r="E510" i="1"/>
  <c r="E254" i="1"/>
  <c r="E1247" i="1"/>
  <c r="E435" i="1"/>
  <c r="E1381" i="1"/>
  <c r="E1317" i="1"/>
  <c r="E1253" i="1"/>
  <c r="E1189" i="1"/>
  <c r="E1125" i="1"/>
  <c r="E1061" i="1"/>
  <c r="E997" i="1"/>
  <c r="E933" i="1"/>
  <c r="E869" i="1"/>
  <c r="E802" i="1"/>
  <c r="E587" i="1"/>
  <c r="E331" i="1"/>
  <c r="E3" i="1"/>
  <c r="E1023" i="1"/>
  <c r="E1400" i="1"/>
  <c r="E1336" i="1"/>
  <c r="E1272" i="1"/>
  <c r="E1208" i="1"/>
  <c r="E1144" i="1"/>
  <c r="E1080" i="1"/>
  <c r="E1016" i="1"/>
  <c r="E952" i="1"/>
  <c r="E888" i="1"/>
  <c r="E817" i="1"/>
  <c r="E566" i="1"/>
  <c r="E310" i="1"/>
  <c r="E1359" i="1"/>
  <c r="E863" i="1"/>
  <c r="E1371" i="1"/>
  <c r="E1307" i="1"/>
  <c r="E1243" i="1"/>
  <c r="E1179" i="1"/>
  <c r="E1115" i="1"/>
  <c r="E1051" i="1"/>
  <c r="E987" i="1"/>
  <c r="E923" i="1"/>
  <c r="E859" i="1"/>
  <c r="E793" i="1"/>
  <c r="E547" i="1"/>
  <c r="E291" i="1"/>
  <c r="E1367" i="1"/>
  <c r="E919" i="1"/>
  <c r="E1382" i="1"/>
  <c r="E1318" i="1"/>
  <c r="E1254" i="1"/>
  <c r="E1190" i="1"/>
  <c r="E1126" i="1"/>
  <c r="E1062" i="1"/>
  <c r="E998" i="1"/>
  <c r="E934" i="1"/>
  <c r="E870" i="1"/>
  <c r="E798" i="1"/>
  <c r="E558" i="1"/>
  <c r="E302" i="1"/>
  <c r="E1383" i="1"/>
  <c r="E951" i="1"/>
  <c r="E1369" i="1"/>
  <c r="E1305" i="1"/>
  <c r="E1241" i="1"/>
  <c r="E1177" i="1"/>
  <c r="E1113" i="1"/>
  <c r="E1049" i="1"/>
  <c r="E985" i="1"/>
  <c r="E921" i="1"/>
  <c r="E857" i="1"/>
  <c r="E731" i="1"/>
  <c r="E475" i="1"/>
  <c r="E219" i="1"/>
  <c r="E1327" i="1"/>
  <c r="E999" i="1"/>
  <c r="E1404" i="1"/>
  <c r="E1340" i="1"/>
  <c r="E1276" i="1"/>
  <c r="E1212" i="1"/>
  <c r="E1148" i="1"/>
  <c r="E1084" i="1"/>
  <c r="E1020" i="1"/>
  <c r="E956" i="1"/>
  <c r="E892" i="1"/>
  <c r="E826" i="1"/>
  <c r="E710" i="1"/>
  <c r="E454" i="1"/>
  <c r="E198" i="1"/>
  <c r="E118" i="1"/>
  <c r="E54" i="1"/>
  <c r="O166" i="10"/>
  <c r="D166" i="11" s="1"/>
  <c r="E737" i="1"/>
  <c r="E673" i="1"/>
  <c r="E609" i="1"/>
  <c r="E545" i="1"/>
  <c r="E481" i="1"/>
  <c r="E417" i="1"/>
  <c r="E353" i="1"/>
  <c r="E289" i="1"/>
  <c r="E225" i="1"/>
  <c r="E161" i="1"/>
  <c r="E97" i="1"/>
  <c r="E33" i="1"/>
  <c r="O56" i="10"/>
  <c r="D56" i="11" s="1"/>
  <c r="E740" i="1"/>
  <c r="E676" i="1"/>
  <c r="E612" i="1"/>
  <c r="E548" i="1"/>
  <c r="E484" i="1"/>
  <c r="E420" i="1"/>
  <c r="E356" i="1"/>
  <c r="E292" i="1"/>
  <c r="E228" i="1"/>
  <c r="E164" i="1"/>
  <c r="E100" i="1"/>
  <c r="E36" i="1"/>
  <c r="O36" i="10"/>
  <c r="D36" i="11" s="1"/>
  <c r="E743" i="1"/>
  <c r="E679" i="1"/>
  <c r="E615" i="1"/>
  <c r="E551" i="1"/>
  <c r="E487" i="1"/>
  <c r="E423" i="1"/>
  <c r="E359" i="1"/>
  <c r="E295" i="1"/>
  <c r="E231" i="1"/>
  <c r="E167" i="1"/>
  <c r="E103" i="1"/>
  <c r="E39" i="1"/>
  <c r="O114" i="10"/>
  <c r="D114" i="11" s="1"/>
  <c r="E730" i="1"/>
  <c r="E666" i="1"/>
  <c r="E602" i="1"/>
  <c r="E538" i="1"/>
  <c r="E474" i="1"/>
  <c r="E410" i="1"/>
  <c r="E346" i="1"/>
  <c r="E282" i="1"/>
  <c r="E218" i="1"/>
  <c r="E154" i="1"/>
  <c r="E90" i="1"/>
  <c r="E26" i="1"/>
  <c r="E813" i="1"/>
  <c r="E749" i="1"/>
  <c r="E685" i="1"/>
  <c r="E621" i="1"/>
  <c r="E557" i="1"/>
  <c r="E493" i="1"/>
  <c r="E429" i="1"/>
  <c r="E365" i="1"/>
  <c r="E301" i="1"/>
  <c r="E237" i="1"/>
  <c r="E173" i="1"/>
  <c r="E109" i="1"/>
  <c r="E45" i="1"/>
  <c r="O144" i="10"/>
  <c r="D144" i="11" s="1"/>
  <c r="E800" i="1"/>
  <c r="E736" i="1"/>
  <c r="E672" i="1"/>
  <c r="E608" i="1"/>
  <c r="E544" i="1"/>
  <c r="E480" i="1"/>
  <c r="E416" i="1"/>
  <c r="E352" i="1"/>
  <c r="E288" i="1"/>
  <c r="E224" i="1"/>
  <c r="E160" i="1"/>
  <c r="E96" i="1"/>
  <c r="E32" i="1"/>
  <c r="O131" i="10"/>
  <c r="D131" i="11" s="1"/>
  <c r="O159" i="10"/>
  <c r="D159" i="11" s="1"/>
  <c r="O86" i="10"/>
  <c r="D86" i="11" s="1"/>
  <c r="O8" i="10"/>
  <c r="D8" i="11" s="1"/>
  <c r="O29" i="10"/>
  <c r="D29" i="11" s="1"/>
  <c r="O148" i="10"/>
  <c r="D148" i="11" s="1"/>
  <c r="O128" i="10"/>
  <c r="D128" i="11" s="1"/>
  <c r="O38" i="10"/>
  <c r="D38" i="11" s="1"/>
  <c r="O145" i="10"/>
  <c r="D145" i="11" s="1"/>
  <c r="O85" i="10"/>
  <c r="D85" i="11" s="1"/>
  <c r="O127" i="10"/>
  <c r="D127" i="11" s="1"/>
  <c r="O97" i="10"/>
  <c r="D97" i="11" s="1"/>
  <c r="O156" i="10"/>
  <c r="D156" i="11" s="1"/>
  <c r="O78" i="10"/>
  <c r="D78" i="11" s="1"/>
  <c r="O51" i="10"/>
  <c r="D51" i="11" s="1"/>
  <c r="O116" i="10"/>
  <c r="D116" i="11" s="1"/>
  <c r="O30" i="10"/>
  <c r="D30" i="11" s="1"/>
  <c r="E1239" i="1"/>
  <c r="E403" i="1"/>
  <c r="E1362" i="1"/>
  <c r="E1298" i="1"/>
  <c r="E1234" i="1"/>
  <c r="E1170" i="1"/>
  <c r="E1106" i="1"/>
  <c r="E1042" i="1"/>
  <c r="E978" i="1"/>
  <c r="E914" i="1"/>
  <c r="E850" i="1"/>
  <c r="E734" i="1"/>
  <c r="E478" i="1"/>
  <c r="E222" i="1"/>
  <c r="E1167" i="1"/>
  <c r="E339" i="1"/>
  <c r="E1373" i="1"/>
  <c r="E1309" i="1"/>
  <c r="E1245" i="1"/>
  <c r="E1181" i="1"/>
  <c r="E1117" i="1"/>
  <c r="E1053" i="1"/>
  <c r="E989" i="1"/>
  <c r="E925" i="1"/>
  <c r="E861" i="1"/>
  <c r="E795" i="1"/>
  <c r="E555" i="1"/>
  <c r="E299" i="1"/>
  <c r="E1391" i="1"/>
  <c r="E983" i="1"/>
  <c r="E1392" i="1"/>
  <c r="E1328" i="1"/>
  <c r="E1264" i="1"/>
  <c r="E1200" i="1"/>
  <c r="E1136" i="1"/>
  <c r="E1072" i="1"/>
  <c r="E1008" i="1"/>
  <c r="E944" i="1"/>
  <c r="E880" i="1"/>
  <c r="E786" i="1"/>
  <c r="E534" i="1"/>
  <c r="E278" i="1"/>
  <c r="E1335" i="1"/>
  <c r="E627" i="1"/>
  <c r="E1363" i="1"/>
  <c r="E1299" i="1"/>
  <c r="E1235" i="1"/>
  <c r="E1171" i="1"/>
  <c r="E1107" i="1"/>
  <c r="E1043" i="1"/>
  <c r="E979" i="1"/>
  <c r="E915" i="1"/>
  <c r="E851" i="1"/>
  <c r="E771" i="1"/>
  <c r="E515" i="1"/>
  <c r="E259" i="1"/>
  <c r="E1343" i="1"/>
  <c r="E871" i="1"/>
  <c r="E1374" i="1"/>
  <c r="E1310" i="1"/>
  <c r="E1246" i="1"/>
  <c r="E1182" i="1"/>
  <c r="E1118" i="1"/>
  <c r="E1054" i="1"/>
  <c r="E990" i="1"/>
  <c r="E926" i="1"/>
  <c r="E862" i="1"/>
  <c r="E782" i="1"/>
  <c r="E526" i="1"/>
  <c r="E270" i="1"/>
  <c r="E1263" i="1"/>
  <c r="E903" i="1"/>
  <c r="E1361" i="1"/>
  <c r="E1297" i="1"/>
  <c r="E1233" i="1"/>
  <c r="E1169" i="1"/>
  <c r="E1105" i="1"/>
  <c r="E1041" i="1"/>
  <c r="E977" i="1"/>
  <c r="E913" i="1"/>
  <c r="E849" i="1"/>
  <c r="E699" i="1"/>
  <c r="E443" i="1"/>
  <c r="E187" i="1"/>
  <c r="E1303" i="1"/>
  <c r="E975" i="1"/>
  <c r="E1396" i="1"/>
  <c r="E1332" i="1"/>
  <c r="E1268" i="1"/>
  <c r="E1204" i="1"/>
  <c r="E1140" i="1"/>
  <c r="E1076" i="1"/>
  <c r="E1012" i="1"/>
  <c r="E948" i="1"/>
  <c r="E884" i="1"/>
  <c r="E821" i="1"/>
  <c r="E678" i="1"/>
  <c r="E422" i="1"/>
  <c r="E166" i="1"/>
  <c r="E110" i="1"/>
  <c r="E46" i="1"/>
  <c r="O16" i="10"/>
  <c r="D16" i="11" s="1"/>
  <c r="E729" i="1"/>
  <c r="E665" i="1"/>
  <c r="E601" i="1"/>
  <c r="E537" i="1"/>
  <c r="E473" i="1"/>
  <c r="E409" i="1"/>
  <c r="E345" i="1"/>
  <c r="E281" i="1"/>
  <c r="E217" i="1"/>
  <c r="E153" i="1"/>
  <c r="E89" i="1"/>
  <c r="E25" i="1"/>
  <c r="E796" i="1"/>
  <c r="E732" i="1"/>
  <c r="E668" i="1"/>
  <c r="E604" i="1"/>
  <c r="E540" i="1"/>
  <c r="E476" i="1"/>
  <c r="E412" i="1"/>
  <c r="E348" i="1"/>
  <c r="E284" i="1"/>
  <c r="E220" i="1"/>
  <c r="E156" i="1"/>
  <c r="E92" i="1"/>
  <c r="E28" i="1"/>
  <c r="O123" i="10"/>
  <c r="D123" i="11" s="1"/>
  <c r="E735" i="1"/>
  <c r="E671" i="1"/>
  <c r="E607" i="1"/>
  <c r="E543" i="1"/>
  <c r="E479" i="1"/>
  <c r="E415" i="1"/>
  <c r="E351" i="1"/>
  <c r="E287" i="1"/>
  <c r="E223" i="1"/>
  <c r="E159" i="1"/>
  <c r="E95" i="1"/>
  <c r="E31" i="1"/>
  <c r="O162" i="10"/>
  <c r="D162" i="11" s="1"/>
  <c r="E722" i="1"/>
  <c r="E658" i="1"/>
  <c r="E594" i="1"/>
  <c r="E530" i="1"/>
  <c r="E466" i="1"/>
  <c r="E402" i="1"/>
  <c r="E338" i="1"/>
  <c r="E274" i="1"/>
  <c r="E210" i="1"/>
  <c r="E146" i="1"/>
  <c r="E82" i="1"/>
  <c r="E18" i="1"/>
  <c r="E805" i="1"/>
  <c r="E741" i="1"/>
  <c r="E677" i="1"/>
  <c r="E613" i="1"/>
  <c r="E549" i="1"/>
  <c r="E485" i="1"/>
  <c r="E421" i="1"/>
  <c r="E357" i="1"/>
  <c r="E293" i="1"/>
  <c r="E229" i="1"/>
  <c r="E165" i="1"/>
  <c r="E101" i="1"/>
  <c r="E37" i="1"/>
  <c r="O99" i="10"/>
  <c r="D99" i="11" s="1"/>
  <c r="E792" i="1"/>
  <c r="E728" i="1"/>
  <c r="E664" i="1"/>
  <c r="E600" i="1"/>
  <c r="E536" i="1"/>
  <c r="E472" i="1"/>
  <c r="E408" i="1"/>
  <c r="E344" i="1"/>
  <c r="E280" i="1"/>
  <c r="E216" i="1"/>
  <c r="E152" i="1"/>
  <c r="E88" i="1"/>
  <c r="E24" i="1"/>
  <c r="O75" i="10"/>
  <c r="D75" i="11" s="1"/>
  <c r="O13" i="10"/>
  <c r="D13" i="11" s="1"/>
  <c r="O82" i="10"/>
  <c r="D82" i="11" s="1"/>
  <c r="O117" i="10"/>
  <c r="D117" i="11" s="1"/>
  <c r="O152" i="10"/>
  <c r="D152" i="11" s="1"/>
  <c r="O132" i="10"/>
  <c r="D132" i="11" s="1"/>
  <c r="O67" i="10"/>
  <c r="D67" i="11" s="1"/>
  <c r="O47" i="10"/>
  <c r="D47" i="11" s="1"/>
  <c r="O87" i="10"/>
  <c r="D87" i="11" s="1"/>
  <c r="O121" i="10"/>
  <c r="D121" i="11" s="1"/>
  <c r="O31" i="10"/>
  <c r="D31" i="11" s="1"/>
  <c r="O33" i="10"/>
  <c r="D33" i="11" s="1"/>
  <c r="O124" i="10"/>
  <c r="D124" i="11" s="1"/>
  <c r="O52" i="10"/>
  <c r="D52" i="11" s="1"/>
  <c r="O90" i="10"/>
  <c r="D90" i="11" s="1"/>
  <c r="O140" i="10"/>
  <c r="D140" i="11" s="1"/>
  <c r="O23" i="10"/>
  <c r="D23" i="11" s="1"/>
  <c r="E1215" i="1"/>
  <c r="E211" i="1"/>
  <c r="E1354" i="1"/>
  <c r="E1290" i="1"/>
  <c r="E1226" i="1"/>
  <c r="E1162" i="1"/>
  <c r="E1098" i="1"/>
  <c r="E1034" i="1"/>
  <c r="E970" i="1"/>
  <c r="E906" i="1"/>
  <c r="E842" i="1"/>
  <c r="E702" i="1"/>
  <c r="E446" i="1"/>
  <c r="E190" i="1"/>
  <c r="E1127" i="1"/>
  <c r="E275" i="1"/>
  <c r="E1365" i="1"/>
  <c r="E1301" i="1"/>
  <c r="E1237" i="1"/>
  <c r="E1173" i="1"/>
  <c r="E1109" i="1"/>
  <c r="E1045" i="1"/>
  <c r="E981" i="1"/>
  <c r="E917" i="1"/>
  <c r="E853" i="1"/>
  <c r="E779" i="1"/>
  <c r="E523" i="1"/>
  <c r="E267" i="1"/>
  <c r="E1319" i="1"/>
  <c r="E959" i="1"/>
  <c r="E1384" i="1"/>
  <c r="E1320" i="1"/>
  <c r="E1256" i="1"/>
  <c r="E1192" i="1"/>
  <c r="E1128" i="1"/>
  <c r="E1064" i="1"/>
  <c r="E1000" i="1"/>
  <c r="E936" i="1"/>
  <c r="E872" i="1"/>
  <c r="E758" i="1"/>
  <c r="E502" i="1"/>
  <c r="E246" i="1"/>
  <c r="E1311" i="1"/>
  <c r="E467" i="1"/>
  <c r="E1355" i="1"/>
  <c r="E1291" i="1"/>
  <c r="E1227" i="1"/>
  <c r="E1163" i="1"/>
  <c r="E1099" i="1"/>
  <c r="E1035" i="1"/>
  <c r="E971" i="1"/>
  <c r="E907" i="1"/>
  <c r="E843" i="1"/>
  <c r="E739" i="1"/>
  <c r="E483" i="1"/>
  <c r="E227" i="1"/>
  <c r="E1287" i="1"/>
  <c r="E723" i="1"/>
  <c r="E1366" i="1"/>
  <c r="E1302" i="1"/>
  <c r="E1238" i="1"/>
  <c r="E1174" i="1"/>
  <c r="E1110" i="1"/>
  <c r="E1046" i="1"/>
  <c r="E982" i="1"/>
  <c r="E918" i="1"/>
  <c r="E854" i="1"/>
  <c r="E750" i="1"/>
  <c r="E494" i="1"/>
  <c r="E238" i="1"/>
  <c r="E1199" i="1"/>
  <c r="E691" i="1"/>
  <c r="E1353" i="1"/>
  <c r="E1289" i="1"/>
  <c r="E1225" i="1"/>
  <c r="E1161" i="1"/>
  <c r="E1097" i="1"/>
  <c r="E1033" i="1"/>
  <c r="E969" i="1"/>
  <c r="E905" i="1"/>
  <c r="E841" i="1"/>
  <c r="E667" i="1"/>
  <c r="E411" i="1"/>
  <c r="E155" i="1"/>
  <c r="E1231" i="1"/>
  <c r="E935" i="1"/>
  <c r="E1388" i="1"/>
  <c r="E1324" i="1"/>
  <c r="E1260" i="1"/>
  <c r="E1196" i="1"/>
  <c r="E1132" i="1"/>
  <c r="E1068" i="1"/>
  <c r="E1004" i="1"/>
  <c r="E940" i="1"/>
  <c r="E876" i="1"/>
  <c r="E811" i="1"/>
  <c r="E646" i="1"/>
  <c r="E390" i="1"/>
  <c r="E91" i="1"/>
  <c r="E102" i="1"/>
  <c r="E38" i="1"/>
  <c r="O9" i="10"/>
  <c r="D9" i="11" s="1"/>
  <c r="E721" i="1"/>
  <c r="E657" i="1"/>
  <c r="E593" i="1"/>
  <c r="E529" i="1"/>
  <c r="E465" i="1"/>
  <c r="E401" i="1"/>
  <c r="E337" i="1"/>
  <c r="E273" i="1"/>
  <c r="E209" i="1"/>
  <c r="E145" i="1"/>
  <c r="E81" i="1"/>
  <c r="E17" i="1"/>
  <c r="E788" i="1"/>
  <c r="E724" i="1"/>
  <c r="E660" i="1"/>
  <c r="E596" i="1"/>
  <c r="E532" i="1"/>
  <c r="E468" i="1"/>
  <c r="E404" i="1"/>
  <c r="E340" i="1"/>
  <c r="E276" i="1"/>
  <c r="E212" i="1"/>
  <c r="E148" i="1"/>
  <c r="E84" i="1"/>
  <c r="E20" i="1"/>
  <c r="E791" i="1"/>
  <c r="E727" i="1"/>
  <c r="E663" i="1"/>
  <c r="E599" i="1"/>
  <c r="E535" i="1"/>
  <c r="E471" i="1"/>
  <c r="E407" i="1"/>
  <c r="E343" i="1"/>
  <c r="E279" i="1"/>
  <c r="E215" i="1"/>
  <c r="E151" i="1"/>
  <c r="E87" i="1"/>
  <c r="E23" i="1"/>
  <c r="E778" i="1"/>
  <c r="E714" i="1"/>
  <c r="E650" i="1"/>
  <c r="E586" i="1"/>
  <c r="E522" i="1"/>
  <c r="E458" i="1"/>
  <c r="E394" i="1"/>
  <c r="E330" i="1"/>
  <c r="E266" i="1"/>
  <c r="E202" i="1"/>
  <c r="E138" i="1"/>
  <c r="E74" i="1"/>
  <c r="E10" i="1"/>
  <c r="E797" i="1"/>
  <c r="E733" i="1"/>
  <c r="E669" i="1"/>
  <c r="E605" i="1"/>
  <c r="E541" i="1"/>
  <c r="E477" i="1"/>
  <c r="E413" i="1"/>
  <c r="E349" i="1"/>
  <c r="E285" i="1"/>
  <c r="E221" i="1"/>
  <c r="E157" i="1"/>
  <c r="E93" i="1"/>
  <c r="E29" i="1"/>
  <c r="O96" i="10"/>
  <c r="D96" i="11" s="1"/>
  <c r="E784" i="1"/>
  <c r="E720" i="1"/>
  <c r="E656" i="1"/>
  <c r="E592" i="1"/>
  <c r="E528" i="1"/>
  <c r="E464" i="1"/>
  <c r="E400" i="1"/>
  <c r="E336" i="1"/>
  <c r="E272" i="1"/>
  <c r="E208" i="1"/>
  <c r="E144" i="1"/>
  <c r="E80" i="1"/>
  <c r="E16" i="1"/>
  <c r="O135" i="10"/>
  <c r="D135" i="11" s="1"/>
  <c r="O136" i="10"/>
  <c r="D136" i="11" s="1"/>
  <c r="O22" i="10"/>
  <c r="D22" i="11" s="1"/>
  <c r="O153" i="10"/>
  <c r="D153" i="11" s="1"/>
  <c r="O2" i="10"/>
  <c r="D2" i="11" s="1"/>
  <c r="O104" i="10"/>
  <c r="D104" i="11" s="1"/>
  <c r="O105" i="10"/>
  <c r="D105" i="11" s="1"/>
  <c r="O98" i="10"/>
  <c r="D98" i="11" s="1"/>
  <c r="O122" i="10"/>
  <c r="D122" i="11" s="1"/>
  <c r="O139" i="10"/>
  <c r="D139" i="11" s="1"/>
  <c r="O72" i="10"/>
  <c r="D72" i="11" s="1"/>
  <c r="O73" i="10"/>
  <c r="D73" i="11" s="1"/>
  <c r="O164" i="10"/>
  <c r="D164" i="11" s="1"/>
  <c r="O91" i="10"/>
  <c r="D91" i="11" s="1"/>
  <c r="O84" i="10"/>
  <c r="D84" i="11" s="1"/>
  <c r="O32" i="10"/>
  <c r="D32" i="11" s="1"/>
  <c r="O134" i="10"/>
  <c r="D134" i="11" s="1"/>
  <c r="AJ477" i="18" l="1"/>
  <c r="AH477" i="2"/>
  <c r="AJ20" i="18"/>
  <c r="AH20" i="2"/>
  <c r="AJ1199" i="18"/>
  <c r="AH1199" i="2"/>
  <c r="AJ483" i="18"/>
  <c r="AH483" i="2"/>
  <c r="AJ1227" i="18"/>
  <c r="AH1227" i="2"/>
  <c r="AJ872" i="18"/>
  <c r="AH872" i="2"/>
  <c r="AJ1384" i="18"/>
  <c r="AH1384" i="2"/>
  <c r="AJ981" i="18"/>
  <c r="AH981" i="2"/>
  <c r="AJ1127" i="18"/>
  <c r="AH1127" i="2"/>
  <c r="AJ1098" i="18"/>
  <c r="AH1098" i="2"/>
  <c r="AJ24" i="18"/>
  <c r="AH24" i="2"/>
  <c r="AJ536" i="18"/>
  <c r="AH536" i="2"/>
  <c r="AJ165" i="18"/>
  <c r="AH165" i="2"/>
  <c r="AJ677" i="18"/>
  <c r="AH677" i="2"/>
  <c r="AJ338" i="18"/>
  <c r="AH338" i="2"/>
  <c r="AJ31" i="18"/>
  <c r="AH31" i="2"/>
  <c r="AJ543" i="18"/>
  <c r="AH543" i="2"/>
  <c r="AJ220" i="18"/>
  <c r="AH220" i="2"/>
  <c r="AJ732" i="18"/>
  <c r="AH732" i="2"/>
  <c r="AJ409" i="18"/>
  <c r="AH409" i="2"/>
  <c r="AJ110" i="18"/>
  <c r="AH110" i="2"/>
  <c r="AJ1076" i="18"/>
  <c r="AH1076" i="2"/>
  <c r="AJ187" i="18"/>
  <c r="AH187" i="2"/>
  <c r="AJ1169" i="18"/>
  <c r="AH1169" i="2"/>
  <c r="AJ782" i="18"/>
  <c r="AH782" i="2"/>
  <c r="AJ1310" i="18"/>
  <c r="AH1310" i="2"/>
  <c r="AJ915" i="18"/>
  <c r="AH915" i="2"/>
  <c r="AJ627" i="18"/>
  <c r="AH627" i="2"/>
  <c r="AJ1072" i="18"/>
  <c r="AH1072" i="2"/>
  <c r="AJ299" i="18"/>
  <c r="AH299" i="2"/>
  <c r="AJ1181" i="18"/>
  <c r="AH1181" i="2"/>
  <c r="AJ734" i="18"/>
  <c r="AH734" i="2"/>
  <c r="AJ1298" i="18"/>
  <c r="AH1298" i="2"/>
  <c r="AJ224" i="18"/>
  <c r="AH224" i="2"/>
  <c r="AJ736" i="18"/>
  <c r="AH736" i="2"/>
  <c r="AJ365" i="18"/>
  <c r="AH365" i="2"/>
  <c r="AH26" i="2"/>
  <c r="AJ26" i="18"/>
  <c r="AJ538" i="18"/>
  <c r="AH538" i="2"/>
  <c r="AJ231" i="18"/>
  <c r="AH231" i="2"/>
  <c r="AJ743" i="18"/>
  <c r="AH743" i="2"/>
  <c r="AJ420" i="18"/>
  <c r="AH420" i="2"/>
  <c r="AH97" i="2"/>
  <c r="AJ97" i="18"/>
  <c r="AJ609" i="18"/>
  <c r="AH609" i="2"/>
  <c r="AJ710" i="18"/>
  <c r="AH710" i="2"/>
  <c r="AJ1276" i="18"/>
  <c r="AH1276" i="2"/>
  <c r="AJ857" i="18"/>
  <c r="AH857" i="2"/>
  <c r="AJ1369" i="18"/>
  <c r="AH1369" i="2"/>
  <c r="AJ998" i="18"/>
  <c r="AH998" i="2"/>
  <c r="AJ1367" i="18"/>
  <c r="AH1367" i="2"/>
  <c r="AJ1115" i="18"/>
  <c r="AH1115" i="2"/>
  <c r="AJ566" i="18"/>
  <c r="AH566" i="2"/>
  <c r="AJ1272" i="18"/>
  <c r="AH1272" i="2"/>
  <c r="AJ869" i="18"/>
  <c r="AH869" i="2"/>
  <c r="AJ1381" i="18"/>
  <c r="AH1381" i="2"/>
  <c r="AJ986" i="18"/>
  <c r="AH986" i="2"/>
  <c r="AJ1295" i="18"/>
  <c r="AH1295" i="2"/>
  <c r="AJ424" i="18"/>
  <c r="AH424" i="2"/>
  <c r="AJ53" i="18"/>
  <c r="AH53" i="2"/>
  <c r="AJ565" i="18"/>
  <c r="AH565" i="2"/>
  <c r="AJ226" i="18"/>
  <c r="AH226" i="2"/>
  <c r="AJ738" i="18"/>
  <c r="AH738" i="2"/>
  <c r="AJ431" i="18"/>
  <c r="AH431" i="2"/>
  <c r="AJ108" i="18"/>
  <c r="AH108" i="2"/>
  <c r="AJ620" i="18"/>
  <c r="AH620" i="2"/>
  <c r="AJ297" i="18"/>
  <c r="AH297" i="2"/>
  <c r="AJ964" i="18"/>
  <c r="AH964" i="2"/>
  <c r="AJ1039" i="18"/>
  <c r="AH1039" i="2"/>
  <c r="AJ1057" i="18"/>
  <c r="AH1057" i="2"/>
  <c r="AJ334" i="18"/>
  <c r="AH334" i="2"/>
  <c r="AJ1198" i="18"/>
  <c r="AH1198" i="2"/>
  <c r="AJ810" i="18"/>
  <c r="AH810" i="2"/>
  <c r="AJ1315" i="18"/>
  <c r="AH1315" i="2"/>
  <c r="AJ960" i="18"/>
  <c r="AH960" i="2"/>
  <c r="AJ1047" i="18"/>
  <c r="AH1047" i="2"/>
  <c r="AJ1069" i="18"/>
  <c r="AH1069" i="2"/>
  <c r="AJ286" i="18"/>
  <c r="AH286" i="2"/>
  <c r="AJ1186" i="18"/>
  <c r="AH1186" i="2"/>
  <c r="AJ112" i="18"/>
  <c r="AH112" i="2"/>
  <c r="AJ624" i="18"/>
  <c r="AH624" i="2"/>
  <c r="AJ253" i="18"/>
  <c r="AH253" i="2"/>
  <c r="AJ765" i="18"/>
  <c r="AH765" i="2"/>
  <c r="AH426" i="2"/>
  <c r="AJ426" i="18"/>
  <c r="AJ119" i="18"/>
  <c r="AH119" i="2"/>
  <c r="AJ631" i="18"/>
  <c r="AH631" i="2"/>
  <c r="AJ308" i="18"/>
  <c r="AH308" i="2"/>
  <c r="AJ497" i="18"/>
  <c r="AH497" i="2"/>
  <c r="AJ262" i="18"/>
  <c r="AH262" i="2"/>
  <c r="AJ1164" i="18"/>
  <c r="AH1164" i="2"/>
  <c r="AJ539" i="18"/>
  <c r="AH539" i="2"/>
  <c r="AJ1257" i="18"/>
  <c r="AH1257" i="2"/>
  <c r="AJ886" i="18"/>
  <c r="AH886" i="2"/>
  <c r="AJ1398" i="18"/>
  <c r="AH1398" i="2"/>
  <c r="AJ1003" i="18"/>
  <c r="AH1003" i="2"/>
  <c r="AH123" i="2"/>
  <c r="AJ123" i="18"/>
  <c r="AJ1160" i="18"/>
  <c r="AH1160" i="2"/>
  <c r="AJ651" i="18"/>
  <c r="AH651" i="2"/>
  <c r="AJ1269" i="18"/>
  <c r="AH1269" i="2"/>
  <c r="AJ248" i="18"/>
  <c r="AH248" i="2"/>
  <c r="AJ760" i="18"/>
  <c r="AH760" i="2"/>
  <c r="AJ389" i="18"/>
  <c r="AH389" i="2"/>
  <c r="AH50" i="2"/>
  <c r="AJ50" i="18"/>
  <c r="AJ562" i="18"/>
  <c r="AH562" i="2"/>
  <c r="AJ255" i="18"/>
  <c r="AH255" i="2"/>
  <c r="AJ767" i="18"/>
  <c r="AH767" i="2"/>
  <c r="AJ444" i="18"/>
  <c r="AH444" i="2"/>
  <c r="AJ121" i="18"/>
  <c r="AH121" i="2"/>
  <c r="AJ633" i="18"/>
  <c r="AH633" i="2"/>
  <c r="AJ794" i="18"/>
  <c r="AH794" i="2"/>
  <c r="AJ1300" i="18"/>
  <c r="AH1300" i="2"/>
  <c r="AJ881" i="18"/>
  <c r="AH881" i="2"/>
  <c r="AJ1393" i="18"/>
  <c r="AH1393" i="2"/>
  <c r="AJ1022" i="18"/>
  <c r="AH1022" i="2"/>
  <c r="AH115" i="2"/>
  <c r="AJ115" i="18"/>
  <c r="AJ1139" i="18"/>
  <c r="AH1139" i="2"/>
  <c r="AJ662" i="18"/>
  <c r="AH662" i="2"/>
  <c r="AJ1296" i="18"/>
  <c r="AH1296" i="2"/>
  <c r="AJ893" i="18"/>
  <c r="AH893" i="2"/>
  <c r="AJ1405" i="18"/>
  <c r="AH1405" i="2"/>
  <c r="AJ1010" i="18"/>
  <c r="AH1010" i="2"/>
  <c r="AJ512" i="18"/>
  <c r="AH512" i="2"/>
  <c r="AJ141" i="18"/>
  <c r="AH141" i="2"/>
  <c r="AJ653" i="18"/>
  <c r="AH653" i="2"/>
  <c r="AJ314" i="18"/>
  <c r="AH314" i="2"/>
  <c r="AJ7" i="18"/>
  <c r="AH7" i="2"/>
  <c r="AJ519" i="18"/>
  <c r="AH519" i="2"/>
  <c r="AJ196" i="18"/>
  <c r="AH196" i="2"/>
  <c r="AJ708" i="18"/>
  <c r="AH708" i="2"/>
  <c r="AJ385" i="18"/>
  <c r="AH385" i="2"/>
  <c r="AH86" i="2"/>
  <c r="AJ86" i="18"/>
  <c r="AJ1052" i="18"/>
  <c r="AH1052" i="2"/>
  <c r="AH35" i="2"/>
  <c r="AJ35" i="18"/>
  <c r="AJ1145" i="18"/>
  <c r="AH1145" i="2"/>
  <c r="AJ686" i="18"/>
  <c r="AH686" i="2"/>
  <c r="AJ1286" i="18"/>
  <c r="AH1286" i="2"/>
  <c r="AJ891" i="18"/>
  <c r="AH891" i="2"/>
  <c r="AJ1403" i="18"/>
  <c r="AH1403" i="2"/>
  <c r="AJ1048" i="18"/>
  <c r="AH1048" i="2"/>
  <c r="AJ203" i="18"/>
  <c r="AH203" i="2"/>
  <c r="AJ392" i="18"/>
  <c r="AH392" i="2"/>
  <c r="AJ21" i="18"/>
  <c r="AH21" i="2"/>
  <c r="AJ533" i="18"/>
  <c r="AH533" i="2"/>
  <c r="AJ194" i="18"/>
  <c r="AH194" i="2"/>
  <c r="AJ706" i="18"/>
  <c r="AH706" i="2"/>
  <c r="AJ399" i="18"/>
  <c r="AH399" i="2"/>
  <c r="AJ76" i="18"/>
  <c r="AH76" i="2"/>
  <c r="AJ588" i="18"/>
  <c r="AH588" i="2"/>
  <c r="AH265" i="2"/>
  <c r="AJ265" i="18"/>
  <c r="AJ777" i="18"/>
  <c r="AH777" i="2"/>
  <c r="AH932" i="2"/>
  <c r="AJ932" i="18"/>
  <c r="AJ179" i="18"/>
  <c r="AH179" i="2"/>
  <c r="AJ158" i="18"/>
  <c r="AH158" i="2"/>
  <c r="AJ1281" i="18"/>
  <c r="AH1281" i="2"/>
  <c r="AJ1357" i="18"/>
  <c r="AH1357" i="2"/>
  <c r="AJ1089" i="18"/>
  <c r="AH1089" i="2"/>
  <c r="AJ1229" i="18"/>
  <c r="AH1229" i="2"/>
  <c r="AJ1025" i="18"/>
  <c r="AH1025" i="2"/>
  <c r="AJ1037" i="18"/>
  <c r="AH1037" i="2"/>
  <c r="AJ938" i="18"/>
  <c r="AH938" i="2"/>
  <c r="AJ1217" i="18"/>
  <c r="AH1217" i="2"/>
  <c r="AJ491" i="18"/>
  <c r="AH491" i="2"/>
  <c r="AJ1345" i="18"/>
  <c r="AH1345" i="2"/>
  <c r="AH147" i="2"/>
  <c r="AJ147" i="18"/>
  <c r="AJ1093" i="18"/>
  <c r="AH1093" i="2"/>
  <c r="AJ1082" i="18"/>
  <c r="AH1082" i="2"/>
  <c r="AJ470" i="18"/>
  <c r="AH470" i="2"/>
  <c r="AJ650" i="18"/>
  <c r="AH650" i="2"/>
  <c r="AJ1388" i="18"/>
  <c r="AH1388" i="2"/>
  <c r="AJ29" i="18"/>
  <c r="AH29" i="2"/>
  <c r="AJ407" i="18"/>
  <c r="AH407" i="2"/>
  <c r="AJ596" i="18"/>
  <c r="AH596" i="2"/>
  <c r="AJ273" i="18"/>
  <c r="AH273" i="2"/>
  <c r="AJ940" i="18"/>
  <c r="AH940" i="2"/>
  <c r="AJ935" i="18"/>
  <c r="AH935" i="2"/>
  <c r="AJ1033" i="18"/>
  <c r="AH1033" i="2"/>
  <c r="AJ238" i="18"/>
  <c r="AH238" i="2"/>
  <c r="AJ1174" i="18"/>
  <c r="AH1174" i="2"/>
  <c r="AJ739" i="18"/>
  <c r="AH739" i="2"/>
  <c r="AJ1291" i="18"/>
  <c r="AH1291" i="2"/>
  <c r="AJ936" i="18"/>
  <c r="AH936" i="2"/>
  <c r="AJ959" i="18"/>
  <c r="AH959" i="2"/>
  <c r="AJ1045" i="18"/>
  <c r="AH1045" i="2"/>
  <c r="AJ190" i="18"/>
  <c r="AH190" i="2"/>
  <c r="AJ1162" i="18"/>
  <c r="AH1162" i="2"/>
  <c r="AJ88" i="18"/>
  <c r="AH88" i="2"/>
  <c r="AJ600" i="18"/>
  <c r="AH600" i="2"/>
  <c r="AJ229" i="18"/>
  <c r="AH229" i="2"/>
  <c r="AJ741" i="18"/>
  <c r="AH741" i="2"/>
  <c r="AJ402" i="18"/>
  <c r="AH402" i="2"/>
  <c r="AJ95" i="18"/>
  <c r="AH95" i="2"/>
  <c r="AJ607" i="18"/>
  <c r="AH607" i="2"/>
  <c r="AJ284" i="18"/>
  <c r="AH284" i="2"/>
  <c r="AJ796" i="18"/>
  <c r="AH796" i="2"/>
  <c r="AJ473" i="18"/>
  <c r="AH473" i="2"/>
  <c r="AJ166" i="18"/>
  <c r="AH166" i="2"/>
  <c r="AJ1140" i="18"/>
  <c r="AH1140" i="2"/>
  <c r="AJ443" i="18"/>
  <c r="AH443" i="2"/>
  <c r="AJ1233" i="18"/>
  <c r="AH1233" i="2"/>
  <c r="AJ862" i="18"/>
  <c r="AH862" i="2"/>
  <c r="AJ1374" i="18"/>
  <c r="AH1374" i="2"/>
  <c r="AJ979" i="18"/>
  <c r="AH979" i="2"/>
  <c r="AJ1335" i="18"/>
  <c r="AH1335" i="2"/>
  <c r="AJ1136" i="18"/>
  <c r="AH1136" i="2"/>
  <c r="AJ555" i="18"/>
  <c r="AH555" i="2"/>
  <c r="AJ1245" i="18"/>
  <c r="AH1245" i="2"/>
  <c r="AJ850" i="18"/>
  <c r="AH850" i="2"/>
  <c r="AJ1362" i="18"/>
  <c r="AH1362" i="2"/>
  <c r="AJ288" i="18"/>
  <c r="AH288" i="2"/>
  <c r="AJ800" i="18"/>
  <c r="AH800" i="2"/>
  <c r="AJ429" i="18"/>
  <c r="AH429" i="2"/>
  <c r="AH90" i="2"/>
  <c r="AJ90" i="18"/>
  <c r="AJ602" i="18"/>
  <c r="AH602" i="2"/>
  <c r="AJ295" i="18"/>
  <c r="AH295" i="2"/>
  <c r="AJ484" i="18"/>
  <c r="AH484" i="2"/>
  <c r="AH161" i="2"/>
  <c r="AJ161" i="18"/>
  <c r="AJ673" i="18"/>
  <c r="AH673" i="2"/>
  <c r="AJ826" i="18"/>
  <c r="AH826" i="2"/>
  <c r="AJ1340" i="18"/>
  <c r="AH1340" i="2"/>
  <c r="AJ921" i="18"/>
  <c r="AH921" i="2"/>
  <c r="AJ951" i="18"/>
  <c r="AH951" i="2"/>
  <c r="AJ1062" i="18"/>
  <c r="AH1062" i="2"/>
  <c r="AJ291" i="18"/>
  <c r="AH291" i="2"/>
  <c r="AJ1179" i="18"/>
  <c r="AH1179" i="2"/>
  <c r="AJ817" i="18"/>
  <c r="AH817" i="2"/>
  <c r="AJ1336" i="18"/>
  <c r="AH1336" i="2"/>
  <c r="AJ933" i="18"/>
  <c r="AH933" i="2"/>
  <c r="AJ435" i="18"/>
  <c r="AH435" i="2"/>
  <c r="AJ1050" i="18"/>
  <c r="AH1050" i="2"/>
  <c r="AJ488" i="18"/>
  <c r="AH488" i="2"/>
  <c r="AJ117" i="18"/>
  <c r="AH117" i="2"/>
  <c r="AJ629" i="18"/>
  <c r="AH629" i="2"/>
  <c r="AJ290" i="18"/>
  <c r="AH290" i="2"/>
  <c r="AJ495" i="18"/>
  <c r="AH495" i="2"/>
  <c r="AJ172" i="18"/>
  <c r="AH172" i="2"/>
  <c r="AJ684" i="18"/>
  <c r="AH684" i="2"/>
  <c r="AJ361" i="18"/>
  <c r="AH361" i="2"/>
  <c r="AJ62" i="18"/>
  <c r="AH62" i="2"/>
  <c r="AJ1028" i="18"/>
  <c r="AH1028" i="2"/>
  <c r="AJ1351" i="18"/>
  <c r="AH1351" i="2"/>
  <c r="AJ1121" i="18"/>
  <c r="AH1121" i="2"/>
  <c r="AJ590" i="18"/>
  <c r="AH590" i="2"/>
  <c r="AJ1262" i="18"/>
  <c r="AH1262" i="2"/>
  <c r="AJ867" i="18"/>
  <c r="AH867" i="2"/>
  <c r="AJ1379" i="18"/>
  <c r="AH1379" i="2"/>
  <c r="AJ1024" i="18"/>
  <c r="AH1024" i="2"/>
  <c r="AH67" i="2"/>
  <c r="AJ67" i="18"/>
  <c r="AJ1133" i="18"/>
  <c r="AH1133" i="2"/>
  <c r="AJ542" i="18"/>
  <c r="AH542" i="2"/>
  <c r="AJ1250" i="18"/>
  <c r="AH1250" i="2"/>
  <c r="AJ176" i="18"/>
  <c r="AH176" i="2"/>
  <c r="AJ688" i="18"/>
  <c r="AH688" i="2"/>
  <c r="AJ317" i="18"/>
  <c r="AH317" i="2"/>
  <c r="AH490" i="2"/>
  <c r="AJ490" i="18"/>
  <c r="AJ183" i="18"/>
  <c r="AH183" i="2"/>
  <c r="AJ695" i="18"/>
  <c r="AH695" i="2"/>
  <c r="AJ372" i="18"/>
  <c r="AH372" i="2"/>
  <c r="AH49" i="2"/>
  <c r="AJ49" i="18"/>
  <c r="AJ561" i="18"/>
  <c r="AH561" i="2"/>
  <c r="AJ518" i="18"/>
  <c r="AH518" i="2"/>
  <c r="AJ1228" i="18"/>
  <c r="AH1228" i="2"/>
  <c r="AJ787" i="18"/>
  <c r="AH787" i="2"/>
  <c r="AJ1321" i="18"/>
  <c r="AH1321" i="2"/>
  <c r="AJ950" i="18"/>
  <c r="AH950" i="2"/>
  <c r="AJ991" i="18"/>
  <c r="AH991" i="2"/>
  <c r="AJ1067" i="18"/>
  <c r="AH1067" i="2"/>
  <c r="AJ374" i="18"/>
  <c r="AH374" i="2"/>
  <c r="AJ1224" i="18"/>
  <c r="AH1224" i="2"/>
  <c r="AJ812" i="18"/>
  <c r="AH812" i="2"/>
  <c r="AJ1333" i="18"/>
  <c r="AH1333" i="2"/>
  <c r="AJ312" i="18"/>
  <c r="AH312" i="2"/>
  <c r="AJ824" i="18"/>
  <c r="AH824" i="2"/>
  <c r="AJ453" i="18"/>
  <c r="AH453" i="2"/>
  <c r="AH114" i="2"/>
  <c r="AJ114" i="18"/>
  <c r="AJ626" i="18"/>
  <c r="AH626" i="2"/>
  <c r="AJ319" i="18"/>
  <c r="AH319" i="2"/>
  <c r="AJ508" i="18"/>
  <c r="AH508" i="2"/>
  <c r="AJ185" i="18"/>
  <c r="AH185" i="2"/>
  <c r="AH697" i="2"/>
  <c r="AJ697" i="18"/>
  <c r="AJ852" i="18"/>
  <c r="AH852" i="2"/>
  <c r="AJ1364" i="18"/>
  <c r="AH1364" i="2"/>
  <c r="AJ945" i="18"/>
  <c r="AH945" i="2"/>
  <c r="AJ1095" i="18"/>
  <c r="AH1095" i="2"/>
  <c r="AJ1086" i="18"/>
  <c r="AH1086" i="2"/>
  <c r="AJ387" i="18"/>
  <c r="AH387" i="2"/>
  <c r="AJ1203" i="18"/>
  <c r="AH1203" i="2"/>
  <c r="AJ848" i="18"/>
  <c r="AH848" i="2"/>
  <c r="AJ1360" i="18"/>
  <c r="AH1360" i="2"/>
  <c r="AJ957" i="18"/>
  <c r="AH957" i="2"/>
  <c r="AJ911" i="18"/>
  <c r="AH911" i="2"/>
  <c r="AJ1074" i="18"/>
  <c r="AH1074" i="2"/>
  <c r="AJ64" i="18"/>
  <c r="AH64" i="2"/>
  <c r="AJ576" i="18"/>
  <c r="AH576" i="2"/>
  <c r="AJ205" i="18"/>
  <c r="AH205" i="2"/>
  <c r="AJ717" i="18"/>
  <c r="AH717" i="2"/>
  <c r="AJ378" i="18"/>
  <c r="AH378" i="2"/>
  <c r="AJ71" i="18"/>
  <c r="AH71" i="2"/>
  <c r="AJ583" i="18"/>
  <c r="AH583" i="2"/>
  <c r="AJ260" i="18"/>
  <c r="AH260" i="2"/>
  <c r="AJ772" i="18"/>
  <c r="AH772" i="2"/>
  <c r="AJ449" i="18"/>
  <c r="AH449" i="2"/>
  <c r="AJ1116" i="18"/>
  <c r="AH1116" i="2"/>
  <c r="AJ347" i="18"/>
  <c r="AH347" i="2"/>
  <c r="AJ1209" i="18"/>
  <c r="AH1209" i="2"/>
  <c r="AJ833" i="18"/>
  <c r="AH833" i="2"/>
  <c r="AJ1350" i="18"/>
  <c r="AH1350" i="2"/>
  <c r="AJ955" i="18"/>
  <c r="AH955" i="2"/>
  <c r="AJ1079" i="18"/>
  <c r="AH1079" i="2"/>
  <c r="AJ1112" i="18"/>
  <c r="AH1112" i="2"/>
  <c r="AJ459" i="18"/>
  <c r="AH459" i="2"/>
  <c r="AJ456" i="18"/>
  <c r="AH456" i="2"/>
  <c r="AJ85" i="18"/>
  <c r="AH85" i="2"/>
  <c r="AJ597" i="18"/>
  <c r="AH597" i="2"/>
  <c r="AH258" i="2"/>
  <c r="AJ258" i="18"/>
  <c r="AJ770" i="18"/>
  <c r="AH770" i="2"/>
  <c r="AJ463" i="18"/>
  <c r="AH463" i="2"/>
  <c r="AJ140" i="18"/>
  <c r="AH140" i="2"/>
  <c r="AJ652" i="18"/>
  <c r="AH652" i="2"/>
  <c r="AH329" i="2"/>
  <c r="AJ329" i="18"/>
  <c r="AJ30" i="18"/>
  <c r="AH30" i="2"/>
  <c r="AJ996" i="18"/>
  <c r="AH996" i="2"/>
  <c r="AJ1038" i="18"/>
  <c r="AH1038" i="2"/>
  <c r="AJ1026" i="18"/>
  <c r="AH1026" i="2"/>
  <c r="AJ846" i="18"/>
  <c r="AH846" i="2"/>
  <c r="AJ898" i="18"/>
  <c r="AH898" i="2"/>
  <c r="AJ462" i="18"/>
  <c r="AH462" i="2"/>
  <c r="AJ670" i="18"/>
  <c r="AH670" i="2"/>
  <c r="AJ1175" i="18"/>
  <c r="AH1175" i="2"/>
  <c r="AJ1063" i="18"/>
  <c r="AH1063" i="2"/>
  <c r="AJ1002" i="18"/>
  <c r="AH1002" i="2"/>
  <c r="AJ206" i="18"/>
  <c r="AH206" i="2"/>
  <c r="AJ1165" i="18"/>
  <c r="AH1165" i="2"/>
  <c r="AJ910" i="18"/>
  <c r="AH910" i="2"/>
  <c r="AJ962" i="18"/>
  <c r="AH962" i="2"/>
  <c r="AJ1157" i="18"/>
  <c r="AH1157" i="2"/>
  <c r="AJ895" i="18"/>
  <c r="AH895" i="2"/>
  <c r="AJ1248" i="18"/>
  <c r="AH1248" i="2"/>
  <c r="AJ532" i="18"/>
  <c r="AH532" i="2"/>
  <c r="AJ714" i="18"/>
  <c r="AH714" i="2"/>
  <c r="AJ84" i="18"/>
  <c r="AH84" i="2"/>
  <c r="AJ464" i="18"/>
  <c r="AH464" i="2"/>
  <c r="AJ93" i="18"/>
  <c r="AH93" i="2"/>
  <c r="AJ605" i="18"/>
  <c r="AH605" i="2"/>
  <c r="AJ266" i="18"/>
  <c r="AH266" i="2"/>
  <c r="AJ778" i="18"/>
  <c r="AH778" i="2"/>
  <c r="AJ471" i="18"/>
  <c r="AH471" i="2"/>
  <c r="AJ148" i="18"/>
  <c r="AH148" i="2"/>
  <c r="AJ660" i="18"/>
  <c r="AH660" i="2"/>
  <c r="AJ337" i="18"/>
  <c r="AH337" i="2"/>
  <c r="AJ38" i="18"/>
  <c r="AH38" i="2"/>
  <c r="AJ1004" i="18"/>
  <c r="AH1004" i="2"/>
  <c r="AJ1231" i="18"/>
  <c r="AH1231" i="2"/>
  <c r="AJ1097" i="18"/>
  <c r="AH1097" i="2"/>
  <c r="AJ494" i="18"/>
  <c r="AH494" i="2"/>
  <c r="AJ1238" i="18"/>
  <c r="AH1238" i="2"/>
  <c r="AJ843" i="18"/>
  <c r="AH843" i="2"/>
  <c r="AJ1355" i="18"/>
  <c r="AH1355" i="2"/>
  <c r="AJ1000" i="18"/>
  <c r="AH1000" i="2"/>
  <c r="AJ1319" i="18"/>
  <c r="AH1319" i="2"/>
  <c r="AJ1109" i="18"/>
  <c r="AH1109" i="2"/>
  <c r="AJ446" i="18"/>
  <c r="AH446" i="2"/>
  <c r="AJ1226" i="18"/>
  <c r="AH1226" i="2"/>
  <c r="AJ152" i="18"/>
  <c r="AH152" i="2"/>
  <c r="AJ664" i="18"/>
  <c r="AH664" i="2"/>
  <c r="AJ293" i="18"/>
  <c r="AH293" i="2"/>
  <c r="AJ805" i="18"/>
  <c r="AH805" i="2"/>
  <c r="AJ466" i="18"/>
  <c r="AH466" i="2"/>
  <c r="AJ159" i="18"/>
  <c r="AH159" i="2"/>
  <c r="AJ671" i="18"/>
  <c r="AH671" i="2"/>
  <c r="AJ348" i="18"/>
  <c r="AH348" i="2"/>
  <c r="AH25" i="2"/>
  <c r="AJ25" i="18"/>
  <c r="AJ537" i="18"/>
  <c r="AH537" i="2"/>
  <c r="AJ422" i="18"/>
  <c r="AH422" i="2"/>
  <c r="AJ1204" i="18"/>
  <c r="AH1204" i="2"/>
  <c r="AJ699" i="18"/>
  <c r="AH699" i="2"/>
  <c r="AJ1297" i="18"/>
  <c r="AH1297" i="2"/>
  <c r="AJ926" i="18"/>
  <c r="AH926" i="2"/>
  <c r="AJ871" i="18"/>
  <c r="AH871" i="2"/>
  <c r="AJ1043" i="18"/>
  <c r="AH1043" i="2"/>
  <c r="AH278" i="2"/>
  <c r="AJ278" i="18"/>
  <c r="AJ1200" i="18"/>
  <c r="AH1200" i="2"/>
  <c r="AJ795" i="18"/>
  <c r="AH795" i="2"/>
  <c r="AJ1309" i="18"/>
  <c r="AH1309" i="2"/>
  <c r="AJ914" i="18"/>
  <c r="AH914" i="2"/>
  <c r="AJ403" i="18"/>
  <c r="AH403" i="2"/>
  <c r="AJ352" i="18"/>
  <c r="AH352" i="2"/>
  <c r="AJ493" i="18"/>
  <c r="AH493" i="2"/>
  <c r="AJ154" i="18"/>
  <c r="AH154" i="2"/>
  <c r="AJ666" i="18"/>
  <c r="AH666" i="2"/>
  <c r="AJ359" i="18"/>
  <c r="AH359" i="2"/>
  <c r="AJ36" i="18"/>
  <c r="AH36" i="2"/>
  <c r="AJ548" i="18"/>
  <c r="AH548" i="2"/>
  <c r="AH225" i="2"/>
  <c r="AJ225" i="18"/>
  <c r="AJ737" i="18"/>
  <c r="AH737" i="2"/>
  <c r="AJ892" i="18"/>
  <c r="AH892" i="2"/>
  <c r="AJ1404" i="18"/>
  <c r="AH1404" i="2"/>
  <c r="AJ985" i="18"/>
  <c r="AH985" i="2"/>
  <c r="AJ1383" i="18"/>
  <c r="AH1383" i="2"/>
  <c r="AJ1126" i="18"/>
  <c r="AH1126" i="2"/>
  <c r="AJ547" i="18"/>
  <c r="AH547" i="2"/>
  <c r="AJ1243" i="18"/>
  <c r="AH1243" i="2"/>
  <c r="AJ888" i="18"/>
  <c r="AH888" i="2"/>
  <c r="AJ1400" i="18"/>
  <c r="AH1400" i="2"/>
  <c r="AJ997" i="18"/>
  <c r="AH997" i="2"/>
  <c r="AJ1247" i="18"/>
  <c r="AH1247" i="2"/>
  <c r="AJ1114" i="18"/>
  <c r="AH1114" i="2"/>
  <c r="AJ40" i="18"/>
  <c r="AH40" i="2"/>
  <c r="AJ552" i="18"/>
  <c r="AH552" i="2"/>
  <c r="AJ181" i="18"/>
  <c r="AH181" i="2"/>
  <c r="AJ693" i="18"/>
  <c r="AH693" i="2"/>
  <c r="AJ354" i="18"/>
  <c r="AH354" i="2"/>
  <c r="AJ47" i="18"/>
  <c r="AH47" i="2"/>
  <c r="AJ559" i="18"/>
  <c r="AH559" i="2"/>
  <c r="AJ236" i="18"/>
  <c r="AH236" i="2"/>
  <c r="AJ748" i="18"/>
  <c r="AH748" i="2"/>
  <c r="AJ425" i="18"/>
  <c r="AH425" i="2"/>
  <c r="AJ126" i="18"/>
  <c r="AH126" i="2"/>
  <c r="AJ1092" i="18"/>
  <c r="AH1092" i="2"/>
  <c r="AJ251" i="18"/>
  <c r="AH251" i="2"/>
  <c r="AJ1185" i="18"/>
  <c r="AH1185" i="2"/>
  <c r="AH803" i="2"/>
  <c r="AJ803" i="18"/>
  <c r="AJ1326" i="18"/>
  <c r="AH1326" i="2"/>
  <c r="AJ931" i="18"/>
  <c r="AH931" i="2"/>
  <c r="AJ887" i="18"/>
  <c r="AH887" i="2"/>
  <c r="AJ1088" i="18"/>
  <c r="AH1088" i="2"/>
  <c r="AJ363" i="18"/>
  <c r="AH363" i="2"/>
  <c r="AJ1197" i="18"/>
  <c r="AH1197" i="2"/>
  <c r="AJ790" i="18"/>
  <c r="AH790" i="2"/>
  <c r="AJ1314" i="18"/>
  <c r="AH1314" i="2"/>
  <c r="AJ240" i="18"/>
  <c r="AH240" i="2"/>
  <c r="AJ752" i="18"/>
  <c r="AH752" i="2"/>
  <c r="AJ381" i="18"/>
  <c r="AH381" i="2"/>
  <c r="AH42" i="2"/>
  <c r="AJ42" i="18"/>
  <c r="AJ554" i="18"/>
  <c r="AH554" i="2"/>
  <c r="AJ247" i="18"/>
  <c r="AH247" i="2"/>
  <c r="AJ759" i="18"/>
  <c r="AH759" i="2"/>
  <c r="AJ436" i="18"/>
  <c r="AH436" i="2"/>
  <c r="AH113" i="2"/>
  <c r="AJ113" i="18"/>
  <c r="AJ625" i="18"/>
  <c r="AH625" i="2"/>
  <c r="AJ774" i="18"/>
  <c r="AH774" i="2"/>
  <c r="AJ1292" i="18"/>
  <c r="AH1292" i="2"/>
  <c r="AJ873" i="18"/>
  <c r="AH873" i="2"/>
  <c r="AJ1385" i="18"/>
  <c r="AH1385" i="2"/>
  <c r="AJ1014" i="18"/>
  <c r="AH1014" i="2"/>
  <c r="AH51" i="2"/>
  <c r="AJ51" i="18"/>
  <c r="AJ1131" i="18"/>
  <c r="AH1131" i="2"/>
  <c r="AJ630" i="18"/>
  <c r="AH630" i="2"/>
  <c r="AJ1288" i="18"/>
  <c r="AH1288" i="2"/>
  <c r="AJ885" i="18"/>
  <c r="AH885" i="2"/>
  <c r="AJ1397" i="18"/>
  <c r="AH1397" i="2"/>
  <c r="AJ376" i="18"/>
  <c r="AH376" i="2"/>
  <c r="AJ5" i="18"/>
  <c r="AH5" i="2"/>
  <c r="AJ517" i="18"/>
  <c r="AH517" i="2"/>
  <c r="AJ178" i="18"/>
  <c r="AH178" i="2"/>
  <c r="AJ690" i="18"/>
  <c r="AH690" i="2"/>
  <c r="AH383" i="2"/>
  <c r="AJ383" i="18"/>
  <c r="AJ60" i="18"/>
  <c r="AH60" i="2"/>
  <c r="AJ572" i="18"/>
  <c r="AH572" i="2"/>
  <c r="AJ249" i="18"/>
  <c r="AH249" i="2"/>
  <c r="AJ761" i="18"/>
  <c r="AH761" i="2"/>
  <c r="AJ916" i="18"/>
  <c r="AH916" i="2"/>
  <c r="AJ785" i="18"/>
  <c r="AH785" i="2"/>
  <c r="AJ1009" i="18"/>
  <c r="AH1009" i="2"/>
  <c r="AH107" i="2"/>
  <c r="AJ107" i="18"/>
  <c r="AJ1150" i="18"/>
  <c r="AH1150" i="2"/>
  <c r="AJ643" i="18"/>
  <c r="AH643" i="2"/>
  <c r="AJ1267" i="18"/>
  <c r="AH1267" i="2"/>
  <c r="AJ912" i="18"/>
  <c r="AH912" i="2"/>
  <c r="AJ799" i="18"/>
  <c r="AH799" i="2"/>
  <c r="AJ1021" i="18"/>
  <c r="AH1021" i="2"/>
  <c r="AH75" i="2"/>
  <c r="AJ75" i="18"/>
  <c r="AJ1138" i="18"/>
  <c r="AH1138" i="2"/>
  <c r="AJ128" i="18"/>
  <c r="AH128" i="2"/>
  <c r="AJ640" i="18"/>
  <c r="AH640" i="2"/>
  <c r="AJ269" i="18"/>
  <c r="AH269" i="2"/>
  <c r="AJ781" i="18"/>
  <c r="AH781" i="2"/>
  <c r="AJ442" i="18"/>
  <c r="AH442" i="2"/>
  <c r="AJ135" i="18"/>
  <c r="AH135" i="2"/>
  <c r="AJ647" i="18"/>
  <c r="AH647" i="2"/>
  <c r="AJ324" i="18"/>
  <c r="AH324" i="2"/>
  <c r="AJ513" i="18"/>
  <c r="AH513" i="2"/>
  <c r="AJ326" i="18"/>
  <c r="AH326" i="2"/>
  <c r="AJ1180" i="18"/>
  <c r="AH1180" i="2"/>
  <c r="AJ603" i="18"/>
  <c r="AH603" i="2"/>
  <c r="AJ1273" i="18"/>
  <c r="AH1273" i="2"/>
  <c r="AJ902" i="18"/>
  <c r="AH902" i="2"/>
  <c r="AJ371" i="18"/>
  <c r="AH371" i="2"/>
  <c r="AJ1019" i="18"/>
  <c r="AH1019" i="2"/>
  <c r="AJ182" i="18"/>
  <c r="AH182" i="2"/>
  <c r="AJ1176" i="18"/>
  <c r="AH1176" i="2"/>
  <c r="AJ8" i="18"/>
  <c r="AH8" i="2"/>
  <c r="AJ520" i="18"/>
  <c r="AH520" i="2"/>
  <c r="AJ149" i="18"/>
  <c r="AH149" i="2"/>
  <c r="AJ661" i="18"/>
  <c r="AH661" i="2"/>
  <c r="AJ322" i="18"/>
  <c r="AH322" i="2"/>
  <c r="AJ15" i="18"/>
  <c r="AH15" i="2"/>
  <c r="AJ527" i="18"/>
  <c r="AH527" i="2"/>
  <c r="AJ204" i="18"/>
  <c r="AH204" i="2"/>
  <c r="AJ716" i="18"/>
  <c r="AH716" i="2"/>
  <c r="AJ393" i="18"/>
  <c r="AH393" i="2"/>
  <c r="AJ94" i="18"/>
  <c r="AH94" i="2"/>
  <c r="AJ2" i="18"/>
  <c r="AH2" i="2"/>
  <c r="AJ1223" i="18"/>
  <c r="AH1223" i="2"/>
  <c r="AJ1143" i="18"/>
  <c r="AH1143" i="2"/>
  <c r="AJ1294" i="18"/>
  <c r="AH1294" i="2"/>
  <c r="AJ1346" i="18"/>
  <c r="AH1346" i="2"/>
  <c r="AJ1166" i="18"/>
  <c r="AH1166" i="2"/>
  <c r="AJ1218" i="18"/>
  <c r="AH1218" i="2"/>
  <c r="AJ974" i="18"/>
  <c r="AH974" i="2"/>
  <c r="AJ1090" i="18"/>
  <c r="AH1090" i="2"/>
  <c r="AJ1130" i="18"/>
  <c r="AH1130" i="2"/>
  <c r="AJ1102" i="18"/>
  <c r="AH1102" i="2"/>
  <c r="AJ414" i="18"/>
  <c r="AH414" i="2"/>
  <c r="AJ563" i="18"/>
  <c r="AH563" i="2"/>
  <c r="AH19" i="2"/>
  <c r="AJ19" i="18"/>
  <c r="AJ1221" i="18"/>
  <c r="AH1221" i="2"/>
  <c r="AJ379" i="18"/>
  <c r="AH379" i="2"/>
  <c r="AJ747" i="18"/>
  <c r="AH747" i="2"/>
  <c r="AJ876" i="18"/>
  <c r="AH876" i="2"/>
  <c r="AJ157" i="18"/>
  <c r="AH157" i="2"/>
  <c r="AJ669" i="18"/>
  <c r="AH669" i="2"/>
  <c r="AJ330" i="18"/>
  <c r="AH330" i="2"/>
  <c r="AJ23" i="18"/>
  <c r="AH23" i="2"/>
  <c r="AJ535" i="18"/>
  <c r="AH535" i="2"/>
  <c r="AJ212" i="18"/>
  <c r="AH212" i="2"/>
  <c r="AJ724" i="18"/>
  <c r="AH724" i="2"/>
  <c r="AJ401" i="18"/>
  <c r="AH401" i="2"/>
  <c r="AJ102" i="18"/>
  <c r="AH102" i="2"/>
  <c r="AJ1068" i="18"/>
  <c r="AH1068" i="2"/>
  <c r="AH155" i="2"/>
  <c r="AJ155" i="18"/>
  <c r="AJ1161" i="18"/>
  <c r="AH1161" i="2"/>
  <c r="AJ750" i="18"/>
  <c r="AH750" i="2"/>
  <c r="AJ1302" i="18"/>
  <c r="AH1302" i="2"/>
  <c r="AJ907" i="18"/>
  <c r="AH907" i="2"/>
  <c r="AJ467" i="18"/>
  <c r="AH467" i="2"/>
  <c r="AJ1064" i="18"/>
  <c r="AH1064" i="2"/>
  <c r="AJ267" i="18"/>
  <c r="AH267" i="2"/>
  <c r="AJ1173" i="18"/>
  <c r="AH1173" i="2"/>
  <c r="AJ702" i="18"/>
  <c r="AH702" i="2"/>
  <c r="AJ1290" i="18"/>
  <c r="AH1290" i="2"/>
  <c r="AJ216" i="18"/>
  <c r="AH216" i="2"/>
  <c r="AJ728" i="18"/>
  <c r="AH728" i="2"/>
  <c r="AJ357" i="18"/>
  <c r="AH357" i="2"/>
  <c r="AH18" i="2"/>
  <c r="AJ18" i="18"/>
  <c r="AJ530" i="18"/>
  <c r="AH530" i="2"/>
  <c r="AJ223" i="18"/>
  <c r="AH223" i="2"/>
  <c r="AJ735" i="18"/>
  <c r="AH735" i="2"/>
  <c r="AJ412" i="18"/>
  <c r="AH412" i="2"/>
  <c r="AJ89" i="18"/>
  <c r="AH89" i="2"/>
  <c r="AJ601" i="18"/>
  <c r="AH601" i="2"/>
  <c r="AJ678" i="18"/>
  <c r="AH678" i="2"/>
  <c r="AJ1268" i="18"/>
  <c r="AH1268" i="2"/>
  <c r="AJ849" i="18"/>
  <c r="AH849" i="2"/>
  <c r="AJ1361" i="18"/>
  <c r="AH1361" i="2"/>
  <c r="AJ990" i="18"/>
  <c r="AH990" i="2"/>
  <c r="AJ1343" i="18"/>
  <c r="AH1343" i="2"/>
  <c r="AJ1107" i="18"/>
  <c r="AH1107" i="2"/>
  <c r="AH534" i="2"/>
  <c r="AJ534" i="18"/>
  <c r="AJ1264" i="18"/>
  <c r="AH1264" i="2"/>
  <c r="AJ861" i="18"/>
  <c r="AH861" i="2"/>
  <c r="AJ1373" i="18"/>
  <c r="AH1373" i="2"/>
  <c r="AJ978" i="18"/>
  <c r="AH978" i="2"/>
  <c r="AJ1239" i="18"/>
  <c r="AH1239" i="2"/>
  <c r="AJ416" i="18"/>
  <c r="AH416" i="2"/>
  <c r="AJ45" i="18"/>
  <c r="AH45" i="2"/>
  <c r="AH557" i="2"/>
  <c r="AJ557" i="18"/>
  <c r="AJ218" i="18"/>
  <c r="AH218" i="2"/>
  <c r="AJ730" i="18"/>
  <c r="AH730" i="2"/>
  <c r="AJ423" i="18"/>
  <c r="AH423" i="2"/>
  <c r="AJ100" i="18"/>
  <c r="AH100" i="2"/>
  <c r="AJ612" i="18"/>
  <c r="AH612" i="2"/>
  <c r="AH289" i="2"/>
  <c r="AJ289" i="18"/>
  <c r="AJ956" i="18"/>
  <c r="AH956" i="2"/>
  <c r="AJ999" i="18"/>
  <c r="AH999" i="2"/>
  <c r="AJ1049" i="18"/>
  <c r="AH1049" i="2"/>
  <c r="AJ302" i="18"/>
  <c r="AH302" i="2"/>
  <c r="AJ1190" i="18"/>
  <c r="AH1190" i="2"/>
  <c r="AJ793" i="18"/>
  <c r="AH793" i="2"/>
  <c r="AJ1307" i="18"/>
  <c r="AH1307" i="2"/>
  <c r="AJ952" i="18"/>
  <c r="AH952" i="2"/>
  <c r="AJ1023" i="18"/>
  <c r="AH1023" i="2"/>
  <c r="AJ1061" i="18"/>
  <c r="AH1061" i="2"/>
  <c r="AJ254" i="18"/>
  <c r="AH254" i="2"/>
  <c r="AJ1178" i="18"/>
  <c r="AH1178" i="2"/>
  <c r="AJ104" i="18"/>
  <c r="AH104" i="2"/>
  <c r="AJ616" i="18"/>
  <c r="AH616" i="2"/>
  <c r="AJ245" i="18"/>
  <c r="AH245" i="2"/>
  <c r="AJ757" i="18"/>
  <c r="AH757" i="2"/>
  <c r="AJ418" i="18"/>
  <c r="AH418" i="2"/>
  <c r="AJ111" i="18"/>
  <c r="AH111" i="2"/>
  <c r="AJ623" i="18"/>
  <c r="AH623" i="2"/>
  <c r="AJ300" i="18"/>
  <c r="AH300" i="2"/>
  <c r="AJ489" i="18"/>
  <c r="AH489" i="2"/>
  <c r="AJ230" i="18"/>
  <c r="AH230" i="2"/>
  <c r="AJ1156" i="18"/>
  <c r="AH1156" i="2"/>
  <c r="AJ507" i="18"/>
  <c r="AH507" i="2"/>
  <c r="AJ1249" i="18"/>
  <c r="AH1249" i="2"/>
  <c r="AJ878" i="18"/>
  <c r="AH878" i="2"/>
  <c r="AJ1390" i="18"/>
  <c r="AH1390" i="2"/>
  <c r="AH995" i="2"/>
  <c r="AJ995" i="18"/>
  <c r="AH59" i="2"/>
  <c r="AJ59" i="18"/>
  <c r="AJ1152" i="18"/>
  <c r="AH1152" i="2"/>
  <c r="AJ619" i="18"/>
  <c r="AH619" i="2"/>
  <c r="AJ1261" i="18"/>
  <c r="AH1261" i="2"/>
  <c r="AJ866" i="18"/>
  <c r="AH866" i="2"/>
  <c r="AJ1378" i="18"/>
  <c r="AH1378" i="2"/>
  <c r="AJ304" i="18"/>
  <c r="AH304" i="2"/>
  <c r="AJ816" i="18"/>
  <c r="AH816" i="2"/>
  <c r="AJ445" i="18"/>
  <c r="AH445" i="2"/>
  <c r="AH106" i="2"/>
  <c r="AJ106" i="18"/>
  <c r="AJ618" i="18"/>
  <c r="AH618" i="2"/>
  <c r="AJ311" i="18"/>
  <c r="AH311" i="2"/>
  <c r="AJ500" i="18"/>
  <c r="AH500" i="2"/>
  <c r="AJ177" i="18"/>
  <c r="AH177" i="2"/>
  <c r="AJ689" i="18"/>
  <c r="AH689" i="2"/>
  <c r="AJ844" i="18"/>
  <c r="AH844" i="2"/>
  <c r="AJ1356" i="18"/>
  <c r="AH1356" i="2"/>
  <c r="AJ937" i="18"/>
  <c r="AH937" i="2"/>
  <c r="AJ1055" i="18"/>
  <c r="AH1055" i="2"/>
  <c r="AJ1078" i="18"/>
  <c r="AH1078" i="2"/>
  <c r="AJ355" i="18"/>
  <c r="AH355" i="2"/>
  <c r="AJ1195" i="18"/>
  <c r="AH1195" i="2"/>
  <c r="AJ835" i="18"/>
  <c r="AH835" i="2"/>
  <c r="AJ1352" i="18"/>
  <c r="AH1352" i="2"/>
  <c r="AJ949" i="18"/>
  <c r="AH949" i="2"/>
  <c r="AJ879" i="18"/>
  <c r="AH879" i="2"/>
  <c r="AJ440" i="18"/>
  <c r="AH440" i="2"/>
  <c r="AJ69" i="18"/>
  <c r="AH69" i="2"/>
  <c r="AJ581" i="18"/>
  <c r="AH581" i="2"/>
  <c r="AJ242" i="18"/>
  <c r="AH242" i="2"/>
  <c r="AJ754" i="18"/>
  <c r="AH754" i="2"/>
  <c r="AJ447" i="18"/>
  <c r="AH447" i="2"/>
  <c r="AJ124" i="18"/>
  <c r="AH124" i="2"/>
  <c r="AJ636" i="18"/>
  <c r="AH636" i="2"/>
  <c r="AJ313" i="18"/>
  <c r="AH313" i="2"/>
  <c r="AJ14" i="18"/>
  <c r="AH14" i="2"/>
  <c r="AJ980" i="18"/>
  <c r="AH980" i="2"/>
  <c r="AJ1111" i="18"/>
  <c r="AH1111" i="2"/>
  <c r="AJ1073" i="18"/>
  <c r="AH1073" i="2"/>
  <c r="AJ398" i="18"/>
  <c r="AH398" i="2"/>
  <c r="AJ1214" i="18"/>
  <c r="AH1214" i="2"/>
  <c r="AJ820" i="18"/>
  <c r="AH820" i="2"/>
  <c r="AJ1331" i="18"/>
  <c r="AH1331" i="2"/>
  <c r="AJ976" i="18"/>
  <c r="AH976" i="2"/>
  <c r="AJ1207" i="18"/>
  <c r="AH1207" i="2"/>
  <c r="AJ1085" i="18"/>
  <c r="AH1085" i="2"/>
  <c r="AJ350" i="18"/>
  <c r="AH350" i="2"/>
  <c r="AJ1202" i="18"/>
  <c r="AH1202" i="2"/>
  <c r="AJ192" i="18"/>
  <c r="AH192" i="2"/>
  <c r="AJ704" i="18"/>
  <c r="AH704" i="2"/>
  <c r="AJ333" i="18"/>
  <c r="AH333" i="2"/>
  <c r="AJ506" i="18"/>
  <c r="AH506" i="2"/>
  <c r="AJ199" i="18"/>
  <c r="AH199" i="2"/>
  <c r="AJ711" i="18"/>
  <c r="AH711" i="2"/>
  <c r="AJ388" i="18"/>
  <c r="AH388" i="2"/>
  <c r="AJ65" i="18"/>
  <c r="AH65" i="2"/>
  <c r="AJ577" i="18"/>
  <c r="AH577" i="2"/>
  <c r="AJ582" i="18"/>
  <c r="AH582" i="2"/>
  <c r="AJ1244" i="18"/>
  <c r="AH1244" i="2"/>
  <c r="AJ831" i="18"/>
  <c r="AH831" i="2"/>
  <c r="AJ1337" i="18"/>
  <c r="AH1337" i="2"/>
  <c r="AJ966" i="18"/>
  <c r="AH966" i="2"/>
  <c r="AJ1183" i="18"/>
  <c r="AH1183" i="2"/>
  <c r="AJ1083" i="18"/>
  <c r="AH1083" i="2"/>
  <c r="AJ438" i="18"/>
  <c r="AH438" i="2"/>
  <c r="AJ1240" i="18"/>
  <c r="AH1240" i="2"/>
  <c r="AJ72" i="18"/>
  <c r="AH72" i="2"/>
  <c r="AJ584" i="18"/>
  <c r="AH584" i="2"/>
  <c r="AJ213" i="18"/>
  <c r="AH213" i="2"/>
  <c r="AJ725" i="18"/>
  <c r="AH725" i="2"/>
  <c r="AJ386" i="18"/>
  <c r="AH386" i="2"/>
  <c r="AJ79" i="18"/>
  <c r="AH79" i="2"/>
  <c r="AJ591" i="18"/>
  <c r="AH591" i="2"/>
  <c r="AJ268" i="18"/>
  <c r="AH268" i="2"/>
  <c r="AJ780" i="18"/>
  <c r="AH780" i="2"/>
  <c r="AJ457" i="18"/>
  <c r="AH457" i="2"/>
  <c r="AH27" i="2"/>
  <c r="AJ27" i="18"/>
  <c r="AJ1386" i="18"/>
  <c r="AH1386" i="2"/>
  <c r="AJ963" i="18"/>
  <c r="AH963" i="2"/>
  <c r="AJ804" i="18"/>
  <c r="AH804" i="2"/>
  <c r="AJ899" i="18"/>
  <c r="AH899" i="2"/>
  <c r="AJ1322" i="18"/>
  <c r="AH1322" i="2"/>
  <c r="AJ707" i="18"/>
  <c r="AH707" i="2"/>
  <c r="AJ1066" i="18"/>
  <c r="AH1066" i="2"/>
  <c r="AJ1358" i="18"/>
  <c r="AH1358" i="2"/>
  <c r="AH11" i="2"/>
  <c r="AJ11" i="18"/>
  <c r="AJ1194" i="18"/>
  <c r="AH1194" i="2"/>
  <c r="AJ195" i="18"/>
  <c r="AH195" i="2"/>
  <c r="AJ1154" i="18"/>
  <c r="AH1154" i="2"/>
  <c r="AJ1027" i="18"/>
  <c r="AH1027" i="2"/>
  <c r="AH715" i="2"/>
  <c r="AJ715" i="18"/>
  <c r="AJ1285" i="18"/>
  <c r="AH1285" i="2"/>
  <c r="AJ1153" i="18"/>
  <c r="AH1153" i="2"/>
  <c r="AJ1293" i="18"/>
  <c r="AH1293" i="2"/>
  <c r="AJ721" i="18"/>
  <c r="AH721" i="2"/>
  <c r="AJ1110" i="18"/>
  <c r="AH1110" i="2"/>
  <c r="AJ80" i="18"/>
  <c r="AH80" i="2"/>
  <c r="AJ592" i="18"/>
  <c r="AH592" i="2"/>
  <c r="AJ221" i="18"/>
  <c r="AH221" i="2"/>
  <c r="AJ733" i="18"/>
  <c r="AH733" i="2"/>
  <c r="AH394" i="2"/>
  <c r="AJ394" i="18"/>
  <c r="AJ87" i="18"/>
  <c r="AH87" i="2"/>
  <c r="AJ599" i="18"/>
  <c r="AH599" i="2"/>
  <c r="AJ276" i="18"/>
  <c r="AH276" i="2"/>
  <c r="AJ788" i="18"/>
  <c r="AH788" i="2"/>
  <c r="AJ465" i="18"/>
  <c r="AH465" i="2"/>
  <c r="AH91" i="2"/>
  <c r="AJ91" i="18"/>
  <c r="AJ1132" i="18"/>
  <c r="AH1132" i="2"/>
  <c r="AJ411" i="18"/>
  <c r="AH411" i="2"/>
  <c r="AJ1225" i="18"/>
  <c r="AH1225" i="2"/>
  <c r="AJ854" i="18"/>
  <c r="AH854" i="2"/>
  <c r="AJ1366" i="18"/>
  <c r="AH1366" i="2"/>
  <c r="AJ971" i="18"/>
  <c r="AH971" i="2"/>
  <c r="AJ1311" i="18"/>
  <c r="AH1311" i="2"/>
  <c r="AJ1128" i="18"/>
  <c r="AH1128" i="2"/>
  <c r="AJ523" i="18"/>
  <c r="AH523" i="2"/>
  <c r="AJ1237" i="18"/>
  <c r="AH1237" i="2"/>
  <c r="AJ842" i="18"/>
  <c r="AH842" i="2"/>
  <c r="AJ1354" i="18"/>
  <c r="AH1354" i="2"/>
  <c r="AJ280" i="18"/>
  <c r="AH280" i="2"/>
  <c r="AJ792" i="18"/>
  <c r="AH792" i="2"/>
  <c r="AJ421" i="18"/>
  <c r="AH421" i="2"/>
  <c r="AH82" i="2"/>
  <c r="AJ82" i="18"/>
  <c r="AJ594" i="18"/>
  <c r="AH594" i="2"/>
  <c r="AJ287" i="18"/>
  <c r="AH287" i="2"/>
  <c r="AJ476" i="18"/>
  <c r="AH476" i="2"/>
  <c r="AJ153" i="18"/>
  <c r="AH153" i="2"/>
  <c r="AJ665" i="18"/>
  <c r="AH665" i="2"/>
  <c r="AJ821" i="18"/>
  <c r="AH821" i="2"/>
  <c r="AJ1332" i="18"/>
  <c r="AH1332" i="2"/>
  <c r="AJ913" i="18"/>
  <c r="AH913" i="2"/>
  <c r="AJ903" i="18"/>
  <c r="AH903" i="2"/>
  <c r="AJ1054" i="18"/>
  <c r="AH1054" i="2"/>
  <c r="AJ259" i="18"/>
  <c r="AH259" i="2"/>
  <c r="AJ1171" i="18"/>
  <c r="AH1171" i="2"/>
  <c r="AJ786" i="18"/>
  <c r="AH786" i="2"/>
  <c r="AJ1328" i="18"/>
  <c r="AH1328" i="2"/>
  <c r="AJ925" i="18"/>
  <c r="AH925" i="2"/>
  <c r="AJ339" i="18"/>
  <c r="AH339" i="2"/>
  <c r="AJ1042" i="18"/>
  <c r="AH1042" i="2"/>
  <c r="AJ480" i="18"/>
  <c r="AH480" i="2"/>
  <c r="AJ109" i="18"/>
  <c r="AH109" i="2"/>
  <c r="AJ621" i="18"/>
  <c r="AH621" i="2"/>
  <c r="AJ282" i="18"/>
  <c r="AH282" i="2"/>
  <c r="AH487" i="2"/>
  <c r="AJ487" i="18"/>
  <c r="AJ164" i="18"/>
  <c r="AH164" i="2"/>
  <c r="AJ676" i="18"/>
  <c r="AH676" i="2"/>
  <c r="AH353" i="2"/>
  <c r="AJ353" i="18"/>
  <c r="AJ54" i="18"/>
  <c r="AH54" i="2"/>
  <c r="AJ1020" i="18"/>
  <c r="AH1020" i="2"/>
  <c r="AJ1327" i="18"/>
  <c r="AH1327" i="2"/>
  <c r="AJ1113" i="18"/>
  <c r="AH1113" i="2"/>
  <c r="AJ558" i="18"/>
  <c r="AH558" i="2"/>
  <c r="AJ1254" i="18"/>
  <c r="AH1254" i="2"/>
  <c r="AJ859" i="18"/>
  <c r="AH859" i="2"/>
  <c r="AJ1371" i="18"/>
  <c r="AH1371" i="2"/>
  <c r="AJ1016" i="18"/>
  <c r="AH1016" i="2"/>
  <c r="AH3" i="2"/>
  <c r="AJ3" i="18"/>
  <c r="AJ1125" i="18"/>
  <c r="AH1125" i="2"/>
  <c r="AJ510" i="18"/>
  <c r="AH510" i="2"/>
  <c r="AJ1242" i="18"/>
  <c r="AH1242" i="2"/>
  <c r="AJ168" i="18"/>
  <c r="AH168" i="2"/>
  <c r="AJ680" i="18"/>
  <c r="AH680" i="2"/>
  <c r="AJ309" i="18"/>
  <c r="AH309" i="2"/>
  <c r="AJ482" i="18"/>
  <c r="AH482" i="2"/>
  <c r="AJ175" i="18"/>
  <c r="AH175" i="2"/>
  <c r="AJ687" i="18"/>
  <c r="AH687" i="2"/>
  <c r="AJ364" i="18"/>
  <c r="AH364" i="2"/>
  <c r="AJ41" i="18"/>
  <c r="AH41" i="2"/>
  <c r="AJ553" i="18"/>
  <c r="AH553" i="2"/>
  <c r="AJ486" i="18"/>
  <c r="AH486" i="2"/>
  <c r="AJ1220" i="18"/>
  <c r="AH1220" i="2"/>
  <c r="AJ763" i="18"/>
  <c r="AH763" i="2"/>
  <c r="AJ1313" i="18"/>
  <c r="AH1313" i="2"/>
  <c r="AJ942" i="18"/>
  <c r="AH942" i="2"/>
  <c r="AJ943" i="18"/>
  <c r="AH943" i="2"/>
  <c r="AJ1059" i="18"/>
  <c r="AH1059" i="2"/>
  <c r="AH342" i="2"/>
  <c r="AJ342" i="18"/>
  <c r="AJ1216" i="18"/>
  <c r="AH1216" i="2"/>
  <c r="AJ807" i="18"/>
  <c r="AH807" i="2"/>
  <c r="AJ1325" i="18"/>
  <c r="AH1325" i="2"/>
  <c r="AJ930" i="18"/>
  <c r="AH930" i="2"/>
  <c r="AJ755" i="18"/>
  <c r="AH755" i="2"/>
  <c r="AJ368" i="18"/>
  <c r="AH368" i="2"/>
  <c r="AH509" i="2"/>
  <c r="AJ509" i="18"/>
  <c r="AH170" i="2"/>
  <c r="AJ170" i="18"/>
  <c r="AJ682" i="18"/>
  <c r="AH682" i="2"/>
  <c r="AJ375" i="18"/>
  <c r="AH375" i="2"/>
  <c r="AJ52" i="18"/>
  <c r="AH52" i="2"/>
  <c r="AJ564" i="18"/>
  <c r="AH564" i="2"/>
  <c r="AJ241" i="18"/>
  <c r="AH241" i="2"/>
  <c r="AJ753" i="18"/>
  <c r="AH753" i="2"/>
  <c r="AJ908" i="18"/>
  <c r="AH908" i="2"/>
  <c r="AJ531" i="18"/>
  <c r="AH531" i="2"/>
  <c r="AJ1001" i="18"/>
  <c r="AH1001" i="2"/>
  <c r="AH43" i="2"/>
  <c r="AJ43" i="18"/>
  <c r="AJ1142" i="18"/>
  <c r="AH1142" i="2"/>
  <c r="AJ611" i="18"/>
  <c r="AH611" i="2"/>
  <c r="AJ1259" i="18"/>
  <c r="AH1259" i="2"/>
  <c r="AJ904" i="18"/>
  <c r="AH904" i="2"/>
  <c r="AJ659" i="18"/>
  <c r="AH659" i="2"/>
  <c r="AJ1013" i="18"/>
  <c r="AH1013" i="2"/>
  <c r="AJ504" i="18"/>
  <c r="AH504" i="2"/>
  <c r="AJ133" i="18"/>
  <c r="AH133" i="2"/>
  <c r="AJ645" i="18"/>
  <c r="AH645" i="2"/>
  <c r="AJ306" i="18"/>
  <c r="AH306" i="2"/>
  <c r="AJ511" i="18"/>
  <c r="AH511" i="2"/>
  <c r="AJ188" i="18"/>
  <c r="AH188" i="2"/>
  <c r="AH700" i="2"/>
  <c r="AJ700" i="18"/>
  <c r="AJ377" i="18"/>
  <c r="AH377" i="2"/>
  <c r="AJ78" i="18"/>
  <c r="AH78" i="2"/>
  <c r="AJ1044" i="18"/>
  <c r="AH1044" i="2"/>
  <c r="AJ1137" i="18"/>
  <c r="AH1137" i="2"/>
  <c r="AJ654" i="18"/>
  <c r="AH654" i="2"/>
  <c r="AJ1278" i="18"/>
  <c r="AH1278" i="2"/>
  <c r="AJ883" i="18"/>
  <c r="AH883" i="2"/>
  <c r="AJ1395" i="18"/>
  <c r="AH1395" i="2"/>
  <c r="AJ1040" i="18"/>
  <c r="AH1040" i="2"/>
  <c r="AH171" i="2"/>
  <c r="AJ171" i="18"/>
  <c r="AJ1149" i="18"/>
  <c r="AH1149" i="2"/>
  <c r="AJ606" i="18"/>
  <c r="AH606" i="2"/>
  <c r="AJ1266" i="18"/>
  <c r="AH1266" i="2"/>
  <c r="AJ256" i="18"/>
  <c r="AH256" i="2"/>
  <c r="AJ768" i="18"/>
  <c r="AH768" i="2"/>
  <c r="AH397" i="2"/>
  <c r="AJ397" i="18"/>
  <c r="AH58" i="2"/>
  <c r="AJ58" i="18"/>
  <c r="AJ570" i="18"/>
  <c r="AH570" i="2"/>
  <c r="AJ263" i="18"/>
  <c r="AH263" i="2"/>
  <c r="AJ775" i="18"/>
  <c r="AH775" i="2"/>
  <c r="AJ452" i="18"/>
  <c r="AH452" i="2"/>
  <c r="AJ129" i="18"/>
  <c r="AH129" i="2"/>
  <c r="AJ641" i="18"/>
  <c r="AH641" i="2"/>
  <c r="AJ801" i="18"/>
  <c r="AH801" i="2"/>
  <c r="AJ1308" i="18"/>
  <c r="AH1308" i="2"/>
  <c r="AJ889" i="18"/>
  <c r="AH889" i="2"/>
  <c r="AJ1401" i="18"/>
  <c r="AH1401" i="2"/>
  <c r="AJ1030" i="18"/>
  <c r="AH1030" i="2"/>
  <c r="AH163" i="2"/>
  <c r="AJ163" i="18"/>
  <c r="AJ1147" i="18"/>
  <c r="AH1147" i="2"/>
  <c r="AJ694" i="18"/>
  <c r="AH694" i="2"/>
  <c r="AJ1304" i="18"/>
  <c r="AH1304" i="2"/>
  <c r="AJ136" i="18"/>
  <c r="AH136" i="2"/>
  <c r="AJ648" i="18"/>
  <c r="AH648" i="2"/>
  <c r="AJ277" i="18"/>
  <c r="AH277" i="2"/>
  <c r="AJ789" i="18"/>
  <c r="AH789" i="2"/>
  <c r="AJ450" i="18"/>
  <c r="AH450" i="2"/>
  <c r="AJ143" i="18"/>
  <c r="AH143" i="2"/>
  <c r="AJ655" i="18"/>
  <c r="AH655" i="2"/>
  <c r="AJ332" i="18"/>
  <c r="AH332" i="2"/>
  <c r="AH9" i="2"/>
  <c r="AJ9" i="18"/>
  <c r="AJ521" i="18"/>
  <c r="AH521" i="2"/>
  <c r="AJ358" i="18"/>
  <c r="AH358" i="2"/>
  <c r="AJ1018" i="18"/>
  <c r="AH1018" i="2"/>
  <c r="AJ1103" i="18"/>
  <c r="AH1103" i="2"/>
  <c r="AJ890" i="18"/>
  <c r="AH890" i="2"/>
  <c r="AJ243" i="18"/>
  <c r="AH243" i="2"/>
  <c r="AJ819" i="18"/>
  <c r="AH819" i="2"/>
  <c r="AJ1155" i="18"/>
  <c r="AH1155" i="2"/>
  <c r="AJ1258" i="18"/>
  <c r="AH1258" i="2"/>
  <c r="AJ838" i="18"/>
  <c r="AH838" i="2"/>
  <c r="AJ318" i="18"/>
  <c r="AH318" i="2"/>
  <c r="AJ954" i="18"/>
  <c r="AH954" i="2"/>
  <c r="AJ1091" i="18"/>
  <c r="AH1091" i="2"/>
  <c r="AH139" i="2"/>
  <c r="AJ139" i="18"/>
  <c r="AH214" i="2"/>
  <c r="AJ214" i="18"/>
  <c r="AJ827" i="18"/>
  <c r="AH827" i="2"/>
  <c r="AJ1349" i="18"/>
  <c r="AH1349" i="2"/>
  <c r="AJ718" i="18"/>
  <c r="AH718" i="2"/>
  <c r="AJ837" i="18"/>
  <c r="AH837" i="2"/>
  <c r="AJ336" i="18"/>
  <c r="AH336" i="2"/>
  <c r="AJ209" i="18"/>
  <c r="AH209" i="2"/>
  <c r="AJ202" i="18"/>
  <c r="AH202" i="2"/>
  <c r="AJ528" i="18"/>
  <c r="AH528" i="2"/>
  <c r="AJ656" i="18"/>
  <c r="AH656" i="2"/>
  <c r="AJ285" i="18"/>
  <c r="AH285" i="2"/>
  <c r="AH458" i="2"/>
  <c r="AJ458" i="18"/>
  <c r="AJ151" i="18"/>
  <c r="AH151" i="2"/>
  <c r="AJ663" i="18"/>
  <c r="AH663" i="2"/>
  <c r="AJ340" i="18"/>
  <c r="AH340" i="2"/>
  <c r="AH17" i="2"/>
  <c r="AJ17" i="18"/>
  <c r="AJ529" i="18"/>
  <c r="AH529" i="2"/>
  <c r="AJ390" i="18"/>
  <c r="AH390" i="2"/>
  <c r="AJ1196" i="18"/>
  <c r="AH1196" i="2"/>
  <c r="AJ667" i="18"/>
  <c r="AH667" i="2"/>
  <c r="AJ1289" i="18"/>
  <c r="AH1289" i="2"/>
  <c r="AJ918" i="18"/>
  <c r="AH918" i="2"/>
  <c r="AJ723" i="18"/>
  <c r="AH723" i="2"/>
  <c r="AJ1035" i="18"/>
  <c r="AH1035" i="2"/>
  <c r="AJ246" i="18"/>
  <c r="AH246" i="2"/>
  <c r="AJ1192" i="18"/>
  <c r="AH1192" i="2"/>
  <c r="AJ779" i="18"/>
  <c r="AH779" i="2"/>
  <c r="AJ1301" i="18"/>
  <c r="AH1301" i="2"/>
  <c r="AJ906" i="18"/>
  <c r="AH906" i="2"/>
  <c r="AJ211" i="18"/>
  <c r="AH211" i="2"/>
  <c r="AJ344" i="18"/>
  <c r="AH344" i="2"/>
  <c r="AJ485" i="18"/>
  <c r="AH485" i="2"/>
  <c r="AJ146" i="18"/>
  <c r="AH146" i="2"/>
  <c r="AJ658" i="18"/>
  <c r="AH658" i="2"/>
  <c r="AJ351" i="18"/>
  <c r="AH351" i="2"/>
  <c r="AJ28" i="18"/>
  <c r="AH28" i="2"/>
  <c r="AJ540" i="18"/>
  <c r="AH540" i="2"/>
  <c r="AJ217" i="18"/>
  <c r="AH217" i="2"/>
  <c r="AJ729" i="18"/>
  <c r="AH729" i="2"/>
  <c r="AJ884" i="18"/>
  <c r="AH884" i="2"/>
  <c r="AJ1396" i="18"/>
  <c r="AH1396" i="2"/>
  <c r="AJ977" i="18"/>
  <c r="AH977" i="2"/>
  <c r="AJ1263" i="18"/>
  <c r="AH1263" i="2"/>
  <c r="AJ1118" i="18"/>
  <c r="AH1118" i="2"/>
  <c r="AJ515" i="18"/>
  <c r="AH515" i="2"/>
  <c r="AJ1235" i="18"/>
  <c r="AH1235" i="2"/>
  <c r="AJ880" i="18"/>
  <c r="AH880" i="2"/>
  <c r="AJ1392" i="18"/>
  <c r="AH1392" i="2"/>
  <c r="AJ989" i="18"/>
  <c r="AH989" i="2"/>
  <c r="AJ1167" i="18"/>
  <c r="AH1167" i="2"/>
  <c r="AJ1106" i="18"/>
  <c r="AH1106" i="2"/>
  <c r="AJ32" i="18"/>
  <c r="AH32" i="2"/>
  <c r="AJ544" i="18"/>
  <c r="AH544" i="2"/>
  <c r="AJ173" i="18"/>
  <c r="AH173" i="2"/>
  <c r="AJ685" i="18"/>
  <c r="AH685" i="2"/>
  <c r="AJ346" i="18"/>
  <c r="AH346" i="2"/>
  <c r="AJ39" i="18"/>
  <c r="AH39" i="2"/>
  <c r="AJ551" i="18"/>
  <c r="AH551" i="2"/>
  <c r="AJ228" i="18"/>
  <c r="AH228" i="2"/>
  <c r="AJ740" i="18"/>
  <c r="AH740" i="2"/>
  <c r="AJ417" i="18"/>
  <c r="AH417" i="2"/>
  <c r="AJ118" i="18"/>
  <c r="AH118" i="2"/>
  <c r="AJ1084" i="18"/>
  <c r="AH1084" i="2"/>
  <c r="AJ219" i="18"/>
  <c r="AH219" i="2"/>
  <c r="AJ1177" i="18"/>
  <c r="AH1177" i="2"/>
  <c r="AJ798" i="18"/>
  <c r="AH798" i="2"/>
  <c r="AJ1318" i="18"/>
  <c r="AH1318" i="2"/>
  <c r="AJ923" i="18"/>
  <c r="AH923" i="2"/>
  <c r="AJ863" i="18"/>
  <c r="AH863" i="2"/>
  <c r="AJ1080" i="18"/>
  <c r="AH1080" i="2"/>
  <c r="AJ331" i="18"/>
  <c r="AH331" i="2"/>
  <c r="AJ1189" i="18"/>
  <c r="AH1189" i="2"/>
  <c r="AJ766" i="18"/>
  <c r="AH766" i="2"/>
  <c r="AJ1306" i="18"/>
  <c r="AH1306" i="2"/>
  <c r="AJ232" i="18"/>
  <c r="AH232" i="2"/>
  <c r="AJ744" i="18"/>
  <c r="AH744" i="2"/>
  <c r="AH373" i="2"/>
  <c r="AJ373" i="18"/>
  <c r="AH34" i="2"/>
  <c r="AJ34" i="18"/>
  <c r="AJ546" i="18"/>
  <c r="AH546" i="2"/>
  <c r="AJ239" i="18"/>
  <c r="AH239" i="2"/>
  <c r="AJ751" i="18"/>
  <c r="AH751" i="2"/>
  <c r="AJ428" i="18"/>
  <c r="AH428" i="2"/>
  <c r="AJ105" i="18"/>
  <c r="AH105" i="2"/>
  <c r="AJ617" i="18"/>
  <c r="AH617" i="2"/>
  <c r="AJ742" i="18"/>
  <c r="AH742" i="2"/>
  <c r="AJ1284" i="18"/>
  <c r="AH1284" i="2"/>
  <c r="AJ865" i="18"/>
  <c r="AH865" i="2"/>
  <c r="AJ1377" i="18"/>
  <c r="AH1377" i="2"/>
  <c r="AJ1006" i="18"/>
  <c r="AH1006" i="2"/>
  <c r="AJ1123" i="18"/>
  <c r="AH1123" i="2"/>
  <c r="AJ598" i="18"/>
  <c r="AH598" i="2"/>
  <c r="AJ1280" i="18"/>
  <c r="AH1280" i="2"/>
  <c r="AJ877" i="18"/>
  <c r="AH877" i="2"/>
  <c r="AJ1389" i="18"/>
  <c r="AH1389" i="2"/>
  <c r="AJ994" i="18"/>
  <c r="AH994" i="2"/>
  <c r="AJ1375" i="18"/>
  <c r="AH1375" i="2"/>
  <c r="AJ432" i="18"/>
  <c r="AH432" i="2"/>
  <c r="AJ61" i="18"/>
  <c r="AH61" i="2"/>
  <c r="AJ573" i="18"/>
  <c r="AH573" i="2"/>
  <c r="AH234" i="2"/>
  <c r="AJ234" i="18"/>
  <c r="AJ746" i="18"/>
  <c r="AH746" i="2"/>
  <c r="AJ439" i="18"/>
  <c r="AH439" i="2"/>
  <c r="AJ116" i="18"/>
  <c r="AH116" i="2"/>
  <c r="AJ628" i="18"/>
  <c r="AH628" i="2"/>
  <c r="AJ305" i="18"/>
  <c r="AH305" i="2"/>
  <c r="AJ6" i="18"/>
  <c r="AH6" i="2"/>
  <c r="AJ972" i="18"/>
  <c r="AH972" i="2"/>
  <c r="AJ1087" i="18"/>
  <c r="AH1087" i="2"/>
  <c r="AJ1065" i="18"/>
  <c r="AH1065" i="2"/>
  <c r="AH366" i="2"/>
  <c r="AJ366" i="18"/>
  <c r="AJ1206" i="18"/>
  <c r="AH1206" i="2"/>
  <c r="AJ815" i="18"/>
  <c r="AH815" i="2"/>
  <c r="AJ1323" i="18"/>
  <c r="AH1323" i="2"/>
  <c r="AJ968" i="18"/>
  <c r="AH968" i="2"/>
  <c r="AJ1151" i="18"/>
  <c r="AH1151" i="2"/>
  <c r="AJ1077" i="18"/>
  <c r="AH1077" i="2"/>
  <c r="AJ56" i="18"/>
  <c r="AH56" i="2"/>
  <c r="AJ568" i="18"/>
  <c r="AH568" i="2"/>
  <c r="AJ197" i="18"/>
  <c r="AH197" i="2"/>
  <c r="AJ709" i="18"/>
  <c r="AH709" i="2"/>
  <c r="AJ370" i="18"/>
  <c r="AH370" i="2"/>
  <c r="AJ63" i="18"/>
  <c r="AH63" i="2"/>
  <c r="AJ575" i="18"/>
  <c r="AH575" i="2"/>
  <c r="AJ252" i="18"/>
  <c r="AH252" i="2"/>
  <c r="AH764" i="2"/>
  <c r="AJ764" i="18"/>
  <c r="AJ441" i="18"/>
  <c r="AH441" i="2"/>
  <c r="AJ142" i="18"/>
  <c r="AH142" i="2"/>
  <c r="AJ1108" i="18"/>
  <c r="AH1108" i="2"/>
  <c r="AJ315" i="18"/>
  <c r="AH315" i="2"/>
  <c r="AJ1201" i="18"/>
  <c r="AH1201" i="2"/>
  <c r="AJ828" i="18"/>
  <c r="AH828" i="2"/>
  <c r="AJ1342" i="18"/>
  <c r="AH1342" i="2"/>
  <c r="AJ947" i="18"/>
  <c r="AH947" i="2"/>
  <c r="AJ967" i="18"/>
  <c r="AH967" i="2"/>
  <c r="AJ1104" i="18"/>
  <c r="AH1104" i="2"/>
  <c r="AJ427" i="18"/>
  <c r="AH427" i="2"/>
  <c r="AJ1213" i="18"/>
  <c r="AH1213" i="2"/>
  <c r="AJ814" i="18"/>
  <c r="AH814" i="2"/>
  <c r="AJ1330" i="18"/>
  <c r="AH1330" i="2"/>
  <c r="AJ320" i="18"/>
  <c r="AH320" i="2"/>
  <c r="AJ832" i="18"/>
  <c r="AH832" i="2"/>
  <c r="AJ461" i="18"/>
  <c r="AH461" i="2"/>
  <c r="AH122" i="2"/>
  <c r="AJ122" i="18"/>
  <c r="AJ634" i="18"/>
  <c r="AH634" i="2"/>
  <c r="AJ327" i="18"/>
  <c r="AH327" i="2"/>
  <c r="AJ4" i="18"/>
  <c r="AH4" i="2"/>
  <c r="AJ516" i="18"/>
  <c r="AH516" i="2"/>
  <c r="AJ193" i="18"/>
  <c r="AH193" i="2"/>
  <c r="AJ705" i="18"/>
  <c r="AH705" i="2"/>
  <c r="AJ860" i="18"/>
  <c r="AH860" i="2"/>
  <c r="AJ1372" i="18"/>
  <c r="AH1372" i="2"/>
  <c r="AJ953" i="18"/>
  <c r="AH953" i="2"/>
  <c r="AJ1135" i="18"/>
  <c r="AH1135" i="2"/>
  <c r="AJ1094" i="18"/>
  <c r="AH1094" i="2"/>
  <c r="AJ419" i="18"/>
  <c r="AH419" i="2"/>
  <c r="AJ1211" i="18"/>
  <c r="AH1211" i="2"/>
  <c r="AJ856" i="18"/>
  <c r="AH856" i="2"/>
  <c r="AJ1368" i="18"/>
  <c r="AH1368" i="2"/>
  <c r="AJ200" i="18"/>
  <c r="AH200" i="2"/>
  <c r="AH712" i="2"/>
  <c r="AJ712" i="18"/>
  <c r="AJ341" i="18"/>
  <c r="AH341" i="2"/>
  <c r="AJ514" i="18"/>
  <c r="AH514" i="2"/>
  <c r="AJ207" i="18"/>
  <c r="AH207" i="2"/>
  <c r="AJ719" i="18"/>
  <c r="AH719" i="2"/>
  <c r="AJ396" i="18"/>
  <c r="AH396" i="2"/>
  <c r="AJ73" i="18"/>
  <c r="AH73" i="2"/>
  <c r="AJ585" i="18"/>
  <c r="AH585" i="2"/>
  <c r="AJ614" i="18"/>
  <c r="AH614" i="2"/>
  <c r="AJ1119" i="18"/>
  <c r="AH1119" i="2"/>
  <c r="AJ1056" i="18"/>
  <c r="AH1056" i="2"/>
  <c r="AJ1338" i="18"/>
  <c r="AH1338" i="2"/>
  <c r="AJ928" i="18"/>
  <c r="AH928" i="2"/>
  <c r="AJ1210" i="18"/>
  <c r="AH1210" i="2"/>
  <c r="AJ726" i="18"/>
  <c r="AH726" i="2"/>
  <c r="AJ638" i="18"/>
  <c r="AH638" i="2"/>
  <c r="AJ1283" i="18"/>
  <c r="AH1283" i="2"/>
  <c r="AJ574" i="18"/>
  <c r="AH574" i="2"/>
  <c r="AJ1402" i="18"/>
  <c r="AH1402" i="2"/>
  <c r="AJ1347" i="18"/>
  <c r="AH1347" i="2"/>
  <c r="AJ1146" i="18"/>
  <c r="AH1146" i="2"/>
  <c r="AJ1120" i="18"/>
  <c r="AH1120" i="2"/>
  <c r="AJ901" i="18"/>
  <c r="AH901" i="2"/>
  <c r="AH83" i="2"/>
  <c r="AJ83" i="18"/>
  <c r="AJ1230" i="18"/>
  <c r="AH1230" i="2"/>
  <c r="AJ1282" i="18"/>
  <c r="AH1282" i="2"/>
  <c r="AJ138" i="18"/>
  <c r="AH138" i="2"/>
  <c r="AJ400" i="18"/>
  <c r="AH400" i="2"/>
  <c r="AJ144" i="18"/>
  <c r="AH144" i="2"/>
  <c r="AJ797" i="18"/>
  <c r="AH797" i="2"/>
  <c r="AJ208" i="18"/>
  <c r="AH208" i="2"/>
  <c r="AJ349" i="18"/>
  <c r="AH349" i="2"/>
  <c r="AJ522" i="18"/>
  <c r="AH522" i="2"/>
  <c r="AJ404" i="18"/>
  <c r="AH404" i="2"/>
  <c r="AJ646" i="18"/>
  <c r="AH646" i="2"/>
  <c r="AJ841" i="18"/>
  <c r="AH841" i="2"/>
  <c r="AJ1287" i="18"/>
  <c r="AH1287" i="2"/>
  <c r="AJ502" i="18"/>
  <c r="AH502" i="2"/>
  <c r="AJ1256" i="18"/>
  <c r="AH1256" i="2"/>
  <c r="AJ853" i="18"/>
  <c r="AH853" i="2"/>
  <c r="AJ1365" i="18"/>
  <c r="AH1365" i="2"/>
  <c r="AJ970" i="18"/>
  <c r="AH970" i="2"/>
  <c r="AJ1215" i="18"/>
  <c r="AH1215" i="2"/>
  <c r="AJ408" i="18"/>
  <c r="AH408" i="2"/>
  <c r="AJ37" i="18"/>
  <c r="AH37" i="2"/>
  <c r="AJ549" i="18"/>
  <c r="AH549" i="2"/>
  <c r="AJ210" i="18"/>
  <c r="AH210" i="2"/>
  <c r="AJ722" i="18"/>
  <c r="AH722" i="2"/>
  <c r="AJ415" i="18"/>
  <c r="AH415" i="2"/>
  <c r="AJ92" i="18"/>
  <c r="AH92" i="2"/>
  <c r="AJ604" i="18"/>
  <c r="AH604" i="2"/>
  <c r="AJ281" i="18"/>
  <c r="AH281" i="2"/>
  <c r="AJ948" i="18"/>
  <c r="AH948" i="2"/>
  <c r="AJ975" i="18"/>
  <c r="AH975" i="2"/>
  <c r="AJ1041" i="18"/>
  <c r="AH1041" i="2"/>
  <c r="AJ270" i="18"/>
  <c r="AH270" i="2"/>
  <c r="AJ1182" i="18"/>
  <c r="AH1182" i="2"/>
  <c r="AH771" i="2"/>
  <c r="AJ771" i="18"/>
  <c r="AJ1299" i="18"/>
  <c r="AH1299" i="2"/>
  <c r="AJ944" i="18"/>
  <c r="AH944" i="2"/>
  <c r="AJ983" i="18"/>
  <c r="AH983" i="2"/>
  <c r="AJ1053" i="18"/>
  <c r="AH1053" i="2"/>
  <c r="AJ222" i="18"/>
  <c r="AH222" i="2"/>
  <c r="AJ1170" i="18"/>
  <c r="AH1170" i="2"/>
  <c r="AJ96" i="18"/>
  <c r="AH96" i="2"/>
  <c r="AJ608" i="18"/>
  <c r="AH608" i="2"/>
  <c r="AJ237" i="18"/>
  <c r="AH237" i="2"/>
  <c r="AJ749" i="18"/>
  <c r="AH749" i="2"/>
  <c r="AJ410" i="18"/>
  <c r="AH410" i="2"/>
  <c r="AJ103" i="18"/>
  <c r="AH103" i="2"/>
  <c r="AJ615" i="18"/>
  <c r="AH615" i="2"/>
  <c r="AJ292" i="18"/>
  <c r="AH292" i="2"/>
  <c r="AJ481" i="18"/>
  <c r="AH481" i="2"/>
  <c r="AJ198" i="18"/>
  <c r="AH198" i="2"/>
  <c r="AJ1148" i="18"/>
  <c r="AH1148" i="2"/>
  <c r="AJ475" i="18"/>
  <c r="AH475" i="2"/>
  <c r="AJ1241" i="18"/>
  <c r="AH1241" i="2"/>
  <c r="AJ870" i="18"/>
  <c r="AH870" i="2"/>
  <c r="AJ1382" i="18"/>
  <c r="AH1382" i="2"/>
  <c r="AJ987" i="18"/>
  <c r="AH987" i="2"/>
  <c r="AJ1359" i="18"/>
  <c r="AH1359" i="2"/>
  <c r="AJ1144" i="18"/>
  <c r="AH1144" i="2"/>
  <c r="AJ587" i="18"/>
  <c r="AH587" i="2"/>
  <c r="AJ1253" i="18"/>
  <c r="AH1253" i="2"/>
  <c r="AJ858" i="18"/>
  <c r="AH858" i="2"/>
  <c r="AJ1370" i="18"/>
  <c r="AH1370" i="2"/>
  <c r="AJ296" i="18"/>
  <c r="AH296" i="2"/>
  <c r="AJ808" i="18"/>
  <c r="AH808" i="2"/>
  <c r="AH437" i="2"/>
  <c r="AJ437" i="18"/>
  <c r="AH98" i="2"/>
  <c r="AJ98" i="18"/>
  <c r="AJ610" i="18"/>
  <c r="AH610" i="2"/>
  <c r="AJ303" i="18"/>
  <c r="AH303" i="2"/>
  <c r="AJ492" i="18"/>
  <c r="AH492" i="2"/>
  <c r="AJ169" i="18"/>
  <c r="AH169" i="2"/>
  <c r="AJ681" i="18"/>
  <c r="AH681" i="2"/>
  <c r="AJ839" i="18"/>
  <c r="AH839" i="2"/>
  <c r="AJ1348" i="18"/>
  <c r="AH1348" i="2"/>
  <c r="AJ929" i="18"/>
  <c r="AH929" i="2"/>
  <c r="AJ1007" i="18"/>
  <c r="AH1007" i="2"/>
  <c r="AJ1070" i="18"/>
  <c r="AH1070" i="2"/>
  <c r="AJ323" i="18"/>
  <c r="AH323" i="2"/>
  <c r="AJ1187" i="18"/>
  <c r="AH1187" i="2"/>
  <c r="AJ830" i="18"/>
  <c r="AH830" i="2"/>
  <c r="AJ1344" i="18"/>
  <c r="AH1344" i="2"/>
  <c r="AJ941" i="18"/>
  <c r="AH941" i="2"/>
  <c r="AJ829" i="18"/>
  <c r="AH829" i="2"/>
  <c r="AJ1058" i="18"/>
  <c r="AH1058" i="2"/>
  <c r="AJ496" i="18"/>
  <c r="AH496" i="2"/>
  <c r="AJ125" i="18"/>
  <c r="AH125" i="2"/>
  <c r="AJ637" i="18"/>
  <c r="AH637" i="2"/>
  <c r="AJ298" i="18"/>
  <c r="AH298" i="2"/>
  <c r="AJ503" i="18"/>
  <c r="AH503" i="2"/>
  <c r="AJ180" i="18"/>
  <c r="AH180" i="2"/>
  <c r="AJ692" i="18"/>
  <c r="AH692" i="2"/>
  <c r="AJ369" i="18"/>
  <c r="AH369" i="2"/>
  <c r="AH70" i="2"/>
  <c r="AJ70" i="18"/>
  <c r="AJ1036" i="18"/>
  <c r="AH1036" i="2"/>
  <c r="AJ1399" i="18"/>
  <c r="AH1399" i="2"/>
  <c r="AJ1129" i="18"/>
  <c r="AH1129" i="2"/>
  <c r="AJ622" i="18"/>
  <c r="AH622" i="2"/>
  <c r="AJ1270" i="18"/>
  <c r="AH1270" i="2"/>
  <c r="AJ875" i="18"/>
  <c r="AH875" i="2"/>
  <c r="AJ1387" i="18"/>
  <c r="AH1387" i="2"/>
  <c r="AJ1032" i="18"/>
  <c r="AH1032" i="2"/>
  <c r="AH131" i="2"/>
  <c r="AJ131" i="18"/>
  <c r="AJ1141" i="18"/>
  <c r="AH1141" i="2"/>
  <c r="AJ120" i="18"/>
  <c r="AH120" i="2"/>
  <c r="AJ632" i="18"/>
  <c r="AH632" i="2"/>
  <c r="AJ261" i="18"/>
  <c r="AH261" i="2"/>
  <c r="AJ773" i="18"/>
  <c r="AH773" i="2"/>
  <c r="AJ434" i="18"/>
  <c r="AH434" i="2"/>
  <c r="AJ127" i="18"/>
  <c r="AH127" i="2"/>
  <c r="AJ639" i="18"/>
  <c r="AH639" i="2"/>
  <c r="AJ316" i="18"/>
  <c r="AH316" i="2"/>
  <c r="AJ505" i="18"/>
  <c r="AH505" i="2"/>
  <c r="AJ294" i="18"/>
  <c r="AH294" i="2"/>
  <c r="AJ1172" i="18"/>
  <c r="AH1172" i="2"/>
  <c r="AJ571" i="18"/>
  <c r="AH571" i="2"/>
  <c r="AJ1265" i="18"/>
  <c r="AH1265" i="2"/>
  <c r="AJ894" i="18"/>
  <c r="AH894" i="2"/>
  <c r="AJ1406" i="18"/>
  <c r="AH1406" i="2"/>
  <c r="AJ1011" i="18"/>
  <c r="AH1011" i="2"/>
  <c r="AH150" i="2"/>
  <c r="AJ150" i="18"/>
  <c r="AJ1168" i="18"/>
  <c r="AH1168" i="2"/>
  <c r="AH683" i="2"/>
  <c r="AJ683" i="18"/>
  <c r="AJ1277" i="18"/>
  <c r="AH1277" i="2"/>
  <c r="AJ882" i="18"/>
  <c r="AH882" i="2"/>
  <c r="AJ1394" i="18"/>
  <c r="AH1394" i="2"/>
  <c r="AJ384" i="18"/>
  <c r="AH384" i="2"/>
  <c r="AJ13" i="18"/>
  <c r="AH13" i="2"/>
  <c r="AJ525" i="18"/>
  <c r="AH525" i="2"/>
  <c r="AJ186" i="18"/>
  <c r="AH186" i="2"/>
  <c r="AJ698" i="18"/>
  <c r="AH698" i="2"/>
  <c r="AJ391" i="18"/>
  <c r="AH391" i="2"/>
  <c r="AJ68" i="18"/>
  <c r="AH68" i="2"/>
  <c r="AJ580" i="18"/>
  <c r="AH580" i="2"/>
  <c r="AJ257" i="18"/>
  <c r="AH257" i="2"/>
  <c r="AJ769" i="18"/>
  <c r="AH769" i="2"/>
  <c r="AJ924" i="18"/>
  <c r="AH924" i="2"/>
  <c r="AJ847" i="18"/>
  <c r="AH847" i="2"/>
  <c r="AJ1017" i="18"/>
  <c r="AH1017" i="2"/>
  <c r="AJ174" i="18"/>
  <c r="AH174" i="2"/>
  <c r="AJ1158" i="18"/>
  <c r="AH1158" i="2"/>
  <c r="AJ675" i="18"/>
  <c r="AH675" i="2"/>
  <c r="AJ1275" i="18"/>
  <c r="AH1275" i="2"/>
  <c r="AJ920" i="18"/>
  <c r="AH920" i="2"/>
  <c r="AJ834" i="18"/>
  <c r="AH834" i="2"/>
  <c r="AJ264" i="18"/>
  <c r="AH264" i="2"/>
  <c r="AJ776" i="18"/>
  <c r="AH776" i="2"/>
  <c r="AJ405" i="18"/>
  <c r="AH405" i="2"/>
  <c r="AH66" i="2"/>
  <c r="AJ66" i="18"/>
  <c r="AJ578" i="18"/>
  <c r="AH578" i="2"/>
  <c r="AJ271" i="18"/>
  <c r="AH271" i="2"/>
  <c r="AJ783" i="18"/>
  <c r="AH783" i="2"/>
  <c r="AJ460" i="18"/>
  <c r="AH460" i="2"/>
  <c r="AJ137" i="18"/>
  <c r="AH137" i="2"/>
  <c r="AJ649" i="18"/>
  <c r="AH649" i="2"/>
  <c r="AJ806" i="18"/>
  <c r="AH806" i="2"/>
  <c r="AJ1316" i="18"/>
  <c r="AH1316" i="2"/>
  <c r="AJ1279" i="18"/>
  <c r="AH1279" i="2"/>
  <c r="AJ1188" i="18"/>
  <c r="AH1188" i="2"/>
  <c r="AJ1376" i="18"/>
  <c r="AH1376" i="2"/>
  <c r="AJ1124" i="18"/>
  <c r="AH1124" i="2"/>
  <c r="AJ1184" i="18"/>
  <c r="AH1184" i="2"/>
  <c r="AJ1274" i="18"/>
  <c r="AH1274" i="2"/>
  <c r="AH992" i="2"/>
  <c r="AJ992" i="18"/>
  <c r="AJ809" i="18"/>
  <c r="AH809" i="2"/>
  <c r="AJ1252" i="18"/>
  <c r="AH1252" i="2"/>
  <c r="AJ864" i="18"/>
  <c r="AH864" i="2"/>
  <c r="AJ1191" i="18"/>
  <c r="AH1191" i="2"/>
  <c r="AJ235" i="18"/>
  <c r="AH235" i="2"/>
  <c r="AJ965" i="18"/>
  <c r="AH965" i="2"/>
  <c r="AJ1015" i="18"/>
  <c r="AH1015" i="2"/>
  <c r="AJ451" i="18"/>
  <c r="AH451" i="2"/>
  <c r="AJ343" i="18"/>
  <c r="AH343" i="2"/>
  <c r="AJ969" i="18"/>
  <c r="AH969" i="2"/>
  <c r="AJ541" i="18"/>
  <c r="AH541" i="2"/>
  <c r="AJ16" i="18"/>
  <c r="AH16" i="2"/>
  <c r="AJ720" i="18"/>
  <c r="AH720" i="2"/>
  <c r="AH10" i="2"/>
  <c r="AJ10" i="18"/>
  <c r="AJ215" i="18"/>
  <c r="AH215" i="2"/>
  <c r="AJ727" i="18"/>
  <c r="AH727" i="2"/>
  <c r="AJ81" i="18"/>
  <c r="AH81" i="2"/>
  <c r="AJ593" i="18"/>
  <c r="AH593" i="2"/>
  <c r="AJ1260" i="18"/>
  <c r="AH1260" i="2"/>
  <c r="AJ1353" i="18"/>
  <c r="AH1353" i="2"/>
  <c r="AJ982" i="18"/>
  <c r="AH982" i="2"/>
  <c r="AJ1099" i="18"/>
  <c r="AH1099" i="2"/>
  <c r="AJ272" i="18"/>
  <c r="AH272" i="2"/>
  <c r="AJ784" i="18"/>
  <c r="AH784" i="2"/>
  <c r="AJ413" i="18"/>
  <c r="AH413" i="2"/>
  <c r="AH74" i="2"/>
  <c r="AJ74" i="18"/>
  <c r="AJ586" i="18"/>
  <c r="AH586" i="2"/>
  <c r="AJ279" i="18"/>
  <c r="AH279" i="2"/>
  <c r="AJ791" i="18"/>
  <c r="AH791" i="2"/>
  <c r="AJ468" i="18"/>
  <c r="AH468" i="2"/>
  <c r="AJ145" i="18"/>
  <c r="AH145" i="2"/>
  <c r="AJ657" i="18"/>
  <c r="AH657" i="2"/>
  <c r="AJ811" i="18"/>
  <c r="AH811" i="2"/>
  <c r="AJ1324" i="18"/>
  <c r="AH1324" i="2"/>
  <c r="AJ905" i="18"/>
  <c r="AH905" i="2"/>
  <c r="AJ691" i="18"/>
  <c r="AH691" i="2"/>
  <c r="AJ1046" i="18"/>
  <c r="AH1046" i="2"/>
  <c r="AJ227" i="18"/>
  <c r="AH227" i="2"/>
  <c r="AJ1163" i="18"/>
  <c r="AH1163" i="2"/>
  <c r="AJ758" i="18"/>
  <c r="AH758" i="2"/>
  <c r="AJ1320" i="18"/>
  <c r="AH1320" i="2"/>
  <c r="AJ917" i="18"/>
  <c r="AH917" i="2"/>
  <c r="AJ275" i="18"/>
  <c r="AH275" i="2"/>
  <c r="AJ1034" i="18"/>
  <c r="AH1034" i="2"/>
  <c r="AJ472" i="18"/>
  <c r="AH472" i="2"/>
  <c r="AJ101" i="18"/>
  <c r="AH101" i="2"/>
  <c r="AJ613" i="18"/>
  <c r="AH613" i="2"/>
  <c r="AJ274" i="18"/>
  <c r="AH274" i="2"/>
  <c r="AJ479" i="18"/>
  <c r="AH479" i="2"/>
  <c r="AJ156" i="18"/>
  <c r="AH156" i="2"/>
  <c r="AJ668" i="18"/>
  <c r="AH668" i="2"/>
  <c r="AJ345" i="18"/>
  <c r="AH345" i="2"/>
  <c r="AH46" i="2"/>
  <c r="AJ46" i="18"/>
  <c r="AJ1012" i="18"/>
  <c r="AH1012" i="2"/>
  <c r="AJ1303" i="18"/>
  <c r="AH1303" i="2"/>
  <c r="AJ1105" i="18"/>
  <c r="AH1105" i="2"/>
  <c r="AJ526" i="18"/>
  <c r="AH526" i="2"/>
  <c r="AJ1246" i="18"/>
  <c r="AH1246" i="2"/>
  <c r="AJ851" i="18"/>
  <c r="AH851" i="2"/>
  <c r="AJ1363" i="18"/>
  <c r="AH1363" i="2"/>
  <c r="AJ1008" i="18"/>
  <c r="AH1008" i="2"/>
  <c r="AJ1391" i="18"/>
  <c r="AH1391" i="2"/>
  <c r="AJ1117" i="18"/>
  <c r="AH1117" i="2"/>
  <c r="AJ478" i="18"/>
  <c r="AH478" i="2"/>
  <c r="AJ1234" i="18"/>
  <c r="AH1234" i="2"/>
  <c r="AJ160" i="18"/>
  <c r="AH160" i="2"/>
  <c r="AJ672" i="18"/>
  <c r="AH672" i="2"/>
  <c r="AJ301" i="18"/>
  <c r="AH301" i="2"/>
  <c r="AJ813" i="18"/>
  <c r="AH813" i="2"/>
  <c r="AJ474" i="18"/>
  <c r="AH474" i="2"/>
  <c r="AJ167" i="18"/>
  <c r="AH167" i="2"/>
  <c r="AJ679" i="18"/>
  <c r="AH679" i="2"/>
  <c r="AJ356" i="18"/>
  <c r="AH356" i="2"/>
  <c r="AH33" i="2"/>
  <c r="AJ33" i="18"/>
  <c r="AJ545" i="18"/>
  <c r="AH545" i="2"/>
  <c r="AJ454" i="18"/>
  <c r="AH454" i="2"/>
  <c r="AJ1212" i="18"/>
  <c r="AH1212" i="2"/>
  <c r="AJ731" i="18"/>
  <c r="AH731" i="2"/>
  <c r="AJ1305" i="18"/>
  <c r="AH1305" i="2"/>
  <c r="AJ934" i="18"/>
  <c r="AH934" i="2"/>
  <c r="AJ919" i="18"/>
  <c r="AH919" i="2"/>
  <c r="AJ1051" i="18"/>
  <c r="AH1051" i="2"/>
  <c r="AJ310" i="18"/>
  <c r="AH310" i="2"/>
  <c r="AJ1208" i="18"/>
  <c r="AH1208" i="2"/>
  <c r="AJ802" i="18"/>
  <c r="AH802" i="2"/>
  <c r="AJ1317" i="18"/>
  <c r="AH1317" i="2"/>
  <c r="AJ922" i="18"/>
  <c r="AH922" i="2"/>
  <c r="AJ595" i="18"/>
  <c r="AH595" i="2"/>
  <c r="AJ360" i="18"/>
  <c r="AH360" i="2"/>
  <c r="AH501" i="2"/>
  <c r="AJ501" i="18"/>
  <c r="AJ162" i="18"/>
  <c r="AH162" i="2"/>
  <c r="AJ674" i="18"/>
  <c r="AH674" i="2"/>
  <c r="AJ367" i="18"/>
  <c r="AH367" i="2"/>
  <c r="AJ44" i="18"/>
  <c r="AH44" i="2"/>
  <c r="AJ556" i="18"/>
  <c r="AH556" i="2"/>
  <c r="AJ233" i="18"/>
  <c r="AH233" i="2"/>
  <c r="AJ745" i="18"/>
  <c r="AH745" i="2"/>
  <c r="AJ900" i="18"/>
  <c r="AH900" i="2"/>
  <c r="AJ307" i="18"/>
  <c r="AH307" i="2"/>
  <c r="AJ993" i="18"/>
  <c r="AH993" i="2"/>
  <c r="AJ1134" i="18"/>
  <c r="AH1134" i="2"/>
  <c r="AJ579" i="18"/>
  <c r="AH579" i="2"/>
  <c r="AJ1251" i="18"/>
  <c r="AH1251" i="2"/>
  <c r="AJ896" i="18"/>
  <c r="AH896" i="2"/>
  <c r="AJ499" i="18"/>
  <c r="AH499" i="2"/>
  <c r="AJ1005" i="18"/>
  <c r="AH1005" i="2"/>
  <c r="AJ1271" i="18"/>
  <c r="AH1271" i="2"/>
  <c r="AJ1122" i="18"/>
  <c r="AH1122" i="2"/>
  <c r="AJ48" i="18"/>
  <c r="AH48" i="2"/>
  <c r="AJ560" i="18"/>
  <c r="AH560" i="2"/>
  <c r="AJ189" i="18"/>
  <c r="AH189" i="2"/>
  <c r="AJ701" i="18"/>
  <c r="AH701" i="2"/>
  <c r="AJ362" i="18"/>
  <c r="AH362" i="2"/>
  <c r="AJ55" i="18"/>
  <c r="AH55" i="2"/>
  <c r="AJ567" i="18"/>
  <c r="AH567" i="2"/>
  <c r="AJ244" i="18"/>
  <c r="AH244" i="2"/>
  <c r="AJ756" i="18"/>
  <c r="AH756" i="2"/>
  <c r="AJ433" i="18"/>
  <c r="AH433" i="2"/>
  <c r="AH134" i="2"/>
  <c r="AJ134" i="18"/>
  <c r="AJ1100" i="18"/>
  <c r="AH1100" i="2"/>
  <c r="AJ283" i="18"/>
  <c r="AH283" i="2"/>
  <c r="AJ1193" i="18"/>
  <c r="AH1193" i="2"/>
  <c r="AJ823" i="18"/>
  <c r="AH823" i="2"/>
  <c r="AJ1334" i="18"/>
  <c r="AH1334" i="2"/>
  <c r="AJ939" i="18"/>
  <c r="AH939" i="2"/>
  <c r="AJ927" i="18"/>
  <c r="AH927" i="2"/>
  <c r="AJ1096" i="18"/>
  <c r="AH1096" i="2"/>
  <c r="AJ395" i="18"/>
  <c r="AH395" i="2"/>
  <c r="AJ1205" i="18"/>
  <c r="AH1205" i="2"/>
  <c r="AJ184" i="18"/>
  <c r="AH184" i="2"/>
  <c r="AJ696" i="18"/>
  <c r="AH696" i="2"/>
  <c r="AJ325" i="18"/>
  <c r="AH325" i="2"/>
  <c r="AJ498" i="18"/>
  <c r="AH498" i="2"/>
  <c r="AJ191" i="18"/>
  <c r="AH191" i="2"/>
  <c r="AJ703" i="18"/>
  <c r="AH703" i="2"/>
  <c r="AJ380" i="18"/>
  <c r="AH380" i="2"/>
  <c r="AJ57" i="18"/>
  <c r="AH57" i="2"/>
  <c r="AJ569" i="18"/>
  <c r="AH569" i="2"/>
  <c r="AJ550" i="18"/>
  <c r="AH550" i="2"/>
  <c r="AJ1236" i="18"/>
  <c r="AH1236" i="2"/>
  <c r="AJ818" i="18"/>
  <c r="AH818" i="2"/>
  <c r="AJ1329" i="18"/>
  <c r="AH1329" i="2"/>
  <c r="AJ958" i="18"/>
  <c r="AH958" i="2"/>
  <c r="AJ1031" i="18"/>
  <c r="AH1031" i="2"/>
  <c r="AJ1075" i="18"/>
  <c r="AH1075" i="2"/>
  <c r="AJ406" i="18"/>
  <c r="AH406" i="2"/>
  <c r="AJ1232" i="18"/>
  <c r="AH1232" i="2"/>
  <c r="AJ822" i="18"/>
  <c r="AH822" i="2"/>
  <c r="AJ1341" i="18"/>
  <c r="AH1341" i="2"/>
  <c r="AJ946" i="18"/>
  <c r="AH946" i="2"/>
  <c r="AJ1071" i="18"/>
  <c r="AH1071" i="2"/>
  <c r="AJ448" i="18"/>
  <c r="AH448" i="2"/>
  <c r="AJ77" i="18"/>
  <c r="AH77" i="2"/>
  <c r="AJ589" i="18"/>
  <c r="AH589" i="2"/>
  <c r="AJ250" i="18"/>
  <c r="AH250" i="2"/>
  <c r="AJ762" i="18"/>
  <c r="AH762" i="2"/>
  <c r="AJ455" i="18"/>
  <c r="AH455" i="2"/>
  <c r="AJ132" i="18"/>
  <c r="AH132" i="2"/>
  <c r="AJ644" i="18"/>
  <c r="AH644" i="2"/>
  <c r="AJ321" i="18"/>
  <c r="AH321" i="2"/>
  <c r="AJ22" i="18"/>
  <c r="AH22" i="2"/>
  <c r="AJ988" i="18"/>
  <c r="AH988" i="2"/>
  <c r="AJ1159" i="18"/>
  <c r="AH1159" i="2"/>
  <c r="AJ1081" i="18"/>
  <c r="AH1081" i="2"/>
  <c r="AJ430" i="18"/>
  <c r="AH430" i="2"/>
  <c r="AJ1222" i="18"/>
  <c r="AH1222" i="2"/>
  <c r="AJ825" i="18"/>
  <c r="AH825" i="2"/>
  <c r="AJ1339" i="18"/>
  <c r="AH1339" i="2"/>
  <c r="AJ984" i="18"/>
  <c r="AH984" i="2"/>
  <c r="AJ1255" i="18"/>
  <c r="AH1255" i="2"/>
  <c r="AJ328" i="18"/>
  <c r="AH328" i="2"/>
  <c r="AJ840" i="18"/>
  <c r="AH840" i="2"/>
  <c r="AH469" i="2"/>
  <c r="AJ469" i="18"/>
  <c r="AH130" i="2"/>
  <c r="AJ130" i="18"/>
  <c r="AJ642" i="18"/>
  <c r="AH642" i="2"/>
  <c r="AJ335" i="18"/>
  <c r="AH335" i="2"/>
  <c r="AJ12" i="18"/>
  <c r="AH12" i="2"/>
  <c r="AJ524" i="18"/>
  <c r="AH524" i="2"/>
  <c r="AJ201" i="18"/>
  <c r="AH201" i="2"/>
  <c r="AJ713" i="18"/>
  <c r="AH713" i="2"/>
  <c r="AJ868" i="18"/>
  <c r="AH868" i="2"/>
  <c r="AJ961" i="18"/>
  <c r="AH961" i="2"/>
  <c r="AJ973" i="18"/>
  <c r="AH973" i="2"/>
  <c r="AJ897" i="18"/>
  <c r="AH897" i="2"/>
  <c r="AJ909" i="18"/>
  <c r="AH909" i="2"/>
  <c r="AH99" i="2"/>
  <c r="AJ99" i="18"/>
  <c r="AJ845" i="18"/>
  <c r="AH845" i="2"/>
  <c r="AJ1380" i="18"/>
  <c r="AH1380" i="2"/>
  <c r="AJ855" i="18"/>
  <c r="AH855" i="2"/>
  <c r="AJ874" i="18"/>
  <c r="AH874" i="2"/>
  <c r="AJ635" i="18"/>
  <c r="AH635" i="2"/>
  <c r="AJ1312" i="18"/>
  <c r="AH1312" i="2"/>
  <c r="AJ836" i="18"/>
  <c r="AH836" i="2"/>
  <c r="AJ1101" i="18"/>
  <c r="AH1101" i="2"/>
  <c r="AJ1029" i="18"/>
  <c r="AH1029" i="2"/>
  <c r="AJ382" i="18"/>
  <c r="AH382" i="2"/>
  <c r="AJ1219" i="18"/>
  <c r="AH1219" i="2"/>
</calcChain>
</file>

<file path=xl/sharedStrings.xml><?xml version="1.0" encoding="utf-8"?>
<sst xmlns="http://schemas.openxmlformats.org/spreadsheetml/2006/main" count="27868" uniqueCount="636">
  <si>
    <t>id</t>
  </si>
  <si>
    <t>dni</t>
  </si>
  <si>
    <t>createdAt</t>
  </si>
  <si>
    <t>updatedAt</t>
  </si>
  <si>
    <t>ALFONSO</t>
  </si>
  <si>
    <t>YB5120307</t>
  </si>
  <si>
    <t>AAF72819</t>
  </si>
  <si>
    <t>id_materia</t>
  </si>
  <si>
    <t>nombre</t>
  </si>
  <si>
    <t>id_curso</t>
  </si>
  <si>
    <t>EDUCACIÓN FÍSICA</t>
  </si>
  <si>
    <t>LENGUA Y LITERATURA</t>
  </si>
  <si>
    <t>MATEMÁTICA</t>
  </si>
  <si>
    <t>CIENCIAS NATURALES - BIOLOGÍA</t>
  </si>
  <si>
    <t>CIENCIAS NATURALES - FÍSICA</t>
  </si>
  <si>
    <t>CIENCIAS SOCIALES - GEOGRAFÍA</t>
  </si>
  <si>
    <t>LENGUA EXTRANJERA - INGLÉS</t>
  </si>
  <si>
    <t>EDUCACIÓN ARTÍSTICA - ARTES VISUALES</t>
  </si>
  <si>
    <t>EDUCACIÓN TECNOLÓGICA</t>
  </si>
  <si>
    <t>CIUDADANÍA Y PARTICIPACIÓN</t>
  </si>
  <si>
    <t>CIENCIAS NATURALES - QUÍMICA</t>
  </si>
  <si>
    <t>BIOLOGÍA</t>
  </si>
  <si>
    <t>CIENCIAS SOCIALES - HISTORIA</t>
  </si>
  <si>
    <t>EDUCACIÓN ARTÍSTICA - MÚSICA</t>
  </si>
  <si>
    <t>FÍSICA</t>
  </si>
  <si>
    <t>QUÍMICA</t>
  </si>
  <si>
    <t>GEOGRAFÍA</t>
  </si>
  <si>
    <t>HISTORIA</t>
  </si>
  <si>
    <t>FORMACIÓN PARA LA VIDA Y EL TRABAJO</t>
  </si>
  <si>
    <t>SISTEMAS DE INFORMACIÓN CONTABLE</t>
  </si>
  <si>
    <t>ADMINISTRACIÓN</t>
  </si>
  <si>
    <t>ECONOMÍA Y DESARROLLO SUSTENTABLE</t>
  </si>
  <si>
    <t>ADMINISTRACIÓN DE LA PRODUCCIÓN Y COMERCIALIZACIÓN</t>
  </si>
  <si>
    <t>PSICOLOGÍA</t>
  </si>
  <si>
    <t>ECONOMÍA</t>
  </si>
  <si>
    <t>ADMINISTRACIÓN DE RECURSOS HUMANOS</t>
  </si>
  <si>
    <t>EDUCACIÓN ARTÍSTICA - TEATRO</t>
  </si>
  <si>
    <t>CIUDADANÍA Y POLÍTICA</t>
  </si>
  <si>
    <t>DERECHO</t>
  </si>
  <si>
    <t>RESPONSABILIDAD SOCIAL DE LAS ORGANIZACIONES</t>
  </si>
  <si>
    <t>ADMINISTRACIÓN FINANCIERA</t>
  </si>
  <si>
    <t>FILOSOFÍA</t>
  </si>
  <si>
    <t>id_condicion</t>
  </si>
  <si>
    <t>PREVIA</t>
  </si>
  <si>
    <t>EQUIVALENCIA</t>
  </si>
  <si>
    <t>TERCERA MATERIA</t>
  </si>
  <si>
    <t>EXCEPTUADA</t>
  </si>
  <si>
    <t>id_calificacion</t>
  </si>
  <si>
    <t>calificacion</t>
  </si>
  <si>
    <t>aprobado</t>
  </si>
  <si>
    <t>Aus.</t>
  </si>
  <si>
    <t>id_ciclo</t>
  </si>
  <si>
    <t>anio</t>
  </si>
  <si>
    <t>id_plan</t>
  </si>
  <si>
    <t>codigo</t>
  </si>
  <si>
    <t>Dcto. 3445/58</t>
  </si>
  <si>
    <t>Dcto. 1530/81</t>
  </si>
  <si>
    <t>Dcto. 141/96</t>
  </si>
  <si>
    <t>Dcto. 149/97</t>
  </si>
  <si>
    <t>Dcto. 344/11</t>
  </si>
  <si>
    <t>Dcto. 668/11</t>
  </si>
  <si>
    <t>id_previa</t>
  </si>
  <si>
    <t>id_alumno</t>
  </si>
  <si>
    <t>AÑO EN
CURSO</t>
  </si>
  <si>
    <t>DIV. EN
CURSO</t>
  </si>
  <si>
    <t>DNI</t>
  </si>
  <si>
    <t>APELLIDO Y NOMBRE</t>
  </si>
  <si>
    <t>MATERIA ADEUDADA</t>
  </si>
  <si>
    <t>AÑO ADEUDADO</t>
  </si>
  <si>
    <t>CONDICIÓN</t>
  </si>
  <si>
    <t>CICLO
LECTIVO</t>
  </si>
  <si>
    <t>PLAN</t>
  </si>
  <si>
    <t>OBSERVACIÓN</t>
  </si>
  <si>
    <t>TUTOR</t>
  </si>
  <si>
    <t>APROBADA</t>
  </si>
  <si>
    <t>ABRIL 2023
FECHA</t>
  </si>
  <si>
    <t>ABRIL 2023
NOTA</t>
  </si>
  <si>
    <t>ABRIL 2023
LIBRO</t>
  </si>
  <si>
    <t>ABRIL 2023
FOLIO</t>
  </si>
  <si>
    <t>JULIO 2023
FECHA</t>
  </si>
  <si>
    <t>JULIO 2023
NOTA</t>
  </si>
  <si>
    <t>JULIO 2023
LIBRO</t>
  </si>
  <si>
    <t>JULIO 2023
FOLIO</t>
  </si>
  <si>
    <t>SEPT 2023
FECHA</t>
  </si>
  <si>
    <t>SEPT 2023
NOTA</t>
  </si>
  <si>
    <t>SEPT 2023
LIBRO</t>
  </si>
  <si>
    <t>SEPT 2023
FOLIO</t>
  </si>
  <si>
    <t>DIC 2023 FECHA</t>
  </si>
  <si>
    <t>DIC 2023 NOTA</t>
  </si>
  <si>
    <t>DIC 2023 LIBRO</t>
  </si>
  <si>
    <t>DIC 2023 FOLIO</t>
  </si>
  <si>
    <t>FEB 2023 FECHA</t>
  </si>
  <si>
    <t>FEB 2023 NOTA</t>
  </si>
  <si>
    <t>FEB 2023 LIBRO</t>
  </si>
  <si>
    <t>FEB 2023 FOLIO</t>
  </si>
  <si>
    <t>2º</t>
  </si>
  <si>
    <t>A</t>
  </si>
  <si>
    <t>BERTOLLINI SOSA, WENDY STEPHANIE</t>
  </si>
  <si>
    <t>1º</t>
  </si>
  <si>
    <t>NO</t>
  </si>
  <si>
    <t>FLEITAS, RAMONA YOSELI</t>
  </si>
  <si>
    <t>2</t>
  </si>
  <si>
    <t>GOMEZ, ZOE JAZMIN</t>
  </si>
  <si>
    <t>GONZALEZ, YESICA PAOLA</t>
  </si>
  <si>
    <t>LITIVIN, MAYRA DAIANA</t>
  </si>
  <si>
    <t>ABANDONO 2023</t>
  </si>
  <si>
    <t>MARTINEZ, MATTEO</t>
  </si>
  <si>
    <t>SI</t>
  </si>
  <si>
    <t>VAZQUEZ, JULIAN EZEQUIEL</t>
  </si>
  <si>
    <t>B</t>
  </si>
  <si>
    <t>CABRERA, TIAGO LAUREANO</t>
  </si>
  <si>
    <t>REPITENTE 2024</t>
  </si>
  <si>
    <t>CHARRAS, LAUTARO GABRIEL</t>
  </si>
  <si>
    <t>CUPAIOLO FRIEDL, BAUTISTA</t>
  </si>
  <si>
    <t>DIAZ, TOMAS SEBASTIAN</t>
  </si>
  <si>
    <t>GARCIA RODRIGUEZ, TIZIANO URIEL</t>
  </si>
  <si>
    <t>GOMEZ, BAUTISTA VALENTIN</t>
  </si>
  <si>
    <t>MARTINEZ, MICAELA GUADALUPE</t>
  </si>
  <si>
    <t>MARTINEZ, SERENA DANIELA</t>
  </si>
  <si>
    <t>MERLO, SOLEDAD</t>
  </si>
  <si>
    <t>MOLINA FERREYRA, SANTINO JOAQUIN</t>
  </si>
  <si>
    <t>MURUA, JEREMIAS ALEXANDER</t>
  </si>
  <si>
    <t>NORIEGA, MAIA BRUNELLA</t>
  </si>
  <si>
    <t>PEDROZO, LUCAS AGUSTIN</t>
  </si>
  <si>
    <t>RIVERO EGUEZ, CARLA YAMILE</t>
  </si>
  <si>
    <t>ROSALES, INDIRA MAGDALENA</t>
  </si>
  <si>
    <t>PASE</t>
  </si>
  <si>
    <t>VIAÑO, ZOE MARTINA</t>
  </si>
  <si>
    <t>C</t>
  </si>
  <si>
    <t>DIAZ NAVA, LUNA</t>
  </si>
  <si>
    <t>GILI, LEONEL</t>
  </si>
  <si>
    <t>GOMEZ, ALAN EZEQUIEL</t>
  </si>
  <si>
    <t>GUZMAN, MORENA AGOSTINA</t>
  </si>
  <si>
    <t>LEIVA LOPEZ, TATIANA YANET</t>
  </si>
  <si>
    <t>MEDRANO, KEVIN</t>
  </si>
  <si>
    <t>MILESI, THIAGO DAVID</t>
  </si>
  <si>
    <t>MOYA, VALENTIN ENRIQUE</t>
  </si>
  <si>
    <t>PERALTA SCHULZ, MATEO</t>
  </si>
  <si>
    <t>POLI, MAXIMO</t>
  </si>
  <si>
    <t>RODAS SILVERO, HECTOR JULIAN</t>
  </si>
  <si>
    <t>RODRIGUEZ CESPEDES, SANTIAGO AGUSTIN</t>
  </si>
  <si>
    <t>SANCHEZ, SAMIR EITAN</t>
  </si>
  <si>
    <t>VARELA, SANTIAGO DAVID</t>
  </si>
  <si>
    <t>3º</t>
  </si>
  <si>
    <t>BAEZ, VALENTINO MARTIN</t>
  </si>
  <si>
    <t>BARBOZA, JEREMIAS JOSE</t>
  </si>
  <si>
    <t>BAUTISTA CONDORI, RODRIGO THIAGO</t>
  </si>
  <si>
    <t>FRIEDL SAMMARTINO, LUCIA</t>
  </si>
  <si>
    <t>MEDINA, SANTIAGO SHAMEL</t>
  </si>
  <si>
    <t>PALACIOS, PAULINA JAZMIN</t>
  </si>
  <si>
    <t>PEDERNERA, AYLEN AGOSTINA</t>
  </si>
  <si>
    <t>PONCE, DEMIÁN LEONEL</t>
  </si>
  <si>
    <t>ABANDONO 2024</t>
  </si>
  <si>
    <t>QUINTEROS, JOHANA KATYA</t>
  </si>
  <si>
    <t>REPITENTE 2022/2023</t>
  </si>
  <si>
    <t>RODRIGUEZ ALOMO, VICTORIA ANABEL</t>
  </si>
  <si>
    <t>RUIZ OZAN, LUDMILA MILAGROS</t>
  </si>
  <si>
    <t>4</t>
  </si>
  <si>
    <t>TOLMER, IAN FACUNDO</t>
  </si>
  <si>
    <t>VALLEJOS ZAMORA, JAZMIN AGUSTINA</t>
  </si>
  <si>
    <t>ALARCON GUZMAN, CELESTE TIZIANA</t>
  </si>
  <si>
    <t>BECERRA, MELINA SOLEDAD</t>
  </si>
  <si>
    <t>BERISSO SEQUEIRA, SANTIAGO EMANUEL</t>
  </si>
  <si>
    <t>BERTERAME, EVA NICOLE</t>
  </si>
  <si>
    <t>FERREYRA, CATALINA</t>
  </si>
  <si>
    <t>FREYTES, AGUSTIN EZEQUIEL</t>
  </si>
  <si>
    <t>GALLARDO ROMERO, CATERINA</t>
  </si>
  <si>
    <t>GUAIMAN VERA, ESTEBAN SANTINO</t>
  </si>
  <si>
    <t>NUÑEZ, LUDMILA SHAIEL</t>
  </si>
  <si>
    <t>OLMEDO PEREYRA, MELISA ANTONELA</t>
  </si>
  <si>
    <t>PASQUETTI, MILAGROS VALENTINA</t>
  </si>
  <si>
    <t>RICARTE, EVER AGUSTIN</t>
  </si>
  <si>
    <t>ABRIGO</t>
  </si>
  <si>
    <t>RUIZ GIMENEZ, JOAQUIN BENJAMIN</t>
  </si>
  <si>
    <t>RUIZ, KIARA NAIARA</t>
  </si>
  <si>
    <t>TORRES STAGNARO, JOAQUIN</t>
  </si>
  <si>
    <t>REPITENTE 2022</t>
  </si>
  <si>
    <t>VALDEZ, PILAR</t>
  </si>
  <si>
    <t>ACUÑA REARTES, JONATHAN BENJAMIN</t>
  </si>
  <si>
    <t>BUSTOS, ANTHONY SEBASTIAN</t>
  </si>
  <si>
    <t>ESCALANTE, ROCIO GUADALUPE</t>
  </si>
  <si>
    <t>REPITENTE 2023</t>
  </si>
  <si>
    <t>ICOFF, THIAGO DAMIAN MIJAIL</t>
  </si>
  <si>
    <t>LOPEZ, BENJAMIN</t>
  </si>
  <si>
    <t>MORENO, AXEL YAMIL</t>
  </si>
  <si>
    <t>PANEPUCCI, VALENTINO ROCCO</t>
  </si>
  <si>
    <t>PATIÑO, SANTINO NAHUEL</t>
  </si>
  <si>
    <t>QUEVEDO, MATIAS GASTON</t>
  </si>
  <si>
    <t>ROSADO, MILAGROS NAHIR</t>
  </si>
  <si>
    <t>VALDEZ, JAZMÍN</t>
  </si>
  <si>
    <t>4º</t>
  </si>
  <si>
    <t>ALFARO MAUFRE, RAMIRO</t>
  </si>
  <si>
    <t>BIDELA, CARLA ANABEL</t>
  </si>
  <si>
    <t>CABALLERO, SOL GUADALUPE</t>
  </si>
  <si>
    <t>CAMPOS ALBERA, ÁNGELES</t>
  </si>
  <si>
    <t>CANTEROS, AARON VALENTIN</t>
  </si>
  <si>
    <t>CAVALLER MEDINA, BENJAMIN TOMAS</t>
  </si>
  <si>
    <t>FURFARO, THIAGO GABRIEL</t>
  </si>
  <si>
    <t>LENCINA, VICTORIA</t>
  </si>
  <si>
    <t>MARTIN, SEBASTIAN ARIEL</t>
  </si>
  <si>
    <t>MONCADA, LUDMILA DESIREE</t>
  </si>
  <si>
    <t>ROBLES GONTEK, BRYANNA</t>
  </si>
  <si>
    <t>TOLMER, JOAQUIN ANTONIO</t>
  </si>
  <si>
    <t>VILLCA, MACARENA NICOLLE</t>
  </si>
  <si>
    <t>FODDE, BENJAMIN TOMAS</t>
  </si>
  <si>
    <t>GIMENEZ, ALEJANDRO LUIS</t>
  </si>
  <si>
    <t>GIMENEZ, BRENDA MAGALI</t>
  </si>
  <si>
    <t>PONCE, GUADALUPE ROCÍO</t>
  </si>
  <si>
    <t>VERA, TATIANA ANTONELLA</t>
  </si>
  <si>
    <t>VIDELA, TOBÍAS AGUSTIN</t>
  </si>
  <si>
    <t>APARICIO, KIARA MAGALI</t>
  </si>
  <si>
    <t>BUSTAMANTE, MORA CAMILA</t>
  </si>
  <si>
    <t>FERNANDEZ, FELIPE</t>
  </si>
  <si>
    <t>LUJAN, VALENTIN ALEJANDRO</t>
  </si>
  <si>
    <t>PASQUETTI, ALAN BENJAMÍN</t>
  </si>
  <si>
    <t>RODAS, RONAL ELIAS</t>
  </si>
  <si>
    <t>JAIME</t>
  </si>
  <si>
    <t>TOCONAS DIAZ, ARIEL</t>
  </si>
  <si>
    <t>VILLANUEVA GUZMAN, ALEJO ROMAN</t>
  </si>
  <si>
    <t>YAPURA REKOFSKY, BENJAMIN</t>
  </si>
  <si>
    <t>5º</t>
  </si>
  <si>
    <t>ARIAS, LUDMILA AYLEN</t>
  </si>
  <si>
    <t>BARBARRUSA, TOMAS PAUL</t>
  </si>
  <si>
    <t>IBAÑEZ, ALDANA AYLÉN</t>
  </si>
  <si>
    <t>MARINELICH, JUAN CRUZ</t>
  </si>
  <si>
    <t>SCHIMPF, FLORENCIA AYELEN</t>
  </si>
  <si>
    <t>ARGÜELLO, CAMILA ROSALIA</t>
  </si>
  <si>
    <t>COSTA VIDAURRETA, SERENA MELINA</t>
  </si>
  <si>
    <t>ESCALANTE, LOURDES INES</t>
  </si>
  <si>
    <t>LEONARDI</t>
  </si>
  <si>
    <t>GUIDA, CAMILO ALEJANDRO</t>
  </si>
  <si>
    <t>PEREYRA, LAUTARO NICOLAS</t>
  </si>
  <si>
    <t>SANCHEZ, TIAGO LEONIDAS</t>
  </si>
  <si>
    <t>ZOTELO GIORDANO, ALFREDO HUGO</t>
  </si>
  <si>
    <t>CALVIMONTES MAMANI, ELVIRA PRISCILA</t>
  </si>
  <si>
    <t>DIAZ, DANIELA YAZMIN</t>
  </si>
  <si>
    <t>FRANQUELLI, TIZIANO JOSE</t>
  </si>
  <si>
    <t>FRIEDRICH, BRANDON NATHANIEL</t>
  </si>
  <si>
    <t>GALAN, NICOLE AGOSTINA</t>
  </si>
  <si>
    <t>GIMENEZ, ABRIL GIMENA</t>
  </si>
  <si>
    <t>LOPEZ, AXEL MAXIMILIANO</t>
  </si>
  <si>
    <t>MARTICH, AMBAR</t>
  </si>
  <si>
    <t>NIETO LELEU, BELEN MILAGROS</t>
  </si>
  <si>
    <t>NORIEGA OLMEDO, AXEL</t>
  </si>
  <si>
    <t>YEDRO, CAMILA MILAGROS</t>
  </si>
  <si>
    <t>6º</t>
  </si>
  <si>
    <t>ASTUDILLO PINTO, MARIA AGOSTINA</t>
  </si>
  <si>
    <t>DIAZ, MARTINA ARIANA</t>
  </si>
  <si>
    <t>FERREYRA, GUILLERMINA ANAEL</t>
  </si>
  <si>
    <t>GAMERO, URIEL</t>
  </si>
  <si>
    <t>LOPEZ, MORENA</t>
  </si>
  <si>
    <t>OLMEDO ARGUELLO, JOAQUIN</t>
  </si>
  <si>
    <t>PEREYRA, VICTORIA JOSEFINA</t>
  </si>
  <si>
    <t>TORANZO, VALENTINA BELÉN</t>
  </si>
  <si>
    <t>MORALES, PRISCILA NICOLE</t>
  </si>
  <si>
    <t>ARGUELLO ALVAREZ, NICOLAS ISMAEL</t>
  </si>
  <si>
    <t>BRITOS GIMENEZ, LUDMILA ANTONELLA</t>
  </si>
  <si>
    <t>CALDERON, PEDRO TOMAS</t>
  </si>
  <si>
    <t>FUNES GALLARDO, BARTOLO BRAULIO</t>
  </si>
  <si>
    <t>LOPEZ MARTINEZ, RODRIGO AGUSTIN</t>
  </si>
  <si>
    <t>TORRES</t>
  </si>
  <si>
    <t>MEIRA, YERALDIN ANGELI</t>
  </si>
  <si>
    <t>MOLINA RAU, AINARA VALENTINA</t>
  </si>
  <si>
    <t>3</t>
  </si>
  <si>
    <t>MURUA, ALMA MILAGROS</t>
  </si>
  <si>
    <t>PALACIOS, FRANCISCO JULIAN</t>
  </si>
  <si>
    <t>ROBLES, MILAGROS ABRIL</t>
  </si>
  <si>
    <t>INGRESA 2022</t>
  </si>
  <si>
    <t>YAPURA GUZMAN, JORGE IGNACIO</t>
  </si>
  <si>
    <t>EG.10</t>
  </si>
  <si>
    <t>CALDERON, PAULA ESTEFANIA</t>
  </si>
  <si>
    <t>PROYECTO INTEGRADOR III</t>
  </si>
  <si>
    <t>RECURSO INFORMÁTICO III</t>
  </si>
  <si>
    <t>EG.14</t>
  </si>
  <si>
    <t>GILLIO, YAMILA</t>
  </si>
  <si>
    <t>EG.16</t>
  </si>
  <si>
    <t>CALDERON, LOURDES  LORENA</t>
  </si>
  <si>
    <t>OLMEDO, JONATHAN EZEQUIEL</t>
  </si>
  <si>
    <t>EG.17</t>
  </si>
  <si>
    <t>DELL, EVELYN MARIANNE</t>
  </si>
  <si>
    <t>ECHEVARRIA, ESTEBAN GABRIEL</t>
  </si>
  <si>
    <t>MORALES, IVANA SOFÍA</t>
  </si>
  <si>
    <t>EG.19</t>
  </si>
  <si>
    <t>LESCANO HEINZMANN, JESSICA SOLEDAD</t>
  </si>
  <si>
    <t>SANCHEZ, IRINA</t>
  </si>
  <si>
    <t>EG.20</t>
  </si>
  <si>
    <t>BATALLA, SANTIAGO</t>
  </si>
  <si>
    <t>BAZAN, ALEJANDRO MARCOS</t>
  </si>
  <si>
    <t>EGRESA</t>
  </si>
  <si>
    <t>BRAVO OLMEDO, ARIANA</t>
  </si>
  <si>
    <t>FERREYRA, JULIAN ANDRES</t>
  </si>
  <si>
    <t>FIGUEROA, SANTIAGO MARCELO</t>
  </si>
  <si>
    <t>FREYTES VARAS, AZUL SHANIA</t>
  </si>
  <si>
    <t>GALLUZZI, EMILIANO</t>
  </si>
  <si>
    <t>MERLO, LUCAS ANDRES</t>
  </si>
  <si>
    <t>MERLO, MELINA VANESA</t>
  </si>
  <si>
    <t>MOLTRASSIO EPIFANIO, TIZIANO</t>
  </si>
  <si>
    <t>NOMBRES Y APELLIDOS</t>
  </si>
  <si>
    <t>RIVERO, EZEQUIEL</t>
  </si>
  <si>
    <t>RUEDA, THIAGO MERLIN</t>
  </si>
  <si>
    <t>SOTO, EMANUEL</t>
  </si>
  <si>
    <t>ECHENIQUE FREYTES, MAIA VALENTINA</t>
  </si>
  <si>
    <t>FERNANDEZ, MAXIMILIANO</t>
  </si>
  <si>
    <t>FERREYRA, MILENA LOURDES</t>
  </si>
  <si>
    <t>FERREYRA, SELENE ABRIL</t>
  </si>
  <si>
    <t>PEREYRA, DARIANA</t>
  </si>
  <si>
    <t>PONTONI, AVRIL BELEN</t>
  </si>
  <si>
    <t>REMIS, CANDELA</t>
  </si>
  <si>
    <t>RIVERO, MAXIMILIANO NICOLAS</t>
  </si>
  <si>
    <t>SEGURA, GIULIANA</t>
  </si>
  <si>
    <t>DESAPROBADA POR ERROR EN GESTION</t>
  </si>
  <si>
    <t>WAINSTEIN, TOBIAS JAVIER</t>
  </si>
  <si>
    <t>PLAN EGRESAR</t>
  </si>
  <si>
    <t>AGUILERA, TOMAS ADRIAN</t>
  </si>
  <si>
    <t>ALDAZ VALVERDE, MANUELA</t>
  </si>
  <si>
    <t>ARROYO, LUCAS</t>
  </si>
  <si>
    <t>BAZAN ARGÜELLO, RAMIRO</t>
  </si>
  <si>
    <t>BUSTOS, MARIA EUGENIA</t>
  </si>
  <si>
    <t>CAYUQUEO, FRANCISCO</t>
  </si>
  <si>
    <t>ESPERANDO PASE!!!</t>
  </si>
  <si>
    <t>CELAYA, SEBASTIAN ESTEBAN</t>
  </si>
  <si>
    <t>NO LA DEBE</t>
  </si>
  <si>
    <t>CUELLO, JOAQUIN ANDRES</t>
  </si>
  <si>
    <t>FERREYRA CASAS, MILAGROS</t>
  </si>
  <si>
    <t>GARCIA SOSA, KEVIN LAUTARO</t>
  </si>
  <si>
    <t>WIETZ, DAVID EZEQUIEL</t>
  </si>
  <si>
    <t>EG.21</t>
  </si>
  <si>
    <t>AHMED AVERSA, IGNACIO</t>
  </si>
  <si>
    <t>ALICE, LILA MORGANA</t>
  </si>
  <si>
    <t>BARBEITOS, KIMEY BIANCA</t>
  </si>
  <si>
    <t>CONTRERAS, JEREMIAS IVAN</t>
  </si>
  <si>
    <t>FERREYRA, NICOLE AGUSTINA</t>
  </si>
  <si>
    <t>GARAY MANCILLA, TOMAS BENJAMIN</t>
  </si>
  <si>
    <t>GONZALEZ ROJAS, RUBEN TOMAS</t>
  </si>
  <si>
    <t>HARBERING, ERICK</t>
  </si>
  <si>
    <t>PALACIOS, VALENTINA</t>
  </si>
  <si>
    <t>PEREIRA VALDEZ, MATIAS GABRIEL</t>
  </si>
  <si>
    <t>WIETZ, IVAN</t>
  </si>
  <si>
    <t>YAPURA GUZMAN, PEDRO AMILCAR</t>
  </si>
  <si>
    <t>CRUZ, AGUSTINA NICOLE</t>
  </si>
  <si>
    <t>FERREYRA, TOBIAS NICOLAS</t>
  </si>
  <si>
    <t>FIGUEROA, BRUNELLA DENIS</t>
  </si>
  <si>
    <t>GONZALEZ, LAUREANO</t>
  </si>
  <si>
    <t>MASFARRE PALACIOS, FACUNDO NATANAEL</t>
  </si>
  <si>
    <t>NIETO LELEU, LEANDRO JULIAN</t>
  </si>
  <si>
    <t>TORRES MARTINEZ, MATEO</t>
  </si>
  <si>
    <t>ARGUELLO ALVAREZ, MALENA ABRIL</t>
  </si>
  <si>
    <t>BUSTOS, MILAGROS JACQUELINE</t>
  </si>
  <si>
    <t>CASTRO, JUAN IGNACIO</t>
  </si>
  <si>
    <t>ESCALANTE, JUAN IGNACIO</t>
  </si>
  <si>
    <t>ESPINDOLA, MILAGROS ALUHE</t>
  </si>
  <si>
    <t>SEIBERT, ANIA</t>
  </si>
  <si>
    <t>VERON, CRISTIAN GONZALO</t>
  </si>
  <si>
    <t>EG.22</t>
  </si>
  <si>
    <t>ARCHIS CORTEZ, DELFINA</t>
  </si>
  <si>
    <t>BIDELA SEYFARTH, MARTINA</t>
  </si>
  <si>
    <t>AZAR/FORTU./GAST./RAMIR.</t>
  </si>
  <si>
    <t>BRAVO OLMEDO, MILENA</t>
  </si>
  <si>
    <t>GONNET</t>
  </si>
  <si>
    <t>CAMELINO CURUTCHET, ANAHI SUSEL</t>
  </si>
  <si>
    <t>CAMPILLAY, CRISTINA AYELEN</t>
  </si>
  <si>
    <t>CAVALLER MEDINA, YAHEL ADRIAN</t>
  </si>
  <si>
    <t>ESPINO DA SILVA, MANUEL</t>
  </si>
  <si>
    <t>INGRESANTE 2022</t>
  </si>
  <si>
    <t>FRANCK AGUILERA, KIARA</t>
  </si>
  <si>
    <t>RAMIREZ/CASALE/FORTUNATO</t>
  </si>
  <si>
    <t>LOPEZ, MAICA LILEN</t>
  </si>
  <si>
    <t>MARTICH, TOBIAS</t>
  </si>
  <si>
    <t>MARTINEZ, MILAGROS ROSARIO</t>
  </si>
  <si>
    <t>MOYANO ROSSETTI, LUJAN</t>
  </si>
  <si>
    <t>REINGRESA 2021</t>
  </si>
  <si>
    <t>OLIVERA BALMACEDA, JULIETA FLORENCIA</t>
  </si>
  <si>
    <t>REPITENTE 2021</t>
  </si>
  <si>
    <t>OLMEDO, CAMILA CELESTE</t>
  </si>
  <si>
    <t>ORLANDO, CANDELA</t>
  </si>
  <si>
    <t>PALACIOS, MILAGROS SOLEDAD</t>
  </si>
  <si>
    <t>PEREIRA VALDEZ, VIOLETA BELEN</t>
  </si>
  <si>
    <t>PEREYRA, MATEO JOAQUIN</t>
  </si>
  <si>
    <t>PEREYRA, REGINA GUADALUPE</t>
  </si>
  <si>
    <t>PIGNATARO, CANDELA ABRIL</t>
  </si>
  <si>
    <t>PONCE, LARA PILAR</t>
  </si>
  <si>
    <t>RIESENBERG, JULIAN</t>
  </si>
  <si>
    <t>RODRIGUEZ, BELEN CELESTE</t>
  </si>
  <si>
    <t>RODRIGUEZ, FEDERICO AGUSTIN</t>
  </si>
  <si>
    <t>VILLCA, JENNIFER JACQUELINE</t>
  </si>
  <si>
    <t>VOULQUIN, NISA LUCERO</t>
  </si>
  <si>
    <t>EG.23</t>
  </si>
  <si>
    <t>BAZAN ARGÜELLO, ALVARO</t>
  </si>
  <si>
    <t>INSAURRALDE, JAZMIN</t>
  </si>
  <si>
    <t>KEES BOORE, LUCIA RUTH</t>
  </si>
  <si>
    <t>MARTINEZ, MILAGROS EUNICE</t>
  </si>
  <si>
    <t>MAYORGA, EZEQUIEL DAVID</t>
  </si>
  <si>
    <t>NICOLAS MATHISEN, AGUSTIN DIEGO</t>
  </si>
  <si>
    <t>SANDOVAL, LAUTARO BAUTISTA</t>
  </si>
  <si>
    <t>VIDONI, LAUTARO</t>
  </si>
  <si>
    <t>ALDERETE, BARBARA ABIGAIL</t>
  </si>
  <si>
    <t>BENAVIDEZ, JOAQUIN</t>
  </si>
  <si>
    <t>BUSTOS, MIA NICOLE</t>
  </si>
  <si>
    <t>BÜTTNER, ANGELA VALENTINA</t>
  </si>
  <si>
    <t>FARIAS ACERBO, FÉLIX SIMÓN</t>
  </si>
  <si>
    <t>GRISOTTO, FRANCO MARTIN</t>
  </si>
  <si>
    <t>OLMOS, MARIEL</t>
  </si>
  <si>
    <t>PEREYRA, MIRANDA DE LOS ANGELES</t>
  </si>
  <si>
    <t>SUAREZ KAHL, AIN</t>
  </si>
  <si>
    <t>ZARINI, NAZARENO JOAQUIN</t>
  </si>
  <si>
    <t>BLUM SANTA, MICAELA ANDREA</t>
  </si>
  <si>
    <t>BORDA, CAMILA MARILYN</t>
  </si>
  <si>
    <t>DESIMONE, JULIAN</t>
  </si>
  <si>
    <t>GANDARA, ZOE ABRIL</t>
  </si>
  <si>
    <t>GODOY, MARTINA</t>
  </si>
  <si>
    <t>HERNANDEZ, LUCRECIA MATILDE</t>
  </si>
  <si>
    <t>BLANCO</t>
  </si>
  <si>
    <t>LUCERO, CANDELA SOLEDAD</t>
  </si>
  <si>
    <t>MERLO, BRANDON NICOLAS</t>
  </si>
  <si>
    <t>REYNOSO, TIARA AILEN</t>
  </si>
  <si>
    <t>VILCHEZ GORI, CAMILA MILAGROS</t>
  </si>
  <si>
    <t>ACOSTA FERNANDEZ, ALEXIS EMANUEL</t>
  </si>
  <si>
    <t>REPITENTE 2021 - NO ASISTE</t>
  </si>
  <si>
    <t>ACOSTA, LUCA JOAQUIN</t>
  </si>
  <si>
    <t>AGUIRRE, ELIAS EZEQUIEL</t>
  </si>
  <si>
    <t>ABANDONO</t>
  </si>
  <si>
    <t>ALARGUNZORO, GABINO</t>
  </si>
  <si>
    <t>ALTAMIRANO MERLO, SILENE ABIGAIL</t>
  </si>
  <si>
    <t>IURI</t>
  </si>
  <si>
    <t>BARRERA, MAIA NAZARENA</t>
  </si>
  <si>
    <t>BUSTAMANTE, MATIAS</t>
  </si>
  <si>
    <t>BUSTAMANTE, MAXIMO BAUTISTA</t>
  </si>
  <si>
    <t>BUSTOS LOPEZ, ALDANA MACARENA</t>
  </si>
  <si>
    <t>GASTALDO/RAMIREZ/CASALE</t>
  </si>
  <si>
    <t>BUSTOS LOPEZ, OZIAS NATANAEL</t>
  </si>
  <si>
    <t>BÜTTNER, JEREMIAS</t>
  </si>
  <si>
    <t>CABRERA, ALEJANDRO DAVID</t>
  </si>
  <si>
    <t>CABRERA, FACUNDO EMILIANO</t>
  </si>
  <si>
    <t>CACERES AGUIRRE, CELENA YAZMIN</t>
  </si>
  <si>
    <t>CALLO CRUZ, RICHARD</t>
  </si>
  <si>
    <t>CAMACHO SALAZAR, AILEENS</t>
  </si>
  <si>
    <t>REPITENTE2020/2022</t>
  </si>
  <si>
    <t>CANTEROS, OSCAR</t>
  </si>
  <si>
    <t>CARRANZA, KIARA NAHIR</t>
  </si>
  <si>
    <t>CARRIZO, SANTIAGO</t>
  </si>
  <si>
    <t>OSORIO</t>
  </si>
  <si>
    <t>CASAS, VERONICA CAROLINA</t>
  </si>
  <si>
    <t>CHAVEZ, MARIANO AGUSTIN</t>
  </si>
  <si>
    <t>REPITENTE EN 2020/2021</t>
  </si>
  <si>
    <t>COHEN, MARIA VICTORIA</t>
  </si>
  <si>
    <t>DIAZ, FLORENCIA VALERIA</t>
  </si>
  <si>
    <t>ESTEVES CUELLAR, YOEL FRANKLIN</t>
  </si>
  <si>
    <t>ESTIGARRIBIA CIERI, EZEQUIEL</t>
  </si>
  <si>
    <t>ESTIGARRIBIA, ORIANA ROSARIO</t>
  </si>
  <si>
    <t>FIGUEROA, KASSANDRA MAGNOLIA</t>
  </si>
  <si>
    <t>GAITAN, FRANCISCO DAVID</t>
  </si>
  <si>
    <t>OSORIO/IURI</t>
  </si>
  <si>
    <t>GAMARRA, MELINA DANIELA</t>
  </si>
  <si>
    <t>REPITENTE 2021 - PASE</t>
  </si>
  <si>
    <t>GARAY, IAN LUCA</t>
  </si>
  <si>
    <t>GAUTO, JULIANA</t>
  </si>
  <si>
    <t>GENARI, JOAQUIN ALFREDO</t>
  </si>
  <si>
    <t>GIMENEZ, ANGEL AGUSTIN</t>
  </si>
  <si>
    <t>REPITE 2022</t>
  </si>
  <si>
    <t>GIMENEZ, GUADALUPE</t>
  </si>
  <si>
    <t>GIMENEZ, MONICA SOLEDAD</t>
  </si>
  <si>
    <t>GONZALEZ, JEREMIAS</t>
  </si>
  <si>
    <t>GRASSO, ALVARO JONAS</t>
  </si>
  <si>
    <t>GRASSO, LUCIO AGUSTIN</t>
  </si>
  <si>
    <t>IRIARTE, MARCO ANDRES</t>
  </si>
  <si>
    <t>REPITENTE 2021 - ABANDONO</t>
  </si>
  <si>
    <t>IZAGUIRRE, MARTINA GUADALUPE</t>
  </si>
  <si>
    <t>LAREU CAERO, MARTIN GABRIEL</t>
  </si>
  <si>
    <t>LEYES, ANTONELLA ESMERALDA</t>
  </si>
  <si>
    <t>LIZONDO GUTIERREZ, YAMIL QUIMEY</t>
  </si>
  <si>
    <t>LOPEZ FERREYRA, TOMAS BENJAMIN</t>
  </si>
  <si>
    <t>REPITENTE 2020/2021 - ABANDONO</t>
  </si>
  <si>
    <t>LUCERO, RAMIRO</t>
  </si>
  <si>
    <t>REPITENTE 2020</t>
  </si>
  <si>
    <t>MARQUEZ, CATALINA ABRIL</t>
  </si>
  <si>
    <t>MARQUEZ, MAXIMILIANO DANIEL</t>
  </si>
  <si>
    <t>MARTINEZ ROTHENBERGER, FACUNDO SEBASTIÁN</t>
  </si>
  <si>
    <t>MARTINEZ, CATALINA MILAGROS</t>
  </si>
  <si>
    <t>MARTINEZ, LEONEL</t>
  </si>
  <si>
    <t>MEDINA, MEIBEL ORNELA</t>
  </si>
  <si>
    <t>MEDINA, NURIA ABRIL</t>
  </si>
  <si>
    <t>MELGAREJO, ENZO NAHUEL</t>
  </si>
  <si>
    <t>MERLO RICARTE, IGNACIO AARON</t>
  </si>
  <si>
    <t>MOGICA, ALEXIS NICOLAS</t>
  </si>
  <si>
    <t>MOGICA, KEVIN ISMAEL</t>
  </si>
  <si>
    <t>REPITENTE 2020/2021</t>
  </si>
  <si>
    <t>MOLINA, THIAGO PABLO</t>
  </si>
  <si>
    <t>MONTES, ALEXANDER HORACIO</t>
  </si>
  <si>
    <t>MORENO, CELESTE ABIGAIL</t>
  </si>
  <si>
    <t>MURUA, FRANCISCO JAVIER</t>
  </si>
  <si>
    <t>MURUA, LUCIA VALENTINA</t>
  </si>
  <si>
    <t>COSTA/AZAR/GIACARI</t>
  </si>
  <si>
    <t>NIEVES, DIEGO FERNANDO</t>
  </si>
  <si>
    <t>REPITENTE 2020/2021 - NO ASISTE</t>
  </si>
  <si>
    <t>NORIEGA, LUCA HERNAN</t>
  </si>
  <si>
    <t>OLMEDO, JAZMIN ALEJANDRA</t>
  </si>
  <si>
    <t>OLMEDO, SOFIA</t>
  </si>
  <si>
    <t>OVIEDO, MARIBEL SILVANA</t>
  </si>
  <si>
    <t>PACHECO, FRANCO SEBASTIÁN</t>
  </si>
  <si>
    <t>LENGUA CASTELLANA</t>
  </si>
  <si>
    <t>INGLÉS</t>
  </si>
  <si>
    <t>PEÑA, PEDRO MARTIN</t>
  </si>
  <si>
    <t>QUINTO</t>
  </si>
  <si>
    <t>PERALTA, LUCIANO MARTIN</t>
  </si>
  <si>
    <t>PEREYRA, ESTEFANIA</t>
  </si>
  <si>
    <t>REPITENTE 2020 - ABANDONO</t>
  </si>
  <si>
    <t>PEREYRA, TAMARA LUDMILA</t>
  </si>
  <si>
    <t>PEREZ KAHL, NOELIA VALENTINA</t>
  </si>
  <si>
    <t>PASE 2024</t>
  </si>
  <si>
    <t>PEREZ, JUAN TOMAS</t>
  </si>
  <si>
    <t>POLANCO PERALTA, NICOL AGUSTINA</t>
  </si>
  <si>
    <t>PONCE, LAZARO</t>
  </si>
  <si>
    <t>RAMIREZ, FABRICIO GABRIEL</t>
  </si>
  <si>
    <t>RIVERO, NAHUEL AGUSTIN</t>
  </si>
  <si>
    <t>RODA, JUAN CARLOS</t>
  </si>
  <si>
    <t>RODRIGUEZ, JUAN CRUZ</t>
  </si>
  <si>
    <t>ROTHENBERGER, MAURICIO ANDRES</t>
  </si>
  <si>
    <t>PASE A CENMA</t>
  </si>
  <si>
    <t>SALGADO, THOMAS AGUSTIN</t>
  </si>
  <si>
    <t>SANCHEZ, JULIAN</t>
  </si>
  <si>
    <t>SANCHEZ, LUCIA ALEJANDRA</t>
  </si>
  <si>
    <t>SANTIAGO, JULIANO CRISTIAN</t>
  </si>
  <si>
    <t>SANTIBAÑEZ KAHL, ALANA HILEN</t>
  </si>
  <si>
    <t>SARVAZYAN ROMAN, YADIR</t>
  </si>
  <si>
    <t>SERPP, YAMILA MICAELA</t>
  </si>
  <si>
    <t>REPITENTE 2022 - ABANDONO</t>
  </si>
  <si>
    <t>SOLOAGA PEREZ, ABRIL NAYA</t>
  </si>
  <si>
    <t>TORRES STAGNARO, ABRIL</t>
  </si>
  <si>
    <t>VALVERDIS, LISANDRO TOBIAS</t>
  </si>
  <si>
    <t>CASALE/GASTALDO/RAMIREZ</t>
  </si>
  <si>
    <t>VAZQUEZ, SOFIA MILAGROS</t>
  </si>
  <si>
    <t>VILLCA AREQUIPA, KARINA JOCELIN</t>
  </si>
  <si>
    <t>ZEBALLOS DUJANOFF, AQUILES LEONIDAS</t>
  </si>
  <si>
    <t>COD</t>
  </si>
  <si>
    <t>2024-09-02</t>
  </si>
  <si>
    <t>CURSO</t>
  </si>
  <si>
    <t>CASTELLANO</t>
  </si>
  <si>
    <t>EDUCACIÓN CÍVICA</t>
  </si>
  <si>
    <t>CULTURA MUSICAL</t>
  </si>
  <si>
    <t>EDUCACIÓN PLÁSTICA</t>
  </si>
  <si>
    <t>CALIGRAFÍA</t>
  </si>
  <si>
    <t>CIENCIAS BIOLÓGICAS</t>
  </si>
  <si>
    <t>CONTABLIDAD</t>
  </si>
  <si>
    <t>MECANOGRAFÍA</t>
  </si>
  <si>
    <t>PRRÁCTICA CONTABLE</t>
  </si>
  <si>
    <t>INFORMÁTICA</t>
  </si>
  <si>
    <t>FORMACIÓN CÍVICA</t>
  </si>
  <si>
    <t>LITERATURA</t>
  </si>
  <si>
    <t>EDUCACIÓN PARA LA SALUD</t>
  </si>
  <si>
    <t>MATEMÁTICA FINANCIERA</t>
  </si>
  <si>
    <t>DERECHO LABORAL</t>
  </si>
  <si>
    <t>DERECHO COMERCIAL</t>
  </si>
  <si>
    <t>ECONOMÍA POLÍTICA</t>
  </si>
  <si>
    <t>PLAN-ID</t>
  </si>
  <si>
    <t>MÚSICA</t>
  </si>
  <si>
    <t>FORMACIÓN ÉTICA Y CIUDADANA</t>
  </si>
  <si>
    <t>FÍSICO-QUÍMICA</t>
  </si>
  <si>
    <t>FORMACIÓN ARTÍSTICO CULTURAL: PLÁSTICA</t>
  </si>
  <si>
    <t>ECONOMÍA I</t>
  </si>
  <si>
    <t>GESTIÓN DE LAS ORGANIZACIONES I</t>
  </si>
  <si>
    <t>SISTEMAS DE INFORMACIÓN I</t>
  </si>
  <si>
    <t>GESTIÓN ORGANIZACIONAL I</t>
  </si>
  <si>
    <t>METODOLOGÍA DE LA INVESTIGACIÓN</t>
  </si>
  <si>
    <t>PROYECTO INTEGRADOR I</t>
  </si>
  <si>
    <t>RECURSO INFORMÁTICO I</t>
  </si>
  <si>
    <t>FORMACIÓN ARTÍSTICO CULTURAL: MÚSICA</t>
  </si>
  <si>
    <t>ECONOMÍA II</t>
  </si>
  <si>
    <t>GESTIÓN DE LAS ORGANIZACIONES II</t>
  </si>
  <si>
    <t>SISTEMAS DE INFORMACIÓN II</t>
  </si>
  <si>
    <t>GESTIÓN ORGANIZACIONAL II</t>
  </si>
  <si>
    <t>PROYECTO INTEGRADOR II</t>
  </si>
  <si>
    <t>RECURSO INFORMÁTICO II</t>
  </si>
  <si>
    <t>FORMACIÓN ARTÍSTICO CULTURAL: TEATRO</t>
  </si>
  <si>
    <t>ECONOMÍA III</t>
  </si>
  <si>
    <t>MARCO JURÍDICO DE LAS ORGANIZACIONES</t>
  </si>
  <si>
    <t>SISTEMA ADMINISTRATIVO CONTABLE III</t>
  </si>
  <si>
    <t>SISTEMA ADMINISTRATIVO CONTABLE II</t>
  </si>
  <si>
    <t>SISTEMA ADMINISTRATIVO CONTABLE I</t>
  </si>
  <si>
    <t xml:space="preserve">SISTEMAS DE INFORMACIÓN III </t>
  </si>
  <si>
    <t>GESTIÓN ORGANIZACIONAL III</t>
  </si>
  <si>
    <t>ORDEN</t>
  </si>
  <si>
    <t>BOTÁNICA</t>
  </si>
  <si>
    <t>E.R.S.A.</t>
  </si>
  <si>
    <t>CALIGRAFÍA Y DIBUJO</t>
  </si>
  <si>
    <t>ZOOLOGÍA</t>
  </si>
  <si>
    <t>ANATOMÍA</t>
  </si>
  <si>
    <t>ELEMENTOS DE FÍSICA Y QUÍMICA</t>
  </si>
  <si>
    <t>INSTRUCCIÓN CÍVICA</t>
  </si>
  <si>
    <t>GABINETE DE CONTABILIDAD</t>
  </si>
  <si>
    <t>HIGIENE</t>
  </si>
  <si>
    <t>MERCEOLOGÍA</t>
  </si>
  <si>
    <t>DERECHO USUAL</t>
  </si>
  <si>
    <t>ESTENOGRAFÍA</t>
  </si>
  <si>
    <t>GEOGRAFÍA ECONÓMICA</t>
  </si>
  <si>
    <t>ORGANIZACIÓN DEL COMERCIO Y DE LA EMPRESA</t>
  </si>
  <si>
    <t>DERECHO ADMINISTRATIVO Y LEGISLACIÓN FISCAL</t>
  </si>
  <si>
    <t>2024-09-04</t>
  </si>
  <si>
    <t>area</t>
  </si>
  <si>
    <t>ARTÍSTICA</t>
  </si>
  <si>
    <t>NATURALES</t>
  </si>
  <si>
    <t>SOCIALES</t>
  </si>
  <si>
    <t>ESPECIALIDAD</t>
  </si>
  <si>
    <t>ALUMNO</t>
  </si>
  <si>
    <t>MATERIA</t>
  </si>
  <si>
    <t>CONDICION</t>
  </si>
  <si>
    <t>FECHA</t>
  </si>
  <si>
    <t>HORA</t>
  </si>
  <si>
    <t>CICLO LECTIVO</t>
  </si>
  <si>
    <t>NOTA</t>
  </si>
  <si>
    <t>LIBRO</t>
  </si>
  <si>
    <t>FOLIO</t>
  </si>
  <si>
    <t>id_fechaExamen</t>
  </si>
  <si>
    <t>fechaExamen</t>
  </si>
  <si>
    <t>id_turno</t>
  </si>
  <si>
    <t>ABRIL</t>
  </si>
  <si>
    <t>JULIO</t>
  </si>
  <si>
    <t>SEPTIEMBRE</t>
  </si>
  <si>
    <t>DICIEMBRE</t>
  </si>
  <si>
    <t>FEBRERO</t>
  </si>
  <si>
    <t>2024-04-17 08:00:00</t>
  </si>
  <si>
    <t>2024-04-18 08:00:00</t>
  </si>
  <si>
    <t>2024-04-19 08:00:00</t>
  </si>
  <si>
    <t>2024-04-22 13:00:00</t>
  </si>
  <si>
    <t>2024-04-29 13:00:00</t>
  </si>
  <si>
    <t>2024-04-23 08:00:00</t>
  </si>
  <si>
    <t>2024-04-24 13:00:00</t>
  </si>
  <si>
    <t>2024-07-01 08:00:00</t>
  </si>
  <si>
    <t>2024-07-01 13:00:00</t>
  </si>
  <si>
    <t>2024-07-02 13:00:00</t>
  </si>
  <si>
    <t>2024-07-02 08:00:00</t>
  </si>
  <si>
    <t>COPIAR A TEXTO Y ELIMINAR DUPLICADOS</t>
  </si>
  <si>
    <t>COLOQUIO</t>
  </si>
  <si>
    <t>id_inscripcion</t>
  </si>
  <si>
    <t>libro</t>
  </si>
  <si>
    <t>folio</t>
  </si>
  <si>
    <t>id_calificación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</si>
</sst>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:ss;@"/>
    <numFmt numFmtId="165" formatCode="yyyy\-mm\-dd"/>
    <numFmt numFmtId="166" formatCode="yyyy\-mm\-dd\ hh:mm:ss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406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11.85546875" bestFit="1" customWidth="1"/>
    <col min="3" max="3" width="9.28515625" bestFit="1" customWidth="1"/>
    <col min="4" max="4" width="10.42578125" bestFit="1" customWidth="1"/>
    <col min="5" max="5" width="10.5703125" bestFit="1" customWidth="1"/>
    <col min="6" max="6" width="12.28515625" bestFit="1" customWidth="1"/>
    <col min="7" max="7" width="13.5703125" bestFit="1" customWidth="1"/>
    <col min="8" max="9" width="15.7109375" style="1" bestFit="1" customWidth="1"/>
    <col min="10" max="10" width="8.42578125" bestFit="1" customWidth="1"/>
    <col min="11" max="11" width="7.7109375" bestFit="1" customWidth="1"/>
    <col min="12" max="12" width="7.5703125" bestFit="1" customWidth="1"/>
  </cols>
  <sheetData>
    <row r="1" spans="1:12" x14ac:dyDescent="0.25">
      <c r="C1" t="s">
        <v>61</v>
      </c>
      <c r="D1" t="s">
        <v>62</v>
      </c>
      <c r="E1" t="s">
        <v>7</v>
      </c>
      <c r="F1" t="s">
        <v>42</v>
      </c>
      <c r="G1" t="s">
        <v>47</v>
      </c>
      <c r="H1" s="1" t="s">
        <v>2</v>
      </c>
      <c r="I1" s="1" t="s">
        <v>3</v>
      </c>
      <c r="J1" t="s">
        <v>9</v>
      </c>
      <c r="K1" t="s">
        <v>51</v>
      </c>
      <c r="L1" t="s">
        <v>53</v>
      </c>
    </row>
    <row r="2" spans="1:12" x14ac:dyDescent="0.25">
      <c r="A2" t="str">
        <f>"A"&amp;D2&amp;"M"&amp;E2&amp;"C"&amp;F2</f>
        <v>A77M222C1</v>
      </c>
      <c r="C2">
        <v>1</v>
      </c>
      <c r="D2">
        <f>VLOOKUP(PREVIOS!C2,ALUMNOS!A:B,2,FALSE)</f>
        <v>77</v>
      </c>
      <c r="E2">
        <f>VLOOKUP(PREVIOS!E2&amp;'TABLA PREVIOS'!J2,MATERIAS!A:H,7,FALSE)</f>
        <v>222</v>
      </c>
      <c r="F2">
        <f>VLOOKUP(PREVIOS!G2,CONDICION!A:B,2,FALSE)</f>
        <v>1</v>
      </c>
      <c r="G2">
        <f>IF(PREVIOS!AG2=1,1,VLOOKUP(PREVIOS!AG2,CALIFICACION!A:C,3,FALSE))</f>
        <v>1</v>
      </c>
      <c r="H2" s="1" t="s">
        <v>534</v>
      </c>
      <c r="I2" s="1" t="s">
        <v>534</v>
      </c>
      <c r="J2">
        <f>VLOOKUP(PREVIOS!F2&amp;VLOOKUP(PREVIOS!I2,PLAN!A:B,2,FALSE),CURSO!A:D,4,FALSE)</f>
        <v>17</v>
      </c>
      <c r="K2">
        <f>VLOOKUP(PREVIOS!H2,CICLO!A:B,2,FALSE)</f>
        <v>56</v>
      </c>
      <c r="L2">
        <f>VLOOKUP(PREVIOS!I2,PLAN!A:B,2,FALSE)</f>
        <v>5</v>
      </c>
    </row>
    <row r="3" spans="1:12" x14ac:dyDescent="0.25">
      <c r="A3" t="str">
        <f t="shared" ref="A3:A66" si="0">"A"&amp;D3&amp;"M"&amp;E3&amp;"C"&amp;F3</f>
        <v>A266M220C1</v>
      </c>
      <c r="C3">
        <v>2</v>
      </c>
      <c r="D3">
        <f>VLOOKUP(PREVIOS!C3,ALUMNOS!A:B,2,FALSE)</f>
        <v>266</v>
      </c>
      <c r="E3">
        <f>VLOOKUP(PREVIOS!E3&amp;'TABLA PREVIOS'!J3,MATERIAS!A:H,7,FALSE)</f>
        <v>220</v>
      </c>
      <c r="F3">
        <f>VLOOKUP(PREVIOS!G3,CONDICION!A:B,2,FALSE)</f>
        <v>1</v>
      </c>
      <c r="G3">
        <f>IF(PREVIOS!AG3=1,1,VLOOKUP(PREVIOS!AG3,CALIFICACION!A:C,3,FALSE))</f>
        <v>1</v>
      </c>
      <c r="H3" s="1" t="s">
        <v>534</v>
      </c>
      <c r="I3" s="1" t="s">
        <v>534</v>
      </c>
      <c r="J3">
        <f>VLOOKUP(PREVIOS!F3&amp;VLOOKUP(PREVIOS!I3,PLAN!A:B,2,FALSE),CURSO!A:D,4,FALSE)</f>
        <v>17</v>
      </c>
      <c r="K3">
        <f>VLOOKUP(PREVIOS!H3,CICLO!A:B,2,FALSE)</f>
        <v>56</v>
      </c>
      <c r="L3">
        <f>VLOOKUP(PREVIOS!I3,PLAN!A:B,2,FALSE)</f>
        <v>5</v>
      </c>
    </row>
    <row r="4" spans="1:12" x14ac:dyDescent="0.25">
      <c r="A4" t="str">
        <f t="shared" si="0"/>
        <v>A328M224C1</v>
      </c>
      <c r="C4">
        <v>3</v>
      </c>
      <c r="D4">
        <f>VLOOKUP(PREVIOS!C4,ALUMNOS!A:B,2,FALSE)</f>
        <v>328</v>
      </c>
      <c r="E4">
        <f>VLOOKUP(PREVIOS!E4&amp;'TABLA PREVIOS'!J4,MATERIAS!A:H,7,FALSE)</f>
        <v>224</v>
      </c>
      <c r="F4">
        <f>VLOOKUP(PREVIOS!G4,CONDICION!A:B,2,FALSE)</f>
        <v>1</v>
      </c>
      <c r="G4">
        <f>IF(PREVIOS!AG4=1,1,VLOOKUP(PREVIOS!AG4,CALIFICACION!A:C,3,FALSE))</f>
        <v>1</v>
      </c>
      <c r="H4" s="1" t="s">
        <v>534</v>
      </c>
      <c r="I4" s="1" t="s">
        <v>534</v>
      </c>
      <c r="J4">
        <f>VLOOKUP(PREVIOS!F4&amp;VLOOKUP(PREVIOS!I4,PLAN!A:B,2,FALSE),CURSO!A:D,4,FALSE)</f>
        <v>17</v>
      </c>
      <c r="K4">
        <f>VLOOKUP(PREVIOS!H4,CICLO!A:B,2,FALSE)</f>
        <v>56</v>
      </c>
      <c r="L4">
        <f>VLOOKUP(PREVIOS!I4,PLAN!A:B,2,FALSE)</f>
        <v>5</v>
      </c>
    </row>
    <row r="5" spans="1:12" x14ac:dyDescent="0.25">
      <c r="A5" t="str">
        <f t="shared" si="0"/>
        <v>A332M225C1</v>
      </c>
      <c r="C5">
        <v>4</v>
      </c>
      <c r="D5">
        <f>VLOOKUP(PREVIOS!C5,ALUMNOS!A:B,2,FALSE)</f>
        <v>332</v>
      </c>
      <c r="E5">
        <f>VLOOKUP(PREVIOS!E5&amp;'TABLA PREVIOS'!J5,MATERIAS!A:H,7,FALSE)</f>
        <v>225</v>
      </c>
      <c r="F5">
        <f>VLOOKUP(PREVIOS!G5,CONDICION!A:B,2,FALSE)</f>
        <v>1</v>
      </c>
      <c r="G5">
        <f>IF(PREVIOS!AG5=1,1,VLOOKUP(PREVIOS!AG5,CALIFICACION!A:C,3,FALSE))</f>
        <v>1</v>
      </c>
      <c r="H5" s="1" t="s">
        <v>534</v>
      </c>
      <c r="I5" s="1" t="s">
        <v>534</v>
      </c>
      <c r="J5">
        <f>VLOOKUP(PREVIOS!F5&amp;VLOOKUP(PREVIOS!I5,PLAN!A:B,2,FALSE),CURSO!A:D,4,FALSE)</f>
        <v>17</v>
      </c>
      <c r="K5">
        <f>VLOOKUP(PREVIOS!H5,CICLO!A:B,2,FALSE)</f>
        <v>54</v>
      </c>
      <c r="L5">
        <f>VLOOKUP(PREVIOS!I5,PLAN!A:B,2,FALSE)</f>
        <v>5</v>
      </c>
    </row>
    <row r="6" spans="1:12" x14ac:dyDescent="0.25">
      <c r="A6" t="str">
        <f t="shared" si="0"/>
        <v>A332M218C1</v>
      </c>
      <c r="C6">
        <v>5</v>
      </c>
      <c r="D6">
        <f>VLOOKUP(PREVIOS!C6,ALUMNOS!A:B,2,FALSE)</f>
        <v>332</v>
      </c>
      <c r="E6">
        <f>VLOOKUP(PREVIOS!E6&amp;'TABLA PREVIOS'!J6,MATERIAS!A:H,7,FALSE)</f>
        <v>218</v>
      </c>
      <c r="F6">
        <f>VLOOKUP(PREVIOS!G6,CONDICION!A:B,2,FALSE)</f>
        <v>1</v>
      </c>
      <c r="G6">
        <f>IF(PREVIOS!AG6=1,1,VLOOKUP(PREVIOS!AG6,CALIFICACION!A:C,3,FALSE))</f>
        <v>1</v>
      </c>
      <c r="H6" s="1" t="s">
        <v>534</v>
      </c>
      <c r="I6" s="1" t="s">
        <v>534</v>
      </c>
      <c r="J6">
        <f>VLOOKUP(PREVIOS!F6&amp;VLOOKUP(PREVIOS!I6,PLAN!A:B,2,FALSE),CURSO!A:D,4,FALSE)</f>
        <v>17</v>
      </c>
      <c r="K6">
        <f>VLOOKUP(PREVIOS!H6,CICLO!A:B,2,FALSE)</f>
        <v>54</v>
      </c>
      <c r="L6">
        <f>VLOOKUP(PREVIOS!I6,PLAN!A:B,2,FALSE)</f>
        <v>5</v>
      </c>
    </row>
    <row r="7" spans="1:12" x14ac:dyDescent="0.25">
      <c r="A7" t="str">
        <f t="shared" si="0"/>
        <v>A332M220C1</v>
      </c>
      <c r="C7">
        <v>6</v>
      </c>
      <c r="D7">
        <f>VLOOKUP(PREVIOS!C7,ALUMNOS!A:B,2,FALSE)</f>
        <v>332</v>
      </c>
      <c r="E7">
        <f>VLOOKUP(PREVIOS!E7&amp;'TABLA PREVIOS'!J7,MATERIAS!A:H,7,FALSE)</f>
        <v>220</v>
      </c>
      <c r="F7">
        <f>VLOOKUP(PREVIOS!G7,CONDICION!A:B,2,FALSE)</f>
        <v>1</v>
      </c>
      <c r="G7">
        <f>IF(PREVIOS!AG7=1,1,VLOOKUP(PREVIOS!AG7,CALIFICACION!A:C,3,FALSE))</f>
        <v>1</v>
      </c>
      <c r="H7" s="1" t="s">
        <v>534</v>
      </c>
      <c r="I7" s="1" t="s">
        <v>534</v>
      </c>
      <c r="J7">
        <f>VLOOKUP(PREVIOS!F7&amp;VLOOKUP(PREVIOS!I7,PLAN!A:B,2,FALSE),CURSO!A:D,4,FALSE)</f>
        <v>17</v>
      </c>
      <c r="K7">
        <f>VLOOKUP(PREVIOS!H7,CICLO!A:B,2,FALSE)</f>
        <v>54</v>
      </c>
      <c r="L7">
        <f>VLOOKUP(PREVIOS!I7,PLAN!A:B,2,FALSE)</f>
        <v>5</v>
      </c>
    </row>
    <row r="8" spans="1:12" x14ac:dyDescent="0.25">
      <c r="A8" t="str">
        <f t="shared" si="0"/>
        <v>A387M226C1</v>
      </c>
      <c r="C8">
        <v>7</v>
      </c>
      <c r="D8">
        <f>VLOOKUP(PREVIOS!C8,ALUMNOS!A:B,2,FALSE)</f>
        <v>387</v>
      </c>
      <c r="E8">
        <f>VLOOKUP(PREVIOS!E8&amp;'TABLA PREVIOS'!J8,MATERIAS!A:H,7,FALSE)</f>
        <v>226</v>
      </c>
      <c r="F8">
        <f>VLOOKUP(PREVIOS!G8,CONDICION!A:B,2,FALSE)</f>
        <v>1</v>
      </c>
      <c r="G8">
        <f>IF(PREVIOS!AG8=1,1,VLOOKUP(PREVIOS!AG8,CALIFICACION!A:C,3,FALSE))</f>
        <v>1</v>
      </c>
      <c r="H8" s="1" t="s">
        <v>534</v>
      </c>
      <c r="I8" s="1" t="s">
        <v>534</v>
      </c>
      <c r="J8">
        <f>VLOOKUP(PREVIOS!F8&amp;VLOOKUP(PREVIOS!I8,PLAN!A:B,2,FALSE),CURSO!A:D,4,FALSE)</f>
        <v>17</v>
      </c>
      <c r="K8">
        <f>VLOOKUP(PREVIOS!H8,CICLO!A:B,2,FALSE)</f>
        <v>54</v>
      </c>
      <c r="L8">
        <f>VLOOKUP(PREVIOS!I8,PLAN!A:B,2,FALSE)</f>
        <v>5</v>
      </c>
    </row>
    <row r="9" spans="1:12" x14ac:dyDescent="0.25">
      <c r="A9" t="str">
        <f t="shared" si="0"/>
        <v>A425M224C1</v>
      </c>
      <c r="C9">
        <v>8</v>
      </c>
      <c r="D9">
        <f>VLOOKUP(PREVIOS!C9,ALUMNOS!A:B,2,FALSE)</f>
        <v>425</v>
      </c>
      <c r="E9">
        <f>VLOOKUP(PREVIOS!E9&amp;'TABLA PREVIOS'!J9,MATERIAS!A:H,7,FALSE)</f>
        <v>224</v>
      </c>
      <c r="F9">
        <f>VLOOKUP(PREVIOS!G9,CONDICION!A:B,2,FALSE)</f>
        <v>1</v>
      </c>
      <c r="G9">
        <f>IF(PREVIOS!AG9=1,1,VLOOKUP(PREVIOS!AG9,CALIFICACION!A:C,3,FALSE))</f>
        <v>1</v>
      </c>
      <c r="H9" s="1" t="s">
        <v>534</v>
      </c>
      <c r="I9" s="1" t="s">
        <v>534</v>
      </c>
      <c r="J9">
        <f>VLOOKUP(PREVIOS!F9&amp;VLOOKUP(PREVIOS!I9,PLAN!A:B,2,FALSE),CURSO!A:D,4,FALSE)</f>
        <v>17</v>
      </c>
      <c r="K9">
        <f>VLOOKUP(PREVIOS!H9,CICLO!A:B,2,FALSE)</f>
        <v>56</v>
      </c>
      <c r="L9">
        <f>VLOOKUP(PREVIOS!I9,PLAN!A:B,2,FALSE)</f>
        <v>5</v>
      </c>
    </row>
    <row r="10" spans="1:12" x14ac:dyDescent="0.25">
      <c r="A10" t="str">
        <f t="shared" si="0"/>
        <v>A425M220C1</v>
      </c>
      <c r="C10">
        <v>9</v>
      </c>
      <c r="D10">
        <f>VLOOKUP(PREVIOS!C10,ALUMNOS!A:B,2,FALSE)</f>
        <v>425</v>
      </c>
      <c r="E10">
        <f>VLOOKUP(PREVIOS!E10&amp;'TABLA PREVIOS'!J10,MATERIAS!A:H,7,FALSE)</f>
        <v>220</v>
      </c>
      <c r="F10">
        <f>VLOOKUP(PREVIOS!G10,CONDICION!A:B,2,FALSE)</f>
        <v>1</v>
      </c>
      <c r="G10">
        <f>IF(PREVIOS!AG10=1,1,VLOOKUP(PREVIOS!AG10,CALIFICACION!A:C,3,FALSE))</f>
        <v>9</v>
      </c>
      <c r="H10" s="1" t="s">
        <v>534</v>
      </c>
      <c r="I10" s="1" t="s">
        <v>534</v>
      </c>
      <c r="J10">
        <f>VLOOKUP(PREVIOS!F10&amp;VLOOKUP(PREVIOS!I10,PLAN!A:B,2,FALSE),CURSO!A:D,4,FALSE)</f>
        <v>17</v>
      </c>
      <c r="K10">
        <f>VLOOKUP(PREVIOS!H10,CICLO!A:B,2,FALSE)</f>
        <v>56</v>
      </c>
      <c r="L10">
        <f>VLOOKUP(PREVIOS!I10,PLAN!A:B,2,FALSE)</f>
        <v>5</v>
      </c>
    </row>
    <row r="11" spans="1:12" x14ac:dyDescent="0.25">
      <c r="A11" t="str">
        <f t="shared" si="0"/>
        <v>A748M224C1</v>
      </c>
      <c r="C11">
        <v>10</v>
      </c>
      <c r="D11">
        <f>VLOOKUP(PREVIOS!C11,ALUMNOS!A:B,2,FALSE)</f>
        <v>748</v>
      </c>
      <c r="E11">
        <f>VLOOKUP(PREVIOS!E11&amp;'TABLA PREVIOS'!J11,MATERIAS!A:H,7,FALSE)</f>
        <v>224</v>
      </c>
      <c r="F11">
        <f>VLOOKUP(PREVIOS!G11,CONDICION!A:B,2,FALSE)</f>
        <v>1</v>
      </c>
      <c r="G11">
        <f>IF(PREVIOS!AG11=1,1,VLOOKUP(PREVIOS!AG11,CALIFICACION!A:C,3,FALSE))</f>
        <v>1</v>
      </c>
      <c r="H11" s="1" t="s">
        <v>534</v>
      </c>
      <c r="I11" s="1" t="s">
        <v>534</v>
      </c>
      <c r="J11">
        <f>VLOOKUP(PREVIOS!F11&amp;VLOOKUP(PREVIOS!I11,PLAN!A:B,2,FALSE),CURSO!A:D,4,FALSE)</f>
        <v>17</v>
      </c>
      <c r="K11">
        <f>VLOOKUP(PREVIOS!H11,CICLO!A:B,2,FALSE)</f>
        <v>55</v>
      </c>
      <c r="L11">
        <f>VLOOKUP(PREVIOS!I11,PLAN!A:B,2,FALSE)</f>
        <v>5</v>
      </c>
    </row>
    <row r="12" spans="1:12" x14ac:dyDescent="0.25">
      <c r="A12" t="str">
        <f t="shared" si="0"/>
        <v>A748M219C1</v>
      </c>
      <c r="C12">
        <v>11</v>
      </c>
      <c r="D12">
        <f>VLOOKUP(PREVIOS!C12,ALUMNOS!A:B,2,FALSE)</f>
        <v>748</v>
      </c>
      <c r="E12">
        <f>VLOOKUP(PREVIOS!E12&amp;'TABLA PREVIOS'!J12,MATERIAS!A:H,7,FALSE)</f>
        <v>219</v>
      </c>
      <c r="F12">
        <f>VLOOKUP(PREVIOS!G12,CONDICION!A:B,2,FALSE)</f>
        <v>1</v>
      </c>
      <c r="G12">
        <f>IF(PREVIOS!AG12=1,1,VLOOKUP(PREVIOS!AG12,CALIFICACION!A:C,3,FALSE))</f>
        <v>1</v>
      </c>
      <c r="H12" s="1" t="s">
        <v>534</v>
      </c>
      <c r="I12" s="1" t="s">
        <v>534</v>
      </c>
      <c r="J12">
        <f>VLOOKUP(PREVIOS!F12&amp;VLOOKUP(PREVIOS!I12,PLAN!A:B,2,FALSE),CURSO!A:D,4,FALSE)</f>
        <v>17</v>
      </c>
      <c r="K12">
        <f>VLOOKUP(PREVIOS!H12,CICLO!A:B,2,FALSE)</f>
        <v>55</v>
      </c>
      <c r="L12">
        <f>VLOOKUP(PREVIOS!I12,PLAN!A:B,2,FALSE)</f>
        <v>5</v>
      </c>
    </row>
    <row r="13" spans="1:12" x14ac:dyDescent="0.25">
      <c r="A13" t="str">
        <f t="shared" si="0"/>
        <v>A115M224C1</v>
      </c>
      <c r="C13">
        <v>12</v>
      </c>
      <c r="D13">
        <f>VLOOKUP(PREVIOS!C13,ALUMNOS!A:B,2,FALSE)</f>
        <v>115</v>
      </c>
      <c r="E13">
        <f>VLOOKUP(PREVIOS!E13&amp;'TABLA PREVIOS'!J13,MATERIAS!A:H,7,FALSE)</f>
        <v>224</v>
      </c>
      <c r="F13">
        <f>VLOOKUP(PREVIOS!G13,CONDICION!A:B,2,FALSE)</f>
        <v>1</v>
      </c>
      <c r="G13">
        <f>IF(PREVIOS!AG13=1,1,VLOOKUP(PREVIOS!AG13,CALIFICACION!A:C,3,FALSE))</f>
        <v>1</v>
      </c>
      <c r="H13" s="1" t="s">
        <v>534</v>
      </c>
      <c r="I13" s="1" t="s">
        <v>534</v>
      </c>
      <c r="J13">
        <f>VLOOKUP(PREVIOS!F13&amp;VLOOKUP(PREVIOS!I13,PLAN!A:B,2,FALSE),CURSO!A:D,4,FALSE)</f>
        <v>17</v>
      </c>
      <c r="K13">
        <f>VLOOKUP(PREVIOS!H13,CICLO!A:B,2,FALSE)</f>
        <v>54</v>
      </c>
      <c r="L13">
        <f>VLOOKUP(PREVIOS!I13,PLAN!A:B,2,FALSE)</f>
        <v>5</v>
      </c>
    </row>
    <row r="14" spans="1:12" x14ac:dyDescent="0.25">
      <c r="A14" t="str">
        <f t="shared" si="0"/>
        <v>A161M224C1</v>
      </c>
      <c r="C14">
        <v>13</v>
      </c>
      <c r="D14">
        <f>VLOOKUP(PREVIOS!C14,ALUMNOS!A:B,2,FALSE)</f>
        <v>161</v>
      </c>
      <c r="E14">
        <f>VLOOKUP(PREVIOS!E14&amp;'TABLA PREVIOS'!J14,MATERIAS!A:H,7,FALSE)</f>
        <v>224</v>
      </c>
      <c r="F14">
        <f>VLOOKUP(PREVIOS!G14,CONDICION!A:B,2,FALSE)</f>
        <v>1</v>
      </c>
      <c r="G14">
        <f>IF(PREVIOS!AG14=1,1,VLOOKUP(PREVIOS!AG14,CALIFICACION!A:C,3,FALSE))</f>
        <v>1</v>
      </c>
      <c r="H14" s="1" t="s">
        <v>534</v>
      </c>
      <c r="I14" s="1" t="s">
        <v>534</v>
      </c>
      <c r="J14">
        <f>VLOOKUP(PREVIOS!F14&amp;VLOOKUP(PREVIOS!I14,PLAN!A:B,2,FALSE),CURSO!A:D,4,FALSE)</f>
        <v>17</v>
      </c>
      <c r="K14">
        <f>VLOOKUP(PREVIOS!H14,CICLO!A:B,2,FALSE)</f>
        <v>56</v>
      </c>
      <c r="L14">
        <f>VLOOKUP(PREVIOS!I14,PLAN!A:B,2,FALSE)</f>
        <v>5</v>
      </c>
    </row>
    <row r="15" spans="1:12" x14ac:dyDescent="0.25">
      <c r="A15" t="str">
        <f t="shared" si="0"/>
        <v>A161M220C1</v>
      </c>
      <c r="C15">
        <v>14</v>
      </c>
      <c r="D15">
        <f>VLOOKUP(PREVIOS!C15,ALUMNOS!A:B,2,FALSE)</f>
        <v>161</v>
      </c>
      <c r="E15">
        <f>VLOOKUP(PREVIOS!E15&amp;'TABLA PREVIOS'!J15,MATERIAS!A:H,7,FALSE)</f>
        <v>220</v>
      </c>
      <c r="F15">
        <f>VLOOKUP(PREVIOS!G15,CONDICION!A:B,2,FALSE)</f>
        <v>1</v>
      </c>
      <c r="G15">
        <f>IF(PREVIOS!AG15=1,1,VLOOKUP(PREVIOS!AG15,CALIFICACION!A:C,3,FALSE))</f>
        <v>1</v>
      </c>
      <c r="H15" s="1" t="s">
        <v>534</v>
      </c>
      <c r="I15" s="1" t="s">
        <v>534</v>
      </c>
      <c r="J15">
        <f>VLOOKUP(PREVIOS!F15&amp;VLOOKUP(PREVIOS!I15,PLAN!A:B,2,FALSE),CURSO!A:D,4,FALSE)</f>
        <v>17</v>
      </c>
      <c r="K15">
        <f>VLOOKUP(PREVIOS!H15,CICLO!A:B,2,FALSE)</f>
        <v>56</v>
      </c>
      <c r="L15">
        <f>VLOOKUP(PREVIOS!I15,PLAN!A:B,2,FALSE)</f>
        <v>5</v>
      </c>
    </row>
    <row r="16" spans="1:12" x14ac:dyDescent="0.25">
      <c r="A16" t="str">
        <f t="shared" si="0"/>
        <v>A186M223C1</v>
      </c>
      <c r="C16">
        <v>15</v>
      </c>
      <c r="D16">
        <f>VLOOKUP(PREVIOS!C16,ALUMNOS!A:B,2,FALSE)</f>
        <v>186</v>
      </c>
      <c r="E16">
        <f>VLOOKUP(PREVIOS!E16&amp;'TABLA PREVIOS'!J16,MATERIAS!A:H,7,FALSE)</f>
        <v>223</v>
      </c>
      <c r="F16">
        <f>VLOOKUP(PREVIOS!G16,CONDICION!A:B,2,FALSE)</f>
        <v>1</v>
      </c>
      <c r="G16">
        <f>IF(PREVIOS!AG16=1,1,VLOOKUP(PREVIOS!AG16,CALIFICACION!A:C,3,FALSE))</f>
        <v>1</v>
      </c>
      <c r="H16" s="1" t="s">
        <v>534</v>
      </c>
      <c r="I16" s="1" t="s">
        <v>534</v>
      </c>
      <c r="J16">
        <f>VLOOKUP(PREVIOS!F16&amp;VLOOKUP(PREVIOS!I16,PLAN!A:B,2,FALSE),CURSO!A:D,4,FALSE)</f>
        <v>17</v>
      </c>
      <c r="K16">
        <f>VLOOKUP(PREVIOS!H16,CICLO!A:B,2,FALSE)</f>
        <v>56</v>
      </c>
      <c r="L16">
        <f>VLOOKUP(PREVIOS!I16,PLAN!A:B,2,FALSE)</f>
        <v>5</v>
      </c>
    </row>
    <row r="17" spans="1:12" x14ac:dyDescent="0.25">
      <c r="A17" t="str">
        <f t="shared" si="0"/>
        <v>A186M220C1</v>
      </c>
      <c r="C17">
        <v>16</v>
      </c>
      <c r="D17">
        <f>VLOOKUP(PREVIOS!C17,ALUMNOS!A:B,2,FALSE)</f>
        <v>186</v>
      </c>
      <c r="E17">
        <f>VLOOKUP(PREVIOS!E17&amp;'TABLA PREVIOS'!J17,MATERIAS!A:H,7,FALSE)</f>
        <v>220</v>
      </c>
      <c r="F17">
        <f>VLOOKUP(PREVIOS!G17,CONDICION!A:B,2,FALSE)</f>
        <v>1</v>
      </c>
      <c r="G17">
        <f>IF(PREVIOS!AG17=1,1,VLOOKUP(PREVIOS!AG17,CALIFICACION!A:C,3,FALSE))</f>
        <v>1</v>
      </c>
      <c r="H17" s="1" t="s">
        <v>534</v>
      </c>
      <c r="I17" s="1" t="s">
        <v>534</v>
      </c>
      <c r="J17">
        <f>VLOOKUP(PREVIOS!F17&amp;VLOOKUP(PREVIOS!I17,PLAN!A:B,2,FALSE),CURSO!A:D,4,FALSE)</f>
        <v>17</v>
      </c>
      <c r="K17">
        <f>VLOOKUP(PREVIOS!H17,CICLO!A:B,2,FALSE)</f>
        <v>56</v>
      </c>
      <c r="L17">
        <f>VLOOKUP(PREVIOS!I17,PLAN!A:B,2,FALSE)</f>
        <v>5</v>
      </c>
    </row>
    <row r="18" spans="1:12" x14ac:dyDescent="0.25">
      <c r="A18" t="str">
        <f t="shared" si="0"/>
        <v>A205M226C1</v>
      </c>
      <c r="C18">
        <v>17</v>
      </c>
      <c r="D18">
        <f>VLOOKUP(PREVIOS!C18,ALUMNOS!A:B,2,FALSE)</f>
        <v>205</v>
      </c>
      <c r="E18">
        <f>VLOOKUP(PREVIOS!E18&amp;'TABLA PREVIOS'!J18,MATERIAS!A:H,7,FALSE)</f>
        <v>226</v>
      </c>
      <c r="F18">
        <f>VLOOKUP(PREVIOS!G18,CONDICION!A:B,2,FALSE)</f>
        <v>1</v>
      </c>
      <c r="G18">
        <f>IF(PREVIOS!AG18=1,1,VLOOKUP(PREVIOS!AG18,CALIFICACION!A:C,3,FALSE))</f>
        <v>1</v>
      </c>
      <c r="H18" s="1" t="s">
        <v>534</v>
      </c>
      <c r="I18" s="1" t="s">
        <v>534</v>
      </c>
      <c r="J18">
        <f>VLOOKUP(PREVIOS!F18&amp;VLOOKUP(PREVIOS!I18,PLAN!A:B,2,FALSE),CURSO!A:D,4,FALSE)</f>
        <v>17</v>
      </c>
      <c r="K18">
        <f>VLOOKUP(PREVIOS!H18,CICLO!A:B,2,FALSE)</f>
        <v>54</v>
      </c>
      <c r="L18">
        <f>VLOOKUP(PREVIOS!I18,PLAN!A:B,2,FALSE)</f>
        <v>5</v>
      </c>
    </row>
    <row r="19" spans="1:12" x14ac:dyDescent="0.25">
      <c r="A19" t="str">
        <f t="shared" si="0"/>
        <v>A205M219C1</v>
      </c>
      <c r="C19">
        <v>18</v>
      </c>
      <c r="D19">
        <f>VLOOKUP(PREVIOS!C19,ALUMNOS!A:B,2,FALSE)</f>
        <v>205</v>
      </c>
      <c r="E19">
        <f>VLOOKUP(PREVIOS!E19&amp;'TABLA PREVIOS'!J19,MATERIAS!A:H,7,FALSE)</f>
        <v>219</v>
      </c>
      <c r="F19">
        <f>VLOOKUP(PREVIOS!G19,CONDICION!A:B,2,FALSE)</f>
        <v>1</v>
      </c>
      <c r="G19">
        <f>IF(PREVIOS!AG19=1,1,VLOOKUP(PREVIOS!AG19,CALIFICACION!A:C,3,FALSE))</f>
        <v>1</v>
      </c>
      <c r="H19" s="1" t="s">
        <v>534</v>
      </c>
      <c r="I19" s="1" t="s">
        <v>534</v>
      </c>
      <c r="J19">
        <f>VLOOKUP(PREVIOS!F19&amp;VLOOKUP(PREVIOS!I19,PLAN!A:B,2,FALSE),CURSO!A:D,4,FALSE)</f>
        <v>17</v>
      </c>
      <c r="K19">
        <f>VLOOKUP(PREVIOS!H19,CICLO!A:B,2,FALSE)</f>
        <v>54</v>
      </c>
      <c r="L19">
        <f>VLOOKUP(PREVIOS!I19,PLAN!A:B,2,FALSE)</f>
        <v>5</v>
      </c>
    </row>
    <row r="20" spans="1:12" x14ac:dyDescent="0.25">
      <c r="A20" t="str">
        <f t="shared" si="0"/>
        <v>A303M221C1</v>
      </c>
      <c r="C20">
        <v>19</v>
      </c>
      <c r="D20">
        <f>VLOOKUP(PREVIOS!C20,ALUMNOS!A:B,2,FALSE)</f>
        <v>303</v>
      </c>
      <c r="E20">
        <f>VLOOKUP(PREVIOS!E20&amp;'TABLA PREVIOS'!J20,MATERIAS!A:H,7,FALSE)</f>
        <v>221</v>
      </c>
      <c r="F20">
        <f>VLOOKUP(PREVIOS!G20,CONDICION!A:B,2,FALSE)</f>
        <v>1</v>
      </c>
      <c r="G20">
        <f>IF(PREVIOS!AG20=1,1,VLOOKUP(PREVIOS!AG20,CALIFICACION!A:C,3,FALSE))</f>
        <v>1</v>
      </c>
      <c r="H20" s="1" t="s">
        <v>534</v>
      </c>
      <c r="I20" s="1" t="s">
        <v>534</v>
      </c>
      <c r="J20">
        <f>VLOOKUP(PREVIOS!F20&amp;VLOOKUP(PREVIOS!I20,PLAN!A:B,2,FALSE),CURSO!A:D,4,FALSE)</f>
        <v>17</v>
      </c>
      <c r="K20">
        <f>VLOOKUP(PREVIOS!H20,CICLO!A:B,2,FALSE)</f>
        <v>56</v>
      </c>
      <c r="L20">
        <f>VLOOKUP(PREVIOS!I20,PLAN!A:B,2,FALSE)</f>
        <v>5</v>
      </c>
    </row>
    <row r="21" spans="1:12" x14ac:dyDescent="0.25">
      <c r="A21" t="str">
        <f t="shared" si="0"/>
        <v>A303M222C1</v>
      </c>
      <c r="C21">
        <v>20</v>
      </c>
      <c r="D21">
        <f>VLOOKUP(PREVIOS!C21,ALUMNOS!A:B,2,FALSE)</f>
        <v>303</v>
      </c>
      <c r="E21">
        <f>VLOOKUP(PREVIOS!E21&amp;'TABLA PREVIOS'!J21,MATERIAS!A:H,7,FALSE)</f>
        <v>222</v>
      </c>
      <c r="F21">
        <f>VLOOKUP(PREVIOS!G21,CONDICION!A:B,2,FALSE)</f>
        <v>1</v>
      </c>
      <c r="G21">
        <f>IF(PREVIOS!AG21=1,1,VLOOKUP(PREVIOS!AG21,CALIFICACION!A:C,3,FALSE))</f>
        <v>1</v>
      </c>
      <c r="H21" s="1" t="s">
        <v>534</v>
      </c>
      <c r="I21" s="1" t="s">
        <v>534</v>
      </c>
      <c r="J21">
        <f>VLOOKUP(PREVIOS!F21&amp;VLOOKUP(PREVIOS!I21,PLAN!A:B,2,FALSE),CURSO!A:D,4,FALSE)</f>
        <v>17</v>
      </c>
      <c r="K21">
        <f>VLOOKUP(PREVIOS!H21,CICLO!A:B,2,FALSE)</f>
        <v>56</v>
      </c>
      <c r="L21">
        <f>VLOOKUP(PREVIOS!I21,PLAN!A:B,2,FALSE)</f>
        <v>5</v>
      </c>
    </row>
    <row r="22" spans="1:12" x14ac:dyDescent="0.25">
      <c r="A22" t="str">
        <f t="shared" si="0"/>
        <v>A303M219C3</v>
      </c>
      <c r="C22">
        <v>21</v>
      </c>
      <c r="D22">
        <f>VLOOKUP(PREVIOS!C22,ALUMNOS!A:B,2,FALSE)</f>
        <v>303</v>
      </c>
      <c r="E22">
        <f>VLOOKUP(PREVIOS!E22&amp;'TABLA PREVIOS'!J22,MATERIAS!A:H,7,FALSE)</f>
        <v>219</v>
      </c>
      <c r="F22">
        <f>VLOOKUP(PREVIOS!G22,CONDICION!A:B,2,FALSE)</f>
        <v>3</v>
      </c>
      <c r="G22">
        <f>IF(PREVIOS!AG22=1,1,VLOOKUP(PREVIOS!AG22,CALIFICACION!A:C,3,FALSE))</f>
        <v>1</v>
      </c>
      <c r="H22" s="1" t="s">
        <v>534</v>
      </c>
      <c r="I22" s="1" t="s">
        <v>534</v>
      </c>
      <c r="J22">
        <f>VLOOKUP(PREVIOS!F22&amp;VLOOKUP(PREVIOS!I22,PLAN!A:B,2,FALSE),CURSO!A:D,4,FALSE)</f>
        <v>17</v>
      </c>
      <c r="K22">
        <f>VLOOKUP(PREVIOS!H22,CICLO!A:B,2,FALSE)</f>
        <v>56</v>
      </c>
      <c r="L22">
        <f>VLOOKUP(PREVIOS!I22,PLAN!A:B,2,FALSE)</f>
        <v>5</v>
      </c>
    </row>
    <row r="23" spans="1:12" x14ac:dyDescent="0.25">
      <c r="A23" t="str">
        <f t="shared" si="0"/>
        <v>A327M223C1</v>
      </c>
      <c r="C23">
        <v>22</v>
      </c>
      <c r="D23">
        <f>VLOOKUP(PREVIOS!C23,ALUMNOS!A:B,2,FALSE)</f>
        <v>327</v>
      </c>
      <c r="E23">
        <f>VLOOKUP(PREVIOS!E23&amp;'TABLA PREVIOS'!J23,MATERIAS!A:H,7,FALSE)</f>
        <v>223</v>
      </c>
      <c r="F23">
        <f>VLOOKUP(PREVIOS!G23,CONDICION!A:B,2,FALSE)</f>
        <v>1</v>
      </c>
      <c r="G23">
        <f>IF(PREVIOS!AG23=1,1,VLOOKUP(PREVIOS!AG23,CALIFICACION!A:C,3,FALSE))</f>
        <v>1</v>
      </c>
      <c r="H23" s="1" t="s">
        <v>534</v>
      </c>
      <c r="I23" s="1" t="s">
        <v>534</v>
      </c>
      <c r="J23">
        <f>VLOOKUP(PREVIOS!F23&amp;VLOOKUP(PREVIOS!I23,PLAN!A:B,2,FALSE),CURSO!A:D,4,FALSE)</f>
        <v>17</v>
      </c>
      <c r="K23">
        <f>VLOOKUP(PREVIOS!H23,CICLO!A:B,2,FALSE)</f>
        <v>56</v>
      </c>
      <c r="L23">
        <f>VLOOKUP(PREVIOS!I23,PLAN!A:B,2,FALSE)</f>
        <v>5</v>
      </c>
    </row>
    <row r="24" spans="1:12" x14ac:dyDescent="0.25">
      <c r="A24" t="str">
        <f t="shared" si="0"/>
        <v>A327M220C1</v>
      </c>
      <c r="C24">
        <v>23</v>
      </c>
      <c r="D24">
        <f>VLOOKUP(PREVIOS!C24,ALUMNOS!A:B,2,FALSE)</f>
        <v>327</v>
      </c>
      <c r="E24">
        <f>VLOOKUP(PREVIOS!E24&amp;'TABLA PREVIOS'!J24,MATERIAS!A:H,7,FALSE)</f>
        <v>220</v>
      </c>
      <c r="F24">
        <f>VLOOKUP(PREVIOS!G24,CONDICION!A:B,2,FALSE)</f>
        <v>1</v>
      </c>
      <c r="G24">
        <f>IF(PREVIOS!AG24=1,1,VLOOKUP(PREVIOS!AG24,CALIFICACION!A:C,3,FALSE))</f>
        <v>1</v>
      </c>
      <c r="H24" s="1" t="s">
        <v>534</v>
      </c>
      <c r="I24" s="1" t="s">
        <v>534</v>
      </c>
      <c r="J24">
        <f>VLOOKUP(PREVIOS!F24&amp;VLOOKUP(PREVIOS!I24,PLAN!A:B,2,FALSE),CURSO!A:D,4,FALSE)</f>
        <v>17</v>
      </c>
      <c r="K24">
        <f>VLOOKUP(PREVIOS!H24,CICLO!A:B,2,FALSE)</f>
        <v>56</v>
      </c>
      <c r="L24">
        <f>VLOOKUP(PREVIOS!I24,PLAN!A:B,2,FALSE)</f>
        <v>5</v>
      </c>
    </row>
    <row r="25" spans="1:12" x14ac:dyDescent="0.25">
      <c r="A25" t="str">
        <f t="shared" si="0"/>
        <v>A426M219C1</v>
      </c>
      <c r="C25">
        <v>24</v>
      </c>
      <c r="D25">
        <f>VLOOKUP(PREVIOS!C25,ALUMNOS!A:B,2,FALSE)</f>
        <v>426</v>
      </c>
      <c r="E25">
        <f>VLOOKUP(PREVIOS!E25&amp;'TABLA PREVIOS'!J25,MATERIAS!A:H,7,FALSE)</f>
        <v>219</v>
      </c>
      <c r="F25">
        <f>VLOOKUP(PREVIOS!G25,CONDICION!A:B,2,FALSE)</f>
        <v>1</v>
      </c>
      <c r="G25">
        <f>IF(PREVIOS!AG25=1,1,VLOOKUP(PREVIOS!AG25,CALIFICACION!A:C,3,FALSE))</f>
        <v>1</v>
      </c>
      <c r="H25" s="1" t="s">
        <v>534</v>
      </c>
      <c r="I25" s="1" t="s">
        <v>534</v>
      </c>
      <c r="J25">
        <f>VLOOKUP(PREVIOS!F25&amp;VLOOKUP(PREVIOS!I25,PLAN!A:B,2,FALSE),CURSO!A:D,4,FALSE)</f>
        <v>17</v>
      </c>
      <c r="K25">
        <f>VLOOKUP(PREVIOS!H25,CICLO!A:B,2,FALSE)</f>
        <v>55</v>
      </c>
      <c r="L25">
        <f>VLOOKUP(PREVIOS!I25,PLAN!A:B,2,FALSE)</f>
        <v>5</v>
      </c>
    </row>
    <row r="26" spans="1:12" x14ac:dyDescent="0.25">
      <c r="A26" t="str">
        <f t="shared" si="0"/>
        <v>A426M220C1</v>
      </c>
      <c r="C26">
        <v>25</v>
      </c>
      <c r="D26">
        <f>VLOOKUP(PREVIOS!C26,ALUMNOS!A:B,2,FALSE)</f>
        <v>426</v>
      </c>
      <c r="E26">
        <f>VLOOKUP(PREVIOS!E26&amp;'TABLA PREVIOS'!J26,MATERIAS!A:H,7,FALSE)</f>
        <v>220</v>
      </c>
      <c r="F26">
        <f>VLOOKUP(PREVIOS!G26,CONDICION!A:B,2,FALSE)</f>
        <v>1</v>
      </c>
      <c r="G26">
        <f>IF(PREVIOS!AG26=1,1,VLOOKUP(PREVIOS!AG26,CALIFICACION!A:C,3,FALSE))</f>
        <v>1</v>
      </c>
      <c r="H26" s="1" t="s">
        <v>534</v>
      </c>
      <c r="I26" s="1" t="s">
        <v>534</v>
      </c>
      <c r="J26">
        <f>VLOOKUP(PREVIOS!F26&amp;VLOOKUP(PREVIOS!I26,PLAN!A:B,2,FALSE),CURSO!A:D,4,FALSE)</f>
        <v>17</v>
      </c>
      <c r="K26">
        <f>VLOOKUP(PREVIOS!H26,CICLO!A:B,2,FALSE)</f>
        <v>55</v>
      </c>
      <c r="L26">
        <f>VLOOKUP(PREVIOS!I26,PLAN!A:B,2,FALSE)</f>
        <v>5</v>
      </c>
    </row>
    <row r="27" spans="1:12" x14ac:dyDescent="0.25">
      <c r="A27" t="str">
        <f t="shared" si="0"/>
        <v>A429M220C1</v>
      </c>
      <c r="C27">
        <v>26</v>
      </c>
      <c r="D27">
        <f>VLOOKUP(PREVIOS!C27,ALUMNOS!A:B,2,FALSE)</f>
        <v>429</v>
      </c>
      <c r="E27">
        <f>VLOOKUP(PREVIOS!E27&amp;'TABLA PREVIOS'!J27,MATERIAS!A:H,7,FALSE)</f>
        <v>220</v>
      </c>
      <c r="F27">
        <f>VLOOKUP(PREVIOS!G27,CONDICION!A:B,2,FALSE)</f>
        <v>1</v>
      </c>
      <c r="G27">
        <f>IF(PREVIOS!AG27=1,1,VLOOKUP(PREVIOS!AG27,CALIFICACION!A:C,3,FALSE))</f>
        <v>1</v>
      </c>
      <c r="H27" s="1" t="s">
        <v>534</v>
      </c>
      <c r="I27" s="1" t="s">
        <v>534</v>
      </c>
      <c r="J27">
        <f>VLOOKUP(PREVIOS!F27&amp;VLOOKUP(PREVIOS!I27,PLAN!A:B,2,FALSE),CURSO!A:D,4,FALSE)</f>
        <v>17</v>
      </c>
      <c r="K27">
        <f>VLOOKUP(PREVIOS!H27,CICLO!A:B,2,FALSE)</f>
        <v>56</v>
      </c>
      <c r="L27">
        <f>VLOOKUP(PREVIOS!I27,PLAN!A:B,2,FALSE)</f>
        <v>5</v>
      </c>
    </row>
    <row r="28" spans="1:12" x14ac:dyDescent="0.25">
      <c r="A28" t="str">
        <f t="shared" si="0"/>
        <v>A455M220C1</v>
      </c>
      <c r="C28">
        <v>27</v>
      </c>
      <c r="D28">
        <f>VLOOKUP(PREVIOS!C28,ALUMNOS!A:B,2,FALSE)</f>
        <v>455</v>
      </c>
      <c r="E28">
        <f>VLOOKUP(PREVIOS!E28&amp;'TABLA PREVIOS'!J28,MATERIAS!A:H,7,FALSE)</f>
        <v>220</v>
      </c>
      <c r="F28">
        <f>VLOOKUP(PREVIOS!G28,CONDICION!A:B,2,FALSE)</f>
        <v>1</v>
      </c>
      <c r="G28">
        <f>IF(PREVIOS!AG28=1,1,VLOOKUP(PREVIOS!AG28,CALIFICACION!A:C,3,FALSE))</f>
        <v>1</v>
      </c>
      <c r="H28" s="1" t="s">
        <v>534</v>
      </c>
      <c r="I28" s="1" t="s">
        <v>534</v>
      </c>
      <c r="J28">
        <f>VLOOKUP(PREVIOS!F28&amp;VLOOKUP(PREVIOS!I28,PLAN!A:B,2,FALSE),CURSO!A:D,4,FALSE)</f>
        <v>17</v>
      </c>
      <c r="K28">
        <f>VLOOKUP(PREVIOS!H28,CICLO!A:B,2,FALSE)</f>
        <v>56</v>
      </c>
      <c r="L28">
        <f>VLOOKUP(PREVIOS!I28,PLAN!A:B,2,FALSE)</f>
        <v>5</v>
      </c>
    </row>
    <row r="29" spans="1:12" x14ac:dyDescent="0.25">
      <c r="A29" t="str">
        <f t="shared" si="0"/>
        <v>A472M222C3</v>
      </c>
      <c r="C29">
        <v>28</v>
      </c>
      <c r="D29">
        <f>VLOOKUP(PREVIOS!C29,ALUMNOS!A:B,2,FALSE)</f>
        <v>472</v>
      </c>
      <c r="E29">
        <f>VLOOKUP(PREVIOS!E29&amp;'TABLA PREVIOS'!J29,MATERIAS!A:H,7,FALSE)</f>
        <v>222</v>
      </c>
      <c r="F29">
        <f>VLOOKUP(PREVIOS!G29,CONDICION!A:B,2,FALSE)</f>
        <v>3</v>
      </c>
      <c r="G29">
        <f>IF(PREVIOS!AG29=1,1,VLOOKUP(PREVIOS!AG29,CALIFICACION!A:C,3,FALSE))</f>
        <v>1</v>
      </c>
      <c r="H29" s="1" t="s">
        <v>534</v>
      </c>
      <c r="I29" s="1" t="s">
        <v>534</v>
      </c>
      <c r="J29">
        <f>VLOOKUP(PREVIOS!F29&amp;VLOOKUP(PREVIOS!I29,PLAN!A:B,2,FALSE),CURSO!A:D,4,FALSE)</f>
        <v>17</v>
      </c>
      <c r="K29">
        <f>VLOOKUP(PREVIOS!H29,CICLO!A:B,2,FALSE)</f>
        <v>56</v>
      </c>
      <c r="L29">
        <f>VLOOKUP(PREVIOS!I29,PLAN!A:B,2,FALSE)</f>
        <v>5</v>
      </c>
    </row>
    <row r="30" spans="1:12" x14ac:dyDescent="0.25">
      <c r="A30" t="str">
        <f t="shared" si="0"/>
        <v>A472M223C1</v>
      </c>
      <c r="C30">
        <v>29</v>
      </c>
      <c r="D30">
        <f>VLOOKUP(PREVIOS!C30,ALUMNOS!A:B,2,FALSE)</f>
        <v>472</v>
      </c>
      <c r="E30">
        <f>VLOOKUP(PREVIOS!E30&amp;'TABLA PREVIOS'!J30,MATERIAS!A:H,7,FALSE)</f>
        <v>223</v>
      </c>
      <c r="F30">
        <f>VLOOKUP(PREVIOS!G30,CONDICION!A:B,2,FALSE)</f>
        <v>1</v>
      </c>
      <c r="G30">
        <f>IF(PREVIOS!AG30=1,1,VLOOKUP(PREVIOS!AG30,CALIFICACION!A:C,3,FALSE))</f>
        <v>1</v>
      </c>
      <c r="H30" s="1" t="s">
        <v>534</v>
      </c>
      <c r="I30" s="1" t="s">
        <v>534</v>
      </c>
      <c r="J30">
        <f>VLOOKUP(PREVIOS!F30&amp;VLOOKUP(PREVIOS!I30,PLAN!A:B,2,FALSE),CURSO!A:D,4,FALSE)</f>
        <v>17</v>
      </c>
      <c r="K30">
        <f>VLOOKUP(PREVIOS!H30,CICLO!A:B,2,FALSE)</f>
        <v>56</v>
      </c>
      <c r="L30">
        <f>VLOOKUP(PREVIOS!I30,PLAN!A:B,2,FALSE)</f>
        <v>5</v>
      </c>
    </row>
    <row r="31" spans="1:12" x14ac:dyDescent="0.25">
      <c r="A31" t="str">
        <f t="shared" si="0"/>
        <v>A472M220C1</v>
      </c>
      <c r="C31">
        <v>30</v>
      </c>
      <c r="D31">
        <f>VLOOKUP(PREVIOS!C31,ALUMNOS!A:B,2,FALSE)</f>
        <v>472</v>
      </c>
      <c r="E31">
        <f>VLOOKUP(PREVIOS!E31&amp;'TABLA PREVIOS'!J31,MATERIAS!A:H,7,FALSE)</f>
        <v>220</v>
      </c>
      <c r="F31">
        <f>VLOOKUP(PREVIOS!G31,CONDICION!A:B,2,FALSE)</f>
        <v>1</v>
      </c>
      <c r="G31">
        <f>IF(PREVIOS!AG31=1,1,VLOOKUP(PREVIOS!AG31,CALIFICACION!A:C,3,FALSE))</f>
        <v>1</v>
      </c>
      <c r="H31" s="1" t="s">
        <v>534</v>
      </c>
      <c r="I31" s="1" t="s">
        <v>534</v>
      </c>
      <c r="J31">
        <f>VLOOKUP(PREVIOS!F31&amp;VLOOKUP(PREVIOS!I31,PLAN!A:B,2,FALSE),CURSO!A:D,4,FALSE)</f>
        <v>17</v>
      </c>
      <c r="K31">
        <f>VLOOKUP(PREVIOS!H31,CICLO!A:B,2,FALSE)</f>
        <v>56</v>
      </c>
      <c r="L31">
        <f>VLOOKUP(PREVIOS!I31,PLAN!A:B,2,FALSE)</f>
        <v>5</v>
      </c>
    </row>
    <row r="32" spans="1:12" x14ac:dyDescent="0.25">
      <c r="A32" t="str">
        <f t="shared" si="0"/>
        <v>A501M221C1</v>
      </c>
      <c r="C32">
        <v>31</v>
      </c>
      <c r="D32">
        <f>VLOOKUP(PREVIOS!C32,ALUMNOS!A:B,2,FALSE)</f>
        <v>501</v>
      </c>
      <c r="E32">
        <f>VLOOKUP(PREVIOS!E32&amp;'TABLA PREVIOS'!J32,MATERIAS!A:H,7,FALSE)</f>
        <v>221</v>
      </c>
      <c r="F32">
        <f>VLOOKUP(PREVIOS!G32,CONDICION!A:B,2,FALSE)</f>
        <v>1</v>
      </c>
      <c r="G32">
        <f>IF(PREVIOS!AG32=1,1,VLOOKUP(PREVIOS!AG32,CALIFICACION!A:C,3,FALSE))</f>
        <v>1</v>
      </c>
      <c r="H32" s="1" t="s">
        <v>534</v>
      </c>
      <c r="I32" s="1" t="s">
        <v>534</v>
      </c>
      <c r="J32">
        <f>VLOOKUP(PREVIOS!F32&amp;VLOOKUP(PREVIOS!I32,PLAN!A:B,2,FALSE),CURSO!A:D,4,FALSE)</f>
        <v>17</v>
      </c>
      <c r="K32">
        <f>VLOOKUP(PREVIOS!H32,CICLO!A:B,2,FALSE)</f>
        <v>55</v>
      </c>
      <c r="L32">
        <f>VLOOKUP(PREVIOS!I32,PLAN!A:B,2,FALSE)</f>
        <v>5</v>
      </c>
    </row>
    <row r="33" spans="1:12" x14ac:dyDescent="0.25">
      <c r="A33" t="str">
        <f t="shared" si="0"/>
        <v>A501M223C1</v>
      </c>
      <c r="C33">
        <v>32</v>
      </c>
      <c r="D33">
        <f>VLOOKUP(PREVIOS!C33,ALUMNOS!A:B,2,FALSE)</f>
        <v>501</v>
      </c>
      <c r="E33">
        <f>VLOOKUP(PREVIOS!E33&amp;'TABLA PREVIOS'!J33,MATERIAS!A:H,7,FALSE)</f>
        <v>223</v>
      </c>
      <c r="F33">
        <f>VLOOKUP(PREVIOS!G33,CONDICION!A:B,2,FALSE)</f>
        <v>1</v>
      </c>
      <c r="G33">
        <f>IF(PREVIOS!AG33=1,1,VLOOKUP(PREVIOS!AG33,CALIFICACION!A:C,3,FALSE))</f>
        <v>1</v>
      </c>
      <c r="H33" s="1" t="s">
        <v>534</v>
      </c>
      <c r="I33" s="1" t="s">
        <v>534</v>
      </c>
      <c r="J33">
        <f>VLOOKUP(PREVIOS!F33&amp;VLOOKUP(PREVIOS!I33,PLAN!A:B,2,FALSE),CURSO!A:D,4,FALSE)</f>
        <v>17</v>
      </c>
      <c r="K33">
        <f>VLOOKUP(PREVIOS!H33,CICLO!A:B,2,FALSE)</f>
        <v>55</v>
      </c>
      <c r="L33">
        <f>VLOOKUP(PREVIOS!I33,PLAN!A:B,2,FALSE)</f>
        <v>5</v>
      </c>
    </row>
    <row r="34" spans="1:12" x14ac:dyDescent="0.25">
      <c r="A34" t="str">
        <f t="shared" si="0"/>
        <v>A501M224C1</v>
      </c>
      <c r="C34">
        <v>33</v>
      </c>
      <c r="D34">
        <f>VLOOKUP(PREVIOS!C34,ALUMNOS!A:B,2,FALSE)</f>
        <v>501</v>
      </c>
      <c r="E34">
        <f>VLOOKUP(PREVIOS!E34&amp;'TABLA PREVIOS'!J34,MATERIAS!A:H,7,FALSE)</f>
        <v>224</v>
      </c>
      <c r="F34">
        <f>VLOOKUP(PREVIOS!G34,CONDICION!A:B,2,FALSE)</f>
        <v>1</v>
      </c>
      <c r="G34">
        <f>IF(PREVIOS!AG34=1,1,VLOOKUP(PREVIOS!AG34,CALIFICACION!A:C,3,FALSE))</f>
        <v>1</v>
      </c>
      <c r="H34" s="1" t="s">
        <v>534</v>
      </c>
      <c r="I34" s="1" t="s">
        <v>534</v>
      </c>
      <c r="J34">
        <f>VLOOKUP(PREVIOS!F34&amp;VLOOKUP(PREVIOS!I34,PLAN!A:B,2,FALSE),CURSO!A:D,4,FALSE)</f>
        <v>17</v>
      </c>
      <c r="K34">
        <f>VLOOKUP(PREVIOS!H34,CICLO!A:B,2,FALSE)</f>
        <v>55</v>
      </c>
      <c r="L34">
        <f>VLOOKUP(PREVIOS!I34,PLAN!A:B,2,FALSE)</f>
        <v>5</v>
      </c>
    </row>
    <row r="35" spans="1:12" x14ac:dyDescent="0.25">
      <c r="A35" t="str">
        <f t="shared" si="0"/>
        <v>A518M220C1</v>
      </c>
      <c r="C35">
        <v>34</v>
      </c>
      <c r="D35">
        <f>VLOOKUP(PREVIOS!C35,ALUMNOS!A:B,2,FALSE)</f>
        <v>518</v>
      </c>
      <c r="E35">
        <f>VLOOKUP(PREVIOS!E35&amp;'TABLA PREVIOS'!J35,MATERIAS!A:H,7,FALSE)</f>
        <v>220</v>
      </c>
      <c r="F35">
        <f>VLOOKUP(PREVIOS!G35,CONDICION!A:B,2,FALSE)</f>
        <v>1</v>
      </c>
      <c r="G35">
        <f>IF(PREVIOS!AG35=1,1,VLOOKUP(PREVIOS!AG35,CALIFICACION!A:C,3,FALSE))</f>
        <v>9</v>
      </c>
      <c r="H35" s="1" t="s">
        <v>534</v>
      </c>
      <c r="I35" s="1" t="s">
        <v>534</v>
      </c>
      <c r="J35">
        <f>VLOOKUP(PREVIOS!F35&amp;VLOOKUP(PREVIOS!I35,PLAN!A:B,2,FALSE),CURSO!A:D,4,FALSE)</f>
        <v>17</v>
      </c>
      <c r="K35">
        <f>VLOOKUP(PREVIOS!H35,CICLO!A:B,2,FALSE)</f>
        <v>56</v>
      </c>
      <c r="L35">
        <f>VLOOKUP(PREVIOS!I35,PLAN!A:B,2,FALSE)</f>
        <v>5</v>
      </c>
    </row>
    <row r="36" spans="1:12" x14ac:dyDescent="0.25">
      <c r="A36" t="str">
        <f t="shared" si="0"/>
        <v>A564M224C1</v>
      </c>
      <c r="C36">
        <v>35</v>
      </c>
      <c r="D36">
        <f>VLOOKUP(PREVIOS!C36,ALUMNOS!A:B,2,FALSE)</f>
        <v>564</v>
      </c>
      <c r="E36">
        <f>VLOOKUP(PREVIOS!E36&amp;'TABLA PREVIOS'!J36,MATERIAS!A:H,7,FALSE)</f>
        <v>224</v>
      </c>
      <c r="F36">
        <f>VLOOKUP(PREVIOS!G36,CONDICION!A:B,2,FALSE)</f>
        <v>1</v>
      </c>
      <c r="G36">
        <f>IF(PREVIOS!AG36=1,1,VLOOKUP(PREVIOS!AG36,CALIFICACION!A:C,3,FALSE))</f>
        <v>1</v>
      </c>
      <c r="H36" s="1" t="s">
        <v>534</v>
      </c>
      <c r="I36" s="1" t="s">
        <v>534</v>
      </c>
      <c r="J36">
        <f>VLOOKUP(PREVIOS!F36&amp;VLOOKUP(PREVIOS!I36,PLAN!A:B,2,FALSE),CURSO!A:D,4,FALSE)</f>
        <v>17</v>
      </c>
      <c r="K36">
        <f>VLOOKUP(PREVIOS!H36,CICLO!A:B,2,FALSE)</f>
        <v>56</v>
      </c>
      <c r="L36">
        <f>VLOOKUP(PREVIOS!I36,PLAN!A:B,2,FALSE)</f>
        <v>5</v>
      </c>
    </row>
    <row r="37" spans="1:12" x14ac:dyDescent="0.25">
      <c r="A37" t="str">
        <f t="shared" si="0"/>
        <v>A564M220C1</v>
      </c>
      <c r="C37">
        <v>36</v>
      </c>
      <c r="D37">
        <f>VLOOKUP(PREVIOS!C37,ALUMNOS!A:B,2,FALSE)</f>
        <v>564</v>
      </c>
      <c r="E37">
        <f>VLOOKUP(PREVIOS!E37&amp;'TABLA PREVIOS'!J37,MATERIAS!A:H,7,FALSE)</f>
        <v>220</v>
      </c>
      <c r="F37">
        <f>VLOOKUP(PREVIOS!G37,CONDICION!A:B,2,FALSE)</f>
        <v>1</v>
      </c>
      <c r="G37">
        <f>IF(PREVIOS!AG37=1,1,VLOOKUP(PREVIOS!AG37,CALIFICACION!A:C,3,FALSE))</f>
        <v>1</v>
      </c>
      <c r="H37" s="1" t="s">
        <v>534</v>
      </c>
      <c r="I37" s="1" t="s">
        <v>534</v>
      </c>
      <c r="J37">
        <f>VLOOKUP(PREVIOS!F37&amp;VLOOKUP(PREVIOS!I37,PLAN!A:B,2,FALSE),CURSO!A:D,4,FALSE)</f>
        <v>17</v>
      </c>
      <c r="K37">
        <f>VLOOKUP(PREVIOS!H37,CICLO!A:B,2,FALSE)</f>
        <v>56</v>
      </c>
      <c r="L37">
        <f>VLOOKUP(PREVIOS!I37,PLAN!A:B,2,FALSE)</f>
        <v>5</v>
      </c>
    </row>
    <row r="38" spans="1:12" x14ac:dyDescent="0.25">
      <c r="A38" t="str">
        <f t="shared" si="0"/>
        <v>A640M220C1</v>
      </c>
      <c r="C38">
        <v>37</v>
      </c>
      <c r="D38">
        <f>VLOOKUP(PREVIOS!C38,ALUMNOS!A:B,2,FALSE)</f>
        <v>640</v>
      </c>
      <c r="E38">
        <f>VLOOKUP(PREVIOS!E38&amp;'TABLA PREVIOS'!J38,MATERIAS!A:H,7,FALSE)</f>
        <v>220</v>
      </c>
      <c r="F38">
        <f>VLOOKUP(PREVIOS!G38,CONDICION!A:B,2,FALSE)</f>
        <v>1</v>
      </c>
      <c r="G38">
        <f>IF(PREVIOS!AG38=1,1,VLOOKUP(PREVIOS!AG38,CALIFICACION!A:C,3,FALSE))</f>
        <v>1</v>
      </c>
      <c r="H38" s="1" t="s">
        <v>534</v>
      </c>
      <c r="I38" s="1" t="s">
        <v>534</v>
      </c>
      <c r="J38">
        <f>VLOOKUP(PREVIOS!F38&amp;VLOOKUP(PREVIOS!I38,PLAN!A:B,2,FALSE),CURSO!A:D,4,FALSE)</f>
        <v>17</v>
      </c>
      <c r="K38">
        <f>VLOOKUP(PREVIOS!H38,CICLO!A:B,2,FALSE)</f>
        <v>54</v>
      </c>
      <c r="L38">
        <f>VLOOKUP(PREVIOS!I38,PLAN!A:B,2,FALSE)</f>
        <v>5</v>
      </c>
    </row>
    <row r="39" spans="1:12" x14ac:dyDescent="0.25">
      <c r="A39" t="str">
        <f t="shared" si="0"/>
        <v>A660M221C1</v>
      </c>
      <c r="C39">
        <v>38</v>
      </c>
      <c r="D39">
        <f>VLOOKUP(PREVIOS!C39,ALUMNOS!A:B,2,FALSE)</f>
        <v>660</v>
      </c>
      <c r="E39">
        <f>VLOOKUP(PREVIOS!E39&amp;'TABLA PREVIOS'!J39,MATERIAS!A:H,7,FALSE)</f>
        <v>221</v>
      </c>
      <c r="F39">
        <f>VLOOKUP(PREVIOS!G39,CONDICION!A:B,2,FALSE)</f>
        <v>1</v>
      </c>
      <c r="G39">
        <f>IF(PREVIOS!AG39=1,1,VLOOKUP(PREVIOS!AG39,CALIFICACION!A:C,3,FALSE))</f>
        <v>1</v>
      </c>
      <c r="H39" s="1" t="s">
        <v>534</v>
      </c>
      <c r="I39" s="1" t="s">
        <v>534</v>
      </c>
      <c r="J39">
        <f>VLOOKUP(PREVIOS!F39&amp;VLOOKUP(PREVIOS!I39,PLAN!A:B,2,FALSE),CURSO!A:D,4,FALSE)</f>
        <v>17</v>
      </c>
      <c r="K39">
        <f>VLOOKUP(PREVIOS!H39,CICLO!A:B,2,FALSE)</f>
        <v>54</v>
      </c>
      <c r="L39">
        <f>VLOOKUP(PREVIOS!I39,PLAN!A:B,2,FALSE)</f>
        <v>5</v>
      </c>
    </row>
    <row r="40" spans="1:12" x14ac:dyDescent="0.25">
      <c r="A40" t="str">
        <f t="shared" si="0"/>
        <v>A660M222C1</v>
      </c>
      <c r="C40">
        <v>39</v>
      </c>
      <c r="D40">
        <f>VLOOKUP(PREVIOS!C40,ALUMNOS!A:B,2,FALSE)</f>
        <v>660</v>
      </c>
      <c r="E40">
        <f>VLOOKUP(PREVIOS!E40&amp;'TABLA PREVIOS'!J40,MATERIAS!A:H,7,FALSE)</f>
        <v>222</v>
      </c>
      <c r="F40">
        <f>VLOOKUP(PREVIOS!G40,CONDICION!A:B,2,FALSE)</f>
        <v>1</v>
      </c>
      <c r="G40">
        <f>IF(PREVIOS!AG40=1,1,VLOOKUP(PREVIOS!AG40,CALIFICACION!A:C,3,FALSE))</f>
        <v>1</v>
      </c>
      <c r="H40" s="1" t="s">
        <v>534</v>
      </c>
      <c r="I40" s="1" t="s">
        <v>534</v>
      </c>
      <c r="J40">
        <f>VLOOKUP(PREVIOS!F40&amp;VLOOKUP(PREVIOS!I40,PLAN!A:B,2,FALSE),CURSO!A:D,4,FALSE)</f>
        <v>17</v>
      </c>
      <c r="K40">
        <f>VLOOKUP(PREVIOS!H40,CICLO!A:B,2,FALSE)</f>
        <v>54</v>
      </c>
      <c r="L40">
        <f>VLOOKUP(PREVIOS!I40,PLAN!A:B,2,FALSE)</f>
        <v>5</v>
      </c>
    </row>
    <row r="41" spans="1:12" x14ac:dyDescent="0.25">
      <c r="A41" t="str">
        <f t="shared" si="0"/>
        <v>A660M224C1</v>
      </c>
      <c r="C41">
        <v>40</v>
      </c>
      <c r="D41">
        <f>VLOOKUP(PREVIOS!C41,ALUMNOS!A:B,2,FALSE)</f>
        <v>660</v>
      </c>
      <c r="E41">
        <f>VLOOKUP(PREVIOS!E41&amp;'TABLA PREVIOS'!J41,MATERIAS!A:H,7,FALSE)</f>
        <v>224</v>
      </c>
      <c r="F41">
        <f>VLOOKUP(PREVIOS!G41,CONDICION!A:B,2,FALSE)</f>
        <v>1</v>
      </c>
      <c r="G41">
        <f>IF(PREVIOS!AG41=1,1,VLOOKUP(PREVIOS!AG41,CALIFICACION!A:C,3,FALSE))</f>
        <v>1</v>
      </c>
      <c r="H41" s="1" t="s">
        <v>534</v>
      </c>
      <c r="I41" s="1" t="s">
        <v>534</v>
      </c>
      <c r="J41">
        <f>VLOOKUP(PREVIOS!F41&amp;VLOOKUP(PREVIOS!I41,PLAN!A:B,2,FALSE),CURSO!A:D,4,FALSE)</f>
        <v>17</v>
      </c>
      <c r="K41">
        <f>VLOOKUP(PREVIOS!H41,CICLO!A:B,2,FALSE)</f>
        <v>54</v>
      </c>
      <c r="L41">
        <f>VLOOKUP(PREVIOS!I41,PLAN!A:B,2,FALSE)</f>
        <v>5</v>
      </c>
    </row>
    <row r="42" spans="1:12" x14ac:dyDescent="0.25">
      <c r="A42" t="str">
        <f t="shared" si="0"/>
        <v>A756M221C1</v>
      </c>
      <c r="C42">
        <v>41</v>
      </c>
      <c r="D42">
        <f>VLOOKUP(PREVIOS!C42,ALUMNOS!A:B,2,FALSE)</f>
        <v>756</v>
      </c>
      <c r="E42">
        <f>VLOOKUP(PREVIOS!E42&amp;'TABLA PREVIOS'!J42,MATERIAS!A:H,7,FALSE)</f>
        <v>221</v>
      </c>
      <c r="F42">
        <f>VLOOKUP(PREVIOS!G42,CONDICION!A:B,2,FALSE)</f>
        <v>1</v>
      </c>
      <c r="G42">
        <f>IF(PREVIOS!AG42=1,1,VLOOKUP(PREVIOS!AG42,CALIFICACION!A:C,3,FALSE))</f>
        <v>1</v>
      </c>
      <c r="H42" s="1" t="s">
        <v>534</v>
      </c>
      <c r="I42" s="1" t="s">
        <v>534</v>
      </c>
      <c r="J42">
        <f>VLOOKUP(PREVIOS!F42&amp;VLOOKUP(PREVIOS!I42,PLAN!A:B,2,FALSE),CURSO!A:D,4,FALSE)</f>
        <v>17</v>
      </c>
      <c r="K42">
        <f>VLOOKUP(PREVIOS!H42,CICLO!A:B,2,FALSE)</f>
        <v>56</v>
      </c>
      <c r="L42">
        <f>VLOOKUP(PREVIOS!I42,PLAN!A:B,2,FALSE)</f>
        <v>5</v>
      </c>
    </row>
    <row r="43" spans="1:12" x14ac:dyDescent="0.25">
      <c r="A43" t="str">
        <f t="shared" si="0"/>
        <v>A756M224C1</v>
      </c>
      <c r="C43">
        <v>42</v>
      </c>
      <c r="D43">
        <f>VLOOKUP(PREVIOS!C43,ALUMNOS!A:B,2,FALSE)</f>
        <v>756</v>
      </c>
      <c r="E43">
        <f>VLOOKUP(PREVIOS!E43&amp;'TABLA PREVIOS'!J43,MATERIAS!A:H,7,FALSE)</f>
        <v>224</v>
      </c>
      <c r="F43">
        <f>VLOOKUP(PREVIOS!G43,CONDICION!A:B,2,FALSE)</f>
        <v>1</v>
      </c>
      <c r="G43">
        <f>IF(PREVIOS!AG43=1,1,VLOOKUP(PREVIOS!AG43,CALIFICACION!A:C,3,FALSE))</f>
        <v>1</v>
      </c>
      <c r="H43" s="1" t="s">
        <v>534</v>
      </c>
      <c r="I43" s="1" t="s">
        <v>534</v>
      </c>
      <c r="J43">
        <f>VLOOKUP(PREVIOS!F43&amp;VLOOKUP(PREVIOS!I43,PLAN!A:B,2,FALSE),CURSO!A:D,4,FALSE)</f>
        <v>17</v>
      </c>
      <c r="K43">
        <f>VLOOKUP(PREVIOS!H43,CICLO!A:B,2,FALSE)</f>
        <v>56</v>
      </c>
      <c r="L43">
        <f>VLOOKUP(PREVIOS!I43,PLAN!A:B,2,FALSE)</f>
        <v>5</v>
      </c>
    </row>
    <row r="44" spans="1:12" x14ac:dyDescent="0.25">
      <c r="A44" t="str">
        <f t="shared" si="0"/>
        <v>A209M223C1</v>
      </c>
      <c r="C44">
        <v>43</v>
      </c>
      <c r="D44">
        <f>VLOOKUP(PREVIOS!C44,ALUMNOS!A:B,2,FALSE)</f>
        <v>209</v>
      </c>
      <c r="E44">
        <f>VLOOKUP(PREVIOS!E44&amp;'TABLA PREVIOS'!J44,MATERIAS!A:H,7,FALSE)</f>
        <v>223</v>
      </c>
      <c r="F44">
        <f>VLOOKUP(PREVIOS!G44,CONDICION!A:B,2,FALSE)</f>
        <v>1</v>
      </c>
      <c r="G44">
        <f>IF(PREVIOS!AG44=1,1,VLOOKUP(PREVIOS!AG44,CALIFICACION!A:C,3,FALSE))</f>
        <v>1</v>
      </c>
      <c r="H44" s="1" t="s">
        <v>534</v>
      </c>
      <c r="I44" s="1" t="s">
        <v>534</v>
      </c>
      <c r="J44">
        <f>VLOOKUP(PREVIOS!F44&amp;VLOOKUP(PREVIOS!I44,PLAN!A:B,2,FALSE),CURSO!A:D,4,FALSE)</f>
        <v>17</v>
      </c>
      <c r="K44">
        <f>VLOOKUP(PREVIOS!H44,CICLO!A:B,2,FALSE)</f>
        <v>56</v>
      </c>
      <c r="L44">
        <f>VLOOKUP(PREVIOS!I44,PLAN!A:B,2,FALSE)</f>
        <v>5</v>
      </c>
    </row>
    <row r="45" spans="1:12" x14ac:dyDescent="0.25">
      <c r="A45" t="str">
        <f t="shared" si="0"/>
        <v>A209M219C1</v>
      </c>
      <c r="C45">
        <v>44</v>
      </c>
      <c r="D45">
        <f>VLOOKUP(PREVIOS!C45,ALUMNOS!A:B,2,FALSE)</f>
        <v>209</v>
      </c>
      <c r="E45">
        <f>VLOOKUP(PREVIOS!E45&amp;'TABLA PREVIOS'!J45,MATERIAS!A:H,7,FALSE)</f>
        <v>219</v>
      </c>
      <c r="F45">
        <f>VLOOKUP(PREVIOS!G45,CONDICION!A:B,2,FALSE)</f>
        <v>1</v>
      </c>
      <c r="G45">
        <f>IF(PREVIOS!AG45=1,1,VLOOKUP(PREVIOS!AG45,CALIFICACION!A:C,3,FALSE))</f>
        <v>1</v>
      </c>
      <c r="H45" s="1" t="s">
        <v>534</v>
      </c>
      <c r="I45" s="1" t="s">
        <v>534</v>
      </c>
      <c r="J45">
        <f>VLOOKUP(PREVIOS!F45&amp;VLOOKUP(PREVIOS!I45,PLAN!A:B,2,FALSE),CURSO!A:D,4,FALSE)</f>
        <v>17</v>
      </c>
      <c r="K45">
        <f>VLOOKUP(PREVIOS!H45,CICLO!A:B,2,FALSE)</f>
        <v>56</v>
      </c>
      <c r="L45">
        <f>VLOOKUP(PREVIOS!I45,PLAN!A:B,2,FALSE)</f>
        <v>5</v>
      </c>
    </row>
    <row r="46" spans="1:12" x14ac:dyDescent="0.25">
      <c r="A46" t="str">
        <f t="shared" si="0"/>
        <v>A209M220C3</v>
      </c>
      <c r="C46">
        <v>45</v>
      </c>
      <c r="D46">
        <f>VLOOKUP(PREVIOS!C46,ALUMNOS!A:B,2,FALSE)</f>
        <v>209</v>
      </c>
      <c r="E46">
        <f>VLOOKUP(PREVIOS!E46&amp;'TABLA PREVIOS'!J46,MATERIAS!A:H,7,FALSE)</f>
        <v>220</v>
      </c>
      <c r="F46">
        <f>VLOOKUP(PREVIOS!G46,CONDICION!A:B,2,FALSE)</f>
        <v>3</v>
      </c>
      <c r="G46">
        <f>IF(PREVIOS!AG46=1,1,VLOOKUP(PREVIOS!AG46,CALIFICACION!A:C,3,FALSE))</f>
        <v>1</v>
      </c>
      <c r="H46" s="1" t="s">
        <v>534</v>
      </c>
      <c r="I46" s="1" t="s">
        <v>534</v>
      </c>
      <c r="J46">
        <f>VLOOKUP(PREVIOS!F46&amp;VLOOKUP(PREVIOS!I46,PLAN!A:B,2,FALSE),CURSO!A:D,4,FALSE)</f>
        <v>17</v>
      </c>
      <c r="K46">
        <f>VLOOKUP(PREVIOS!H46,CICLO!A:B,2,FALSE)</f>
        <v>56</v>
      </c>
      <c r="L46">
        <f>VLOOKUP(PREVIOS!I46,PLAN!A:B,2,FALSE)</f>
        <v>5</v>
      </c>
    </row>
    <row r="47" spans="1:12" x14ac:dyDescent="0.25">
      <c r="A47" t="str">
        <f t="shared" si="0"/>
        <v>A313M220C1</v>
      </c>
      <c r="C47">
        <v>46</v>
      </c>
      <c r="D47">
        <f>VLOOKUP(PREVIOS!C47,ALUMNOS!A:B,2,FALSE)</f>
        <v>313</v>
      </c>
      <c r="E47">
        <f>VLOOKUP(PREVIOS!E47&amp;'TABLA PREVIOS'!J47,MATERIAS!A:H,7,FALSE)</f>
        <v>220</v>
      </c>
      <c r="F47">
        <f>VLOOKUP(PREVIOS!G47,CONDICION!A:B,2,FALSE)</f>
        <v>1</v>
      </c>
      <c r="G47">
        <f>IF(PREVIOS!AG47=1,1,VLOOKUP(PREVIOS!AG47,CALIFICACION!A:C,3,FALSE))</f>
        <v>1</v>
      </c>
      <c r="H47" s="1" t="s">
        <v>534</v>
      </c>
      <c r="I47" s="1" t="s">
        <v>534</v>
      </c>
      <c r="J47">
        <f>VLOOKUP(PREVIOS!F47&amp;VLOOKUP(PREVIOS!I47,PLAN!A:B,2,FALSE),CURSO!A:D,4,FALSE)</f>
        <v>17</v>
      </c>
      <c r="K47">
        <f>VLOOKUP(PREVIOS!H47,CICLO!A:B,2,FALSE)</f>
        <v>56</v>
      </c>
      <c r="L47">
        <f>VLOOKUP(PREVIOS!I47,PLAN!A:B,2,FALSE)</f>
        <v>5</v>
      </c>
    </row>
    <row r="48" spans="1:12" x14ac:dyDescent="0.25">
      <c r="A48" t="str">
        <f t="shared" si="0"/>
        <v>A326M224C1</v>
      </c>
      <c r="C48">
        <v>47</v>
      </c>
      <c r="D48">
        <f>VLOOKUP(PREVIOS!C48,ALUMNOS!A:B,2,FALSE)</f>
        <v>326</v>
      </c>
      <c r="E48">
        <f>VLOOKUP(PREVIOS!E48&amp;'TABLA PREVIOS'!J48,MATERIAS!A:H,7,FALSE)</f>
        <v>224</v>
      </c>
      <c r="F48">
        <f>VLOOKUP(PREVIOS!G48,CONDICION!A:B,2,FALSE)</f>
        <v>1</v>
      </c>
      <c r="G48">
        <f>IF(PREVIOS!AG48=1,1,VLOOKUP(PREVIOS!AG48,CALIFICACION!A:C,3,FALSE))</f>
        <v>1</v>
      </c>
      <c r="H48" s="1" t="s">
        <v>534</v>
      </c>
      <c r="I48" s="1" t="s">
        <v>534</v>
      </c>
      <c r="J48">
        <f>VLOOKUP(PREVIOS!F48&amp;VLOOKUP(PREVIOS!I48,PLAN!A:B,2,FALSE),CURSO!A:D,4,FALSE)</f>
        <v>17</v>
      </c>
      <c r="K48">
        <f>VLOOKUP(PREVIOS!H48,CICLO!A:B,2,FALSE)</f>
        <v>54</v>
      </c>
      <c r="L48">
        <f>VLOOKUP(PREVIOS!I48,PLAN!A:B,2,FALSE)</f>
        <v>5</v>
      </c>
    </row>
    <row r="49" spans="1:12" x14ac:dyDescent="0.25">
      <c r="A49" t="str">
        <f t="shared" si="0"/>
        <v>A326M220C1</v>
      </c>
      <c r="C49">
        <v>48</v>
      </c>
      <c r="D49">
        <f>VLOOKUP(PREVIOS!C49,ALUMNOS!A:B,2,FALSE)</f>
        <v>326</v>
      </c>
      <c r="E49">
        <f>VLOOKUP(PREVIOS!E49&amp;'TABLA PREVIOS'!J49,MATERIAS!A:H,7,FALSE)</f>
        <v>220</v>
      </c>
      <c r="F49">
        <f>VLOOKUP(PREVIOS!G49,CONDICION!A:B,2,FALSE)</f>
        <v>1</v>
      </c>
      <c r="G49">
        <f>IF(PREVIOS!AG49=1,1,VLOOKUP(PREVIOS!AG49,CALIFICACION!A:C,3,FALSE))</f>
        <v>1</v>
      </c>
      <c r="H49" s="1" t="s">
        <v>534</v>
      </c>
      <c r="I49" s="1" t="s">
        <v>534</v>
      </c>
      <c r="J49">
        <f>VLOOKUP(PREVIOS!F49&amp;VLOOKUP(PREVIOS!I49,PLAN!A:B,2,FALSE),CURSO!A:D,4,FALSE)</f>
        <v>17</v>
      </c>
      <c r="K49">
        <f>VLOOKUP(PREVIOS!H49,CICLO!A:B,2,FALSE)</f>
        <v>54</v>
      </c>
      <c r="L49">
        <f>VLOOKUP(PREVIOS!I49,PLAN!A:B,2,FALSE)</f>
        <v>5</v>
      </c>
    </row>
    <row r="50" spans="1:12" x14ac:dyDescent="0.25">
      <c r="A50" t="str">
        <f t="shared" si="0"/>
        <v>A343M219C1</v>
      </c>
      <c r="C50">
        <v>49</v>
      </c>
      <c r="D50">
        <f>VLOOKUP(PREVIOS!C50,ALUMNOS!A:B,2,FALSE)</f>
        <v>343</v>
      </c>
      <c r="E50">
        <f>VLOOKUP(PREVIOS!E50&amp;'TABLA PREVIOS'!J50,MATERIAS!A:H,7,FALSE)</f>
        <v>219</v>
      </c>
      <c r="F50">
        <f>VLOOKUP(PREVIOS!G50,CONDICION!A:B,2,FALSE)</f>
        <v>1</v>
      </c>
      <c r="G50">
        <f>IF(PREVIOS!AG50=1,1,VLOOKUP(PREVIOS!AG50,CALIFICACION!A:C,3,FALSE))</f>
        <v>1</v>
      </c>
      <c r="H50" s="1" t="s">
        <v>534</v>
      </c>
      <c r="I50" s="1" t="s">
        <v>534</v>
      </c>
      <c r="J50">
        <f>VLOOKUP(PREVIOS!F50&amp;VLOOKUP(PREVIOS!I50,PLAN!A:B,2,FALSE),CURSO!A:D,4,FALSE)</f>
        <v>17</v>
      </c>
      <c r="K50">
        <f>VLOOKUP(PREVIOS!H50,CICLO!A:B,2,FALSE)</f>
        <v>55</v>
      </c>
      <c r="L50">
        <f>VLOOKUP(PREVIOS!I50,PLAN!A:B,2,FALSE)</f>
        <v>5</v>
      </c>
    </row>
    <row r="51" spans="1:12" x14ac:dyDescent="0.25">
      <c r="A51" t="str">
        <f t="shared" si="0"/>
        <v>A343M220C1</v>
      </c>
      <c r="C51">
        <v>50</v>
      </c>
      <c r="D51">
        <f>VLOOKUP(PREVIOS!C51,ALUMNOS!A:B,2,FALSE)</f>
        <v>343</v>
      </c>
      <c r="E51">
        <f>VLOOKUP(PREVIOS!E51&amp;'TABLA PREVIOS'!J51,MATERIAS!A:H,7,FALSE)</f>
        <v>220</v>
      </c>
      <c r="F51">
        <f>VLOOKUP(PREVIOS!G51,CONDICION!A:B,2,FALSE)</f>
        <v>1</v>
      </c>
      <c r="G51">
        <f>IF(PREVIOS!AG51=1,1,VLOOKUP(PREVIOS!AG51,CALIFICACION!A:C,3,FALSE))</f>
        <v>1</v>
      </c>
      <c r="H51" s="1" t="s">
        <v>534</v>
      </c>
      <c r="I51" s="1" t="s">
        <v>534</v>
      </c>
      <c r="J51">
        <f>VLOOKUP(PREVIOS!F51&amp;VLOOKUP(PREVIOS!I51,PLAN!A:B,2,FALSE),CURSO!A:D,4,FALSE)</f>
        <v>17</v>
      </c>
      <c r="K51">
        <f>VLOOKUP(PREVIOS!H51,CICLO!A:B,2,FALSE)</f>
        <v>55</v>
      </c>
      <c r="L51">
        <f>VLOOKUP(PREVIOS!I51,PLAN!A:B,2,FALSE)</f>
        <v>5</v>
      </c>
    </row>
    <row r="52" spans="1:12" x14ac:dyDescent="0.25">
      <c r="A52" t="str">
        <f t="shared" si="0"/>
        <v>A376M219C1</v>
      </c>
      <c r="C52">
        <v>51</v>
      </c>
      <c r="D52">
        <f>VLOOKUP(PREVIOS!C52,ALUMNOS!A:B,2,FALSE)</f>
        <v>376</v>
      </c>
      <c r="E52">
        <f>VLOOKUP(PREVIOS!E52&amp;'TABLA PREVIOS'!J52,MATERIAS!A:H,7,FALSE)</f>
        <v>219</v>
      </c>
      <c r="F52">
        <f>VLOOKUP(PREVIOS!G52,CONDICION!A:B,2,FALSE)</f>
        <v>1</v>
      </c>
      <c r="G52">
        <f>IF(PREVIOS!AG52=1,1,VLOOKUP(PREVIOS!AG52,CALIFICACION!A:C,3,FALSE))</f>
        <v>1</v>
      </c>
      <c r="H52" s="1" t="s">
        <v>534</v>
      </c>
      <c r="I52" s="1" t="s">
        <v>534</v>
      </c>
      <c r="J52">
        <f>VLOOKUP(PREVIOS!F52&amp;VLOOKUP(PREVIOS!I52,PLAN!A:B,2,FALSE),CURSO!A:D,4,FALSE)</f>
        <v>17</v>
      </c>
      <c r="K52">
        <f>VLOOKUP(PREVIOS!H52,CICLO!A:B,2,FALSE)</f>
        <v>56</v>
      </c>
      <c r="L52">
        <f>VLOOKUP(PREVIOS!I52,PLAN!A:B,2,FALSE)</f>
        <v>5</v>
      </c>
    </row>
    <row r="53" spans="1:12" x14ac:dyDescent="0.25">
      <c r="A53" t="str">
        <f t="shared" si="0"/>
        <v>A376M220C1</v>
      </c>
      <c r="C53">
        <v>52</v>
      </c>
      <c r="D53">
        <f>VLOOKUP(PREVIOS!C53,ALUMNOS!A:B,2,FALSE)</f>
        <v>376</v>
      </c>
      <c r="E53">
        <f>VLOOKUP(PREVIOS!E53&amp;'TABLA PREVIOS'!J53,MATERIAS!A:H,7,FALSE)</f>
        <v>220</v>
      </c>
      <c r="F53">
        <f>VLOOKUP(PREVIOS!G53,CONDICION!A:B,2,FALSE)</f>
        <v>1</v>
      </c>
      <c r="G53">
        <f>IF(PREVIOS!AG53=1,1,VLOOKUP(PREVIOS!AG53,CALIFICACION!A:C,3,FALSE))</f>
        <v>1</v>
      </c>
      <c r="H53" s="1" t="s">
        <v>534</v>
      </c>
      <c r="I53" s="1" t="s">
        <v>534</v>
      </c>
      <c r="J53">
        <f>VLOOKUP(PREVIOS!F53&amp;VLOOKUP(PREVIOS!I53,PLAN!A:B,2,FALSE),CURSO!A:D,4,FALSE)</f>
        <v>17</v>
      </c>
      <c r="K53">
        <f>VLOOKUP(PREVIOS!H53,CICLO!A:B,2,FALSE)</f>
        <v>56</v>
      </c>
      <c r="L53">
        <f>VLOOKUP(PREVIOS!I53,PLAN!A:B,2,FALSE)</f>
        <v>5</v>
      </c>
    </row>
    <row r="54" spans="1:12" x14ac:dyDescent="0.25">
      <c r="A54" t="str">
        <f t="shared" si="0"/>
        <v>A442M221C1</v>
      </c>
      <c r="C54">
        <v>53</v>
      </c>
      <c r="D54">
        <f>VLOOKUP(PREVIOS!C54,ALUMNOS!A:B,2,FALSE)</f>
        <v>442</v>
      </c>
      <c r="E54">
        <f>VLOOKUP(PREVIOS!E54&amp;'TABLA PREVIOS'!J54,MATERIAS!A:H,7,FALSE)</f>
        <v>221</v>
      </c>
      <c r="F54">
        <f>VLOOKUP(PREVIOS!G54,CONDICION!A:B,2,FALSE)</f>
        <v>1</v>
      </c>
      <c r="G54">
        <f>IF(PREVIOS!AG54=1,1,VLOOKUP(PREVIOS!AG54,CALIFICACION!A:C,3,FALSE))</f>
        <v>1</v>
      </c>
      <c r="H54" s="1" t="s">
        <v>534</v>
      </c>
      <c r="I54" s="1" t="s">
        <v>534</v>
      </c>
      <c r="J54">
        <f>VLOOKUP(PREVIOS!F54&amp;VLOOKUP(PREVIOS!I54,PLAN!A:B,2,FALSE),CURSO!A:D,4,FALSE)</f>
        <v>17</v>
      </c>
      <c r="K54">
        <f>VLOOKUP(PREVIOS!H54,CICLO!A:B,2,FALSE)</f>
        <v>55</v>
      </c>
      <c r="L54">
        <f>VLOOKUP(PREVIOS!I54,PLAN!A:B,2,FALSE)</f>
        <v>5</v>
      </c>
    </row>
    <row r="55" spans="1:12" x14ac:dyDescent="0.25">
      <c r="A55" t="str">
        <f t="shared" si="0"/>
        <v>A462M219C1</v>
      </c>
      <c r="C55">
        <v>54</v>
      </c>
      <c r="D55">
        <f>VLOOKUP(PREVIOS!C55,ALUMNOS!A:B,2,FALSE)</f>
        <v>462</v>
      </c>
      <c r="E55">
        <f>VLOOKUP(PREVIOS!E55&amp;'TABLA PREVIOS'!J55,MATERIAS!A:H,7,FALSE)</f>
        <v>219</v>
      </c>
      <c r="F55">
        <f>VLOOKUP(PREVIOS!G55,CONDICION!A:B,2,FALSE)</f>
        <v>1</v>
      </c>
      <c r="G55">
        <f>IF(PREVIOS!AG55=1,1,VLOOKUP(PREVIOS!AG55,CALIFICACION!A:C,3,FALSE))</f>
        <v>9</v>
      </c>
      <c r="H55" s="1" t="s">
        <v>534</v>
      </c>
      <c r="I55" s="1" t="s">
        <v>534</v>
      </c>
      <c r="J55">
        <f>VLOOKUP(PREVIOS!F55&amp;VLOOKUP(PREVIOS!I55,PLAN!A:B,2,FALSE),CURSO!A:D,4,FALSE)</f>
        <v>17</v>
      </c>
      <c r="K55">
        <f>VLOOKUP(PREVIOS!H55,CICLO!A:B,2,FALSE)</f>
        <v>56</v>
      </c>
      <c r="L55">
        <f>VLOOKUP(PREVIOS!I55,PLAN!A:B,2,FALSE)</f>
        <v>5</v>
      </c>
    </row>
    <row r="56" spans="1:12" x14ac:dyDescent="0.25">
      <c r="A56" t="str">
        <f t="shared" si="0"/>
        <v>A494M220C1</v>
      </c>
      <c r="C56">
        <v>55</v>
      </c>
      <c r="D56">
        <f>VLOOKUP(PREVIOS!C56,ALUMNOS!A:B,2,FALSE)</f>
        <v>494</v>
      </c>
      <c r="E56">
        <f>VLOOKUP(PREVIOS!E56&amp;'TABLA PREVIOS'!J56,MATERIAS!A:H,7,FALSE)</f>
        <v>220</v>
      </c>
      <c r="F56">
        <f>VLOOKUP(PREVIOS!G56,CONDICION!A:B,2,FALSE)</f>
        <v>1</v>
      </c>
      <c r="G56">
        <f>IF(PREVIOS!AG56=1,1,VLOOKUP(PREVIOS!AG56,CALIFICACION!A:C,3,FALSE))</f>
        <v>1</v>
      </c>
      <c r="H56" s="1" t="s">
        <v>534</v>
      </c>
      <c r="I56" s="1" t="s">
        <v>534</v>
      </c>
      <c r="J56">
        <f>VLOOKUP(PREVIOS!F56&amp;VLOOKUP(PREVIOS!I56,PLAN!A:B,2,FALSE),CURSO!A:D,4,FALSE)</f>
        <v>17</v>
      </c>
      <c r="K56">
        <f>VLOOKUP(PREVIOS!H56,CICLO!A:B,2,FALSE)</f>
        <v>55</v>
      </c>
      <c r="L56">
        <f>VLOOKUP(PREVIOS!I56,PLAN!A:B,2,FALSE)</f>
        <v>5</v>
      </c>
    </row>
    <row r="57" spans="1:12" x14ac:dyDescent="0.25">
      <c r="A57" t="str">
        <f t="shared" si="0"/>
        <v>A570M220C1</v>
      </c>
      <c r="C57">
        <v>56</v>
      </c>
      <c r="D57">
        <f>VLOOKUP(PREVIOS!C57,ALUMNOS!A:B,2,FALSE)</f>
        <v>570</v>
      </c>
      <c r="E57">
        <f>VLOOKUP(PREVIOS!E57&amp;'TABLA PREVIOS'!J57,MATERIAS!A:H,7,FALSE)</f>
        <v>220</v>
      </c>
      <c r="F57">
        <f>VLOOKUP(PREVIOS!G57,CONDICION!A:B,2,FALSE)</f>
        <v>1</v>
      </c>
      <c r="G57">
        <f>IF(PREVIOS!AG57=1,1,VLOOKUP(PREVIOS!AG57,CALIFICACION!A:C,3,FALSE))</f>
        <v>1</v>
      </c>
      <c r="H57" s="1" t="s">
        <v>534</v>
      </c>
      <c r="I57" s="1" t="s">
        <v>534</v>
      </c>
      <c r="J57">
        <f>VLOOKUP(PREVIOS!F57&amp;VLOOKUP(PREVIOS!I57,PLAN!A:B,2,FALSE),CURSO!A:D,4,FALSE)</f>
        <v>17</v>
      </c>
      <c r="K57">
        <f>VLOOKUP(PREVIOS!H57,CICLO!A:B,2,FALSE)</f>
        <v>56</v>
      </c>
      <c r="L57">
        <f>VLOOKUP(PREVIOS!I57,PLAN!A:B,2,FALSE)</f>
        <v>5</v>
      </c>
    </row>
    <row r="58" spans="1:12" x14ac:dyDescent="0.25">
      <c r="A58" t="str">
        <f t="shared" si="0"/>
        <v>A600M220C1</v>
      </c>
      <c r="C58">
        <v>57</v>
      </c>
      <c r="D58">
        <f>VLOOKUP(PREVIOS!C58,ALUMNOS!A:B,2,FALSE)</f>
        <v>600</v>
      </c>
      <c r="E58">
        <f>VLOOKUP(PREVIOS!E58&amp;'TABLA PREVIOS'!J58,MATERIAS!A:H,7,FALSE)</f>
        <v>220</v>
      </c>
      <c r="F58">
        <f>VLOOKUP(PREVIOS!G58,CONDICION!A:B,2,FALSE)</f>
        <v>1</v>
      </c>
      <c r="G58">
        <f>IF(PREVIOS!AG58=1,1,VLOOKUP(PREVIOS!AG58,CALIFICACION!A:C,3,FALSE))</f>
        <v>1</v>
      </c>
      <c r="H58" s="1" t="s">
        <v>534</v>
      </c>
      <c r="I58" s="1" t="s">
        <v>534</v>
      </c>
      <c r="J58">
        <f>VLOOKUP(PREVIOS!F58&amp;VLOOKUP(PREVIOS!I58,PLAN!A:B,2,FALSE),CURSO!A:D,4,FALSE)</f>
        <v>17</v>
      </c>
      <c r="K58">
        <f>VLOOKUP(PREVIOS!H58,CICLO!A:B,2,FALSE)</f>
        <v>56</v>
      </c>
      <c r="L58">
        <f>VLOOKUP(PREVIOS!I58,PLAN!A:B,2,FALSE)</f>
        <v>5</v>
      </c>
    </row>
    <row r="59" spans="1:12" x14ac:dyDescent="0.25">
      <c r="A59" t="str">
        <f t="shared" si="0"/>
        <v>A647M221C1</v>
      </c>
      <c r="C59">
        <v>58</v>
      </c>
      <c r="D59">
        <f>VLOOKUP(PREVIOS!C59,ALUMNOS!A:B,2,FALSE)</f>
        <v>647</v>
      </c>
      <c r="E59">
        <f>VLOOKUP(PREVIOS!E59&amp;'TABLA PREVIOS'!J59,MATERIAS!A:H,7,FALSE)</f>
        <v>221</v>
      </c>
      <c r="F59">
        <f>VLOOKUP(PREVIOS!G59,CONDICION!A:B,2,FALSE)</f>
        <v>1</v>
      </c>
      <c r="G59">
        <f>IF(PREVIOS!AG59=1,1,VLOOKUP(PREVIOS!AG59,CALIFICACION!A:C,3,FALSE))</f>
        <v>1</v>
      </c>
      <c r="H59" s="1" t="s">
        <v>534</v>
      </c>
      <c r="I59" s="1" t="s">
        <v>534</v>
      </c>
      <c r="J59">
        <f>VLOOKUP(PREVIOS!F59&amp;VLOOKUP(PREVIOS!I59,PLAN!A:B,2,FALSE),CURSO!A:D,4,FALSE)</f>
        <v>17</v>
      </c>
      <c r="K59">
        <f>VLOOKUP(PREVIOS!H59,CICLO!A:B,2,FALSE)</f>
        <v>56</v>
      </c>
      <c r="L59">
        <f>VLOOKUP(PREVIOS!I59,PLAN!A:B,2,FALSE)</f>
        <v>5</v>
      </c>
    </row>
    <row r="60" spans="1:12" x14ac:dyDescent="0.25">
      <c r="A60" t="str">
        <f t="shared" si="0"/>
        <v>A647M220C1</v>
      </c>
      <c r="C60">
        <v>59</v>
      </c>
      <c r="D60">
        <f>VLOOKUP(PREVIOS!C60,ALUMNOS!A:B,2,FALSE)</f>
        <v>647</v>
      </c>
      <c r="E60">
        <f>VLOOKUP(PREVIOS!E60&amp;'TABLA PREVIOS'!J60,MATERIAS!A:H,7,FALSE)</f>
        <v>220</v>
      </c>
      <c r="F60">
        <f>VLOOKUP(PREVIOS!G60,CONDICION!A:B,2,FALSE)</f>
        <v>1</v>
      </c>
      <c r="G60">
        <f>IF(PREVIOS!AG60=1,1,VLOOKUP(PREVIOS!AG60,CALIFICACION!A:C,3,FALSE))</f>
        <v>1</v>
      </c>
      <c r="H60" s="1" t="s">
        <v>534</v>
      </c>
      <c r="I60" s="1" t="s">
        <v>534</v>
      </c>
      <c r="J60">
        <f>VLOOKUP(PREVIOS!F60&amp;VLOOKUP(PREVIOS!I60,PLAN!A:B,2,FALSE),CURSO!A:D,4,FALSE)</f>
        <v>17</v>
      </c>
      <c r="K60">
        <f>VLOOKUP(PREVIOS!H60,CICLO!A:B,2,FALSE)</f>
        <v>56</v>
      </c>
      <c r="L60">
        <f>VLOOKUP(PREVIOS!I60,PLAN!A:B,2,FALSE)</f>
        <v>5</v>
      </c>
    </row>
    <row r="61" spans="1:12" x14ac:dyDescent="0.25">
      <c r="A61" t="str">
        <f t="shared" si="0"/>
        <v>A655M221C1</v>
      </c>
      <c r="C61">
        <v>60</v>
      </c>
      <c r="D61">
        <f>VLOOKUP(PREVIOS!C61,ALUMNOS!A:B,2,FALSE)</f>
        <v>655</v>
      </c>
      <c r="E61">
        <f>VLOOKUP(PREVIOS!E61&amp;'TABLA PREVIOS'!J61,MATERIAS!A:H,7,FALSE)</f>
        <v>221</v>
      </c>
      <c r="F61">
        <f>VLOOKUP(PREVIOS!G61,CONDICION!A:B,2,FALSE)</f>
        <v>1</v>
      </c>
      <c r="G61">
        <f>IF(PREVIOS!AG61=1,1,VLOOKUP(PREVIOS!AG61,CALIFICACION!A:C,3,FALSE))</f>
        <v>1</v>
      </c>
      <c r="H61" s="1" t="s">
        <v>534</v>
      </c>
      <c r="I61" s="1" t="s">
        <v>534</v>
      </c>
      <c r="J61">
        <f>VLOOKUP(PREVIOS!F61&amp;VLOOKUP(PREVIOS!I61,PLAN!A:B,2,FALSE),CURSO!A:D,4,FALSE)</f>
        <v>17</v>
      </c>
      <c r="K61">
        <f>VLOOKUP(PREVIOS!H61,CICLO!A:B,2,FALSE)</f>
        <v>55</v>
      </c>
      <c r="L61">
        <f>VLOOKUP(PREVIOS!I61,PLAN!A:B,2,FALSE)</f>
        <v>5</v>
      </c>
    </row>
    <row r="62" spans="1:12" x14ac:dyDescent="0.25">
      <c r="A62" t="str">
        <f t="shared" si="0"/>
        <v>A655M225C1</v>
      </c>
      <c r="C62">
        <v>61</v>
      </c>
      <c r="D62">
        <f>VLOOKUP(PREVIOS!C62,ALUMNOS!A:B,2,FALSE)</f>
        <v>655</v>
      </c>
      <c r="E62">
        <f>VLOOKUP(PREVIOS!E62&amp;'TABLA PREVIOS'!J62,MATERIAS!A:H,7,FALSE)</f>
        <v>225</v>
      </c>
      <c r="F62">
        <f>VLOOKUP(PREVIOS!G62,CONDICION!A:B,2,FALSE)</f>
        <v>1</v>
      </c>
      <c r="G62">
        <f>IF(PREVIOS!AG62=1,1,VLOOKUP(PREVIOS!AG62,CALIFICACION!A:C,3,FALSE))</f>
        <v>1</v>
      </c>
      <c r="H62" s="1" t="s">
        <v>534</v>
      </c>
      <c r="I62" s="1" t="s">
        <v>534</v>
      </c>
      <c r="J62">
        <f>VLOOKUP(PREVIOS!F62&amp;VLOOKUP(PREVIOS!I62,PLAN!A:B,2,FALSE),CURSO!A:D,4,FALSE)</f>
        <v>17</v>
      </c>
      <c r="K62">
        <f>VLOOKUP(PREVIOS!H62,CICLO!A:B,2,FALSE)</f>
        <v>55</v>
      </c>
      <c r="L62">
        <f>VLOOKUP(PREVIOS!I62,PLAN!A:B,2,FALSE)</f>
        <v>5</v>
      </c>
    </row>
    <row r="63" spans="1:12" x14ac:dyDescent="0.25">
      <c r="A63" t="str">
        <f t="shared" si="0"/>
        <v>A681M221C1</v>
      </c>
      <c r="C63">
        <v>62</v>
      </c>
      <c r="D63">
        <f>VLOOKUP(PREVIOS!C63,ALUMNOS!A:B,2,FALSE)</f>
        <v>681</v>
      </c>
      <c r="E63">
        <f>VLOOKUP(PREVIOS!E63&amp;'TABLA PREVIOS'!J63,MATERIAS!A:H,7,FALSE)</f>
        <v>221</v>
      </c>
      <c r="F63">
        <f>VLOOKUP(PREVIOS!G63,CONDICION!A:B,2,FALSE)</f>
        <v>1</v>
      </c>
      <c r="G63">
        <f>IF(PREVIOS!AG63=1,1,VLOOKUP(PREVIOS!AG63,CALIFICACION!A:C,3,FALSE))</f>
        <v>1</v>
      </c>
      <c r="H63" s="1" t="s">
        <v>534</v>
      </c>
      <c r="I63" s="1" t="s">
        <v>534</v>
      </c>
      <c r="J63">
        <f>VLOOKUP(PREVIOS!F63&amp;VLOOKUP(PREVIOS!I63,PLAN!A:B,2,FALSE),CURSO!A:D,4,FALSE)</f>
        <v>17</v>
      </c>
      <c r="K63">
        <f>VLOOKUP(PREVIOS!H63,CICLO!A:B,2,FALSE)</f>
        <v>56</v>
      </c>
      <c r="L63">
        <f>VLOOKUP(PREVIOS!I63,PLAN!A:B,2,FALSE)</f>
        <v>5</v>
      </c>
    </row>
    <row r="64" spans="1:12" x14ac:dyDescent="0.25">
      <c r="A64" t="str">
        <f t="shared" si="0"/>
        <v>A681M219C1</v>
      </c>
      <c r="C64">
        <v>63</v>
      </c>
      <c r="D64">
        <f>VLOOKUP(PREVIOS!C64,ALUMNOS!A:B,2,FALSE)</f>
        <v>681</v>
      </c>
      <c r="E64">
        <f>VLOOKUP(PREVIOS!E64&amp;'TABLA PREVIOS'!J64,MATERIAS!A:H,7,FALSE)</f>
        <v>219</v>
      </c>
      <c r="F64">
        <f>VLOOKUP(PREVIOS!G64,CONDICION!A:B,2,FALSE)</f>
        <v>1</v>
      </c>
      <c r="G64">
        <f>IF(PREVIOS!AG64=1,1,VLOOKUP(PREVIOS!AG64,CALIFICACION!A:C,3,FALSE))</f>
        <v>1</v>
      </c>
      <c r="H64" s="1" t="s">
        <v>534</v>
      </c>
      <c r="I64" s="1" t="s">
        <v>534</v>
      </c>
      <c r="J64">
        <f>VLOOKUP(PREVIOS!F64&amp;VLOOKUP(PREVIOS!I64,PLAN!A:B,2,FALSE),CURSO!A:D,4,FALSE)</f>
        <v>17</v>
      </c>
      <c r="K64">
        <f>VLOOKUP(PREVIOS!H64,CICLO!A:B,2,FALSE)</f>
        <v>56</v>
      </c>
      <c r="L64">
        <f>VLOOKUP(PREVIOS!I64,PLAN!A:B,2,FALSE)</f>
        <v>5</v>
      </c>
    </row>
    <row r="65" spans="1:12" x14ac:dyDescent="0.25">
      <c r="A65" t="str">
        <f t="shared" si="0"/>
        <v>A681M220C3</v>
      </c>
      <c r="C65">
        <v>64</v>
      </c>
      <c r="D65">
        <f>VLOOKUP(PREVIOS!C65,ALUMNOS!A:B,2,FALSE)</f>
        <v>681</v>
      </c>
      <c r="E65">
        <f>VLOOKUP(PREVIOS!E65&amp;'TABLA PREVIOS'!J65,MATERIAS!A:H,7,FALSE)</f>
        <v>220</v>
      </c>
      <c r="F65">
        <f>VLOOKUP(PREVIOS!G65,CONDICION!A:B,2,FALSE)</f>
        <v>3</v>
      </c>
      <c r="G65">
        <f>IF(PREVIOS!AG65=1,1,VLOOKUP(PREVIOS!AG65,CALIFICACION!A:C,3,FALSE))</f>
        <v>1</v>
      </c>
      <c r="H65" s="1" t="s">
        <v>534</v>
      </c>
      <c r="I65" s="1" t="s">
        <v>534</v>
      </c>
      <c r="J65">
        <f>VLOOKUP(PREVIOS!F65&amp;VLOOKUP(PREVIOS!I65,PLAN!A:B,2,FALSE),CURSO!A:D,4,FALSE)</f>
        <v>17</v>
      </c>
      <c r="K65">
        <f>VLOOKUP(PREVIOS!H65,CICLO!A:B,2,FALSE)</f>
        <v>56</v>
      </c>
      <c r="L65">
        <f>VLOOKUP(PREVIOS!I65,PLAN!A:B,2,FALSE)</f>
        <v>5</v>
      </c>
    </row>
    <row r="66" spans="1:12" x14ac:dyDescent="0.25">
      <c r="A66" t="str">
        <f t="shared" si="0"/>
        <v>A747M221C3</v>
      </c>
      <c r="C66">
        <v>65</v>
      </c>
      <c r="D66">
        <f>VLOOKUP(PREVIOS!C66,ALUMNOS!A:B,2,FALSE)</f>
        <v>747</v>
      </c>
      <c r="E66">
        <f>VLOOKUP(PREVIOS!E66&amp;'TABLA PREVIOS'!J66,MATERIAS!A:H,7,FALSE)</f>
        <v>221</v>
      </c>
      <c r="F66">
        <f>VLOOKUP(PREVIOS!G66,CONDICION!A:B,2,FALSE)</f>
        <v>3</v>
      </c>
      <c r="G66">
        <f>IF(PREVIOS!AG66=1,1,VLOOKUP(PREVIOS!AG66,CALIFICACION!A:C,3,FALSE))</f>
        <v>1</v>
      </c>
      <c r="H66" s="1" t="s">
        <v>534</v>
      </c>
      <c r="I66" s="1" t="s">
        <v>534</v>
      </c>
      <c r="J66">
        <f>VLOOKUP(PREVIOS!F66&amp;VLOOKUP(PREVIOS!I66,PLAN!A:B,2,FALSE),CURSO!A:D,4,FALSE)</f>
        <v>17</v>
      </c>
      <c r="K66">
        <f>VLOOKUP(PREVIOS!H66,CICLO!A:B,2,FALSE)</f>
        <v>56</v>
      </c>
      <c r="L66">
        <f>VLOOKUP(PREVIOS!I66,PLAN!A:B,2,FALSE)</f>
        <v>5</v>
      </c>
    </row>
    <row r="67" spans="1:12" x14ac:dyDescent="0.25">
      <c r="A67" t="str">
        <f t="shared" ref="A67:A130" si="1">"A"&amp;D67&amp;"M"&amp;E67&amp;"C"&amp;F67</f>
        <v>A747M219C1</v>
      </c>
      <c r="C67">
        <v>66</v>
      </c>
      <c r="D67">
        <f>VLOOKUP(PREVIOS!C67,ALUMNOS!A:B,2,FALSE)</f>
        <v>747</v>
      </c>
      <c r="E67">
        <f>VLOOKUP(PREVIOS!E67&amp;'TABLA PREVIOS'!J67,MATERIAS!A:H,7,FALSE)</f>
        <v>219</v>
      </c>
      <c r="F67">
        <f>VLOOKUP(PREVIOS!G67,CONDICION!A:B,2,FALSE)</f>
        <v>1</v>
      </c>
      <c r="G67">
        <f>IF(PREVIOS!AG67=1,1,VLOOKUP(PREVIOS!AG67,CALIFICACION!A:C,3,FALSE))</f>
        <v>1</v>
      </c>
      <c r="H67" s="1" t="s">
        <v>534</v>
      </c>
      <c r="I67" s="1" t="s">
        <v>534</v>
      </c>
      <c r="J67">
        <f>VLOOKUP(PREVIOS!F67&amp;VLOOKUP(PREVIOS!I67,PLAN!A:B,2,FALSE),CURSO!A:D,4,FALSE)</f>
        <v>17</v>
      </c>
      <c r="K67">
        <f>VLOOKUP(PREVIOS!H67,CICLO!A:B,2,FALSE)</f>
        <v>56</v>
      </c>
      <c r="L67">
        <f>VLOOKUP(PREVIOS!I67,PLAN!A:B,2,FALSE)</f>
        <v>5</v>
      </c>
    </row>
    <row r="68" spans="1:12" x14ac:dyDescent="0.25">
      <c r="A68" t="str">
        <f t="shared" si="1"/>
        <v>A747M220C1</v>
      </c>
      <c r="C68">
        <v>67</v>
      </c>
      <c r="D68">
        <f>VLOOKUP(PREVIOS!C68,ALUMNOS!A:B,2,FALSE)</f>
        <v>747</v>
      </c>
      <c r="E68">
        <f>VLOOKUP(PREVIOS!E68&amp;'TABLA PREVIOS'!J68,MATERIAS!A:H,7,FALSE)</f>
        <v>220</v>
      </c>
      <c r="F68">
        <f>VLOOKUP(PREVIOS!G68,CONDICION!A:B,2,FALSE)</f>
        <v>1</v>
      </c>
      <c r="G68">
        <f>IF(PREVIOS!AG68=1,1,VLOOKUP(PREVIOS!AG68,CALIFICACION!A:C,3,FALSE))</f>
        <v>1</v>
      </c>
      <c r="H68" s="1" t="s">
        <v>534</v>
      </c>
      <c r="I68" s="1" t="s">
        <v>534</v>
      </c>
      <c r="J68">
        <f>VLOOKUP(PREVIOS!F68&amp;VLOOKUP(PREVIOS!I68,PLAN!A:B,2,FALSE),CURSO!A:D,4,FALSE)</f>
        <v>17</v>
      </c>
      <c r="K68">
        <f>VLOOKUP(PREVIOS!H68,CICLO!A:B,2,FALSE)</f>
        <v>56</v>
      </c>
      <c r="L68">
        <f>VLOOKUP(PREVIOS!I68,PLAN!A:B,2,FALSE)</f>
        <v>5</v>
      </c>
    </row>
    <row r="69" spans="1:12" x14ac:dyDescent="0.25">
      <c r="A69" t="str">
        <f t="shared" si="1"/>
        <v>A54M236C1</v>
      </c>
      <c r="C69">
        <v>68</v>
      </c>
      <c r="D69">
        <f>VLOOKUP(PREVIOS!C69,ALUMNOS!A:B,2,FALSE)</f>
        <v>54</v>
      </c>
      <c r="E69">
        <f>VLOOKUP(PREVIOS!E69&amp;'TABLA PREVIOS'!J69,MATERIAS!A:H,7,FALSE)</f>
        <v>236</v>
      </c>
      <c r="F69">
        <f>VLOOKUP(PREVIOS!G69,CONDICION!A:B,2,FALSE)</f>
        <v>1</v>
      </c>
      <c r="G69">
        <f>IF(PREVIOS!AG69=1,1,VLOOKUP(PREVIOS!AG69,CALIFICACION!A:C,3,FALSE))</f>
        <v>1</v>
      </c>
      <c r="H69" s="1" t="s">
        <v>534</v>
      </c>
      <c r="I69" s="1" t="s">
        <v>534</v>
      </c>
      <c r="J69">
        <f>VLOOKUP(PREVIOS!F69&amp;VLOOKUP(PREVIOS!I69,PLAN!A:B,2,FALSE),CURSO!A:D,4,FALSE)</f>
        <v>18</v>
      </c>
      <c r="K69">
        <f>VLOOKUP(PREVIOS!H69,CICLO!A:B,2,FALSE)</f>
        <v>56</v>
      </c>
      <c r="L69">
        <f>VLOOKUP(PREVIOS!I69,PLAN!A:B,2,FALSE)</f>
        <v>5</v>
      </c>
    </row>
    <row r="70" spans="1:12" x14ac:dyDescent="0.25">
      <c r="A70" t="str">
        <f t="shared" si="1"/>
        <v>A54M234C3</v>
      </c>
      <c r="C70">
        <v>69</v>
      </c>
      <c r="D70">
        <f>VLOOKUP(PREVIOS!C70,ALUMNOS!A:B,2,FALSE)</f>
        <v>54</v>
      </c>
      <c r="E70">
        <f>VLOOKUP(PREVIOS!E70&amp;'TABLA PREVIOS'!J70,MATERIAS!A:H,7,FALSE)</f>
        <v>234</v>
      </c>
      <c r="F70">
        <f>VLOOKUP(PREVIOS!G70,CONDICION!A:B,2,FALSE)</f>
        <v>3</v>
      </c>
      <c r="G70">
        <f>IF(PREVIOS!AG70=1,1,VLOOKUP(PREVIOS!AG70,CALIFICACION!A:C,3,FALSE))</f>
        <v>1</v>
      </c>
      <c r="H70" s="1" t="s">
        <v>534</v>
      </c>
      <c r="I70" s="1" t="s">
        <v>534</v>
      </c>
      <c r="J70">
        <f>VLOOKUP(PREVIOS!F70&amp;VLOOKUP(PREVIOS!I70,PLAN!A:B,2,FALSE),CURSO!A:D,4,FALSE)</f>
        <v>18</v>
      </c>
      <c r="K70">
        <f>VLOOKUP(PREVIOS!H70,CICLO!A:B,2,FALSE)</f>
        <v>56</v>
      </c>
      <c r="L70">
        <f>VLOOKUP(PREVIOS!I70,PLAN!A:B,2,FALSE)</f>
        <v>5</v>
      </c>
    </row>
    <row r="71" spans="1:12" x14ac:dyDescent="0.25">
      <c r="A71" t="str">
        <f t="shared" si="1"/>
        <v>A54M229C1</v>
      </c>
      <c r="C71">
        <v>70</v>
      </c>
      <c r="D71">
        <f>VLOOKUP(PREVIOS!C71,ALUMNOS!A:B,2,FALSE)</f>
        <v>54</v>
      </c>
      <c r="E71">
        <f>VLOOKUP(PREVIOS!E71&amp;'TABLA PREVIOS'!J71,MATERIAS!A:H,7,FALSE)</f>
        <v>229</v>
      </c>
      <c r="F71">
        <f>VLOOKUP(PREVIOS!G71,CONDICION!A:B,2,FALSE)</f>
        <v>1</v>
      </c>
      <c r="G71">
        <f>IF(PREVIOS!AG71=1,1,VLOOKUP(PREVIOS!AG71,CALIFICACION!A:C,3,FALSE))</f>
        <v>1</v>
      </c>
      <c r="H71" s="1" t="s">
        <v>534</v>
      </c>
      <c r="I71" s="1" t="s">
        <v>534</v>
      </c>
      <c r="J71">
        <f>VLOOKUP(PREVIOS!F71&amp;VLOOKUP(PREVIOS!I71,PLAN!A:B,2,FALSE),CURSO!A:D,4,FALSE)</f>
        <v>18</v>
      </c>
      <c r="K71">
        <f>VLOOKUP(PREVIOS!H71,CICLO!A:B,2,FALSE)</f>
        <v>56</v>
      </c>
      <c r="L71">
        <f>VLOOKUP(PREVIOS!I71,PLAN!A:B,2,FALSE)</f>
        <v>5</v>
      </c>
    </row>
    <row r="72" spans="1:12" x14ac:dyDescent="0.25">
      <c r="A72" t="str">
        <f t="shared" si="1"/>
        <v>A60M229C1</v>
      </c>
      <c r="C72">
        <v>71</v>
      </c>
      <c r="D72">
        <f>VLOOKUP(PREVIOS!C72,ALUMNOS!A:B,2,FALSE)</f>
        <v>60</v>
      </c>
      <c r="E72">
        <f>VLOOKUP(PREVIOS!E72&amp;'TABLA PREVIOS'!J72,MATERIAS!A:H,7,FALSE)</f>
        <v>229</v>
      </c>
      <c r="F72">
        <f>VLOOKUP(PREVIOS!G72,CONDICION!A:B,2,FALSE)</f>
        <v>1</v>
      </c>
      <c r="G72">
        <f>IF(PREVIOS!AG72=1,1,VLOOKUP(PREVIOS!AG72,CALIFICACION!A:C,3,FALSE))</f>
        <v>1</v>
      </c>
      <c r="H72" s="1" t="s">
        <v>534</v>
      </c>
      <c r="I72" s="1" t="s">
        <v>534</v>
      </c>
      <c r="J72">
        <f>VLOOKUP(PREVIOS!F72&amp;VLOOKUP(PREVIOS!I72,PLAN!A:B,2,FALSE),CURSO!A:D,4,FALSE)</f>
        <v>18</v>
      </c>
      <c r="K72">
        <f>VLOOKUP(PREVIOS!H72,CICLO!A:B,2,FALSE)</f>
        <v>56</v>
      </c>
      <c r="L72">
        <f>VLOOKUP(PREVIOS!I72,PLAN!A:B,2,FALSE)</f>
        <v>5</v>
      </c>
    </row>
    <row r="73" spans="1:12" x14ac:dyDescent="0.25">
      <c r="A73" t="str">
        <f t="shared" si="1"/>
        <v>A64M233C1</v>
      </c>
      <c r="C73">
        <v>72</v>
      </c>
      <c r="D73">
        <f>VLOOKUP(PREVIOS!C73,ALUMNOS!A:B,2,FALSE)</f>
        <v>64</v>
      </c>
      <c r="E73">
        <f>VLOOKUP(PREVIOS!E73&amp;'TABLA PREVIOS'!J73,MATERIAS!A:H,7,FALSE)</f>
        <v>233</v>
      </c>
      <c r="F73">
        <f>VLOOKUP(PREVIOS!G73,CONDICION!A:B,2,FALSE)</f>
        <v>1</v>
      </c>
      <c r="G73">
        <f>IF(PREVIOS!AG73=1,1,VLOOKUP(PREVIOS!AG73,CALIFICACION!A:C,3,FALSE))</f>
        <v>1</v>
      </c>
      <c r="H73" s="1" t="s">
        <v>534</v>
      </c>
      <c r="I73" s="1" t="s">
        <v>534</v>
      </c>
      <c r="J73">
        <f>VLOOKUP(PREVIOS!F73&amp;VLOOKUP(PREVIOS!I73,PLAN!A:B,2,FALSE),CURSO!A:D,4,FALSE)</f>
        <v>18</v>
      </c>
      <c r="K73">
        <f>VLOOKUP(PREVIOS!H73,CICLO!A:B,2,FALSE)</f>
        <v>55</v>
      </c>
      <c r="L73">
        <f>VLOOKUP(PREVIOS!I73,PLAN!A:B,2,FALSE)</f>
        <v>5</v>
      </c>
    </row>
    <row r="74" spans="1:12" x14ac:dyDescent="0.25">
      <c r="A74" t="str">
        <f t="shared" si="1"/>
        <v>A64M234C1</v>
      </c>
      <c r="C74">
        <v>73</v>
      </c>
      <c r="D74">
        <f>VLOOKUP(PREVIOS!C74,ALUMNOS!A:B,2,FALSE)</f>
        <v>64</v>
      </c>
      <c r="E74">
        <f>VLOOKUP(PREVIOS!E74&amp;'TABLA PREVIOS'!J74,MATERIAS!A:H,7,FALSE)</f>
        <v>234</v>
      </c>
      <c r="F74">
        <f>VLOOKUP(PREVIOS!G74,CONDICION!A:B,2,FALSE)</f>
        <v>1</v>
      </c>
      <c r="G74">
        <f>IF(PREVIOS!AG74=1,1,VLOOKUP(PREVIOS!AG74,CALIFICACION!A:C,3,FALSE))</f>
        <v>1</v>
      </c>
      <c r="H74" s="1" t="s">
        <v>534</v>
      </c>
      <c r="I74" s="1" t="s">
        <v>534</v>
      </c>
      <c r="J74">
        <f>VLOOKUP(PREVIOS!F74&amp;VLOOKUP(PREVIOS!I74,PLAN!A:B,2,FALSE),CURSO!A:D,4,FALSE)</f>
        <v>18</v>
      </c>
      <c r="K74">
        <f>VLOOKUP(PREVIOS!H74,CICLO!A:B,2,FALSE)</f>
        <v>55</v>
      </c>
      <c r="L74">
        <f>VLOOKUP(PREVIOS!I74,PLAN!A:B,2,FALSE)</f>
        <v>5</v>
      </c>
    </row>
    <row r="75" spans="1:12" x14ac:dyDescent="0.25">
      <c r="A75" t="str">
        <f t="shared" si="1"/>
        <v>A64M230C3</v>
      </c>
      <c r="C75">
        <v>74</v>
      </c>
      <c r="D75">
        <f>VLOOKUP(PREVIOS!C75,ALUMNOS!A:B,2,FALSE)</f>
        <v>64</v>
      </c>
      <c r="E75">
        <f>VLOOKUP(PREVIOS!E75&amp;'TABLA PREVIOS'!J75,MATERIAS!A:H,7,FALSE)</f>
        <v>230</v>
      </c>
      <c r="F75">
        <f>VLOOKUP(PREVIOS!G75,CONDICION!A:B,2,FALSE)</f>
        <v>3</v>
      </c>
      <c r="G75">
        <f>IF(PREVIOS!AG75=1,1,VLOOKUP(PREVIOS!AG75,CALIFICACION!A:C,3,FALSE))</f>
        <v>1</v>
      </c>
      <c r="H75" s="1" t="s">
        <v>534</v>
      </c>
      <c r="I75" s="1" t="s">
        <v>534</v>
      </c>
      <c r="J75">
        <f>VLOOKUP(PREVIOS!F75&amp;VLOOKUP(PREVIOS!I75,PLAN!A:B,2,FALSE),CURSO!A:D,4,FALSE)</f>
        <v>18</v>
      </c>
      <c r="K75">
        <f>VLOOKUP(PREVIOS!H75,CICLO!A:B,2,FALSE)</f>
        <v>55</v>
      </c>
      <c r="L75">
        <f>VLOOKUP(PREVIOS!I75,PLAN!A:B,2,FALSE)</f>
        <v>5</v>
      </c>
    </row>
    <row r="76" spans="1:12" x14ac:dyDescent="0.25">
      <c r="A76" t="str">
        <f t="shared" si="1"/>
        <v>A281M222C1</v>
      </c>
      <c r="C76">
        <v>75</v>
      </c>
      <c r="D76">
        <f>VLOOKUP(PREVIOS!C76,ALUMNOS!A:B,2,FALSE)</f>
        <v>281</v>
      </c>
      <c r="E76">
        <f>VLOOKUP(PREVIOS!E76&amp;'TABLA PREVIOS'!J76,MATERIAS!A:H,7,FALSE)</f>
        <v>222</v>
      </c>
      <c r="F76">
        <f>VLOOKUP(PREVIOS!G76,CONDICION!A:B,2,FALSE)</f>
        <v>1</v>
      </c>
      <c r="G76">
        <f>IF(PREVIOS!AG76=1,1,VLOOKUP(PREVIOS!AG76,CALIFICACION!A:C,3,FALSE))</f>
        <v>1</v>
      </c>
      <c r="H76" s="1" t="s">
        <v>534</v>
      </c>
      <c r="I76" s="1" t="s">
        <v>534</v>
      </c>
      <c r="J76">
        <f>VLOOKUP(PREVIOS!F76&amp;VLOOKUP(PREVIOS!I76,PLAN!A:B,2,FALSE),CURSO!A:D,4,FALSE)</f>
        <v>17</v>
      </c>
      <c r="K76">
        <f>VLOOKUP(PREVIOS!H76,CICLO!A:B,2,FALSE)</f>
        <v>55</v>
      </c>
      <c r="L76">
        <f>VLOOKUP(PREVIOS!I76,PLAN!A:B,2,FALSE)</f>
        <v>5</v>
      </c>
    </row>
    <row r="77" spans="1:12" x14ac:dyDescent="0.25">
      <c r="A77" t="str">
        <f t="shared" si="1"/>
        <v>A281M227C1</v>
      </c>
      <c r="C77">
        <v>76</v>
      </c>
      <c r="D77">
        <f>VLOOKUP(PREVIOS!C77,ALUMNOS!A:B,2,FALSE)</f>
        <v>281</v>
      </c>
      <c r="E77">
        <f>VLOOKUP(PREVIOS!E77&amp;'TABLA PREVIOS'!J77,MATERIAS!A:H,7,FALSE)</f>
        <v>227</v>
      </c>
      <c r="F77">
        <f>VLOOKUP(PREVIOS!G77,CONDICION!A:B,2,FALSE)</f>
        <v>1</v>
      </c>
      <c r="G77">
        <f>IF(PREVIOS!AG77=1,1,VLOOKUP(PREVIOS!AG77,CALIFICACION!A:C,3,FALSE))</f>
        <v>1</v>
      </c>
      <c r="H77" s="1" t="s">
        <v>534</v>
      </c>
      <c r="I77" s="1" t="s">
        <v>534</v>
      </c>
      <c r="J77">
        <f>VLOOKUP(PREVIOS!F77&amp;VLOOKUP(PREVIOS!I77,PLAN!A:B,2,FALSE),CURSO!A:D,4,FALSE)</f>
        <v>17</v>
      </c>
      <c r="K77">
        <f>VLOOKUP(PREVIOS!H77,CICLO!A:B,2,FALSE)</f>
        <v>55</v>
      </c>
      <c r="L77">
        <f>VLOOKUP(PREVIOS!I77,PLAN!A:B,2,FALSE)</f>
        <v>5</v>
      </c>
    </row>
    <row r="78" spans="1:12" x14ac:dyDescent="0.25">
      <c r="A78" t="str">
        <f t="shared" si="1"/>
        <v>A441M220C1</v>
      </c>
      <c r="C78">
        <v>77</v>
      </c>
      <c r="D78">
        <f>VLOOKUP(PREVIOS!C78,ALUMNOS!A:B,2,FALSE)</f>
        <v>441</v>
      </c>
      <c r="E78">
        <f>VLOOKUP(PREVIOS!E78&amp;'TABLA PREVIOS'!J78,MATERIAS!A:H,7,FALSE)</f>
        <v>220</v>
      </c>
      <c r="F78">
        <f>VLOOKUP(PREVIOS!G78,CONDICION!A:B,2,FALSE)</f>
        <v>1</v>
      </c>
      <c r="G78">
        <f>IF(PREVIOS!AG78=1,1,VLOOKUP(PREVIOS!AG78,CALIFICACION!A:C,3,FALSE))</f>
        <v>1</v>
      </c>
      <c r="H78" s="1" t="s">
        <v>534</v>
      </c>
      <c r="I78" s="1" t="s">
        <v>534</v>
      </c>
      <c r="J78">
        <f>VLOOKUP(PREVIOS!F78&amp;VLOOKUP(PREVIOS!I78,PLAN!A:B,2,FALSE),CURSO!A:D,4,FALSE)</f>
        <v>17</v>
      </c>
      <c r="K78">
        <f>VLOOKUP(PREVIOS!H78,CICLO!A:B,2,FALSE)</f>
        <v>54</v>
      </c>
      <c r="L78">
        <f>VLOOKUP(PREVIOS!I78,PLAN!A:B,2,FALSE)</f>
        <v>5</v>
      </c>
    </row>
    <row r="79" spans="1:12" x14ac:dyDescent="0.25">
      <c r="A79" t="str">
        <f t="shared" si="1"/>
        <v>A441M229C1</v>
      </c>
      <c r="C79">
        <v>78</v>
      </c>
      <c r="D79">
        <f>VLOOKUP(PREVIOS!C79,ALUMNOS!A:B,2,FALSE)</f>
        <v>441</v>
      </c>
      <c r="E79">
        <f>VLOOKUP(PREVIOS!E79&amp;'TABLA PREVIOS'!J79,MATERIAS!A:H,7,FALSE)</f>
        <v>229</v>
      </c>
      <c r="F79">
        <f>VLOOKUP(PREVIOS!G79,CONDICION!A:B,2,FALSE)</f>
        <v>1</v>
      </c>
      <c r="G79">
        <f>IF(PREVIOS!AG79=1,1,VLOOKUP(PREVIOS!AG79,CALIFICACION!A:C,3,FALSE))</f>
        <v>1</v>
      </c>
      <c r="H79" s="1" t="s">
        <v>534</v>
      </c>
      <c r="I79" s="1" t="s">
        <v>534</v>
      </c>
      <c r="J79">
        <f>VLOOKUP(PREVIOS!F79&amp;VLOOKUP(PREVIOS!I79,PLAN!A:B,2,FALSE),CURSO!A:D,4,FALSE)</f>
        <v>18</v>
      </c>
      <c r="K79">
        <f>VLOOKUP(PREVIOS!H79,CICLO!A:B,2,FALSE)</f>
        <v>55</v>
      </c>
      <c r="L79">
        <f>VLOOKUP(PREVIOS!I79,PLAN!A:B,2,FALSE)</f>
        <v>5</v>
      </c>
    </row>
    <row r="80" spans="1:12" x14ac:dyDescent="0.25">
      <c r="A80" t="str">
        <f t="shared" si="1"/>
        <v>A441M230C3</v>
      </c>
      <c r="C80">
        <v>79</v>
      </c>
      <c r="D80">
        <f>VLOOKUP(PREVIOS!C80,ALUMNOS!A:B,2,FALSE)</f>
        <v>441</v>
      </c>
      <c r="E80">
        <f>VLOOKUP(PREVIOS!E80&amp;'TABLA PREVIOS'!J80,MATERIAS!A:H,7,FALSE)</f>
        <v>230</v>
      </c>
      <c r="F80">
        <f>VLOOKUP(PREVIOS!G80,CONDICION!A:B,2,FALSE)</f>
        <v>3</v>
      </c>
      <c r="G80">
        <f>IF(PREVIOS!AG80=1,1,VLOOKUP(PREVIOS!AG80,CALIFICACION!A:C,3,FALSE))</f>
        <v>1</v>
      </c>
      <c r="H80" s="1" t="s">
        <v>534</v>
      </c>
      <c r="I80" s="1" t="s">
        <v>534</v>
      </c>
      <c r="J80">
        <f>VLOOKUP(PREVIOS!F80&amp;VLOOKUP(PREVIOS!I80,PLAN!A:B,2,FALSE),CURSO!A:D,4,FALSE)</f>
        <v>18</v>
      </c>
      <c r="K80">
        <f>VLOOKUP(PREVIOS!H80,CICLO!A:B,2,FALSE)</f>
        <v>55</v>
      </c>
      <c r="L80">
        <f>VLOOKUP(PREVIOS!I80,PLAN!A:B,2,FALSE)</f>
        <v>5</v>
      </c>
    </row>
    <row r="81" spans="1:12" x14ac:dyDescent="0.25">
      <c r="A81" t="str">
        <f t="shared" si="1"/>
        <v>A553M233C1</v>
      </c>
      <c r="C81">
        <v>80</v>
      </c>
      <c r="D81">
        <f>VLOOKUP(PREVIOS!C81,ALUMNOS!A:B,2,FALSE)</f>
        <v>553</v>
      </c>
      <c r="E81">
        <f>VLOOKUP(PREVIOS!E81&amp;'TABLA PREVIOS'!J81,MATERIAS!A:H,7,FALSE)</f>
        <v>233</v>
      </c>
      <c r="F81">
        <f>VLOOKUP(PREVIOS!G81,CONDICION!A:B,2,FALSE)</f>
        <v>1</v>
      </c>
      <c r="G81">
        <f>IF(PREVIOS!AG81=1,1,VLOOKUP(PREVIOS!AG81,CALIFICACION!A:C,3,FALSE))</f>
        <v>1</v>
      </c>
      <c r="H81" s="1" t="s">
        <v>534</v>
      </c>
      <c r="I81" s="1" t="s">
        <v>534</v>
      </c>
      <c r="J81">
        <f>VLOOKUP(PREVIOS!F81&amp;VLOOKUP(PREVIOS!I81,PLAN!A:B,2,FALSE),CURSO!A:D,4,FALSE)</f>
        <v>18</v>
      </c>
      <c r="K81">
        <f>VLOOKUP(PREVIOS!H81,CICLO!A:B,2,FALSE)</f>
        <v>56</v>
      </c>
      <c r="L81">
        <f>VLOOKUP(PREVIOS!I81,PLAN!A:B,2,FALSE)</f>
        <v>5</v>
      </c>
    </row>
    <row r="82" spans="1:12" x14ac:dyDescent="0.25">
      <c r="A82" t="str">
        <f t="shared" si="1"/>
        <v>A553M230C1</v>
      </c>
      <c r="C82">
        <v>81</v>
      </c>
      <c r="D82">
        <f>VLOOKUP(PREVIOS!C82,ALUMNOS!A:B,2,FALSE)</f>
        <v>553</v>
      </c>
      <c r="E82">
        <f>VLOOKUP(PREVIOS!E82&amp;'TABLA PREVIOS'!J82,MATERIAS!A:H,7,FALSE)</f>
        <v>230</v>
      </c>
      <c r="F82">
        <f>VLOOKUP(PREVIOS!G82,CONDICION!A:B,2,FALSE)</f>
        <v>1</v>
      </c>
      <c r="G82">
        <f>IF(PREVIOS!AG82=1,1,VLOOKUP(PREVIOS!AG82,CALIFICACION!A:C,3,FALSE))</f>
        <v>1</v>
      </c>
      <c r="H82" s="1" t="s">
        <v>534</v>
      </c>
      <c r="I82" s="1" t="s">
        <v>534</v>
      </c>
      <c r="J82">
        <f>VLOOKUP(PREVIOS!F82&amp;VLOOKUP(PREVIOS!I82,PLAN!A:B,2,FALSE),CURSO!A:D,4,FALSE)</f>
        <v>18</v>
      </c>
      <c r="K82">
        <f>VLOOKUP(PREVIOS!H82,CICLO!A:B,2,FALSE)</f>
        <v>56</v>
      </c>
      <c r="L82">
        <f>VLOOKUP(PREVIOS!I82,PLAN!A:B,2,FALSE)</f>
        <v>5</v>
      </c>
    </row>
    <row r="83" spans="1:12" x14ac:dyDescent="0.25">
      <c r="A83" t="str">
        <f t="shared" si="1"/>
        <v>A797M233C1</v>
      </c>
      <c r="C83">
        <v>82</v>
      </c>
      <c r="D83">
        <f>VLOOKUP(PREVIOS!C83,ALUMNOS!A:B,2,FALSE)</f>
        <v>797</v>
      </c>
      <c r="E83">
        <f>VLOOKUP(PREVIOS!E83&amp;'TABLA PREVIOS'!J83,MATERIAS!A:H,7,FALSE)</f>
        <v>233</v>
      </c>
      <c r="F83">
        <f>VLOOKUP(PREVIOS!G83,CONDICION!A:B,2,FALSE)</f>
        <v>1</v>
      </c>
      <c r="G83">
        <f>IF(PREVIOS!AG83=1,1,VLOOKUP(PREVIOS!AG83,CALIFICACION!A:C,3,FALSE))</f>
        <v>1</v>
      </c>
      <c r="H83" s="1" t="s">
        <v>534</v>
      </c>
      <c r="I83" s="1" t="s">
        <v>534</v>
      </c>
      <c r="J83">
        <f>VLOOKUP(PREVIOS!F83&amp;VLOOKUP(PREVIOS!I83,PLAN!A:B,2,FALSE),CURSO!A:D,4,FALSE)</f>
        <v>18</v>
      </c>
      <c r="K83">
        <f>VLOOKUP(PREVIOS!H83,CICLO!A:B,2,FALSE)</f>
        <v>56</v>
      </c>
      <c r="L83">
        <f>VLOOKUP(PREVIOS!I83,PLAN!A:B,2,FALSE)</f>
        <v>5</v>
      </c>
    </row>
    <row r="84" spans="1:12" x14ac:dyDescent="0.25">
      <c r="A84" t="str">
        <f t="shared" si="1"/>
        <v>A797M230C1</v>
      </c>
      <c r="C84">
        <v>83</v>
      </c>
      <c r="D84">
        <f>VLOOKUP(PREVIOS!C84,ALUMNOS!A:B,2,FALSE)</f>
        <v>797</v>
      </c>
      <c r="E84">
        <f>VLOOKUP(PREVIOS!E84&amp;'TABLA PREVIOS'!J84,MATERIAS!A:H,7,FALSE)</f>
        <v>230</v>
      </c>
      <c r="F84">
        <f>VLOOKUP(PREVIOS!G84,CONDICION!A:B,2,FALSE)</f>
        <v>1</v>
      </c>
      <c r="G84">
        <f>IF(PREVIOS!AG84=1,1,VLOOKUP(PREVIOS!AG84,CALIFICACION!A:C,3,FALSE))</f>
        <v>1</v>
      </c>
      <c r="H84" s="1" t="s">
        <v>534</v>
      </c>
      <c r="I84" s="1" t="s">
        <v>534</v>
      </c>
      <c r="J84">
        <f>VLOOKUP(PREVIOS!F84&amp;VLOOKUP(PREVIOS!I84,PLAN!A:B,2,FALSE),CURSO!A:D,4,FALSE)</f>
        <v>18</v>
      </c>
      <c r="K84">
        <f>VLOOKUP(PREVIOS!H84,CICLO!A:B,2,FALSE)</f>
        <v>56</v>
      </c>
      <c r="L84">
        <f>VLOOKUP(PREVIOS!I84,PLAN!A:B,2,FALSE)</f>
        <v>5</v>
      </c>
    </row>
    <row r="85" spans="1:12" x14ac:dyDescent="0.25">
      <c r="A85" t="str">
        <f t="shared" si="1"/>
        <v>A601M233C1</v>
      </c>
      <c r="C85">
        <v>84</v>
      </c>
      <c r="D85">
        <f>VLOOKUP(PREVIOS!C85,ALUMNOS!A:B,2,FALSE)</f>
        <v>601</v>
      </c>
      <c r="E85">
        <f>VLOOKUP(PREVIOS!E85&amp;'TABLA PREVIOS'!J85,MATERIAS!A:H,7,FALSE)</f>
        <v>233</v>
      </c>
      <c r="F85">
        <f>VLOOKUP(PREVIOS!G85,CONDICION!A:B,2,FALSE)</f>
        <v>1</v>
      </c>
      <c r="G85">
        <f>IF(PREVIOS!AG85=1,1,VLOOKUP(PREVIOS!AG85,CALIFICACION!A:C,3,FALSE))</f>
        <v>1</v>
      </c>
      <c r="H85" s="1" t="s">
        <v>534</v>
      </c>
      <c r="I85" s="1" t="s">
        <v>534</v>
      </c>
      <c r="J85">
        <f>VLOOKUP(PREVIOS!F85&amp;VLOOKUP(PREVIOS!I85,PLAN!A:B,2,FALSE),CURSO!A:D,4,FALSE)</f>
        <v>18</v>
      </c>
      <c r="K85">
        <f>VLOOKUP(PREVIOS!H85,CICLO!A:B,2,FALSE)</f>
        <v>54</v>
      </c>
      <c r="L85">
        <f>VLOOKUP(PREVIOS!I85,PLAN!A:B,2,FALSE)</f>
        <v>5</v>
      </c>
    </row>
    <row r="86" spans="1:12" x14ac:dyDescent="0.25">
      <c r="A86" t="str">
        <f t="shared" si="1"/>
        <v>A601M237C1</v>
      </c>
      <c r="C86">
        <v>85</v>
      </c>
      <c r="D86">
        <f>VLOOKUP(PREVIOS!C86,ALUMNOS!A:B,2,FALSE)</f>
        <v>601</v>
      </c>
      <c r="E86">
        <f>VLOOKUP(PREVIOS!E86&amp;'TABLA PREVIOS'!J86,MATERIAS!A:H,7,FALSE)</f>
        <v>237</v>
      </c>
      <c r="F86">
        <f>VLOOKUP(PREVIOS!G86,CONDICION!A:B,2,FALSE)</f>
        <v>1</v>
      </c>
      <c r="G86">
        <f>IF(PREVIOS!AG86=1,1,VLOOKUP(PREVIOS!AG86,CALIFICACION!A:C,3,FALSE))</f>
        <v>1</v>
      </c>
      <c r="H86" s="1" t="s">
        <v>534</v>
      </c>
      <c r="I86" s="1" t="s">
        <v>534</v>
      </c>
      <c r="J86">
        <f>VLOOKUP(PREVIOS!F86&amp;VLOOKUP(PREVIOS!I86,PLAN!A:B,2,FALSE),CURSO!A:D,4,FALSE)</f>
        <v>18</v>
      </c>
      <c r="K86">
        <f>VLOOKUP(PREVIOS!H86,CICLO!A:B,2,FALSE)</f>
        <v>54</v>
      </c>
      <c r="L86">
        <f>VLOOKUP(PREVIOS!I86,PLAN!A:B,2,FALSE)</f>
        <v>5</v>
      </c>
    </row>
    <row r="87" spans="1:12" x14ac:dyDescent="0.25">
      <c r="A87" t="str">
        <f t="shared" si="1"/>
        <v>A601M236C1</v>
      </c>
      <c r="C87">
        <v>86</v>
      </c>
      <c r="D87">
        <f>VLOOKUP(PREVIOS!C87,ALUMNOS!A:B,2,FALSE)</f>
        <v>601</v>
      </c>
      <c r="E87">
        <f>VLOOKUP(PREVIOS!E87&amp;'TABLA PREVIOS'!J87,MATERIAS!A:H,7,FALSE)</f>
        <v>236</v>
      </c>
      <c r="F87">
        <f>VLOOKUP(PREVIOS!G87,CONDICION!A:B,2,FALSE)</f>
        <v>1</v>
      </c>
      <c r="G87">
        <f>IF(PREVIOS!AG87=1,1,VLOOKUP(PREVIOS!AG87,CALIFICACION!A:C,3,FALSE))</f>
        <v>1</v>
      </c>
      <c r="H87" s="1" t="s">
        <v>534</v>
      </c>
      <c r="I87" s="1" t="s">
        <v>534</v>
      </c>
      <c r="J87">
        <f>VLOOKUP(PREVIOS!F87&amp;VLOOKUP(PREVIOS!I87,PLAN!A:B,2,FALSE),CURSO!A:D,4,FALSE)</f>
        <v>18</v>
      </c>
      <c r="K87">
        <f>VLOOKUP(PREVIOS!H87,CICLO!A:B,2,FALSE)</f>
        <v>54</v>
      </c>
      <c r="L87">
        <f>VLOOKUP(PREVIOS!I87,PLAN!A:B,2,FALSE)</f>
        <v>5</v>
      </c>
    </row>
    <row r="88" spans="1:12" x14ac:dyDescent="0.25">
      <c r="A88" t="str">
        <f t="shared" si="1"/>
        <v>A611M220C1</v>
      </c>
      <c r="C88">
        <v>87</v>
      </c>
      <c r="D88">
        <f>VLOOKUP(PREVIOS!C88,ALUMNOS!A:B,2,FALSE)</f>
        <v>611</v>
      </c>
      <c r="E88">
        <f>VLOOKUP(PREVIOS!E88&amp;'TABLA PREVIOS'!J88,MATERIAS!A:H,7,FALSE)</f>
        <v>220</v>
      </c>
      <c r="F88">
        <f>VLOOKUP(PREVIOS!G88,CONDICION!A:B,2,FALSE)</f>
        <v>1</v>
      </c>
      <c r="G88">
        <f>IF(PREVIOS!AG88=1,1,VLOOKUP(PREVIOS!AG88,CALIFICACION!A:C,3,FALSE))</f>
        <v>1</v>
      </c>
      <c r="H88" s="1" t="s">
        <v>534</v>
      </c>
      <c r="I88" s="1" t="s">
        <v>534</v>
      </c>
      <c r="J88">
        <f>VLOOKUP(PREVIOS!F88&amp;VLOOKUP(PREVIOS!I88,PLAN!A:B,2,FALSE),CURSO!A:D,4,FALSE)</f>
        <v>17</v>
      </c>
      <c r="K88">
        <f>VLOOKUP(PREVIOS!H88,CICLO!A:B,2,FALSE)</f>
        <v>54</v>
      </c>
      <c r="L88">
        <f>VLOOKUP(PREVIOS!I88,PLAN!A:B,2,FALSE)</f>
        <v>5</v>
      </c>
    </row>
    <row r="89" spans="1:12" x14ac:dyDescent="0.25">
      <c r="A89" t="str">
        <f t="shared" si="1"/>
        <v>A654M230C1</v>
      </c>
      <c r="C89">
        <v>88</v>
      </c>
      <c r="D89">
        <f>VLOOKUP(PREVIOS!C89,ALUMNOS!A:B,2,FALSE)</f>
        <v>654</v>
      </c>
      <c r="E89">
        <f>VLOOKUP(PREVIOS!E89&amp;'TABLA PREVIOS'!J89,MATERIAS!A:H,7,FALSE)</f>
        <v>230</v>
      </c>
      <c r="F89">
        <f>VLOOKUP(PREVIOS!G89,CONDICION!A:B,2,FALSE)</f>
        <v>1</v>
      </c>
      <c r="G89">
        <f>IF(PREVIOS!AG89=1,1,VLOOKUP(PREVIOS!AG89,CALIFICACION!A:C,3,FALSE))</f>
        <v>1</v>
      </c>
      <c r="H89" s="1" t="s">
        <v>534</v>
      </c>
      <c r="I89" s="1" t="s">
        <v>534</v>
      </c>
      <c r="J89">
        <f>VLOOKUP(PREVIOS!F89&amp;VLOOKUP(PREVIOS!I89,PLAN!A:B,2,FALSE),CURSO!A:D,4,FALSE)</f>
        <v>18</v>
      </c>
      <c r="K89">
        <f>VLOOKUP(PREVIOS!H89,CICLO!A:B,2,FALSE)</f>
        <v>56</v>
      </c>
      <c r="L89">
        <f>VLOOKUP(PREVIOS!I89,PLAN!A:B,2,FALSE)</f>
        <v>5</v>
      </c>
    </row>
    <row r="90" spans="1:12" x14ac:dyDescent="0.25">
      <c r="A90" t="str">
        <f t="shared" si="1"/>
        <v>A669M234C1</v>
      </c>
      <c r="C90">
        <v>89</v>
      </c>
      <c r="D90">
        <f>VLOOKUP(PREVIOS!C90,ALUMNOS!A:B,2,FALSE)</f>
        <v>669</v>
      </c>
      <c r="E90">
        <f>VLOOKUP(PREVIOS!E90&amp;'TABLA PREVIOS'!J90,MATERIAS!A:H,7,FALSE)</f>
        <v>234</v>
      </c>
      <c r="F90">
        <f>VLOOKUP(PREVIOS!G90,CONDICION!A:B,2,FALSE)</f>
        <v>1</v>
      </c>
      <c r="G90">
        <f>IF(PREVIOS!AG90=1,1,VLOOKUP(PREVIOS!AG90,CALIFICACION!A:C,3,FALSE))</f>
        <v>1</v>
      </c>
      <c r="H90" s="1" t="s">
        <v>534</v>
      </c>
      <c r="I90" s="1" t="s">
        <v>534</v>
      </c>
      <c r="J90">
        <f>VLOOKUP(PREVIOS!F90&amp;VLOOKUP(PREVIOS!I90,PLAN!A:B,2,FALSE),CURSO!A:D,4,FALSE)</f>
        <v>18</v>
      </c>
      <c r="K90">
        <f>VLOOKUP(PREVIOS!H90,CICLO!A:B,2,FALSE)</f>
        <v>56</v>
      </c>
      <c r="L90">
        <f>VLOOKUP(PREVIOS!I90,PLAN!A:B,2,FALSE)</f>
        <v>5</v>
      </c>
    </row>
    <row r="91" spans="1:12" x14ac:dyDescent="0.25">
      <c r="A91" t="str">
        <f t="shared" si="1"/>
        <v>A725M233C1</v>
      </c>
      <c r="C91">
        <v>90</v>
      </c>
      <c r="D91">
        <f>VLOOKUP(PREVIOS!C91,ALUMNOS!A:B,2,FALSE)</f>
        <v>725</v>
      </c>
      <c r="E91">
        <f>VLOOKUP(PREVIOS!E91&amp;'TABLA PREVIOS'!J91,MATERIAS!A:H,7,FALSE)</f>
        <v>233</v>
      </c>
      <c r="F91">
        <f>VLOOKUP(PREVIOS!G91,CONDICION!A:B,2,FALSE)</f>
        <v>1</v>
      </c>
      <c r="G91">
        <f>IF(PREVIOS!AG91=1,1,VLOOKUP(PREVIOS!AG91,CALIFICACION!A:C,3,FALSE))</f>
        <v>1</v>
      </c>
      <c r="H91" s="1" t="s">
        <v>534</v>
      </c>
      <c r="I91" s="1" t="s">
        <v>534</v>
      </c>
      <c r="J91">
        <f>VLOOKUP(PREVIOS!F91&amp;VLOOKUP(PREVIOS!I91,PLAN!A:B,2,FALSE),CURSO!A:D,4,FALSE)</f>
        <v>18</v>
      </c>
      <c r="K91">
        <f>VLOOKUP(PREVIOS!H91,CICLO!A:B,2,FALSE)</f>
        <v>56</v>
      </c>
      <c r="L91">
        <f>VLOOKUP(PREVIOS!I91,PLAN!A:B,2,FALSE)</f>
        <v>5</v>
      </c>
    </row>
    <row r="92" spans="1:12" x14ac:dyDescent="0.25">
      <c r="A92" t="str">
        <f t="shared" si="1"/>
        <v>A725M235C1</v>
      </c>
      <c r="C92">
        <v>91</v>
      </c>
      <c r="D92">
        <f>VLOOKUP(PREVIOS!C92,ALUMNOS!A:B,2,FALSE)</f>
        <v>725</v>
      </c>
      <c r="E92">
        <f>VLOOKUP(PREVIOS!E92&amp;'TABLA PREVIOS'!J92,MATERIAS!A:H,7,FALSE)</f>
        <v>235</v>
      </c>
      <c r="F92">
        <f>VLOOKUP(PREVIOS!G92,CONDICION!A:B,2,FALSE)</f>
        <v>1</v>
      </c>
      <c r="G92">
        <f>IF(PREVIOS!AG92=1,1,VLOOKUP(PREVIOS!AG92,CALIFICACION!A:C,3,FALSE))</f>
        <v>9</v>
      </c>
      <c r="H92" s="1" t="s">
        <v>534</v>
      </c>
      <c r="I92" s="1" t="s">
        <v>534</v>
      </c>
      <c r="J92">
        <f>VLOOKUP(PREVIOS!F92&amp;VLOOKUP(PREVIOS!I92,PLAN!A:B,2,FALSE),CURSO!A:D,4,FALSE)</f>
        <v>18</v>
      </c>
      <c r="K92">
        <f>VLOOKUP(PREVIOS!H92,CICLO!A:B,2,FALSE)</f>
        <v>56</v>
      </c>
      <c r="L92">
        <f>VLOOKUP(PREVIOS!I92,PLAN!A:B,2,FALSE)</f>
        <v>5</v>
      </c>
    </row>
    <row r="93" spans="1:12" x14ac:dyDescent="0.25">
      <c r="A93" t="str">
        <f t="shared" si="1"/>
        <v>A725M230C3</v>
      </c>
      <c r="C93">
        <v>92</v>
      </c>
      <c r="D93">
        <f>VLOOKUP(PREVIOS!C93,ALUMNOS!A:B,2,FALSE)</f>
        <v>725</v>
      </c>
      <c r="E93">
        <f>VLOOKUP(PREVIOS!E93&amp;'TABLA PREVIOS'!J93,MATERIAS!A:H,7,FALSE)</f>
        <v>230</v>
      </c>
      <c r="F93">
        <f>VLOOKUP(PREVIOS!G93,CONDICION!A:B,2,FALSE)</f>
        <v>3</v>
      </c>
      <c r="G93">
        <f>IF(PREVIOS!AG93=1,1,VLOOKUP(PREVIOS!AG93,CALIFICACION!A:C,3,FALSE))</f>
        <v>1</v>
      </c>
      <c r="H93" s="1" t="s">
        <v>534</v>
      </c>
      <c r="I93" s="1" t="s">
        <v>534</v>
      </c>
      <c r="J93">
        <f>VLOOKUP(PREVIOS!F93&amp;VLOOKUP(PREVIOS!I93,PLAN!A:B,2,FALSE),CURSO!A:D,4,FALSE)</f>
        <v>18</v>
      </c>
      <c r="K93">
        <f>VLOOKUP(PREVIOS!H93,CICLO!A:B,2,FALSE)</f>
        <v>56</v>
      </c>
      <c r="L93">
        <f>VLOOKUP(PREVIOS!I93,PLAN!A:B,2,FALSE)</f>
        <v>5</v>
      </c>
    </row>
    <row r="94" spans="1:12" x14ac:dyDescent="0.25">
      <c r="A94" t="str">
        <f t="shared" si="1"/>
        <v>A745M220C1</v>
      </c>
      <c r="C94">
        <v>93</v>
      </c>
      <c r="D94">
        <f>VLOOKUP(PREVIOS!C94,ALUMNOS!A:B,2,FALSE)</f>
        <v>745</v>
      </c>
      <c r="E94">
        <f>VLOOKUP(PREVIOS!E94&amp;'TABLA PREVIOS'!J94,MATERIAS!A:H,7,FALSE)</f>
        <v>220</v>
      </c>
      <c r="F94">
        <f>VLOOKUP(PREVIOS!G94,CONDICION!A:B,2,FALSE)</f>
        <v>1</v>
      </c>
      <c r="G94">
        <f>IF(PREVIOS!AG94=1,1,VLOOKUP(PREVIOS!AG94,CALIFICACION!A:C,3,FALSE))</f>
        <v>1</v>
      </c>
      <c r="H94" s="1" t="s">
        <v>534</v>
      </c>
      <c r="I94" s="1" t="s">
        <v>534</v>
      </c>
      <c r="J94">
        <f>VLOOKUP(PREVIOS!F94&amp;VLOOKUP(PREVIOS!I94,PLAN!A:B,2,FALSE),CURSO!A:D,4,FALSE)</f>
        <v>17</v>
      </c>
      <c r="K94">
        <f>VLOOKUP(PREVIOS!H94,CICLO!A:B,2,FALSE)</f>
        <v>54</v>
      </c>
      <c r="L94">
        <f>VLOOKUP(PREVIOS!I94,PLAN!A:B,2,FALSE)</f>
        <v>5</v>
      </c>
    </row>
    <row r="95" spans="1:12" x14ac:dyDescent="0.25">
      <c r="A95" t="str">
        <f t="shared" si="1"/>
        <v>A745M230C1</v>
      </c>
      <c r="C95">
        <v>94</v>
      </c>
      <c r="D95">
        <f>VLOOKUP(PREVIOS!C95,ALUMNOS!A:B,2,FALSE)</f>
        <v>745</v>
      </c>
      <c r="E95">
        <f>VLOOKUP(PREVIOS!E95&amp;'TABLA PREVIOS'!J95,MATERIAS!A:H,7,FALSE)</f>
        <v>230</v>
      </c>
      <c r="F95">
        <f>VLOOKUP(PREVIOS!G95,CONDICION!A:B,2,FALSE)</f>
        <v>1</v>
      </c>
      <c r="G95">
        <f>IF(PREVIOS!AG95=1,1,VLOOKUP(PREVIOS!AG95,CALIFICACION!A:C,3,FALSE))</f>
        <v>1</v>
      </c>
      <c r="H95" s="1" t="s">
        <v>534</v>
      </c>
      <c r="I95" s="1" t="s">
        <v>534</v>
      </c>
      <c r="J95">
        <f>VLOOKUP(PREVIOS!F95&amp;VLOOKUP(PREVIOS!I95,PLAN!A:B,2,FALSE),CURSO!A:D,4,FALSE)</f>
        <v>18</v>
      </c>
      <c r="K95">
        <f>VLOOKUP(PREVIOS!H95,CICLO!A:B,2,FALSE)</f>
        <v>56</v>
      </c>
      <c r="L95">
        <f>VLOOKUP(PREVIOS!I95,PLAN!A:B,2,FALSE)</f>
        <v>5</v>
      </c>
    </row>
    <row r="96" spans="1:12" x14ac:dyDescent="0.25">
      <c r="A96" t="str">
        <f t="shared" si="1"/>
        <v>A16M232C3</v>
      </c>
      <c r="C96">
        <v>95</v>
      </c>
      <c r="D96">
        <f>VLOOKUP(PREVIOS!C96,ALUMNOS!A:B,2,FALSE)</f>
        <v>16</v>
      </c>
      <c r="E96">
        <f>VLOOKUP(PREVIOS!E96&amp;'TABLA PREVIOS'!J96,MATERIAS!A:H,7,FALSE)</f>
        <v>232</v>
      </c>
      <c r="F96">
        <f>VLOOKUP(PREVIOS!G96,CONDICION!A:B,2,FALSE)</f>
        <v>3</v>
      </c>
      <c r="G96">
        <f>IF(PREVIOS!AG96=1,1,VLOOKUP(PREVIOS!AG96,CALIFICACION!A:C,3,FALSE))</f>
        <v>1</v>
      </c>
      <c r="H96" s="1" t="s">
        <v>534</v>
      </c>
      <c r="I96" s="1" t="s">
        <v>534</v>
      </c>
      <c r="J96">
        <f>VLOOKUP(PREVIOS!F96&amp;VLOOKUP(PREVIOS!I96,PLAN!A:B,2,FALSE),CURSO!A:D,4,FALSE)</f>
        <v>18</v>
      </c>
      <c r="K96">
        <f>VLOOKUP(PREVIOS!H96,CICLO!A:B,2,FALSE)</f>
        <v>56</v>
      </c>
      <c r="L96">
        <f>VLOOKUP(PREVIOS!I96,PLAN!A:B,2,FALSE)</f>
        <v>5</v>
      </c>
    </row>
    <row r="97" spans="1:12" x14ac:dyDescent="0.25">
      <c r="A97" t="str">
        <f t="shared" si="1"/>
        <v>A16M237C1</v>
      </c>
      <c r="C97">
        <v>96</v>
      </c>
      <c r="D97">
        <f>VLOOKUP(PREVIOS!C97,ALUMNOS!A:B,2,FALSE)</f>
        <v>16</v>
      </c>
      <c r="E97">
        <f>VLOOKUP(PREVIOS!E97&amp;'TABLA PREVIOS'!J97,MATERIAS!A:H,7,FALSE)</f>
        <v>237</v>
      </c>
      <c r="F97">
        <f>VLOOKUP(PREVIOS!G97,CONDICION!A:B,2,FALSE)</f>
        <v>1</v>
      </c>
      <c r="G97">
        <f>IF(PREVIOS!AG97=1,1,VLOOKUP(PREVIOS!AG97,CALIFICACION!A:C,3,FALSE))</f>
        <v>1</v>
      </c>
      <c r="H97" s="1" t="s">
        <v>534</v>
      </c>
      <c r="I97" s="1" t="s">
        <v>534</v>
      </c>
      <c r="J97">
        <f>VLOOKUP(PREVIOS!F97&amp;VLOOKUP(PREVIOS!I97,PLAN!A:B,2,FALSE),CURSO!A:D,4,FALSE)</f>
        <v>18</v>
      </c>
      <c r="K97">
        <f>VLOOKUP(PREVIOS!H97,CICLO!A:B,2,FALSE)</f>
        <v>56</v>
      </c>
      <c r="L97">
        <f>VLOOKUP(PREVIOS!I97,PLAN!A:B,2,FALSE)</f>
        <v>5</v>
      </c>
    </row>
    <row r="98" spans="1:12" x14ac:dyDescent="0.25">
      <c r="A98" t="str">
        <f t="shared" si="1"/>
        <v>A16M230C1</v>
      </c>
      <c r="C98">
        <v>97</v>
      </c>
      <c r="D98">
        <f>VLOOKUP(PREVIOS!C98,ALUMNOS!A:B,2,FALSE)</f>
        <v>16</v>
      </c>
      <c r="E98">
        <f>VLOOKUP(PREVIOS!E98&amp;'TABLA PREVIOS'!J98,MATERIAS!A:H,7,FALSE)</f>
        <v>230</v>
      </c>
      <c r="F98">
        <f>VLOOKUP(PREVIOS!G98,CONDICION!A:B,2,FALSE)</f>
        <v>1</v>
      </c>
      <c r="G98">
        <f>IF(PREVIOS!AG98=1,1,VLOOKUP(PREVIOS!AG98,CALIFICACION!A:C,3,FALSE))</f>
        <v>1</v>
      </c>
      <c r="H98" s="1" t="s">
        <v>534</v>
      </c>
      <c r="I98" s="1" t="s">
        <v>534</v>
      </c>
      <c r="J98">
        <f>VLOOKUP(PREVIOS!F98&amp;VLOOKUP(PREVIOS!I98,PLAN!A:B,2,FALSE),CURSO!A:D,4,FALSE)</f>
        <v>18</v>
      </c>
      <c r="K98">
        <f>VLOOKUP(PREVIOS!H98,CICLO!A:B,2,FALSE)</f>
        <v>56</v>
      </c>
      <c r="L98">
        <f>VLOOKUP(PREVIOS!I98,PLAN!A:B,2,FALSE)</f>
        <v>5</v>
      </c>
    </row>
    <row r="99" spans="1:12" x14ac:dyDescent="0.25">
      <c r="A99" t="str">
        <f t="shared" si="1"/>
        <v>A816M232C1</v>
      </c>
      <c r="C99">
        <v>98</v>
      </c>
      <c r="D99">
        <f>VLOOKUP(PREVIOS!C99,ALUMNOS!A:B,2,FALSE)</f>
        <v>816</v>
      </c>
      <c r="E99">
        <f>VLOOKUP(PREVIOS!E99&amp;'TABLA PREVIOS'!J99,MATERIAS!A:H,7,FALSE)</f>
        <v>232</v>
      </c>
      <c r="F99">
        <f>VLOOKUP(PREVIOS!G99,CONDICION!A:B,2,FALSE)</f>
        <v>1</v>
      </c>
      <c r="G99">
        <f>IF(PREVIOS!AG99=1,1,VLOOKUP(PREVIOS!AG99,CALIFICACION!A:C,3,FALSE))</f>
        <v>9</v>
      </c>
      <c r="H99" s="1" t="s">
        <v>534</v>
      </c>
      <c r="I99" s="1" t="s">
        <v>534</v>
      </c>
      <c r="J99">
        <f>VLOOKUP(PREVIOS!F99&amp;VLOOKUP(PREVIOS!I99,PLAN!A:B,2,FALSE),CURSO!A:D,4,FALSE)</f>
        <v>18</v>
      </c>
      <c r="K99">
        <f>VLOOKUP(PREVIOS!H99,CICLO!A:B,2,FALSE)</f>
        <v>56</v>
      </c>
      <c r="L99">
        <f>VLOOKUP(PREVIOS!I99,PLAN!A:B,2,FALSE)</f>
        <v>5</v>
      </c>
    </row>
    <row r="100" spans="1:12" x14ac:dyDescent="0.25">
      <c r="A100" t="str">
        <f t="shared" si="1"/>
        <v>A793M229C1</v>
      </c>
      <c r="C100">
        <v>99</v>
      </c>
      <c r="D100">
        <f>VLOOKUP(PREVIOS!C100,ALUMNOS!A:B,2,FALSE)</f>
        <v>793</v>
      </c>
      <c r="E100">
        <f>VLOOKUP(PREVIOS!E100&amp;'TABLA PREVIOS'!J100,MATERIAS!A:H,7,FALSE)</f>
        <v>229</v>
      </c>
      <c r="F100">
        <f>VLOOKUP(PREVIOS!G100,CONDICION!A:B,2,FALSE)</f>
        <v>1</v>
      </c>
      <c r="G100">
        <f>IF(PREVIOS!AG100=1,1,VLOOKUP(PREVIOS!AG100,CALIFICACION!A:C,3,FALSE))</f>
        <v>1</v>
      </c>
      <c r="H100" s="1" t="s">
        <v>534</v>
      </c>
      <c r="I100" s="1" t="s">
        <v>534</v>
      </c>
      <c r="J100">
        <f>VLOOKUP(PREVIOS!F100&amp;VLOOKUP(PREVIOS!I100,PLAN!A:B,2,FALSE),CURSO!A:D,4,FALSE)</f>
        <v>18</v>
      </c>
      <c r="K100">
        <f>VLOOKUP(PREVIOS!H100,CICLO!A:B,2,FALSE)</f>
        <v>56</v>
      </c>
      <c r="L100">
        <f>VLOOKUP(PREVIOS!I100,PLAN!A:B,2,FALSE)</f>
        <v>5</v>
      </c>
    </row>
    <row r="101" spans="1:12" x14ac:dyDescent="0.25">
      <c r="A101" t="str">
        <f t="shared" si="1"/>
        <v>A75M223C3</v>
      </c>
      <c r="C101">
        <v>100</v>
      </c>
      <c r="D101">
        <f>VLOOKUP(PREVIOS!C101,ALUMNOS!A:B,2,FALSE)</f>
        <v>75</v>
      </c>
      <c r="E101">
        <f>VLOOKUP(PREVIOS!E101&amp;'TABLA PREVIOS'!J101,MATERIAS!A:H,7,FALSE)</f>
        <v>223</v>
      </c>
      <c r="F101">
        <f>VLOOKUP(PREVIOS!G101,CONDICION!A:B,2,FALSE)</f>
        <v>3</v>
      </c>
      <c r="G101">
        <f>IF(PREVIOS!AG101=1,1,VLOOKUP(PREVIOS!AG101,CALIFICACION!A:C,3,FALSE))</f>
        <v>1</v>
      </c>
      <c r="H101" s="1" t="s">
        <v>534</v>
      </c>
      <c r="I101" s="1" t="s">
        <v>534</v>
      </c>
      <c r="J101">
        <f>VLOOKUP(PREVIOS!F101&amp;VLOOKUP(PREVIOS!I101,PLAN!A:B,2,FALSE),CURSO!A:D,4,FALSE)</f>
        <v>17</v>
      </c>
      <c r="K101">
        <f>VLOOKUP(PREVIOS!H101,CICLO!A:B,2,FALSE)</f>
        <v>55</v>
      </c>
      <c r="L101">
        <f>VLOOKUP(PREVIOS!I101,PLAN!A:B,2,FALSE)</f>
        <v>5</v>
      </c>
    </row>
    <row r="102" spans="1:12" x14ac:dyDescent="0.25">
      <c r="A102" t="str">
        <f t="shared" si="1"/>
        <v>A75M219C1</v>
      </c>
      <c r="C102">
        <v>101</v>
      </c>
      <c r="D102">
        <f>VLOOKUP(PREVIOS!C102,ALUMNOS!A:B,2,FALSE)</f>
        <v>75</v>
      </c>
      <c r="E102">
        <f>VLOOKUP(PREVIOS!E102&amp;'TABLA PREVIOS'!J102,MATERIAS!A:H,7,FALSE)</f>
        <v>219</v>
      </c>
      <c r="F102">
        <f>VLOOKUP(PREVIOS!G102,CONDICION!A:B,2,FALSE)</f>
        <v>1</v>
      </c>
      <c r="G102">
        <f>IF(PREVIOS!AG102=1,1,VLOOKUP(PREVIOS!AG102,CALIFICACION!A:C,3,FALSE))</f>
        <v>1</v>
      </c>
      <c r="H102" s="1" t="s">
        <v>534</v>
      </c>
      <c r="I102" s="1" t="s">
        <v>534</v>
      </c>
      <c r="J102">
        <f>VLOOKUP(PREVIOS!F102&amp;VLOOKUP(PREVIOS!I102,PLAN!A:B,2,FALSE),CURSO!A:D,4,FALSE)</f>
        <v>17</v>
      </c>
      <c r="K102">
        <f>VLOOKUP(PREVIOS!H102,CICLO!A:B,2,FALSE)</f>
        <v>55</v>
      </c>
      <c r="L102">
        <f>VLOOKUP(PREVIOS!I102,PLAN!A:B,2,FALSE)</f>
        <v>5</v>
      </c>
    </row>
    <row r="103" spans="1:12" x14ac:dyDescent="0.25">
      <c r="A103" t="str">
        <f t="shared" si="1"/>
        <v>A75M230C1</v>
      </c>
      <c r="C103">
        <v>102</v>
      </c>
      <c r="D103">
        <f>VLOOKUP(PREVIOS!C103,ALUMNOS!A:B,2,FALSE)</f>
        <v>75</v>
      </c>
      <c r="E103">
        <f>VLOOKUP(PREVIOS!E103&amp;'TABLA PREVIOS'!J103,MATERIAS!A:H,7,FALSE)</f>
        <v>230</v>
      </c>
      <c r="F103">
        <f>VLOOKUP(PREVIOS!G103,CONDICION!A:B,2,FALSE)</f>
        <v>1</v>
      </c>
      <c r="G103">
        <f>IF(PREVIOS!AG103=1,1,VLOOKUP(PREVIOS!AG103,CALIFICACION!A:C,3,FALSE))</f>
        <v>1</v>
      </c>
      <c r="H103" s="1" t="s">
        <v>534</v>
      </c>
      <c r="I103" s="1" t="s">
        <v>534</v>
      </c>
      <c r="J103">
        <f>VLOOKUP(PREVIOS!F103&amp;VLOOKUP(PREVIOS!I103,PLAN!A:B,2,FALSE),CURSO!A:D,4,FALSE)</f>
        <v>18</v>
      </c>
      <c r="K103">
        <f>VLOOKUP(PREVIOS!H103,CICLO!A:B,2,FALSE)</f>
        <v>56</v>
      </c>
      <c r="L103">
        <f>VLOOKUP(PREVIOS!I103,PLAN!A:B,2,FALSE)</f>
        <v>5</v>
      </c>
    </row>
    <row r="104" spans="1:12" x14ac:dyDescent="0.25">
      <c r="A104" t="str">
        <f t="shared" si="1"/>
        <v>A248M230C1</v>
      </c>
      <c r="C104">
        <v>103</v>
      </c>
      <c r="D104">
        <f>VLOOKUP(PREVIOS!C104,ALUMNOS!A:B,2,FALSE)</f>
        <v>248</v>
      </c>
      <c r="E104">
        <f>VLOOKUP(PREVIOS!E104&amp;'TABLA PREVIOS'!J104,MATERIAS!A:H,7,FALSE)</f>
        <v>230</v>
      </c>
      <c r="F104">
        <f>VLOOKUP(PREVIOS!G104,CONDICION!A:B,2,FALSE)</f>
        <v>1</v>
      </c>
      <c r="G104">
        <f>IF(PREVIOS!AG104=1,1,VLOOKUP(PREVIOS!AG104,CALIFICACION!A:C,3,FALSE))</f>
        <v>1</v>
      </c>
      <c r="H104" s="1" t="s">
        <v>534</v>
      </c>
      <c r="I104" s="1" t="s">
        <v>534</v>
      </c>
      <c r="J104">
        <f>VLOOKUP(PREVIOS!F104&amp;VLOOKUP(PREVIOS!I104,PLAN!A:B,2,FALSE),CURSO!A:D,4,FALSE)</f>
        <v>18</v>
      </c>
      <c r="K104">
        <f>VLOOKUP(PREVIOS!H104,CICLO!A:B,2,FALSE)</f>
        <v>56</v>
      </c>
      <c r="L104">
        <f>VLOOKUP(PREVIOS!I104,PLAN!A:B,2,FALSE)</f>
        <v>5</v>
      </c>
    </row>
    <row r="105" spans="1:12" x14ac:dyDescent="0.25">
      <c r="A105" t="str">
        <f t="shared" si="1"/>
        <v>A276M232C3</v>
      </c>
      <c r="C105">
        <v>104</v>
      </c>
      <c r="D105">
        <f>VLOOKUP(PREVIOS!C105,ALUMNOS!A:B,2,FALSE)</f>
        <v>276</v>
      </c>
      <c r="E105">
        <f>VLOOKUP(PREVIOS!E105&amp;'TABLA PREVIOS'!J105,MATERIAS!A:H,7,FALSE)</f>
        <v>232</v>
      </c>
      <c r="F105">
        <f>VLOOKUP(PREVIOS!G105,CONDICION!A:B,2,FALSE)</f>
        <v>3</v>
      </c>
      <c r="G105">
        <f>IF(PREVIOS!AG105=1,1,VLOOKUP(PREVIOS!AG105,CALIFICACION!A:C,3,FALSE))</f>
        <v>1</v>
      </c>
      <c r="H105" s="1" t="s">
        <v>534</v>
      </c>
      <c r="I105" s="1" t="s">
        <v>534</v>
      </c>
      <c r="J105">
        <f>VLOOKUP(PREVIOS!F105&amp;VLOOKUP(PREVIOS!I105,PLAN!A:B,2,FALSE),CURSO!A:D,4,FALSE)</f>
        <v>18</v>
      </c>
      <c r="K105">
        <f>VLOOKUP(PREVIOS!H105,CICLO!A:B,2,FALSE)</f>
        <v>56</v>
      </c>
      <c r="L105">
        <f>VLOOKUP(PREVIOS!I105,PLAN!A:B,2,FALSE)</f>
        <v>5</v>
      </c>
    </row>
    <row r="106" spans="1:12" x14ac:dyDescent="0.25">
      <c r="A106" t="str">
        <f t="shared" si="1"/>
        <v>A276M229C1</v>
      </c>
      <c r="C106">
        <v>105</v>
      </c>
      <c r="D106">
        <f>VLOOKUP(PREVIOS!C106,ALUMNOS!A:B,2,FALSE)</f>
        <v>276</v>
      </c>
      <c r="E106">
        <f>VLOOKUP(PREVIOS!E106&amp;'TABLA PREVIOS'!J106,MATERIAS!A:H,7,FALSE)</f>
        <v>229</v>
      </c>
      <c r="F106">
        <f>VLOOKUP(PREVIOS!G106,CONDICION!A:B,2,FALSE)</f>
        <v>1</v>
      </c>
      <c r="G106">
        <f>IF(PREVIOS!AG106=1,1,VLOOKUP(PREVIOS!AG106,CALIFICACION!A:C,3,FALSE))</f>
        <v>1</v>
      </c>
      <c r="H106" s="1" t="s">
        <v>534</v>
      </c>
      <c r="I106" s="1" t="s">
        <v>534</v>
      </c>
      <c r="J106">
        <f>VLOOKUP(PREVIOS!F106&amp;VLOOKUP(PREVIOS!I106,PLAN!A:B,2,FALSE),CURSO!A:D,4,FALSE)</f>
        <v>18</v>
      </c>
      <c r="K106">
        <f>VLOOKUP(PREVIOS!H106,CICLO!A:B,2,FALSE)</f>
        <v>56</v>
      </c>
      <c r="L106">
        <f>VLOOKUP(PREVIOS!I106,PLAN!A:B,2,FALSE)</f>
        <v>5</v>
      </c>
    </row>
    <row r="107" spans="1:12" x14ac:dyDescent="0.25">
      <c r="A107" t="str">
        <f t="shared" si="1"/>
        <v>A276M230C1</v>
      </c>
      <c r="C107">
        <v>106</v>
      </c>
      <c r="D107">
        <f>VLOOKUP(PREVIOS!C107,ALUMNOS!A:B,2,FALSE)</f>
        <v>276</v>
      </c>
      <c r="E107">
        <f>VLOOKUP(PREVIOS!E107&amp;'TABLA PREVIOS'!J107,MATERIAS!A:H,7,FALSE)</f>
        <v>230</v>
      </c>
      <c r="F107">
        <f>VLOOKUP(PREVIOS!G107,CONDICION!A:B,2,FALSE)</f>
        <v>1</v>
      </c>
      <c r="G107">
        <f>IF(PREVIOS!AG107=1,1,VLOOKUP(PREVIOS!AG107,CALIFICACION!A:C,3,FALSE))</f>
        <v>1</v>
      </c>
      <c r="H107" s="1" t="s">
        <v>534</v>
      </c>
      <c r="I107" s="1" t="s">
        <v>534</v>
      </c>
      <c r="J107">
        <f>VLOOKUP(PREVIOS!F107&amp;VLOOKUP(PREVIOS!I107,PLAN!A:B,2,FALSE),CURSO!A:D,4,FALSE)</f>
        <v>18</v>
      </c>
      <c r="K107">
        <f>VLOOKUP(PREVIOS!H107,CICLO!A:B,2,FALSE)</f>
        <v>56</v>
      </c>
      <c r="L107">
        <f>VLOOKUP(PREVIOS!I107,PLAN!A:B,2,FALSE)</f>
        <v>5</v>
      </c>
    </row>
    <row r="108" spans="1:12" x14ac:dyDescent="0.25">
      <c r="A108" t="str">
        <f t="shared" si="1"/>
        <v>A290M230C1</v>
      </c>
      <c r="C108">
        <v>107</v>
      </c>
      <c r="D108">
        <f>VLOOKUP(PREVIOS!C108,ALUMNOS!A:B,2,FALSE)</f>
        <v>290</v>
      </c>
      <c r="E108">
        <f>VLOOKUP(PREVIOS!E108&amp;'TABLA PREVIOS'!J108,MATERIAS!A:H,7,FALSE)</f>
        <v>230</v>
      </c>
      <c r="F108">
        <f>VLOOKUP(PREVIOS!G108,CONDICION!A:B,2,FALSE)</f>
        <v>1</v>
      </c>
      <c r="G108">
        <f>IF(PREVIOS!AG108=1,1,VLOOKUP(PREVIOS!AG108,CALIFICACION!A:C,3,FALSE))</f>
        <v>1</v>
      </c>
      <c r="H108" s="1" t="s">
        <v>534</v>
      </c>
      <c r="I108" s="1" t="s">
        <v>534</v>
      </c>
      <c r="J108">
        <f>VLOOKUP(PREVIOS!F108&amp;VLOOKUP(PREVIOS!I108,PLAN!A:B,2,FALSE),CURSO!A:D,4,FALSE)</f>
        <v>18</v>
      </c>
      <c r="K108">
        <f>VLOOKUP(PREVIOS!H108,CICLO!A:B,2,FALSE)</f>
        <v>56</v>
      </c>
      <c r="L108">
        <f>VLOOKUP(PREVIOS!I108,PLAN!A:B,2,FALSE)</f>
        <v>5</v>
      </c>
    </row>
    <row r="109" spans="1:12" x14ac:dyDescent="0.25">
      <c r="A109" t="str">
        <f t="shared" si="1"/>
        <v>A339M220C1</v>
      </c>
      <c r="C109">
        <v>108</v>
      </c>
      <c r="D109">
        <f>VLOOKUP(PREVIOS!C109,ALUMNOS!A:B,2,FALSE)</f>
        <v>339</v>
      </c>
      <c r="E109">
        <f>VLOOKUP(PREVIOS!E109&amp;'TABLA PREVIOS'!J109,MATERIAS!A:H,7,FALSE)</f>
        <v>220</v>
      </c>
      <c r="F109">
        <f>VLOOKUP(PREVIOS!G109,CONDICION!A:B,2,FALSE)</f>
        <v>1</v>
      </c>
      <c r="G109">
        <f>IF(PREVIOS!AG109=1,1,VLOOKUP(PREVIOS!AG109,CALIFICACION!A:C,3,FALSE))</f>
        <v>1</v>
      </c>
      <c r="H109" s="1" t="s">
        <v>534</v>
      </c>
      <c r="I109" s="1" t="s">
        <v>534</v>
      </c>
      <c r="J109">
        <f>VLOOKUP(PREVIOS!F109&amp;VLOOKUP(PREVIOS!I109,PLAN!A:B,2,FALSE),CURSO!A:D,4,FALSE)</f>
        <v>17</v>
      </c>
      <c r="K109">
        <f>VLOOKUP(PREVIOS!H109,CICLO!A:B,2,FALSE)</f>
        <v>54</v>
      </c>
      <c r="L109">
        <f>VLOOKUP(PREVIOS!I109,PLAN!A:B,2,FALSE)</f>
        <v>5</v>
      </c>
    </row>
    <row r="110" spans="1:12" x14ac:dyDescent="0.25">
      <c r="A110" t="str">
        <f t="shared" si="1"/>
        <v>A339M233C3</v>
      </c>
      <c r="C110">
        <v>109</v>
      </c>
      <c r="D110">
        <f>VLOOKUP(PREVIOS!C110,ALUMNOS!A:B,2,FALSE)</f>
        <v>339</v>
      </c>
      <c r="E110">
        <f>VLOOKUP(PREVIOS!E110&amp;'TABLA PREVIOS'!J110,MATERIAS!A:H,7,FALSE)</f>
        <v>233</v>
      </c>
      <c r="F110">
        <f>VLOOKUP(PREVIOS!G110,CONDICION!A:B,2,FALSE)</f>
        <v>3</v>
      </c>
      <c r="G110">
        <f>IF(PREVIOS!AG110=1,1,VLOOKUP(PREVIOS!AG110,CALIFICACION!A:C,3,FALSE))</f>
        <v>1</v>
      </c>
      <c r="H110" s="1" t="s">
        <v>534</v>
      </c>
      <c r="I110" s="1" t="s">
        <v>534</v>
      </c>
      <c r="J110">
        <f>VLOOKUP(PREVIOS!F110&amp;VLOOKUP(PREVIOS!I110,PLAN!A:B,2,FALSE),CURSO!A:D,4,FALSE)</f>
        <v>18</v>
      </c>
      <c r="K110">
        <f>VLOOKUP(PREVIOS!H110,CICLO!A:B,2,FALSE)</f>
        <v>55</v>
      </c>
      <c r="L110">
        <f>VLOOKUP(PREVIOS!I110,PLAN!A:B,2,FALSE)</f>
        <v>5</v>
      </c>
    </row>
    <row r="111" spans="1:12" x14ac:dyDescent="0.25">
      <c r="A111" t="str">
        <f t="shared" si="1"/>
        <v>A339M230C1</v>
      </c>
      <c r="C111">
        <v>110</v>
      </c>
      <c r="D111">
        <f>VLOOKUP(PREVIOS!C111,ALUMNOS!A:B,2,FALSE)</f>
        <v>339</v>
      </c>
      <c r="E111">
        <f>VLOOKUP(PREVIOS!E111&amp;'TABLA PREVIOS'!J111,MATERIAS!A:H,7,FALSE)</f>
        <v>230</v>
      </c>
      <c r="F111">
        <f>VLOOKUP(PREVIOS!G111,CONDICION!A:B,2,FALSE)</f>
        <v>1</v>
      </c>
      <c r="G111">
        <f>IF(PREVIOS!AG111=1,1,VLOOKUP(PREVIOS!AG111,CALIFICACION!A:C,3,FALSE))</f>
        <v>9</v>
      </c>
      <c r="H111" s="1" t="s">
        <v>534</v>
      </c>
      <c r="I111" s="1" t="s">
        <v>534</v>
      </c>
      <c r="J111">
        <f>VLOOKUP(PREVIOS!F111&amp;VLOOKUP(PREVIOS!I111,PLAN!A:B,2,FALSE),CURSO!A:D,4,FALSE)</f>
        <v>18</v>
      </c>
      <c r="K111">
        <f>VLOOKUP(PREVIOS!H111,CICLO!A:B,2,FALSE)</f>
        <v>55</v>
      </c>
      <c r="L111">
        <f>VLOOKUP(PREVIOS!I111,PLAN!A:B,2,FALSE)</f>
        <v>5</v>
      </c>
    </row>
    <row r="112" spans="1:12" x14ac:dyDescent="0.25">
      <c r="A112" t="str">
        <f t="shared" si="1"/>
        <v>A520M233C1</v>
      </c>
      <c r="C112">
        <v>111</v>
      </c>
      <c r="D112">
        <f>VLOOKUP(PREVIOS!C112,ALUMNOS!A:B,2,FALSE)</f>
        <v>520</v>
      </c>
      <c r="E112">
        <f>VLOOKUP(PREVIOS!E112&amp;'TABLA PREVIOS'!J112,MATERIAS!A:H,7,FALSE)</f>
        <v>233</v>
      </c>
      <c r="F112">
        <f>VLOOKUP(PREVIOS!G112,CONDICION!A:B,2,FALSE)</f>
        <v>1</v>
      </c>
      <c r="G112">
        <f>IF(PREVIOS!AG112=1,1,VLOOKUP(PREVIOS!AG112,CALIFICACION!A:C,3,FALSE))</f>
        <v>1</v>
      </c>
      <c r="H112" s="1" t="s">
        <v>534</v>
      </c>
      <c r="I112" s="1" t="s">
        <v>534</v>
      </c>
      <c r="J112">
        <f>VLOOKUP(PREVIOS!F112&amp;VLOOKUP(PREVIOS!I112,PLAN!A:B,2,FALSE),CURSO!A:D,4,FALSE)</f>
        <v>18</v>
      </c>
      <c r="K112">
        <f>VLOOKUP(PREVIOS!H112,CICLO!A:B,2,FALSE)</f>
        <v>55</v>
      </c>
      <c r="L112">
        <f>VLOOKUP(PREVIOS!I112,PLAN!A:B,2,FALSE)</f>
        <v>5</v>
      </c>
    </row>
    <row r="113" spans="1:12" x14ac:dyDescent="0.25">
      <c r="A113" t="str">
        <f t="shared" si="1"/>
        <v>A520M234C3</v>
      </c>
      <c r="C113">
        <v>112</v>
      </c>
      <c r="D113">
        <f>VLOOKUP(PREVIOS!C113,ALUMNOS!A:B,2,FALSE)</f>
        <v>520</v>
      </c>
      <c r="E113">
        <f>VLOOKUP(PREVIOS!E113&amp;'TABLA PREVIOS'!J113,MATERIAS!A:H,7,FALSE)</f>
        <v>234</v>
      </c>
      <c r="F113">
        <f>VLOOKUP(PREVIOS!G113,CONDICION!A:B,2,FALSE)</f>
        <v>3</v>
      </c>
      <c r="G113">
        <f>IF(PREVIOS!AG113=1,1,VLOOKUP(PREVIOS!AG113,CALIFICACION!A:C,3,FALSE))</f>
        <v>1</v>
      </c>
      <c r="H113" s="1" t="s">
        <v>534</v>
      </c>
      <c r="I113" s="1" t="s">
        <v>534</v>
      </c>
      <c r="J113">
        <f>VLOOKUP(PREVIOS!F113&amp;VLOOKUP(PREVIOS!I113,PLAN!A:B,2,FALSE),CURSO!A:D,4,FALSE)</f>
        <v>18</v>
      </c>
      <c r="K113">
        <f>VLOOKUP(PREVIOS!H113,CICLO!A:B,2,FALSE)</f>
        <v>55</v>
      </c>
      <c r="L113">
        <f>VLOOKUP(PREVIOS!I113,PLAN!A:B,2,FALSE)</f>
        <v>5</v>
      </c>
    </row>
    <row r="114" spans="1:12" x14ac:dyDescent="0.25">
      <c r="A114" t="str">
        <f t="shared" si="1"/>
        <v>A520M230C1</v>
      </c>
      <c r="C114">
        <v>113</v>
      </c>
      <c r="D114">
        <f>VLOOKUP(PREVIOS!C114,ALUMNOS!A:B,2,FALSE)</f>
        <v>520</v>
      </c>
      <c r="E114">
        <f>VLOOKUP(PREVIOS!E114&amp;'TABLA PREVIOS'!J114,MATERIAS!A:H,7,FALSE)</f>
        <v>230</v>
      </c>
      <c r="F114">
        <f>VLOOKUP(PREVIOS!G114,CONDICION!A:B,2,FALSE)</f>
        <v>1</v>
      </c>
      <c r="G114">
        <f>IF(PREVIOS!AG114=1,1,VLOOKUP(PREVIOS!AG114,CALIFICACION!A:C,3,FALSE))</f>
        <v>1</v>
      </c>
      <c r="H114" s="1" t="s">
        <v>534</v>
      </c>
      <c r="I114" s="1" t="s">
        <v>534</v>
      </c>
      <c r="J114">
        <f>VLOOKUP(PREVIOS!F114&amp;VLOOKUP(PREVIOS!I114,PLAN!A:B,2,FALSE),CURSO!A:D,4,FALSE)</f>
        <v>18</v>
      </c>
      <c r="K114">
        <f>VLOOKUP(PREVIOS!H114,CICLO!A:B,2,FALSE)</f>
        <v>55</v>
      </c>
      <c r="L114">
        <f>VLOOKUP(PREVIOS!I114,PLAN!A:B,2,FALSE)</f>
        <v>5</v>
      </c>
    </row>
    <row r="115" spans="1:12" x14ac:dyDescent="0.25">
      <c r="A115" t="str">
        <f t="shared" si="1"/>
        <v>A534M233C1</v>
      </c>
      <c r="C115">
        <v>114</v>
      </c>
      <c r="D115">
        <f>VLOOKUP(PREVIOS!C115,ALUMNOS!A:B,2,FALSE)</f>
        <v>534</v>
      </c>
      <c r="E115">
        <f>VLOOKUP(PREVIOS!E115&amp;'TABLA PREVIOS'!J115,MATERIAS!A:H,7,FALSE)</f>
        <v>233</v>
      </c>
      <c r="F115">
        <f>VLOOKUP(PREVIOS!G115,CONDICION!A:B,2,FALSE)</f>
        <v>1</v>
      </c>
      <c r="G115">
        <f>IF(PREVIOS!AG115=1,1,VLOOKUP(PREVIOS!AG115,CALIFICACION!A:C,3,FALSE))</f>
        <v>1</v>
      </c>
      <c r="H115" s="1" t="s">
        <v>534</v>
      </c>
      <c r="I115" s="1" t="s">
        <v>534</v>
      </c>
      <c r="J115">
        <f>VLOOKUP(PREVIOS!F115&amp;VLOOKUP(PREVIOS!I115,PLAN!A:B,2,FALSE),CURSO!A:D,4,FALSE)</f>
        <v>18</v>
      </c>
      <c r="K115">
        <f>VLOOKUP(PREVIOS!H115,CICLO!A:B,2,FALSE)</f>
        <v>55</v>
      </c>
      <c r="L115">
        <f>VLOOKUP(PREVIOS!I115,PLAN!A:B,2,FALSE)</f>
        <v>5</v>
      </c>
    </row>
    <row r="116" spans="1:12" x14ac:dyDescent="0.25">
      <c r="A116" t="str">
        <f t="shared" si="1"/>
        <v>A534M234C3</v>
      </c>
      <c r="C116">
        <v>115</v>
      </c>
      <c r="D116">
        <f>VLOOKUP(PREVIOS!C116,ALUMNOS!A:B,2,FALSE)</f>
        <v>534</v>
      </c>
      <c r="E116">
        <f>VLOOKUP(PREVIOS!E116&amp;'TABLA PREVIOS'!J116,MATERIAS!A:H,7,FALSE)</f>
        <v>234</v>
      </c>
      <c r="F116">
        <f>VLOOKUP(PREVIOS!G116,CONDICION!A:B,2,FALSE)</f>
        <v>3</v>
      </c>
      <c r="G116">
        <f>IF(PREVIOS!AG116=1,1,VLOOKUP(PREVIOS!AG116,CALIFICACION!A:C,3,FALSE))</f>
        <v>1</v>
      </c>
      <c r="H116" s="1" t="s">
        <v>534</v>
      </c>
      <c r="I116" s="1" t="s">
        <v>534</v>
      </c>
      <c r="J116">
        <f>VLOOKUP(PREVIOS!F116&amp;VLOOKUP(PREVIOS!I116,PLAN!A:B,2,FALSE),CURSO!A:D,4,FALSE)</f>
        <v>18</v>
      </c>
      <c r="K116">
        <f>VLOOKUP(PREVIOS!H116,CICLO!A:B,2,FALSE)</f>
        <v>55</v>
      </c>
      <c r="L116">
        <f>VLOOKUP(PREVIOS!I116,PLAN!A:B,2,FALSE)</f>
        <v>5</v>
      </c>
    </row>
    <row r="117" spans="1:12" x14ac:dyDescent="0.25">
      <c r="A117" t="str">
        <f t="shared" si="1"/>
        <v>A534M230C1</v>
      </c>
      <c r="C117">
        <v>116</v>
      </c>
      <c r="D117">
        <f>VLOOKUP(PREVIOS!C117,ALUMNOS!A:B,2,FALSE)</f>
        <v>534</v>
      </c>
      <c r="E117">
        <f>VLOOKUP(PREVIOS!E117&amp;'TABLA PREVIOS'!J117,MATERIAS!A:H,7,FALSE)</f>
        <v>230</v>
      </c>
      <c r="F117">
        <f>VLOOKUP(PREVIOS!G117,CONDICION!A:B,2,FALSE)</f>
        <v>1</v>
      </c>
      <c r="G117">
        <f>IF(PREVIOS!AG117=1,1,VLOOKUP(PREVIOS!AG117,CALIFICACION!A:C,3,FALSE))</f>
        <v>1</v>
      </c>
      <c r="H117" s="1" t="s">
        <v>534</v>
      </c>
      <c r="I117" s="1" t="s">
        <v>534</v>
      </c>
      <c r="J117">
        <f>VLOOKUP(PREVIOS!F117&amp;VLOOKUP(PREVIOS!I117,PLAN!A:B,2,FALSE),CURSO!A:D,4,FALSE)</f>
        <v>18</v>
      </c>
      <c r="K117">
        <f>VLOOKUP(PREVIOS!H117,CICLO!A:B,2,FALSE)</f>
        <v>55</v>
      </c>
      <c r="L117">
        <f>VLOOKUP(PREVIOS!I117,PLAN!A:B,2,FALSE)</f>
        <v>5</v>
      </c>
    </row>
    <row r="118" spans="1:12" x14ac:dyDescent="0.25">
      <c r="A118" t="str">
        <f t="shared" si="1"/>
        <v>A796M235C1</v>
      </c>
      <c r="C118">
        <v>117</v>
      </c>
      <c r="D118">
        <f>VLOOKUP(PREVIOS!C118,ALUMNOS!A:B,2,FALSE)</f>
        <v>796</v>
      </c>
      <c r="E118">
        <f>VLOOKUP(PREVIOS!E118&amp;'TABLA PREVIOS'!J118,MATERIAS!A:H,7,FALSE)</f>
        <v>235</v>
      </c>
      <c r="F118">
        <f>VLOOKUP(PREVIOS!G118,CONDICION!A:B,2,FALSE)</f>
        <v>1</v>
      </c>
      <c r="G118">
        <f>IF(PREVIOS!AG118=1,1,VLOOKUP(PREVIOS!AG118,CALIFICACION!A:C,3,FALSE))</f>
        <v>1</v>
      </c>
      <c r="H118" s="1" t="s">
        <v>534</v>
      </c>
      <c r="I118" s="1" t="s">
        <v>534</v>
      </c>
      <c r="J118">
        <f>VLOOKUP(PREVIOS!F118&amp;VLOOKUP(PREVIOS!I118,PLAN!A:B,2,FALSE),CURSO!A:D,4,FALSE)</f>
        <v>18</v>
      </c>
      <c r="K118">
        <f>VLOOKUP(PREVIOS!H118,CICLO!A:B,2,FALSE)</f>
        <v>56</v>
      </c>
      <c r="L118">
        <f>VLOOKUP(PREVIOS!I118,PLAN!A:B,2,FALSE)</f>
        <v>5</v>
      </c>
    </row>
    <row r="119" spans="1:12" x14ac:dyDescent="0.25">
      <c r="A119" t="str">
        <f t="shared" si="1"/>
        <v>A796M230C1</v>
      </c>
      <c r="C119">
        <v>118</v>
      </c>
      <c r="D119">
        <f>VLOOKUP(PREVIOS!C119,ALUMNOS!A:B,2,FALSE)</f>
        <v>796</v>
      </c>
      <c r="E119">
        <f>VLOOKUP(PREVIOS!E119&amp;'TABLA PREVIOS'!J119,MATERIAS!A:H,7,FALSE)</f>
        <v>230</v>
      </c>
      <c r="F119">
        <f>VLOOKUP(PREVIOS!G119,CONDICION!A:B,2,FALSE)</f>
        <v>1</v>
      </c>
      <c r="G119">
        <f>IF(PREVIOS!AG119=1,1,VLOOKUP(PREVIOS!AG119,CALIFICACION!A:C,3,FALSE))</f>
        <v>1</v>
      </c>
      <c r="H119" s="1" t="s">
        <v>534</v>
      </c>
      <c r="I119" s="1" t="s">
        <v>534</v>
      </c>
      <c r="J119">
        <f>VLOOKUP(PREVIOS!F119&amp;VLOOKUP(PREVIOS!I119,PLAN!A:B,2,FALSE),CURSO!A:D,4,FALSE)</f>
        <v>18</v>
      </c>
      <c r="K119">
        <f>VLOOKUP(PREVIOS!H119,CICLO!A:B,2,FALSE)</f>
        <v>56</v>
      </c>
      <c r="L119">
        <f>VLOOKUP(PREVIOS!I119,PLAN!A:B,2,FALSE)</f>
        <v>5</v>
      </c>
    </row>
    <row r="120" spans="1:12" x14ac:dyDescent="0.25">
      <c r="A120" t="str">
        <f t="shared" si="1"/>
        <v>A630M221C1</v>
      </c>
      <c r="C120">
        <v>119</v>
      </c>
      <c r="D120">
        <f>VLOOKUP(PREVIOS!C120,ALUMNOS!A:B,2,FALSE)</f>
        <v>630</v>
      </c>
      <c r="E120">
        <f>VLOOKUP(PREVIOS!E120&amp;'TABLA PREVIOS'!J120,MATERIAS!A:H,7,FALSE)</f>
        <v>221</v>
      </c>
      <c r="F120">
        <f>VLOOKUP(PREVIOS!G120,CONDICION!A:B,2,FALSE)</f>
        <v>1</v>
      </c>
      <c r="G120">
        <f>IF(PREVIOS!AG120=1,1,VLOOKUP(PREVIOS!AG120,CALIFICACION!A:C,3,FALSE))</f>
        <v>1</v>
      </c>
      <c r="H120" s="1" t="s">
        <v>534</v>
      </c>
      <c r="I120" s="1" t="s">
        <v>534</v>
      </c>
      <c r="J120">
        <f>VLOOKUP(PREVIOS!F120&amp;VLOOKUP(PREVIOS!I120,PLAN!A:B,2,FALSE),CURSO!A:D,4,FALSE)</f>
        <v>17</v>
      </c>
      <c r="K120">
        <f>VLOOKUP(PREVIOS!H120,CICLO!A:B,2,FALSE)</f>
        <v>53</v>
      </c>
      <c r="L120">
        <f>VLOOKUP(PREVIOS!I120,PLAN!A:B,2,FALSE)</f>
        <v>5</v>
      </c>
    </row>
    <row r="121" spans="1:12" x14ac:dyDescent="0.25">
      <c r="A121" t="str">
        <f t="shared" si="1"/>
        <v>A630M220C1</v>
      </c>
      <c r="C121">
        <v>120</v>
      </c>
      <c r="D121">
        <f>VLOOKUP(PREVIOS!C121,ALUMNOS!A:B,2,FALSE)</f>
        <v>630</v>
      </c>
      <c r="E121">
        <f>VLOOKUP(PREVIOS!E121&amp;'TABLA PREVIOS'!J121,MATERIAS!A:H,7,FALSE)</f>
        <v>220</v>
      </c>
      <c r="F121">
        <f>VLOOKUP(PREVIOS!G121,CONDICION!A:B,2,FALSE)</f>
        <v>1</v>
      </c>
      <c r="G121">
        <f>IF(PREVIOS!AG121=1,1,VLOOKUP(PREVIOS!AG121,CALIFICACION!A:C,3,FALSE))</f>
        <v>1</v>
      </c>
      <c r="H121" s="1" t="s">
        <v>534</v>
      </c>
      <c r="I121" s="1" t="s">
        <v>534</v>
      </c>
      <c r="J121">
        <f>VLOOKUP(PREVIOS!F121&amp;VLOOKUP(PREVIOS!I121,PLAN!A:B,2,FALSE),CURSO!A:D,4,FALSE)</f>
        <v>17</v>
      </c>
      <c r="K121">
        <f>VLOOKUP(PREVIOS!H121,CICLO!A:B,2,FALSE)</f>
        <v>53</v>
      </c>
      <c r="L121">
        <f>VLOOKUP(PREVIOS!I121,PLAN!A:B,2,FALSE)</f>
        <v>5</v>
      </c>
    </row>
    <row r="122" spans="1:12" x14ac:dyDescent="0.25">
      <c r="A122" t="str">
        <f t="shared" si="1"/>
        <v>A630M230C1</v>
      </c>
      <c r="C122">
        <v>121</v>
      </c>
      <c r="D122">
        <f>VLOOKUP(PREVIOS!C122,ALUMNOS!A:B,2,FALSE)</f>
        <v>630</v>
      </c>
      <c r="E122">
        <f>VLOOKUP(PREVIOS!E122&amp;'TABLA PREVIOS'!J122,MATERIAS!A:H,7,FALSE)</f>
        <v>230</v>
      </c>
      <c r="F122">
        <f>VLOOKUP(PREVIOS!G122,CONDICION!A:B,2,FALSE)</f>
        <v>1</v>
      </c>
      <c r="G122">
        <f>IF(PREVIOS!AG122=1,1,VLOOKUP(PREVIOS!AG122,CALIFICACION!A:C,3,FALSE))</f>
        <v>1</v>
      </c>
      <c r="H122" s="1" t="s">
        <v>534</v>
      </c>
      <c r="I122" s="1" t="s">
        <v>534</v>
      </c>
      <c r="J122">
        <f>VLOOKUP(PREVIOS!F122&amp;VLOOKUP(PREVIOS!I122,PLAN!A:B,2,FALSE),CURSO!A:D,4,FALSE)</f>
        <v>18</v>
      </c>
      <c r="K122">
        <f>VLOOKUP(PREVIOS!H122,CICLO!A:B,2,FALSE)</f>
        <v>54</v>
      </c>
      <c r="L122">
        <f>VLOOKUP(PREVIOS!I122,PLAN!A:B,2,FALSE)</f>
        <v>5</v>
      </c>
    </row>
    <row r="123" spans="1:12" x14ac:dyDescent="0.25">
      <c r="A123" t="str">
        <f t="shared" si="1"/>
        <v>A668M229C1</v>
      </c>
      <c r="C123">
        <v>122</v>
      </c>
      <c r="D123">
        <f>VLOOKUP(PREVIOS!C123,ALUMNOS!A:B,2,FALSE)</f>
        <v>668</v>
      </c>
      <c r="E123">
        <f>VLOOKUP(PREVIOS!E123&amp;'TABLA PREVIOS'!J123,MATERIAS!A:H,7,FALSE)</f>
        <v>229</v>
      </c>
      <c r="F123">
        <f>VLOOKUP(PREVIOS!G123,CONDICION!A:B,2,FALSE)</f>
        <v>1</v>
      </c>
      <c r="G123">
        <f>IF(PREVIOS!AG123=1,1,VLOOKUP(PREVIOS!AG123,CALIFICACION!A:C,3,FALSE))</f>
        <v>1</v>
      </c>
      <c r="H123" s="1" t="s">
        <v>534</v>
      </c>
      <c r="I123" s="1" t="s">
        <v>534</v>
      </c>
      <c r="J123">
        <f>VLOOKUP(PREVIOS!F123&amp;VLOOKUP(PREVIOS!I123,PLAN!A:B,2,FALSE),CURSO!A:D,4,FALSE)</f>
        <v>18</v>
      </c>
      <c r="K123">
        <f>VLOOKUP(PREVIOS!H123,CICLO!A:B,2,FALSE)</f>
        <v>56</v>
      </c>
      <c r="L123">
        <f>VLOOKUP(PREVIOS!I123,PLAN!A:B,2,FALSE)</f>
        <v>5</v>
      </c>
    </row>
    <row r="124" spans="1:12" x14ac:dyDescent="0.25">
      <c r="A124" t="str">
        <f t="shared" si="1"/>
        <v>A668M230C1</v>
      </c>
      <c r="C124">
        <v>123</v>
      </c>
      <c r="D124">
        <f>VLOOKUP(PREVIOS!C124,ALUMNOS!A:B,2,FALSE)</f>
        <v>668</v>
      </c>
      <c r="E124">
        <f>VLOOKUP(PREVIOS!E124&amp;'TABLA PREVIOS'!J124,MATERIAS!A:H,7,FALSE)</f>
        <v>230</v>
      </c>
      <c r="F124">
        <f>VLOOKUP(PREVIOS!G124,CONDICION!A:B,2,FALSE)</f>
        <v>1</v>
      </c>
      <c r="G124">
        <f>IF(PREVIOS!AG124=1,1,VLOOKUP(PREVIOS!AG124,CALIFICACION!A:C,3,FALSE))</f>
        <v>1</v>
      </c>
      <c r="H124" s="1" t="s">
        <v>534</v>
      </c>
      <c r="I124" s="1" t="s">
        <v>534</v>
      </c>
      <c r="J124">
        <f>VLOOKUP(PREVIOS!F124&amp;VLOOKUP(PREVIOS!I124,PLAN!A:B,2,FALSE),CURSO!A:D,4,FALSE)</f>
        <v>18</v>
      </c>
      <c r="K124">
        <f>VLOOKUP(PREVIOS!H124,CICLO!A:B,2,FALSE)</f>
        <v>56</v>
      </c>
      <c r="L124">
        <f>VLOOKUP(PREVIOS!I124,PLAN!A:B,2,FALSE)</f>
        <v>5</v>
      </c>
    </row>
    <row r="125" spans="1:12" x14ac:dyDescent="0.25">
      <c r="A125" t="str">
        <f t="shared" si="1"/>
        <v>A665M220C1</v>
      </c>
      <c r="C125">
        <v>124</v>
      </c>
      <c r="D125">
        <f>VLOOKUP(PREVIOS!C125,ALUMNOS!A:B,2,FALSE)</f>
        <v>665</v>
      </c>
      <c r="E125">
        <f>VLOOKUP(PREVIOS!E125&amp;'TABLA PREVIOS'!J125,MATERIAS!A:H,7,FALSE)</f>
        <v>220</v>
      </c>
      <c r="F125">
        <f>VLOOKUP(PREVIOS!G125,CONDICION!A:B,2,FALSE)</f>
        <v>1</v>
      </c>
      <c r="G125">
        <f>IF(PREVIOS!AG125=1,1,VLOOKUP(PREVIOS!AG125,CALIFICACION!A:C,3,FALSE))</f>
        <v>1</v>
      </c>
      <c r="H125" s="1" t="s">
        <v>534</v>
      </c>
      <c r="I125" s="1" t="s">
        <v>534</v>
      </c>
      <c r="J125">
        <f>VLOOKUP(PREVIOS!F125&amp;VLOOKUP(PREVIOS!I125,PLAN!A:B,2,FALSE),CURSO!A:D,4,FALSE)</f>
        <v>17</v>
      </c>
      <c r="K125">
        <f>VLOOKUP(PREVIOS!H125,CICLO!A:B,2,FALSE)</f>
        <v>55</v>
      </c>
      <c r="L125">
        <f>VLOOKUP(PREVIOS!I125,PLAN!A:B,2,FALSE)</f>
        <v>5</v>
      </c>
    </row>
    <row r="126" spans="1:12" x14ac:dyDescent="0.25">
      <c r="A126" t="str">
        <f t="shared" si="1"/>
        <v>A665M229C3</v>
      </c>
      <c r="C126">
        <v>125</v>
      </c>
      <c r="D126">
        <f>VLOOKUP(PREVIOS!C126,ALUMNOS!A:B,2,FALSE)</f>
        <v>665</v>
      </c>
      <c r="E126">
        <f>VLOOKUP(PREVIOS!E126&amp;'TABLA PREVIOS'!J126,MATERIAS!A:H,7,FALSE)</f>
        <v>229</v>
      </c>
      <c r="F126">
        <f>VLOOKUP(PREVIOS!G126,CONDICION!A:B,2,FALSE)</f>
        <v>3</v>
      </c>
      <c r="G126">
        <f>IF(PREVIOS!AG126=1,1,VLOOKUP(PREVIOS!AG126,CALIFICACION!A:C,3,FALSE))</f>
        <v>1</v>
      </c>
      <c r="H126" s="1" t="s">
        <v>534</v>
      </c>
      <c r="I126" s="1" t="s">
        <v>534</v>
      </c>
      <c r="J126">
        <f>VLOOKUP(PREVIOS!F126&amp;VLOOKUP(PREVIOS!I126,PLAN!A:B,2,FALSE),CURSO!A:D,4,FALSE)</f>
        <v>18</v>
      </c>
      <c r="K126">
        <f>VLOOKUP(PREVIOS!H126,CICLO!A:B,2,FALSE)</f>
        <v>56</v>
      </c>
      <c r="L126">
        <f>VLOOKUP(PREVIOS!I126,PLAN!A:B,2,FALSE)</f>
        <v>5</v>
      </c>
    </row>
    <row r="127" spans="1:12" x14ac:dyDescent="0.25">
      <c r="A127" t="str">
        <f t="shared" si="1"/>
        <v>A665M230C1</v>
      </c>
      <c r="C127">
        <v>126</v>
      </c>
      <c r="D127">
        <f>VLOOKUP(PREVIOS!C127,ALUMNOS!A:B,2,FALSE)</f>
        <v>665</v>
      </c>
      <c r="E127">
        <f>VLOOKUP(PREVIOS!E127&amp;'TABLA PREVIOS'!J127,MATERIAS!A:H,7,FALSE)</f>
        <v>230</v>
      </c>
      <c r="F127">
        <f>VLOOKUP(PREVIOS!G127,CONDICION!A:B,2,FALSE)</f>
        <v>1</v>
      </c>
      <c r="G127">
        <f>IF(PREVIOS!AG127=1,1,VLOOKUP(PREVIOS!AG127,CALIFICACION!A:C,3,FALSE))</f>
        <v>1</v>
      </c>
      <c r="H127" s="1" t="s">
        <v>534</v>
      </c>
      <c r="I127" s="1" t="s">
        <v>534</v>
      </c>
      <c r="J127">
        <f>VLOOKUP(PREVIOS!F127&amp;VLOOKUP(PREVIOS!I127,PLAN!A:B,2,FALSE),CURSO!A:D,4,FALSE)</f>
        <v>18</v>
      </c>
      <c r="K127">
        <f>VLOOKUP(PREVIOS!H127,CICLO!A:B,2,FALSE)</f>
        <v>56</v>
      </c>
      <c r="L127">
        <f>VLOOKUP(PREVIOS!I127,PLAN!A:B,2,FALSE)</f>
        <v>5</v>
      </c>
    </row>
    <row r="128" spans="1:12" x14ac:dyDescent="0.25">
      <c r="A128" t="str">
        <f t="shared" si="1"/>
        <v>A736M225C1</v>
      </c>
      <c r="C128">
        <v>127</v>
      </c>
      <c r="D128">
        <f>VLOOKUP(PREVIOS!C128,ALUMNOS!A:B,2,FALSE)</f>
        <v>736</v>
      </c>
      <c r="E128">
        <f>VLOOKUP(PREVIOS!E128&amp;'TABLA PREVIOS'!J128,MATERIAS!A:H,7,FALSE)</f>
        <v>225</v>
      </c>
      <c r="F128">
        <f>VLOOKUP(PREVIOS!G128,CONDICION!A:B,2,FALSE)</f>
        <v>1</v>
      </c>
      <c r="G128">
        <f>IF(PREVIOS!AG128=1,1,VLOOKUP(PREVIOS!AG128,CALIFICACION!A:C,3,FALSE))</f>
        <v>1</v>
      </c>
      <c r="H128" s="1" t="s">
        <v>534</v>
      </c>
      <c r="I128" s="1" t="s">
        <v>534</v>
      </c>
      <c r="J128">
        <f>VLOOKUP(PREVIOS!F128&amp;VLOOKUP(PREVIOS!I128,PLAN!A:B,2,FALSE),CURSO!A:D,4,FALSE)</f>
        <v>17</v>
      </c>
      <c r="K128">
        <f>VLOOKUP(PREVIOS!H128,CICLO!A:B,2,FALSE)</f>
        <v>53</v>
      </c>
      <c r="L128">
        <f>VLOOKUP(PREVIOS!I128,PLAN!A:B,2,FALSE)</f>
        <v>5</v>
      </c>
    </row>
    <row r="129" spans="1:12" x14ac:dyDescent="0.25">
      <c r="A129" t="str">
        <f t="shared" si="1"/>
        <v>A736M234C1</v>
      </c>
      <c r="C129">
        <v>128</v>
      </c>
      <c r="D129">
        <f>VLOOKUP(PREVIOS!C129,ALUMNOS!A:B,2,FALSE)</f>
        <v>736</v>
      </c>
      <c r="E129">
        <f>VLOOKUP(PREVIOS!E129&amp;'TABLA PREVIOS'!J129,MATERIAS!A:H,7,FALSE)</f>
        <v>234</v>
      </c>
      <c r="F129">
        <f>VLOOKUP(PREVIOS!G129,CONDICION!A:B,2,FALSE)</f>
        <v>1</v>
      </c>
      <c r="G129">
        <f>IF(PREVIOS!AG129=1,1,VLOOKUP(PREVIOS!AG129,CALIFICACION!A:C,3,FALSE))</f>
        <v>1</v>
      </c>
      <c r="H129" s="1" t="s">
        <v>534</v>
      </c>
      <c r="I129" s="1" t="s">
        <v>534</v>
      </c>
      <c r="J129">
        <f>VLOOKUP(PREVIOS!F129&amp;VLOOKUP(PREVIOS!I129,PLAN!A:B,2,FALSE),CURSO!A:D,4,FALSE)</f>
        <v>18</v>
      </c>
      <c r="K129">
        <f>VLOOKUP(PREVIOS!H129,CICLO!A:B,2,FALSE)</f>
        <v>54</v>
      </c>
      <c r="L129">
        <f>VLOOKUP(PREVIOS!I129,PLAN!A:B,2,FALSE)</f>
        <v>5</v>
      </c>
    </row>
    <row r="130" spans="1:12" x14ac:dyDescent="0.25">
      <c r="A130" t="str">
        <f t="shared" si="1"/>
        <v>A742M220C1</v>
      </c>
      <c r="C130">
        <v>129</v>
      </c>
      <c r="D130">
        <f>VLOOKUP(PREVIOS!C130,ALUMNOS!A:B,2,FALSE)</f>
        <v>742</v>
      </c>
      <c r="E130">
        <f>VLOOKUP(PREVIOS!E130&amp;'TABLA PREVIOS'!J130,MATERIAS!A:H,7,FALSE)</f>
        <v>220</v>
      </c>
      <c r="F130">
        <f>VLOOKUP(PREVIOS!G130,CONDICION!A:B,2,FALSE)</f>
        <v>1</v>
      </c>
      <c r="G130">
        <f>IF(PREVIOS!AG130=1,1,VLOOKUP(PREVIOS!AG130,CALIFICACION!A:C,3,FALSE))</f>
        <v>1</v>
      </c>
      <c r="H130" s="1" t="s">
        <v>534</v>
      </c>
      <c r="I130" s="1" t="s">
        <v>534</v>
      </c>
      <c r="J130">
        <f>VLOOKUP(PREVIOS!F130&amp;VLOOKUP(PREVIOS!I130,PLAN!A:B,2,FALSE),CURSO!A:D,4,FALSE)</f>
        <v>17</v>
      </c>
      <c r="K130">
        <f>VLOOKUP(PREVIOS!H130,CICLO!A:B,2,FALSE)</f>
        <v>53</v>
      </c>
      <c r="L130">
        <f>VLOOKUP(PREVIOS!I130,PLAN!A:B,2,FALSE)</f>
        <v>5</v>
      </c>
    </row>
    <row r="131" spans="1:12" x14ac:dyDescent="0.25">
      <c r="A131" t="str">
        <f t="shared" ref="A131:A194" si="2">"A"&amp;D131&amp;"M"&amp;E131&amp;"C"&amp;F131</f>
        <v>A742M234C1</v>
      </c>
      <c r="C131">
        <v>130</v>
      </c>
      <c r="D131">
        <f>VLOOKUP(PREVIOS!C131,ALUMNOS!A:B,2,FALSE)</f>
        <v>742</v>
      </c>
      <c r="E131">
        <f>VLOOKUP(PREVIOS!E131&amp;'TABLA PREVIOS'!J131,MATERIAS!A:H,7,FALSE)</f>
        <v>234</v>
      </c>
      <c r="F131">
        <f>VLOOKUP(PREVIOS!G131,CONDICION!A:B,2,FALSE)</f>
        <v>1</v>
      </c>
      <c r="G131">
        <f>IF(PREVIOS!AG131=1,1,VLOOKUP(PREVIOS!AG131,CALIFICACION!A:C,3,FALSE))</f>
        <v>1</v>
      </c>
      <c r="H131" s="1" t="s">
        <v>534</v>
      </c>
      <c r="I131" s="1" t="s">
        <v>534</v>
      </c>
      <c r="J131">
        <f>VLOOKUP(PREVIOS!F131&amp;VLOOKUP(PREVIOS!I131,PLAN!A:B,2,FALSE),CURSO!A:D,4,FALSE)</f>
        <v>18</v>
      </c>
      <c r="K131">
        <f>VLOOKUP(PREVIOS!H131,CICLO!A:B,2,FALSE)</f>
        <v>54</v>
      </c>
      <c r="L131">
        <f>VLOOKUP(PREVIOS!I131,PLAN!A:B,2,FALSE)</f>
        <v>5</v>
      </c>
    </row>
    <row r="132" spans="1:12" x14ac:dyDescent="0.25">
      <c r="A132" t="str">
        <f t="shared" si="2"/>
        <v>A5M220C1</v>
      </c>
      <c r="C132">
        <v>131</v>
      </c>
      <c r="D132">
        <f>VLOOKUP(PREVIOS!C132,ALUMNOS!A:B,2,FALSE)</f>
        <v>5</v>
      </c>
      <c r="E132">
        <f>VLOOKUP(PREVIOS!E132&amp;'TABLA PREVIOS'!J132,MATERIAS!A:H,7,FALSE)</f>
        <v>220</v>
      </c>
      <c r="F132">
        <f>VLOOKUP(PREVIOS!G132,CONDICION!A:B,2,FALSE)</f>
        <v>1</v>
      </c>
      <c r="G132">
        <f>IF(PREVIOS!AG132=1,1,VLOOKUP(PREVIOS!AG132,CALIFICACION!A:C,3,FALSE))</f>
        <v>1</v>
      </c>
      <c r="H132" s="1" t="s">
        <v>534</v>
      </c>
      <c r="I132" s="1" t="s">
        <v>534</v>
      </c>
      <c r="J132">
        <f>VLOOKUP(PREVIOS!F132&amp;VLOOKUP(PREVIOS!I132,PLAN!A:B,2,FALSE),CURSO!A:D,4,FALSE)</f>
        <v>17</v>
      </c>
      <c r="K132">
        <f>VLOOKUP(PREVIOS!H132,CICLO!A:B,2,FALSE)</f>
        <v>54</v>
      </c>
      <c r="L132">
        <f>VLOOKUP(PREVIOS!I132,PLAN!A:B,2,FALSE)</f>
        <v>5</v>
      </c>
    </row>
    <row r="133" spans="1:12" x14ac:dyDescent="0.25">
      <c r="A133" t="str">
        <f t="shared" si="2"/>
        <v>A5M230C1</v>
      </c>
      <c r="C133">
        <v>132</v>
      </c>
      <c r="D133">
        <f>VLOOKUP(PREVIOS!C133,ALUMNOS!A:B,2,FALSE)</f>
        <v>5</v>
      </c>
      <c r="E133">
        <f>VLOOKUP(PREVIOS!E133&amp;'TABLA PREVIOS'!J133,MATERIAS!A:H,7,FALSE)</f>
        <v>230</v>
      </c>
      <c r="F133">
        <f>VLOOKUP(PREVIOS!G133,CONDICION!A:B,2,FALSE)</f>
        <v>1</v>
      </c>
      <c r="G133">
        <f>IF(PREVIOS!AG133=1,1,VLOOKUP(PREVIOS!AG133,CALIFICACION!A:C,3,FALSE))</f>
        <v>1</v>
      </c>
      <c r="H133" s="1" t="s">
        <v>534</v>
      </c>
      <c r="I133" s="1" t="s">
        <v>534</v>
      </c>
      <c r="J133">
        <f>VLOOKUP(PREVIOS!F133&amp;VLOOKUP(PREVIOS!I133,PLAN!A:B,2,FALSE),CURSO!A:D,4,FALSE)</f>
        <v>18</v>
      </c>
      <c r="K133">
        <f>VLOOKUP(PREVIOS!H133,CICLO!A:B,2,FALSE)</f>
        <v>56</v>
      </c>
      <c r="L133">
        <f>VLOOKUP(PREVIOS!I133,PLAN!A:B,2,FALSE)</f>
        <v>5</v>
      </c>
    </row>
    <row r="134" spans="1:12" x14ac:dyDescent="0.25">
      <c r="A134" t="str">
        <f t="shared" si="2"/>
        <v>A97M229C1</v>
      </c>
      <c r="C134">
        <v>133</v>
      </c>
      <c r="D134">
        <f>VLOOKUP(PREVIOS!C134,ALUMNOS!A:B,2,FALSE)</f>
        <v>97</v>
      </c>
      <c r="E134">
        <f>VLOOKUP(PREVIOS!E134&amp;'TABLA PREVIOS'!J134,MATERIAS!A:H,7,FALSE)</f>
        <v>229</v>
      </c>
      <c r="F134">
        <f>VLOOKUP(PREVIOS!G134,CONDICION!A:B,2,FALSE)</f>
        <v>1</v>
      </c>
      <c r="G134">
        <f>IF(PREVIOS!AG134=1,1,VLOOKUP(PREVIOS!AG134,CALIFICACION!A:C,3,FALSE))</f>
        <v>1</v>
      </c>
      <c r="H134" s="1" t="s">
        <v>534</v>
      </c>
      <c r="I134" s="1" t="s">
        <v>534</v>
      </c>
      <c r="J134">
        <f>VLOOKUP(PREVIOS!F134&amp;VLOOKUP(PREVIOS!I134,PLAN!A:B,2,FALSE),CURSO!A:D,4,FALSE)</f>
        <v>18</v>
      </c>
      <c r="K134">
        <f>VLOOKUP(PREVIOS!H134,CICLO!A:B,2,FALSE)</f>
        <v>56</v>
      </c>
      <c r="L134">
        <f>VLOOKUP(PREVIOS!I134,PLAN!A:B,2,FALSE)</f>
        <v>5</v>
      </c>
    </row>
    <row r="135" spans="1:12" x14ac:dyDescent="0.25">
      <c r="A135" t="str">
        <f t="shared" si="2"/>
        <v>A97M230C1</v>
      </c>
      <c r="C135">
        <v>134</v>
      </c>
      <c r="D135">
        <f>VLOOKUP(PREVIOS!C135,ALUMNOS!A:B,2,FALSE)</f>
        <v>97</v>
      </c>
      <c r="E135">
        <f>VLOOKUP(PREVIOS!E135&amp;'TABLA PREVIOS'!J135,MATERIAS!A:H,7,FALSE)</f>
        <v>230</v>
      </c>
      <c r="F135">
        <f>VLOOKUP(PREVIOS!G135,CONDICION!A:B,2,FALSE)</f>
        <v>1</v>
      </c>
      <c r="G135">
        <f>IF(PREVIOS!AG135=1,1,VLOOKUP(PREVIOS!AG135,CALIFICACION!A:C,3,FALSE))</f>
        <v>9</v>
      </c>
      <c r="H135" s="1" t="s">
        <v>534</v>
      </c>
      <c r="I135" s="1" t="s">
        <v>534</v>
      </c>
      <c r="J135">
        <f>VLOOKUP(PREVIOS!F135&amp;VLOOKUP(PREVIOS!I135,PLAN!A:B,2,FALSE),CURSO!A:D,4,FALSE)</f>
        <v>18</v>
      </c>
      <c r="K135">
        <f>VLOOKUP(PREVIOS!H135,CICLO!A:B,2,FALSE)</f>
        <v>56</v>
      </c>
      <c r="L135">
        <f>VLOOKUP(PREVIOS!I135,PLAN!A:B,2,FALSE)</f>
        <v>5</v>
      </c>
    </row>
    <row r="136" spans="1:12" x14ac:dyDescent="0.25">
      <c r="A136" t="str">
        <f t="shared" si="2"/>
        <v>A227M234C1</v>
      </c>
      <c r="C136">
        <v>135</v>
      </c>
      <c r="D136">
        <f>VLOOKUP(PREVIOS!C136,ALUMNOS!A:B,2,FALSE)</f>
        <v>227</v>
      </c>
      <c r="E136">
        <f>VLOOKUP(PREVIOS!E136&amp;'TABLA PREVIOS'!J136,MATERIAS!A:H,7,FALSE)</f>
        <v>234</v>
      </c>
      <c r="F136">
        <f>VLOOKUP(PREVIOS!G136,CONDICION!A:B,2,FALSE)</f>
        <v>1</v>
      </c>
      <c r="G136">
        <f>IF(PREVIOS!AG136=1,1,VLOOKUP(PREVIOS!AG136,CALIFICACION!A:C,3,FALSE))</f>
        <v>1</v>
      </c>
      <c r="H136" s="1" t="s">
        <v>534</v>
      </c>
      <c r="I136" s="1" t="s">
        <v>534</v>
      </c>
      <c r="J136">
        <f>VLOOKUP(PREVIOS!F136&amp;VLOOKUP(PREVIOS!I136,PLAN!A:B,2,FALSE),CURSO!A:D,4,FALSE)</f>
        <v>18</v>
      </c>
      <c r="K136">
        <f>VLOOKUP(PREVIOS!H136,CICLO!A:B,2,FALSE)</f>
        <v>54</v>
      </c>
      <c r="L136">
        <f>VLOOKUP(PREVIOS!I136,PLAN!A:B,2,FALSE)</f>
        <v>5</v>
      </c>
    </row>
    <row r="137" spans="1:12" x14ac:dyDescent="0.25">
      <c r="A137" t="str">
        <f t="shared" si="2"/>
        <v>A227M230C1</v>
      </c>
      <c r="C137">
        <v>136</v>
      </c>
      <c r="D137">
        <f>VLOOKUP(PREVIOS!C137,ALUMNOS!A:B,2,FALSE)</f>
        <v>227</v>
      </c>
      <c r="E137">
        <f>VLOOKUP(PREVIOS!E137&amp;'TABLA PREVIOS'!J137,MATERIAS!A:H,7,FALSE)</f>
        <v>230</v>
      </c>
      <c r="F137">
        <f>VLOOKUP(PREVIOS!G137,CONDICION!A:B,2,FALSE)</f>
        <v>1</v>
      </c>
      <c r="G137">
        <f>IF(PREVIOS!AG137=1,1,VLOOKUP(PREVIOS!AG137,CALIFICACION!A:C,3,FALSE))</f>
        <v>1</v>
      </c>
      <c r="H137" s="1" t="s">
        <v>534</v>
      </c>
      <c r="I137" s="1" t="s">
        <v>534</v>
      </c>
      <c r="J137">
        <f>VLOOKUP(PREVIOS!F137&amp;VLOOKUP(PREVIOS!I137,PLAN!A:B,2,FALSE),CURSO!A:D,4,FALSE)</f>
        <v>18</v>
      </c>
      <c r="K137">
        <f>VLOOKUP(PREVIOS!H137,CICLO!A:B,2,FALSE)</f>
        <v>54</v>
      </c>
      <c r="L137">
        <f>VLOOKUP(PREVIOS!I137,PLAN!A:B,2,FALSE)</f>
        <v>5</v>
      </c>
    </row>
    <row r="138" spans="1:12" x14ac:dyDescent="0.25">
      <c r="A138" t="str">
        <f t="shared" si="2"/>
        <v>A356M229C1</v>
      </c>
      <c r="C138">
        <v>137</v>
      </c>
      <c r="D138">
        <f>VLOOKUP(PREVIOS!C138,ALUMNOS!A:B,2,FALSE)</f>
        <v>356</v>
      </c>
      <c r="E138">
        <f>VLOOKUP(PREVIOS!E138&amp;'TABLA PREVIOS'!J138,MATERIAS!A:H,7,FALSE)</f>
        <v>229</v>
      </c>
      <c r="F138">
        <f>VLOOKUP(PREVIOS!G138,CONDICION!A:B,2,FALSE)</f>
        <v>1</v>
      </c>
      <c r="G138">
        <f>IF(PREVIOS!AG138=1,1,VLOOKUP(PREVIOS!AG138,CALIFICACION!A:C,3,FALSE))</f>
        <v>1</v>
      </c>
      <c r="H138" s="1" t="s">
        <v>534</v>
      </c>
      <c r="I138" s="1" t="s">
        <v>534</v>
      </c>
      <c r="J138">
        <f>VLOOKUP(PREVIOS!F138&amp;VLOOKUP(PREVIOS!I138,PLAN!A:B,2,FALSE),CURSO!A:D,4,FALSE)</f>
        <v>18</v>
      </c>
      <c r="K138">
        <f>VLOOKUP(PREVIOS!H138,CICLO!A:B,2,FALSE)</f>
        <v>56</v>
      </c>
      <c r="L138">
        <f>VLOOKUP(PREVIOS!I138,PLAN!A:B,2,FALSE)</f>
        <v>5</v>
      </c>
    </row>
    <row r="139" spans="1:12" x14ac:dyDescent="0.25">
      <c r="A139" t="str">
        <f t="shared" si="2"/>
        <v>A356M230C1</v>
      </c>
      <c r="C139">
        <v>138</v>
      </c>
      <c r="D139">
        <f>VLOOKUP(PREVIOS!C139,ALUMNOS!A:B,2,FALSE)</f>
        <v>356</v>
      </c>
      <c r="E139">
        <f>VLOOKUP(PREVIOS!E139&amp;'TABLA PREVIOS'!J139,MATERIAS!A:H,7,FALSE)</f>
        <v>230</v>
      </c>
      <c r="F139">
        <f>VLOOKUP(PREVIOS!G139,CONDICION!A:B,2,FALSE)</f>
        <v>1</v>
      </c>
      <c r="G139">
        <f>IF(PREVIOS!AG139=1,1,VLOOKUP(PREVIOS!AG139,CALIFICACION!A:C,3,FALSE))</f>
        <v>1</v>
      </c>
      <c r="H139" s="1" t="s">
        <v>534</v>
      </c>
      <c r="I139" s="1" t="s">
        <v>534</v>
      </c>
      <c r="J139">
        <f>VLOOKUP(PREVIOS!F139&amp;VLOOKUP(PREVIOS!I139,PLAN!A:B,2,FALSE),CURSO!A:D,4,FALSE)</f>
        <v>18</v>
      </c>
      <c r="K139">
        <f>VLOOKUP(PREVIOS!H139,CICLO!A:B,2,FALSE)</f>
        <v>56</v>
      </c>
      <c r="L139">
        <f>VLOOKUP(PREVIOS!I139,PLAN!A:B,2,FALSE)</f>
        <v>5</v>
      </c>
    </row>
    <row r="140" spans="1:12" x14ac:dyDescent="0.25">
      <c r="A140" t="str">
        <f t="shared" si="2"/>
        <v>A391M220C1</v>
      </c>
      <c r="C140">
        <v>139</v>
      </c>
      <c r="D140">
        <f>VLOOKUP(PREVIOS!C140,ALUMNOS!A:B,2,FALSE)</f>
        <v>391</v>
      </c>
      <c r="E140">
        <f>VLOOKUP(PREVIOS!E140&amp;'TABLA PREVIOS'!J140,MATERIAS!A:H,7,FALSE)</f>
        <v>220</v>
      </c>
      <c r="F140">
        <f>VLOOKUP(PREVIOS!G140,CONDICION!A:B,2,FALSE)</f>
        <v>1</v>
      </c>
      <c r="G140">
        <f>IF(PREVIOS!AG140=1,1,VLOOKUP(PREVIOS!AG140,CALIFICACION!A:C,3,FALSE))</f>
        <v>1</v>
      </c>
      <c r="H140" s="1" t="s">
        <v>534</v>
      </c>
      <c r="I140" s="1" t="s">
        <v>534</v>
      </c>
      <c r="J140">
        <f>VLOOKUP(PREVIOS!F140&amp;VLOOKUP(PREVIOS!I140,PLAN!A:B,2,FALSE),CURSO!A:D,4,FALSE)</f>
        <v>17</v>
      </c>
      <c r="K140">
        <f>VLOOKUP(PREVIOS!H140,CICLO!A:B,2,FALSE)</f>
        <v>54</v>
      </c>
      <c r="L140">
        <f>VLOOKUP(PREVIOS!I140,PLAN!A:B,2,FALSE)</f>
        <v>5</v>
      </c>
    </row>
    <row r="141" spans="1:12" x14ac:dyDescent="0.25">
      <c r="A141" t="str">
        <f t="shared" si="2"/>
        <v>A391M229C1</v>
      </c>
      <c r="C141">
        <v>140</v>
      </c>
      <c r="D141">
        <f>VLOOKUP(PREVIOS!C141,ALUMNOS!A:B,2,FALSE)</f>
        <v>391</v>
      </c>
      <c r="E141">
        <f>VLOOKUP(PREVIOS!E141&amp;'TABLA PREVIOS'!J141,MATERIAS!A:H,7,FALSE)</f>
        <v>229</v>
      </c>
      <c r="F141">
        <f>VLOOKUP(PREVIOS!G141,CONDICION!A:B,2,FALSE)</f>
        <v>1</v>
      </c>
      <c r="G141">
        <f>IF(PREVIOS!AG141=1,1,VLOOKUP(PREVIOS!AG141,CALIFICACION!A:C,3,FALSE))</f>
        <v>1</v>
      </c>
      <c r="H141" s="1" t="s">
        <v>534</v>
      </c>
      <c r="I141" s="1" t="s">
        <v>534</v>
      </c>
      <c r="J141">
        <f>VLOOKUP(PREVIOS!F141&amp;VLOOKUP(PREVIOS!I141,PLAN!A:B,2,FALSE),CURSO!A:D,4,FALSE)</f>
        <v>18</v>
      </c>
      <c r="K141">
        <f>VLOOKUP(PREVIOS!H141,CICLO!A:B,2,FALSE)</f>
        <v>56</v>
      </c>
      <c r="L141">
        <f>VLOOKUP(PREVIOS!I141,PLAN!A:B,2,FALSE)</f>
        <v>5</v>
      </c>
    </row>
    <row r="142" spans="1:12" x14ac:dyDescent="0.25">
      <c r="A142" t="str">
        <f t="shared" si="2"/>
        <v>A391M230C1</v>
      </c>
      <c r="C142">
        <v>141</v>
      </c>
      <c r="D142">
        <f>VLOOKUP(PREVIOS!C142,ALUMNOS!A:B,2,FALSE)</f>
        <v>391</v>
      </c>
      <c r="E142">
        <f>VLOOKUP(PREVIOS!E142&amp;'TABLA PREVIOS'!J142,MATERIAS!A:H,7,FALSE)</f>
        <v>230</v>
      </c>
      <c r="F142">
        <f>VLOOKUP(PREVIOS!G142,CONDICION!A:B,2,FALSE)</f>
        <v>1</v>
      </c>
      <c r="G142">
        <f>IF(PREVIOS!AG142=1,1,VLOOKUP(PREVIOS!AG142,CALIFICACION!A:C,3,FALSE))</f>
        <v>1</v>
      </c>
      <c r="H142" s="1" t="s">
        <v>534</v>
      </c>
      <c r="I142" s="1" t="s">
        <v>534</v>
      </c>
      <c r="J142">
        <f>VLOOKUP(PREVIOS!F142&amp;VLOOKUP(PREVIOS!I142,PLAN!A:B,2,FALSE),CURSO!A:D,4,FALSE)</f>
        <v>18</v>
      </c>
      <c r="K142">
        <f>VLOOKUP(PREVIOS!H142,CICLO!A:B,2,FALSE)</f>
        <v>56</v>
      </c>
      <c r="L142">
        <f>VLOOKUP(PREVIOS!I142,PLAN!A:B,2,FALSE)</f>
        <v>5</v>
      </c>
    </row>
    <row r="143" spans="1:12" x14ac:dyDescent="0.25">
      <c r="A143" t="str">
        <f t="shared" si="2"/>
        <v>A490M230C1</v>
      </c>
      <c r="C143">
        <v>142</v>
      </c>
      <c r="D143">
        <f>VLOOKUP(PREVIOS!C143,ALUMNOS!A:B,2,FALSE)</f>
        <v>490</v>
      </c>
      <c r="E143">
        <f>VLOOKUP(PREVIOS!E143&amp;'TABLA PREVIOS'!J143,MATERIAS!A:H,7,FALSE)</f>
        <v>230</v>
      </c>
      <c r="F143">
        <f>VLOOKUP(PREVIOS!G143,CONDICION!A:B,2,FALSE)</f>
        <v>1</v>
      </c>
      <c r="G143">
        <f>IF(PREVIOS!AG143=1,1,VLOOKUP(PREVIOS!AG143,CALIFICACION!A:C,3,FALSE))</f>
        <v>1</v>
      </c>
      <c r="H143" s="1" t="s">
        <v>534</v>
      </c>
      <c r="I143" s="1" t="s">
        <v>534</v>
      </c>
      <c r="J143">
        <f>VLOOKUP(PREVIOS!F143&amp;VLOOKUP(PREVIOS!I143,PLAN!A:B,2,FALSE),CURSO!A:D,4,FALSE)</f>
        <v>18</v>
      </c>
      <c r="K143">
        <f>VLOOKUP(PREVIOS!H143,CICLO!A:B,2,FALSE)</f>
        <v>56</v>
      </c>
      <c r="L143">
        <f>VLOOKUP(PREVIOS!I143,PLAN!A:B,2,FALSE)</f>
        <v>5</v>
      </c>
    </row>
    <row r="144" spans="1:12" x14ac:dyDescent="0.25">
      <c r="A144" t="str">
        <f t="shared" si="2"/>
        <v>A558M230C1</v>
      </c>
      <c r="C144">
        <v>143</v>
      </c>
      <c r="D144">
        <f>VLOOKUP(PREVIOS!C144,ALUMNOS!A:B,2,FALSE)</f>
        <v>558</v>
      </c>
      <c r="E144">
        <f>VLOOKUP(PREVIOS!E144&amp;'TABLA PREVIOS'!J144,MATERIAS!A:H,7,FALSE)</f>
        <v>230</v>
      </c>
      <c r="F144">
        <f>VLOOKUP(PREVIOS!G144,CONDICION!A:B,2,FALSE)</f>
        <v>1</v>
      </c>
      <c r="G144">
        <f>IF(PREVIOS!AG144=1,1,VLOOKUP(PREVIOS!AG144,CALIFICACION!A:C,3,FALSE))</f>
        <v>1</v>
      </c>
      <c r="H144" s="1" t="s">
        <v>534</v>
      </c>
      <c r="I144" s="1" t="s">
        <v>534</v>
      </c>
      <c r="J144">
        <f>VLOOKUP(PREVIOS!F144&amp;VLOOKUP(PREVIOS!I144,PLAN!A:B,2,FALSE),CURSO!A:D,4,FALSE)</f>
        <v>18</v>
      </c>
      <c r="K144">
        <f>VLOOKUP(PREVIOS!H144,CICLO!A:B,2,FALSE)</f>
        <v>56</v>
      </c>
      <c r="L144">
        <f>VLOOKUP(PREVIOS!I144,PLAN!A:B,2,FALSE)</f>
        <v>5</v>
      </c>
    </row>
    <row r="145" spans="1:12" x14ac:dyDescent="0.25">
      <c r="A145" t="str">
        <f t="shared" si="2"/>
        <v>A563M229C1</v>
      </c>
      <c r="C145">
        <v>144</v>
      </c>
      <c r="D145">
        <f>VLOOKUP(PREVIOS!C145,ALUMNOS!A:B,2,FALSE)</f>
        <v>563</v>
      </c>
      <c r="E145">
        <f>VLOOKUP(PREVIOS!E145&amp;'TABLA PREVIOS'!J145,MATERIAS!A:H,7,FALSE)</f>
        <v>229</v>
      </c>
      <c r="F145">
        <f>VLOOKUP(PREVIOS!G145,CONDICION!A:B,2,FALSE)</f>
        <v>1</v>
      </c>
      <c r="G145">
        <f>IF(PREVIOS!AG145=1,1,VLOOKUP(PREVIOS!AG145,CALIFICACION!A:C,3,FALSE))</f>
        <v>1</v>
      </c>
      <c r="H145" s="1" t="s">
        <v>534</v>
      </c>
      <c r="I145" s="1" t="s">
        <v>534</v>
      </c>
      <c r="J145">
        <f>VLOOKUP(PREVIOS!F145&amp;VLOOKUP(PREVIOS!I145,PLAN!A:B,2,FALSE),CURSO!A:D,4,FALSE)</f>
        <v>18</v>
      </c>
      <c r="K145">
        <f>VLOOKUP(PREVIOS!H145,CICLO!A:B,2,FALSE)</f>
        <v>56</v>
      </c>
      <c r="L145">
        <f>VLOOKUP(PREVIOS!I145,PLAN!A:B,2,FALSE)</f>
        <v>5</v>
      </c>
    </row>
    <row r="146" spans="1:12" x14ac:dyDescent="0.25">
      <c r="A146" t="str">
        <f t="shared" si="2"/>
        <v>A563M230C1</v>
      </c>
      <c r="C146">
        <v>145</v>
      </c>
      <c r="D146">
        <f>VLOOKUP(PREVIOS!C146,ALUMNOS!A:B,2,FALSE)</f>
        <v>563</v>
      </c>
      <c r="E146">
        <f>VLOOKUP(PREVIOS!E146&amp;'TABLA PREVIOS'!J146,MATERIAS!A:H,7,FALSE)</f>
        <v>230</v>
      </c>
      <c r="F146">
        <f>VLOOKUP(PREVIOS!G146,CONDICION!A:B,2,FALSE)</f>
        <v>1</v>
      </c>
      <c r="G146">
        <f>IF(PREVIOS!AG146=1,1,VLOOKUP(PREVIOS!AG146,CALIFICACION!A:C,3,FALSE))</f>
        <v>1</v>
      </c>
      <c r="H146" s="1" t="s">
        <v>534</v>
      </c>
      <c r="I146" s="1" t="s">
        <v>534</v>
      </c>
      <c r="J146">
        <f>VLOOKUP(PREVIOS!F146&amp;VLOOKUP(PREVIOS!I146,PLAN!A:B,2,FALSE),CURSO!A:D,4,FALSE)</f>
        <v>18</v>
      </c>
      <c r="K146">
        <f>VLOOKUP(PREVIOS!H146,CICLO!A:B,2,FALSE)</f>
        <v>56</v>
      </c>
      <c r="L146">
        <f>VLOOKUP(PREVIOS!I146,PLAN!A:B,2,FALSE)</f>
        <v>5</v>
      </c>
    </row>
    <row r="147" spans="1:12" x14ac:dyDescent="0.25">
      <c r="A147" t="str">
        <f t="shared" si="2"/>
        <v>A610M230C1</v>
      </c>
      <c r="C147">
        <v>146</v>
      </c>
      <c r="D147">
        <f>VLOOKUP(PREVIOS!C147,ALUMNOS!A:B,2,FALSE)</f>
        <v>610</v>
      </c>
      <c r="E147">
        <f>VLOOKUP(PREVIOS!E147&amp;'TABLA PREVIOS'!J147,MATERIAS!A:H,7,FALSE)</f>
        <v>230</v>
      </c>
      <c r="F147">
        <f>VLOOKUP(PREVIOS!G147,CONDICION!A:B,2,FALSE)</f>
        <v>1</v>
      </c>
      <c r="G147">
        <f>IF(PREVIOS!AG147=1,1,VLOOKUP(PREVIOS!AG147,CALIFICACION!A:C,3,FALSE))</f>
        <v>9</v>
      </c>
      <c r="H147" s="1" t="s">
        <v>534</v>
      </c>
      <c r="I147" s="1" t="s">
        <v>534</v>
      </c>
      <c r="J147">
        <f>VLOOKUP(PREVIOS!F147&amp;VLOOKUP(PREVIOS!I147,PLAN!A:B,2,FALSE),CURSO!A:D,4,FALSE)</f>
        <v>18</v>
      </c>
      <c r="K147">
        <f>VLOOKUP(PREVIOS!H147,CICLO!A:B,2,FALSE)</f>
        <v>56</v>
      </c>
      <c r="L147">
        <f>VLOOKUP(PREVIOS!I147,PLAN!A:B,2,FALSE)</f>
        <v>5</v>
      </c>
    </row>
    <row r="148" spans="1:12" x14ac:dyDescent="0.25">
      <c r="A148" t="str">
        <f t="shared" si="2"/>
        <v>A799M229C1</v>
      </c>
      <c r="C148">
        <v>147</v>
      </c>
      <c r="D148">
        <f>VLOOKUP(PREVIOS!C148,ALUMNOS!A:B,2,FALSE)</f>
        <v>799</v>
      </c>
      <c r="E148">
        <f>VLOOKUP(PREVIOS!E148&amp;'TABLA PREVIOS'!J148,MATERIAS!A:H,7,FALSE)</f>
        <v>229</v>
      </c>
      <c r="F148">
        <f>VLOOKUP(PREVIOS!G148,CONDICION!A:B,2,FALSE)</f>
        <v>1</v>
      </c>
      <c r="G148">
        <f>IF(PREVIOS!AG148=1,1,VLOOKUP(PREVIOS!AG148,CALIFICACION!A:C,3,FALSE))</f>
        <v>1</v>
      </c>
      <c r="H148" s="1" t="s">
        <v>534</v>
      </c>
      <c r="I148" s="1" t="s">
        <v>534</v>
      </c>
      <c r="J148">
        <f>VLOOKUP(PREVIOS!F148&amp;VLOOKUP(PREVIOS!I148,PLAN!A:B,2,FALSE),CURSO!A:D,4,FALSE)</f>
        <v>18</v>
      </c>
      <c r="K148">
        <f>VLOOKUP(PREVIOS!H148,CICLO!A:B,2,FALSE)</f>
        <v>56</v>
      </c>
      <c r="L148">
        <f>VLOOKUP(PREVIOS!I148,PLAN!A:B,2,FALSE)</f>
        <v>5</v>
      </c>
    </row>
    <row r="149" spans="1:12" x14ac:dyDescent="0.25">
      <c r="A149" t="str">
        <f t="shared" si="2"/>
        <v>A799M230C1</v>
      </c>
      <c r="C149">
        <v>148</v>
      </c>
      <c r="D149">
        <f>VLOOKUP(PREVIOS!C149,ALUMNOS!A:B,2,FALSE)</f>
        <v>799</v>
      </c>
      <c r="E149">
        <f>VLOOKUP(PREVIOS!E149&amp;'TABLA PREVIOS'!J149,MATERIAS!A:H,7,FALSE)</f>
        <v>230</v>
      </c>
      <c r="F149">
        <f>VLOOKUP(PREVIOS!G149,CONDICION!A:B,2,FALSE)</f>
        <v>1</v>
      </c>
      <c r="G149">
        <f>IF(PREVIOS!AG149=1,1,VLOOKUP(PREVIOS!AG149,CALIFICACION!A:C,3,FALSE))</f>
        <v>1</v>
      </c>
      <c r="H149" s="1" t="s">
        <v>534</v>
      </c>
      <c r="I149" s="1" t="s">
        <v>534</v>
      </c>
      <c r="J149">
        <f>VLOOKUP(PREVIOS!F149&amp;VLOOKUP(PREVIOS!I149,PLAN!A:B,2,FALSE),CURSO!A:D,4,FALSE)</f>
        <v>18</v>
      </c>
      <c r="K149">
        <f>VLOOKUP(PREVIOS!H149,CICLO!A:B,2,FALSE)</f>
        <v>56</v>
      </c>
      <c r="L149">
        <f>VLOOKUP(PREVIOS!I149,PLAN!A:B,2,FALSE)</f>
        <v>5</v>
      </c>
    </row>
    <row r="150" spans="1:12" x14ac:dyDescent="0.25">
      <c r="A150" t="str">
        <f t="shared" si="2"/>
        <v>A741M220C1</v>
      </c>
      <c r="C150">
        <v>149</v>
      </c>
      <c r="D150">
        <f>VLOOKUP(PREVIOS!C150,ALUMNOS!A:B,2,FALSE)</f>
        <v>741</v>
      </c>
      <c r="E150">
        <f>VLOOKUP(PREVIOS!E150&amp;'TABLA PREVIOS'!J150,MATERIAS!A:H,7,FALSE)</f>
        <v>220</v>
      </c>
      <c r="F150">
        <f>VLOOKUP(PREVIOS!G150,CONDICION!A:B,2,FALSE)</f>
        <v>1</v>
      </c>
      <c r="G150">
        <f>IF(PREVIOS!AG150=1,1,VLOOKUP(PREVIOS!AG150,CALIFICACION!A:C,3,FALSE))</f>
        <v>1</v>
      </c>
      <c r="H150" s="1" t="s">
        <v>534</v>
      </c>
      <c r="I150" s="1" t="s">
        <v>534</v>
      </c>
      <c r="J150">
        <f>VLOOKUP(PREVIOS!F150&amp;VLOOKUP(PREVIOS!I150,PLAN!A:B,2,FALSE),CURSO!A:D,4,FALSE)</f>
        <v>17</v>
      </c>
      <c r="K150">
        <f>VLOOKUP(PREVIOS!H150,CICLO!A:B,2,FALSE)</f>
        <v>55</v>
      </c>
      <c r="L150">
        <f>VLOOKUP(PREVIOS!I150,PLAN!A:B,2,FALSE)</f>
        <v>5</v>
      </c>
    </row>
    <row r="151" spans="1:12" x14ac:dyDescent="0.25">
      <c r="A151" t="str">
        <f t="shared" si="2"/>
        <v>A741M230C1</v>
      </c>
      <c r="C151">
        <v>150</v>
      </c>
      <c r="D151">
        <f>VLOOKUP(PREVIOS!C151,ALUMNOS!A:B,2,FALSE)</f>
        <v>741</v>
      </c>
      <c r="E151">
        <f>VLOOKUP(PREVIOS!E151&amp;'TABLA PREVIOS'!J151,MATERIAS!A:H,7,FALSE)</f>
        <v>230</v>
      </c>
      <c r="F151">
        <f>VLOOKUP(PREVIOS!G151,CONDICION!A:B,2,FALSE)</f>
        <v>1</v>
      </c>
      <c r="G151">
        <f>IF(PREVIOS!AG151=1,1,VLOOKUP(PREVIOS!AG151,CALIFICACION!A:C,3,FALSE))</f>
        <v>1</v>
      </c>
      <c r="H151" s="1" t="s">
        <v>534</v>
      </c>
      <c r="I151" s="1" t="s">
        <v>534</v>
      </c>
      <c r="J151">
        <f>VLOOKUP(PREVIOS!F151&amp;VLOOKUP(PREVIOS!I151,PLAN!A:B,2,FALSE),CURSO!A:D,4,FALSE)</f>
        <v>18</v>
      </c>
      <c r="K151">
        <f>VLOOKUP(PREVIOS!H151,CICLO!A:B,2,FALSE)</f>
        <v>56</v>
      </c>
      <c r="L151">
        <f>VLOOKUP(PREVIOS!I151,PLAN!A:B,2,FALSE)</f>
        <v>5</v>
      </c>
    </row>
    <row r="152" spans="1:12" x14ac:dyDescent="0.25">
      <c r="A152" t="str">
        <f t="shared" si="2"/>
        <v>A23M223C1</v>
      </c>
      <c r="C152">
        <v>151</v>
      </c>
      <c r="D152">
        <f>VLOOKUP(PREVIOS!C152,ALUMNOS!A:B,2,FALSE)</f>
        <v>23</v>
      </c>
      <c r="E152">
        <f>VLOOKUP(PREVIOS!E152&amp;'TABLA PREVIOS'!J152,MATERIAS!A:H,7,FALSE)</f>
        <v>223</v>
      </c>
      <c r="F152">
        <f>VLOOKUP(PREVIOS!G152,CONDICION!A:B,2,FALSE)</f>
        <v>1</v>
      </c>
      <c r="G152">
        <f>IF(PREVIOS!AG152=1,1,VLOOKUP(PREVIOS!AG152,CALIFICACION!A:C,3,FALSE))</f>
        <v>1</v>
      </c>
      <c r="H152" s="1" t="s">
        <v>534</v>
      </c>
      <c r="I152" s="1" t="s">
        <v>534</v>
      </c>
      <c r="J152">
        <f>VLOOKUP(PREVIOS!F152&amp;VLOOKUP(PREVIOS!I152,PLAN!A:B,2,FALSE),CURSO!A:D,4,FALSE)</f>
        <v>17</v>
      </c>
      <c r="K152">
        <f>VLOOKUP(PREVIOS!H152,CICLO!A:B,2,FALSE)</f>
        <v>51</v>
      </c>
      <c r="L152">
        <f>VLOOKUP(PREVIOS!I152,PLAN!A:B,2,FALSE)</f>
        <v>5</v>
      </c>
    </row>
    <row r="153" spans="1:12" x14ac:dyDescent="0.25">
      <c r="A153" t="str">
        <f t="shared" si="2"/>
        <v>A23M240C1</v>
      </c>
      <c r="C153">
        <v>152</v>
      </c>
      <c r="D153">
        <f>VLOOKUP(PREVIOS!C153,ALUMNOS!A:B,2,FALSE)</f>
        <v>23</v>
      </c>
      <c r="E153">
        <f>VLOOKUP(PREVIOS!E153&amp;'TABLA PREVIOS'!J153,MATERIAS!A:H,7,FALSE)</f>
        <v>240</v>
      </c>
      <c r="F153">
        <f>VLOOKUP(PREVIOS!G153,CONDICION!A:B,2,FALSE)</f>
        <v>1</v>
      </c>
      <c r="G153">
        <f>IF(PREVIOS!AG153=1,1,VLOOKUP(PREVIOS!AG153,CALIFICACION!A:C,3,FALSE))</f>
        <v>1</v>
      </c>
      <c r="H153" s="1" t="s">
        <v>534</v>
      </c>
      <c r="I153" s="1" t="s">
        <v>534</v>
      </c>
      <c r="J153">
        <f>VLOOKUP(PREVIOS!F153&amp;VLOOKUP(PREVIOS!I153,PLAN!A:B,2,FALSE),CURSO!A:D,4,FALSE)</f>
        <v>19</v>
      </c>
      <c r="K153">
        <f>VLOOKUP(PREVIOS!H153,CICLO!A:B,2,FALSE)</f>
        <v>54</v>
      </c>
      <c r="L153">
        <f>VLOOKUP(PREVIOS!I153,PLAN!A:B,2,FALSE)</f>
        <v>5</v>
      </c>
    </row>
    <row r="154" spans="1:12" x14ac:dyDescent="0.25">
      <c r="A154" t="str">
        <f t="shared" si="2"/>
        <v>A81M240C1</v>
      </c>
      <c r="C154">
        <v>153</v>
      </c>
      <c r="D154">
        <f>VLOOKUP(PREVIOS!C154,ALUMNOS!A:B,2,FALSE)</f>
        <v>81</v>
      </c>
      <c r="E154">
        <f>VLOOKUP(PREVIOS!E154&amp;'TABLA PREVIOS'!J154,MATERIAS!A:H,7,FALSE)</f>
        <v>240</v>
      </c>
      <c r="F154">
        <f>VLOOKUP(PREVIOS!G154,CONDICION!A:B,2,FALSE)</f>
        <v>1</v>
      </c>
      <c r="G154">
        <f>IF(PREVIOS!AG154=1,1,VLOOKUP(PREVIOS!AG154,CALIFICACION!A:C,3,FALSE))</f>
        <v>1</v>
      </c>
      <c r="H154" s="1" t="s">
        <v>534</v>
      </c>
      <c r="I154" s="1" t="s">
        <v>534</v>
      </c>
      <c r="J154">
        <f>VLOOKUP(PREVIOS!F154&amp;VLOOKUP(PREVIOS!I154,PLAN!A:B,2,FALSE),CURSO!A:D,4,FALSE)</f>
        <v>19</v>
      </c>
      <c r="K154">
        <f>VLOOKUP(PREVIOS!H154,CICLO!A:B,2,FALSE)</f>
        <v>56</v>
      </c>
      <c r="L154">
        <f>VLOOKUP(PREVIOS!I154,PLAN!A:B,2,FALSE)</f>
        <v>5</v>
      </c>
    </row>
    <row r="155" spans="1:12" x14ac:dyDescent="0.25">
      <c r="A155" t="str">
        <f t="shared" si="2"/>
        <v>A110M234C1</v>
      </c>
      <c r="C155">
        <v>154</v>
      </c>
      <c r="D155">
        <f>VLOOKUP(PREVIOS!C155,ALUMNOS!A:B,2,FALSE)</f>
        <v>110</v>
      </c>
      <c r="E155">
        <f>VLOOKUP(PREVIOS!E155&amp;'TABLA PREVIOS'!J155,MATERIAS!A:H,7,FALSE)</f>
        <v>234</v>
      </c>
      <c r="F155">
        <f>VLOOKUP(PREVIOS!G155,CONDICION!A:B,2,FALSE)</f>
        <v>1</v>
      </c>
      <c r="G155">
        <f>IF(PREVIOS!AG155=1,1,VLOOKUP(PREVIOS!AG155,CALIFICACION!A:C,3,FALSE))</f>
        <v>1</v>
      </c>
      <c r="H155" s="1" t="s">
        <v>534</v>
      </c>
      <c r="I155" s="1" t="s">
        <v>534</v>
      </c>
      <c r="J155">
        <f>VLOOKUP(PREVIOS!F155&amp;VLOOKUP(PREVIOS!I155,PLAN!A:B,2,FALSE),CURSO!A:D,4,FALSE)</f>
        <v>18</v>
      </c>
      <c r="K155">
        <f>VLOOKUP(PREVIOS!H155,CICLO!A:B,2,FALSE)</f>
        <v>54</v>
      </c>
      <c r="L155">
        <f>VLOOKUP(PREVIOS!I155,PLAN!A:B,2,FALSE)</f>
        <v>5</v>
      </c>
    </row>
    <row r="156" spans="1:12" x14ac:dyDescent="0.25">
      <c r="A156" t="str">
        <f t="shared" si="2"/>
        <v>A110M230C1</v>
      </c>
      <c r="C156">
        <v>155</v>
      </c>
      <c r="D156">
        <f>VLOOKUP(PREVIOS!C156,ALUMNOS!A:B,2,FALSE)</f>
        <v>110</v>
      </c>
      <c r="E156">
        <f>VLOOKUP(PREVIOS!E156&amp;'TABLA PREVIOS'!J156,MATERIAS!A:H,7,FALSE)</f>
        <v>230</v>
      </c>
      <c r="F156">
        <f>VLOOKUP(PREVIOS!G156,CONDICION!A:B,2,FALSE)</f>
        <v>1</v>
      </c>
      <c r="G156">
        <f>IF(PREVIOS!AG156=1,1,VLOOKUP(PREVIOS!AG156,CALIFICACION!A:C,3,FALSE))</f>
        <v>1</v>
      </c>
      <c r="H156" s="1" t="s">
        <v>534</v>
      </c>
      <c r="I156" s="1" t="s">
        <v>534</v>
      </c>
      <c r="J156">
        <f>VLOOKUP(PREVIOS!F156&amp;VLOOKUP(PREVIOS!I156,PLAN!A:B,2,FALSE),CURSO!A:D,4,FALSE)</f>
        <v>18</v>
      </c>
      <c r="K156">
        <f>VLOOKUP(PREVIOS!H156,CICLO!A:B,2,FALSE)</f>
        <v>54</v>
      </c>
      <c r="L156">
        <f>VLOOKUP(PREVIOS!I156,PLAN!A:B,2,FALSE)</f>
        <v>5</v>
      </c>
    </row>
    <row r="157" spans="1:12" x14ac:dyDescent="0.25">
      <c r="A157" t="str">
        <f t="shared" si="2"/>
        <v>A110M240C3</v>
      </c>
      <c r="C157">
        <v>156</v>
      </c>
      <c r="D157">
        <f>VLOOKUP(PREVIOS!C157,ALUMNOS!A:B,2,FALSE)</f>
        <v>110</v>
      </c>
      <c r="E157">
        <f>VLOOKUP(PREVIOS!E157&amp;'TABLA PREVIOS'!J157,MATERIAS!A:H,7,FALSE)</f>
        <v>240</v>
      </c>
      <c r="F157">
        <f>VLOOKUP(PREVIOS!G157,CONDICION!A:B,2,FALSE)</f>
        <v>3</v>
      </c>
      <c r="G157">
        <f>IF(PREVIOS!AG157=1,1,VLOOKUP(PREVIOS!AG157,CALIFICACION!A:C,3,FALSE))</f>
        <v>1</v>
      </c>
      <c r="H157" s="1" t="s">
        <v>534</v>
      </c>
      <c r="I157" s="1" t="s">
        <v>534</v>
      </c>
      <c r="J157">
        <f>VLOOKUP(PREVIOS!F157&amp;VLOOKUP(PREVIOS!I157,PLAN!A:B,2,FALSE),CURSO!A:D,4,FALSE)</f>
        <v>19</v>
      </c>
      <c r="K157">
        <f>VLOOKUP(PREVIOS!H157,CICLO!A:B,2,FALSE)</f>
        <v>56</v>
      </c>
      <c r="L157">
        <f>VLOOKUP(PREVIOS!I157,PLAN!A:B,2,FALSE)</f>
        <v>5</v>
      </c>
    </row>
    <row r="158" spans="1:12" x14ac:dyDescent="0.25">
      <c r="A158" t="str">
        <f t="shared" si="2"/>
        <v>A131M234C1</v>
      </c>
      <c r="C158">
        <v>157</v>
      </c>
      <c r="D158">
        <f>VLOOKUP(PREVIOS!C158,ALUMNOS!A:B,2,FALSE)</f>
        <v>131</v>
      </c>
      <c r="E158">
        <f>VLOOKUP(PREVIOS!E158&amp;'TABLA PREVIOS'!J158,MATERIAS!A:H,7,FALSE)</f>
        <v>234</v>
      </c>
      <c r="F158">
        <f>VLOOKUP(PREVIOS!G158,CONDICION!A:B,2,FALSE)</f>
        <v>1</v>
      </c>
      <c r="G158">
        <f>IF(PREVIOS!AG158=1,1,VLOOKUP(PREVIOS!AG158,CALIFICACION!A:C,3,FALSE))</f>
        <v>1</v>
      </c>
      <c r="H158" s="1" t="s">
        <v>534</v>
      </c>
      <c r="I158" s="1" t="s">
        <v>534</v>
      </c>
      <c r="J158">
        <f>VLOOKUP(PREVIOS!F158&amp;VLOOKUP(PREVIOS!I158,PLAN!A:B,2,FALSE),CURSO!A:D,4,FALSE)</f>
        <v>18</v>
      </c>
      <c r="K158">
        <f>VLOOKUP(PREVIOS!H158,CICLO!A:B,2,FALSE)</f>
        <v>55</v>
      </c>
      <c r="L158">
        <f>VLOOKUP(PREVIOS!I158,PLAN!A:B,2,FALSE)</f>
        <v>5</v>
      </c>
    </row>
    <row r="159" spans="1:12" x14ac:dyDescent="0.25">
      <c r="A159" t="str">
        <f t="shared" si="2"/>
        <v>A131M245C1</v>
      </c>
      <c r="C159">
        <v>158</v>
      </c>
      <c r="D159">
        <f>VLOOKUP(PREVIOS!C159,ALUMNOS!A:B,2,FALSE)</f>
        <v>131</v>
      </c>
      <c r="E159">
        <f>VLOOKUP(PREVIOS!E159&amp;'TABLA PREVIOS'!J159,MATERIAS!A:H,7,FALSE)</f>
        <v>245</v>
      </c>
      <c r="F159">
        <f>VLOOKUP(PREVIOS!G159,CONDICION!A:B,2,FALSE)</f>
        <v>1</v>
      </c>
      <c r="G159">
        <f>IF(PREVIOS!AG159=1,1,VLOOKUP(PREVIOS!AG159,CALIFICACION!A:C,3,FALSE))</f>
        <v>1</v>
      </c>
      <c r="H159" s="1" t="s">
        <v>534</v>
      </c>
      <c r="I159" s="1" t="s">
        <v>534</v>
      </c>
      <c r="J159">
        <f>VLOOKUP(PREVIOS!F159&amp;VLOOKUP(PREVIOS!I159,PLAN!A:B,2,FALSE),CURSO!A:D,4,FALSE)</f>
        <v>19</v>
      </c>
      <c r="K159">
        <f>VLOOKUP(PREVIOS!H159,CICLO!A:B,2,FALSE)</f>
        <v>56</v>
      </c>
      <c r="L159">
        <f>VLOOKUP(PREVIOS!I159,PLAN!A:B,2,FALSE)</f>
        <v>5</v>
      </c>
    </row>
    <row r="160" spans="1:12" x14ac:dyDescent="0.25">
      <c r="A160" t="str">
        <f t="shared" si="2"/>
        <v>A131M240C3</v>
      </c>
      <c r="C160">
        <v>159</v>
      </c>
      <c r="D160">
        <f>VLOOKUP(PREVIOS!C160,ALUMNOS!A:B,2,FALSE)</f>
        <v>131</v>
      </c>
      <c r="E160">
        <f>VLOOKUP(PREVIOS!E160&amp;'TABLA PREVIOS'!J160,MATERIAS!A:H,7,FALSE)</f>
        <v>240</v>
      </c>
      <c r="F160">
        <f>VLOOKUP(PREVIOS!G160,CONDICION!A:B,2,FALSE)</f>
        <v>3</v>
      </c>
      <c r="G160">
        <f>IF(PREVIOS!AG160=1,1,VLOOKUP(PREVIOS!AG160,CALIFICACION!A:C,3,FALSE))</f>
        <v>1</v>
      </c>
      <c r="H160" s="1" t="s">
        <v>534</v>
      </c>
      <c r="I160" s="1" t="s">
        <v>534</v>
      </c>
      <c r="J160">
        <f>VLOOKUP(PREVIOS!F160&amp;VLOOKUP(PREVIOS!I160,PLAN!A:B,2,FALSE),CURSO!A:D,4,FALSE)</f>
        <v>19</v>
      </c>
      <c r="K160">
        <f>VLOOKUP(PREVIOS!H160,CICLO!A:B,2,FALSE)</f>
        <v>56</v>
      </c>
      <c r="L160">
        <f>VLOOKUP(PREVIOS!I160,PLAN!A:B,2,FALSE)</f>
        <v>5</v>
      </c>
    </row>
    <row r="161" spans="1:12" x14ac:dyDescent="0.25">
      <c r="A161" t="str">
        <f t="shared" si="2"/>
        <v>A133M229C1</v>
      </c>
      <c r="C161">
        <v>160</v>
      </c>
      <c r="D161">
        <f>VLOOKUP(PREVIOS!C161,ALUMNOS!A:B,2,FALSE)</f>
        <v>133</v>
      </c>
      <c r="E161">
        <f>VLOOKUP(PREVIOS!E161&amp;'TABLA PREVIOS'!J161,MATERIAS!A:H,7,FALSE)</f>
        <v>229</v>
      </c>
      <c r="F161">
        <f>VLOOKUP(PREVIOS!G161,CONDICION!A:B,2,FALSE)</f>
        <v>1</v>
      </c>
      <c r="G161">
        <f>IF(PREVIOS!AG161=1,1,VLOOKUP(PREVIOS!AG161,CALIFICACION!A:C,3,FALSE))</f>
        <v>1</v>
      </c>
      <c r="H161" s="1" t="s">
        <v>534</v>
      </c>
      <c r="I161" s="1" t="s">
        <v>534</v>
      </c>
      <c r="J161">
        <f>VLOOKUP(PREVIOS!F161&amp;VLOOKUP(PREVIOS!I161,PLAN!A:B,2,FALSE),CURSO!A:D,4,FALSE)</f>
        <v>18</v>
      </c>
      <c r="K161">
        <f>VLOOKUP(PREVIOS!H161,CICLO!A:B,2,FALSE)</f>
        <v>53</v>
      </c>
      <c r="L161">
        <f>VLOOKUP(PREVIOS!I161,PLAN!A:B,2,FALSE)</f>
        <v>5</v>
      </c>
    </row>
    <row r="162" spans="1:12" x14ac:dyDescent="0.25">
      <c r="A162" t="str">
        <f t="shared" si="2"/>
        <v>A133M243C1</v>
      </c>
      <c r="C162">
        <v>161</v>
      </c>
      <c r="D162">
        <f>VLOOKUP(PREVIOS!C162,ALUMNOS!A:B,2,FALSE)</f>
        <v>133</v>
      </c>
      <c r="E162">
        <f>VLOOKUP(PREVIOS!E162&amp;'TABLA PREVIOS'!J162,MATERIAS!A:H,7,FALSE)</f>
        <v>243</v>
      </c>
      <c r="F162">
        <f>VLOOKUP(PREVIOS!G162,CONDICION!A:B,2,FALSE)</f>
        <v>1</v>
      </c>
      <c r="G162">
        <f>IF(PREVIOS!AG162=1,1,VLOOKUP(PREVIOS!AG162,CALIFICACION!A:C,3,FALSE))</f>
        <v>1</v>
      </c>
      <c r="H162" s="1" t="s">
        <v>534</v>
      </c>
      <c r="I162" s="1" t="s">
        <v>534</v>
      </c>
      <c r="J162">
        <f>VLOOKUP(PREVIOS!F162&amp;VLOOKUP(PREVIOS!I162,PLAN!A:B,2,FALSE),CURSO!A:D,4,FALSE)</f>
        <v>19</v>
      </c>
      <c r="K162">
        <f>VLOOKUP(PREVIOS!H162,CICLO!A:B,2,FALSE)</f>
        <v>54</v>
      </c>
      <c r="L162">
        <f>VLOOKUP(PREVIOS!I162,PLAN!A:B,2,FALSE)</f>
        <v>5</v>
      </c>
    </row>
    <row r="163" spans="1:12" x14ac:dyDescent="0.25">
      <c r="A163" t="str">
        <f t="shared" si="2"/>
        <v>A133M244C3</v>
      </c>
      <c r="C163">
        <v>162</v>
      </c>
      <c r="D163">
        <f>VLOOKUP(PREVIOS!C163,ALUMNOS!A:B,2,FALSE)</f>
        <v>133</v>
      </c>
      <c r="E163">
        <f>VLOOKUP(PREVIOS!E163&amp;'TABLA PREVIOS'!J163,MATERIAS!A:H,7,FALSE)</f>
        <v>244</v>
      </c>
      <c r="F163">
        <f>VLOOKUP(PREVIOS!G163,CONDICION!A:B,2,FALSE)</f>
        <v>3</v>
      </c>
      <c r="G163">
        <f>IF(PREVIOS!AG163=1,1,VLOOKUP(PREVIOS!AG163,CALIFICACION!A:C,3,FALSE))</f>
        <v>1</v>
      </c>
      <c r="H163" s="1" t="s">
        <v>534</v>
      </c>
      <c r="I163" s="1" t="s">
        <v>534</v>
      </c>
      <c r="J163">
        <f>VLOOKUP(PREVIOS!F163&amp;VLOOKUP(PREVIOS!I163,PLAN!A:B,2,FALSE),CURSO!A:D,4,FALSE)</f>
        <v>19</v>
      </c>
      <c r="K163">
        <f>VLOOKUP(PREVIOS!H163,CICLO!A:B,2,FALSE)</f>
        <v>54</v>
      </c>
      <c r="L163">
        <f>VLOOKUP(PREVIOS!I163,PLAN!A:B,2,FALSE)</f>
        <v>5</v>
      </c>
    </row>
    <row r="164" spans="1:12" x14ac:dyDescent="0.25">
      <c r="A164" t="str">
        <f t="shared" si="2"/>
        <v>A143M240C1</v>
      </c>
      <c r="C164">
        <v>163</v>
      </c>
      <c r="D164">
        <f>VLOOKUP(PREVIOS!C164,ALUMNOS!A:B,2,FALSE)</f>
        <v>143</v>
      </c>
      <c r="E164">
        <f>VLOOKUP(PREVIOS!E164&amp;'TABLA PREVIOS'!J164,MATERIAS!A:H,7,FALSE)</f>
        <v>240</v>
      </c>
      <c r="F164">
        <f>VLOOKUP(PREVIOS!G164,CONDICION!A:B,2,FALSE)</f>
        <v>1</v>
      </c>
      <c r="G164">
        <f>IF(PREVIOS!AG164=1,1,VLOOKUP(PREVIOS!AG164,CALIFICACION!A:C,3,FALSE))</f>
        <v>1</v>
      </c>
      <c r="H164" s="1" t="s">
        <v>534</v>
      </c>
      <c r="I164" s="1" t="s">
        <v>534</v>
      </c>
      <c r="J164">
        <f>VLOOKUP(PREVIOS!F164&amp;VLOOKUP(PREVIOS!I164,PLAN!A:B,2,FALSE),CURSO!A:D,4,FALSE)</f>
        <v>19</v>
      </c>
      <c r="K164">
        <f>VLOOKUP(PREVIOS!H164,CICLO!A:B,2,FALSE)</f>
        <v>54</v>
      </c>
      <c r="L164">
        <f>VLOOKUP(PREVIOS!I164,PLAN!A:B,2,FALSE)</f>
        <v>5</v>
      </c>
    </row>
    <row r="165" spans="1:12" x14ac:dyDescent="0.25">
      <c r="A165" t="str">
        <f t="shared" si="2"/>
        <v>A285M240C1</v>
      </c>
      <c r="C165">
        <v>164</v>
      </c>
      <c r="D165">
        <f>VLOOKUP(PREVIOS!C165,ALUMNOS!A:B,2,FALSE)</f>
        <v>285</v>
      </c>
      <c r="E165">
        <f>VLOOKUP(PREVIOS!E165&amp;'TABLA PREVIOS'!J165,MATERIAS!A:H,7,FALSE)</f>
        <v>240</v>
      </c>
      <c r="F165">
        <f>VLOOKUP(PREVIOS!G165,CONDICION!A:B,2,FALSE)</f>
        <v>1</v>
      </c>
      <c r="G165">
        <f>IF(PREVIOS!AG165=1,1,VLOOKUP(PREVIOS!AG165,CALIFICACION!A:C,3,FALSE))</f>
        <v>1</v>
      </c>
      <c r="H165" s="1" t="s">
        <v>534</v>
      </c>
      <c r="I165" s="1" t="s">
        <v>534</v>
      </c>
      <c r="J165">
        <f>VLOOKUP(PREVIOS!F165&amp;VLOOKUP(PREVIOS!I165,PLAN!A:B,2,FALSE),CURSO!A:D,4,FALSE)</f>
        <v>19</v>
      </c>
      <c r="K165">
        <f>VLOOKUP(PREVIOS!H165,CICLO!A:B,2,FALSE)</f>
        <v>56</v>
      </c>
      <c r="L165">
        <f>VLOOKUP(PREVIOS!I165,PLAN!A:B,2,FALSE)</f>
        <v>5</v>
      </c>
    </row>
    <row r="166" spans="1:12" x14ac:dyDescent="0.25">
      <c r="A166" t="str">
        <f t="shared" si="2"/>
        <v>A377M229C1</v>
      </c>
      <c r="C166">
        <v>165</v>
      </c>
      <c r="D166">
        <f>VLOOKUP(PREVIOS!C166,ALUMNOS!A:B,2,FALSE)</f>
        <v>377</v>
      </c>
      <c r="E166">
        <f>VLOOKUP(PREVIOS!E166&amp;'TABLA PREVIOS'!J166,MATERIAS!A:H,7,FALSE)</f>
        <v>229</v>
      </c>
      <c r="F166">
        <f>VLOOKUP(PREVIOS!G166,CONDICION!A:B,2,FALSE)</f>
        <v>1</v>
      </c>
      <c r="G166">
        <f>IF(PREVIOS!AG166=1,1,VLOOKUP(PREVIOS!AG166,CALIFICACION!A:C,3,FALSE))</f>
        <v>1</v>
      </c>
      <c r="H166" s="1" t="s">
        <v>534</v>
      </c>
      <c r="I166" s="1" t="s">
        <v>534</v>
      </c>
      <c r="J166">
        <f>VLOOKUP(PREVIOS!F166&amp;VLOOKUP(PREVIOS!I166,PLAN!A:B,2,FALSE),CURSO!A:D,4,FALSE)</f>
        <v>18</v>
      </c>
      <c r="K166">
        <f>VLOOKUP(PREVIOS!H166,CICLO!A:B,2,FALSE)</f>
        <v>55</v>
      </c>
      <c r="L166">
        <f>VLOOKUP(PREVIOS!I166,PLAN!A:B,2,FALSE)</f>
        <v>5</v>
      </c>
    </row>
    <row r="167" spans="1:12" x14ac:dyDescent="0.25">
      <c r="A167" t="str">
        <f t="shared" si="2"/>
        <v>A420M244C1</v>
      </c>
      <c r="C167">
        <v>166</v>
      </c>
      <c r="D167">
        <f>VLOOKUP(PREVIOS!C167,ALUMNOS!A:B,2,FALSE)</f>
        <v>420</v>
      </c>
      <c r="E167">
        <f>VLOOKUP(PREVIOS!E167&amp;'TABLA PREVIOS'!J167,MATERIAS!A:H,7,FALSE)</f>
        <v>244</v>
      </c>
      <c r="F167">
        <f>VLOOKUP(PREVIOS!G167,CONDICION!A:B,2,FALSE)</f>
        <v>1</v>
      </c>
      <c r="G167">
        <f>IF(PREVIOS!AG167=1,1,VLOOKUP(PREVIOS!AG167,CALIFICACION!A:C,3,FALSE))</f>
        <v>1</v>
      </c>
      <c r="H167" s="1" t="s">
        <v>534</v>
      </c>
      <c r="I167" s="1" t="s">
        <v>534</v>
      </c>
      <c r="J167">
        <f>VLOOKUP(PREVIOS!F167&amp;VLOOKUP(PREVIOS!I167,PLAN!A:B,2,FALSE),CURSO!A:D,4,FALSE)</f>
        <v>19</v>
      </c>
      <c r="K167">
        <f>VLOOKUP(PREVIOS!H167,CICLO!A:B,2,FALSE)</f>
        <v>56</v>
      </c>
      <c r="L167">
        <f>VLOOKUP(PREVIOS!I167,PLAN!A:B,2,FALSE)</f>
        <v>5</v>
      </c>
    </row>
    <row r="168" spans="1:12" x14ac:dyDescent="0.25">
      <c r="A168" t="str">
        <f t="shared" si="2"/>
        <v>A420M240C1</v>
      </c>
      <c r="C168">
        <v>167</v>
      </c>
      <c r="D168">
        <f>VLOOKUP(PREVIOS!C168,ALUMNOS!A:B,2,FALSE)</f>
        <v>420</v>
      </c>
      <c r="E168">
        <f>VLOOKUP(PREVIOS!E168&amp;'TABLA PREVIOS'!J168,MATERIAS!A:H,7,FALSE)</f>
        <v>240</v>
      </c>
      <c r="F168">
        <f>VLOOKUP(PREVIOS!G168,CONDICION!A:B,2,FALSE)</f>
        <v>1</v>
      </c>
      <c r="G168">
        <f>IF(PREVIOS!AG168=1,1,VLOOKUP(PREVIOS!AG168,CALIFICACION!A:C,3,FALSE))</f>
        <v>1</v>
      </c>
      <c r="H168" s="1" t="s">
        <v>534</v>
      </c>
      <c r="I168" s="1" t="s">
        <v>534</v>
      </c>
      <c r="J168">
        <f>VLOOKUP(PREVIOS!F168&amp;VLOOKUP(PREVIOS!I168,PLAN!A:B,2,FALSE),CURSO!A:D,4,FALSE)</f>
        <v>19</v>
      </c>
      <c r="K168">
        <f>VLOOKUP(PREVIOS!H168,CICLO!A:B,2,FALSE)</f>
        <v>56</v>
      </c>
      <c r="L168">
        <f>VLOOKUP(PREVIOS!I168,PLAN!A:B,2,FALSE)</f>
        <v>5</v>
      </c>
    </row>
    <row r="169" spans="1:12" x14ac:dyDescent="0.25">
      <c r="A169" t="str">
        <f t="shared" si="2"/>
        <v>A475M243C3</v>
      </c>
      <c r="C169">
        <v>168</v>
      </c>
      <c r="D169">
        <f>VLOOKUP(PREVIOS!C169,ALUMNOS!A:B,2,FALSE)</f>
        <v>475</v>
      </c>
      <c r="E169">
        <f>VLOOKUP(PREVIOS!E169&amp;'TABLA PREVIOS'!J169,MATERIAS!A:H,7,FALSE)</f>
        <v>243</v>
      </c>
      <c r="F169">
        <f>VLOOKUP(PREVIOS!G169,CONDICION!A:B,2,FALSE)</f>
        <v>3</v>
      </c>
      <c r="G169">
        <f>IF(PREVIOS!AG169=1,1,VLOOKUP(PREVIOS!AG169,CALIFICACION!A:C,3,FALSE))</f>
        <v>1</v>
      </c>
      <c r="H169" s="1" t="s">
        <v>534</v>
      </c>
      <c r="I169" s="1" t="s">
        <v>534</v>
      </c>
      <c r="J169">
        <f>VLOOKUP(PREVIOS!F169&amp;VLOOKUP(PREVIOS!I169,PLAN!A:B,2,FALSE),CURSO!A:D,4,FALSE)</f>
        <v>19</v>
      </c>
      <c r="K169">
        <f>VLOOKUP(PREVIOS!H169,CICLO!A:B,2,FALSE)</f>
        <v>56</v>
      </c>
      <c r="L169">
        <f>VLOOKUP(PREVIOS!I169,PLAN!A:B,2,FALSE)</f>
        <v>5</v>
      </c>
    </row>
    <row r="170" spans="1:12" x14ac:dyDescent="0.25">
      <c r="A170" t="str">
        <f t="shared" si="2"/>
        <v>A475M245C1</v>
      </c>
      <c r="C170">
        <v>169</v>
      </c>
      <c r="D170">
        <f>VLOOKUP(PREVIOS!C170,ALUMNOS!A:B,2,FALSE)</f>
        <v>475</v>
      </c>
      <c r="E170">
        <f>VLOOKUP(PREVIOS!E170&amp;'TABLA PREVIOS'!J170,MATERIAS!A:H,7,FALSE)</f>
        <v>245</v>
      </c>
      <c r="F170">
        <f>VLOOKUP(PREVIOS!G170,CONDICION!A:B,2,FALSE)</f>
        <v>1</v>
      </c>
      <c r="G170">
        <f>IF(PREVIOS!AG170=1,1,VLOOKUP(PREVIOS!AG170,CALIFICACION!A:C,3,FALSE))</f>
        <v>9</v>
      </c>
      <c r="H170" s="1" t="s">
        <v>534</v>
      </c>
      <c r="I170" s="1" t="s">
        <v>534</v>
      </c>
      <c r="J170">
        <f>VLOOKUP(PREVIOS!F170&amp;VLOOKUP(PREVIOS!I170,PLAN!A:B,2,FALSE),CURSO!A:D,4,FALSE)</f>
        <v>19</v>
      </c>
      <c r="K170">
        <f>VLOOKUP(PREVIOS!H170,CICLO!A:B,2,FALSE)</f>
        <v>56</v>
      </c>
      <c r="L170">
        <f>VLOOKUP(PREVIOS!I170,PLAN!A:B,2,FALSE)</f>
        <v>5</v>
      </c>
    </row>
    <row r="171" spans="1:12" x14ac:dyDescent="0.25">
      <c r="A171" t="str">
        <f t="shared" si="2"/>
        <v>A475M240C1</v>
      </c>
      <c r="C171">
        <v>170</v>
      </c>
      <c r="D171">
        <f>VLOOKUP(PREVIOS!C171,ALUMNOS!A:B,2,FALSE)</f>
        <v>475</v>
      </c>
      <c r="E171">
        <f>VLOOKUP(PREVIOS!E171&amp;'TABLA PREVIOS'!J171,MATERIAS!A:H,7,FALSE)</f>
        <v>240</v>
      </c>
      <c r="F171">
        <f>VLOOKUP(PREVIOS!G171,CONDICION!A:B,2,FALSE)</f>
        <v>1</v>
      </c>
      <c r="G171">
        <f>IF(PREVIOS!AG171=1,1,VLOOKUP(PREVIOS!AG171,CALIFICACION!A:C,3,FALSE))</f>
        <v>9</v>
      </c>
      <c r="H171" s="1" t="s">
        <v>534</v>
      </c>
      <c r="I171" s="1" t="s">
        <v>534</v>
      </c>
      <c r="J171">
        <f>VLOOKUP(PREVIOS!F171&amp;VLOOKUP(PREVIOS!I171,PLAN!A:B,2,FALSE),CURSO!A:D,4,FALSE)</f>
        <v>19</v>
      </c>
      <c r="K171">
        <f>VLOOKUP(PREVIOS!H171,CICLO!A:B,2,FALSE)</f>
        <v>56</v>
      </c>
      <c r="L171">
        <f>VLOOKUP(PREVIOS!I171,PLAN!A:B,2,FALSE)</f>
        <v>5</v>
      </c>
    </row>
    <row r="172" spans="1:12" x14ac:dyDescent="0.25">
      <c r="A172" t="str">
        <f t="shared" si="2"/>
        <v>A643M229C1</v>
      </c>
      <c r="C172">
        <v>171</v>
      </c>
      <c r="D172">
        <f>VLOOKUP(PREVIOS!C172,ALUMNOS!A:B,2,FALSE)</f>
        <v>643</v>
      </c>
      <c r="E172">
        <f>VLOOKUP(PREVIOS!E172&amp;'TABLA PREVIOS'!J172,MATERIAS!A:H,7,FALSE)</f>
        <v>229</v>
      </c>
      <c r="F172">
        <f>VLOOKUP(PREVIOS!G172,CONDICION!A:B,2,FALSE)</f>
        <v>1</v>
      </c>
      <c r="G172">
        <f>IF(PREVIOS!AG172=1,1,VLOOKUP(PREVIOS!AG172,CALIFICACION!A:C,3,FALSE))</f>
        <v>1</v>
      </c>
      <c r="H172" s="1" t="s">
        <v>534</v>
      </c>
      <c r="I172" s="1" t="s">
        <v>534</v>
      </c>
      <c r="J172">
        <f>VLOOKUP(PREVIOS!F172&amp;VLOOKUP(PREVIOS!I172,PLAN!A:B,2,FALSE),CURSO!A:D,4,FALSE)</f>
        <v>18</v>
      </c>
      <c r="K172">
        <f>VLOOKUP(PREVIOS!H172,CICLO!A:B,2,FALSE)</f>
        <v>55</v>
      </c>
      <c r="L172">
        <f>VLOOKUP(PREVIOS!I172,PLAN!A:B,2,FALSE)</f>
        <v>5</v>
      </c>
    </row>
    <row r="173" spans="1:12" x14ac:dyDescent="0.25">
      <c r="A173" t="str">
        <f t="shared" si="2"/>
        <v>A643M239C1</v>
      </c>
      <c r="C173">
        <v>172</v>
      </c>
      <c r="D173">
        <f>VLOOKUP(PREVIOS!C173,ALUMNOS!A:B,2,FALSE)</f>
        <v>643</v>
      </c>
      <c r="E173">
        <f>VLOOKUP(PREVIOS!E173&amp;'TABLA PREVIOS'!J173,MATERIAS!A:H,7,FALSE)</f>
        <v>239</v>
      </c>
      <c r="F173">
        <f>VLOOKUP(PREVIOS!G173,CONDICION!A:B,2,FALSE)</f>
        <v>1</v>
      </c>
      <c r="G173">
        <f>IF(PREVIOS!AG173=1,1,VLOOKUP(PREVIOS!AG173,CALIFICACION!A:C,3,FALSE))</f>
        <v>1</v>
      </c>
      <c r="H173" s="1" t="s">
        <v>534</v>
      </c>
      <c r="I173" s="1" t="s">
        <v>534</v>
      </c>
      <c r="J173">
        <f>VLOOKUP(PREVIOS!F173&amp;VLOOKUP(PREVIOS!I173,PLAN!A:B,2,FALSE),CURSO!A:D,4,FALSE)</f>
        <v>19</v>
      </c>
      <c r="K173">
        <f>VLOOKUP(PREVIOS!H173,CICLO!A:B,2,FALSE)</f>
        <v>56</v>
      </c>
      <c r="L173">
        <f>VLOOKUP(PREVIOS!I173,PLAN!A:B,2,FALSE)</f>
        <v>5</v>
      </c>
    </row>
    <row r="174" spans="1:12" x14ac:dyDescent="0.25">
      <c r="A174" t="str">
        <f t="shared" si="2"/>
        <v>A643M240C3</v>
      </c>
      <c r="C174">
        <v>173</v>
      </c>
      <c r="D174">
        <f>VLOOKUP(PREVIOS!C174,ALUMNOS!A:B,2,FALSE)</f>
        <v>643</v>
      </c>
      <c r="E174">
        <f>VLOOKUP(PREVIOS!E174&amp;'TABLA PREVIOS'!J174,MATERIAS!A:H,7,FALSE)</f>
        <v>240</v>
      </c>
      <c r="F174">
        <f>VLOOKUP(PREVIOS!G174,CONDICION!A:B,2,FALSE)</f>
        <v>3</v>
      </c>
      <c r="G174">
        <f>IF(PREVIOS!AG174=1,1,VLOOKUP(PREVIOS!AG174,CALIFICACION!A:C,3,FALSE))</f>
        <v>1</v>
      </c>
      <c r="H174" s="1" t="s">
        <v>534</v>
      </c>
      <c r="I174" s="1" t="s">
        <v>534</v>
      </c>
      <c r="J174">
        <f>VLOOKUP(PREVIOS!F174&amp;VLOOKUP(PREVIOS!I174,PLAN!A:B,2,FALSE),CURSO!A:D,4,FALSE)</f>
        <v>19</v>
      </c>
      <c r="K174">
        <f>VLOOKUP(PREVIOS!H174,CICLO!A:B,2,FALSE)</f>
        <v>56</v>
      </c>
      <c r="L174">
        <f>VLOOKUP(PREVIOS!I174,PLAN!A:B,2,FALSE)</f>
        <v>5</v>
      </c>
    </row>
    <row r="175" spans="1:12" x14ac:dyDescent="0.25">
      <c r="A175" t="str">
        <f t="shared" si="2"/>
        <v>A726M245C1</v>
      </c>
      <c r="C175">
        <v>174</v>
      </c>
      <c r="D175">
        <f>VLOOKUP(PREVIOS!C175,ALUMNOS!A:B,2,FALSE)</f>
        <v>726</v>
      </c>
      <c r="E175">
        <f>VLOOKUP(PREVIOS!E175&amp;'TABLA PREVIOS'!J175,MATERIAS!A:H,7,FALSE)</f>
        <v>245</v>
      </c>
      <c r="F175">
        <f>VLOOKUP(PREVIOS!G175,CONDICION!A:B,2,FALSE)</f>
        <v>1</v>
      </c>
      <c r="G175">
        <f>IF(PREVIOS!AG175=1,1,VLOOKUP(PREVIOS!AG175,CALIFICACION!A:C,3,FALSE))</f>
        <v>1</v>
      </c>
      <c r="H175" s="1" t="s">
        <v>534</v>
      </c>
      <c r="I175" s="1" t="s">
        <v>534</v>
      </c>
      <c r="J175">
        <f>VLOOKUP(PREVIOS!F175&amp;VLOOKUP(PREVIOS!I175,PLAN!A:B,2,FALSE),CURSO!A:D,4,FALSE)</f>
        <v>19</v>
      </c>
      <c r="K175">
        <f>VLOOKUP(PREVIOS!H175,CICLO!A:B,2,FALSE)</f>
        <v>55</v>
      </c>
      <c r="L175">
        <f>VLOOKUP(PREVIOS!I175,PLAN!A:B,2,FALSE)</f>
        <v>5</v>
      </c>
    </row>
    <row r="176" spans="1:12" x14ac:dyDescent="0.25">
      <c r="A176" t="str">
        <f t="shared" si="2"/>
        <v>A726M239C1</v>
      </c>
      <c r="C176">
        <v>175</v>
      </c>
      <c r="D176">
        <f>VLOOKUP(PREVIOS!C176,ALUMNOS!A:B,2,FALSE)</f>
        <v>726</v>
      </c>
      <c r="E176">
        <f>VLOOKUP(PREVIOS!E176&amp;'TABLA PREVIOS'!J176,MATERIAS!A:H,7,FALSE)</f>
        <v>239</v>
      </c>
      <c r="F176">
        <f>VLOOKUP(PREVIOS!G176,CONDICION!A:B,2,FALSE)</f>
        <v>1</v>
      </c>
      <c r="G176">
        <f>IF(PREVIOS!AG176=1,1,VLOOKUP(PREVIOS!AG176,CALIFICACION!A:C,3,FALSE))</f>
        <v>1</v>
      </c>
      <c r="H176" s="1" t="s">
        <v>534</v>
      </c>
      <c r="I176" s="1" t="s">
        <v>534</v>
      </c>
      <c r="J176">
        <f>VLOOKUP(PREVIOS!F176&amp;VLOOKUP(PREVIOS!I176,PLAN!A:B,2,FALSE),CURSO!A:D,4,FALSE)</f>
        <v>19</v>
      </c>
      <c r="K176">
        <f>VLOOKUP(PREVIOS!H176,CICLO!A:B,2,FALSE)</f>
        <v>55</v>
      </c>
      <c r="L176">
        <f>VLOOKUP(PREVIOS!I176,PLAN!A:B,2,FALSE)</f>
        <v>5</v>
      </c>
    </row>
    <row r="177" spans="1:12" x14ac:dyDescent="0.25">
      <c r="A177" t="str">
        <f t="shared" si="2"/>
        <v>A766M230C1</v>
      </c>
      <c r="C177">
        <v>176</v>
      </c>
      <c r="D177">
        <f>VLOOKUP(PREVIOS!C177,ALUMNOS!A:B,2,FALSE)</f>
        <v>766</v>
      </c>
      <c r="E177">
        <f>VLOOKUP(PREVIOS!E177&amp;'TABLA PREVIOS'!J177,MATERIAS!A:H,7,FALSE)</f>
        <v>230</v>
      </c>
      <c r="F177">
        <f>VLOOKUP(PREVIOS!G177,CONDICION!A:B,2,FALSE)</f>
        <v>1</v>
      </c>
      <c r="G177">
        <f>IF(PREVIOS!AG177=1,1,VLOOKUP(PREVIOS!AG177,CALIFICACION!A:C,3,FALSE))</f>
        <v>1</v>
      </c>
      <c r="H177" s="1" t="s">
        <v>534</v>
      </c>
      <c r="I177" s="1" t="s">
        <v>534</v>
      </c>
      <c r="J177">
        <f>VLOOKUP(PREVIOS!F177&amp;VLOOKUP(PREVIOS!I177,PLAN!A:B,2,FALSE),CURSO!A:D,4,FALSE)</f>
        <v>18</v>
      </c>
      <c r="K177">
        <f>VLOOKUP(PREVIOS!H177,CICLO!A:B,2,FALSE)</f>
        <v>55</v>
      </c>
      <c r="L177">
        <f>VLOOKUP(PREVIOS!I177,PLAN!A:B,2,FALSE)</f>
        <v>5</v>
      </c>
    </row>
    <row r="178" spans="1:12" x14ac:dyDescent="0.25">
      <c r="A178" t="str">
        <f t="shared" si="2"/>
        <v>A766M244C1</v>
      </c>
      <c r="C178">
        <v>177</v>
      </c>
      <c r="D178">
        <f>VLOOKUP(PREVIOS!C178,ALUMNOS!A:B,2,FALSE)</f>
        <v>766</v>
      </c>
      <c r="E178">
        <f>VLOOKUP(PREVIOS!E178&amp;'TABLA PREVIOS'!J178,MATERIAS!A:H,7,FALSE)</f>
        <v>244</v>
      </c>
      <c r="F178">
        <f>VLOOKUP(PREVIOS!G178,CONDICION!A:B,2,FALSE)</f>
        <v>1</v>
      </c>
      <c r="G178">
        <f>IF(PREVIOS!AG178=1,1,VLOOKUP(PREVIOS!AG178,CALIFICACION!A:C,3,FALSE))</f>
        <v>1</v>
      </c>
      <c r="H178" s="1" t="s">
        <v>534</v>
      </c>
      <c r="I178" s="1" t="s">
        <v>534</v>
      </c>
      <c r="J178">
        <f>VLOOKUP(PREVIOS!F178&amp;VLOOKUP(PREVIOS!I178,PLAN!A:B,2,FALSE),CURSO!A:D,4,FALSE)</f>
        <v>19</v>
      </c>
      <c r="K178">
        <f>VLOOKUP(PREVIOS!H178,CICLO!A:B,2,FALSE)</f>
        <v>56</v>
      </c>
      <c r="L178">
        <f>VLOOKUP(PREVIOS!I178,PLAN!A:B,2,FALSE)</f>
        <v>5</v>
      </c>
    </row>
    <row r="179" spans="1:12" x14ac:dyDescent="0.25">
      <c r="A179" t="str">
        <f t="shared" si="2"/>
        <v>A766M240C3</v>
      </c>
      <c r="C179">
        <v>178</v>
      </c>
      <c r="D179">
        <f>VLOOKUP(PREVIOS!C179,ALUMNOS!A:B,2,FALSE)</f>
        <v>766</v>
      </c>
      <c r="E179">
        <f>VLOOKUP(PREVIOS!E179&amp;'TABLA PREVIOS'!J179,MATERIAS!A:H,7,FALSE)</f>
        <v>240</v>
      </c>
      <c r="F179">
        <f>VLOOKUP(PREVIOS!G179,CONDICION!A:B,2,FALSE)</f>
        <v>3</v>
      </c>
      <c r="G179">
        <f>IF(PREVIOS!AG179=1,1,VLOOKUP(PREVIOS!AG179,CALIFICACION!A:C,3,FALSE))</f>
        <v>1</v>
      </c>
      <c r="H179" s="1" t="s">
        <v>534</v>
      </c>
      <c r="I179" s="1" t="s">
        <v>534</v>
      </c>
      <c r="J179">
        <f>VLOOKUP(PREVIOS!F179&amp;VLOOKUP(PREVIOS!I179,PLAN!A:B,2,FALSE),CURSO!A:D,4,FALSE)</f>
        <v>19</v>
      </c>
      <c r="K179">
        <f>VLOOKUP(PREVIOS!H179,CICLO!A:B,2,FALSE)</f>
        <v>56</v>
      </c>
      <c r="L179">
        <f>VLOOKUP(PREVIOS!I179,PLAN!A:B,2,FALSE)</f>
        <v>5</v>
      </c>
    </row>
    <row r="180" spans="1:12" x14ac:dyDescent="0.25">
      <c r="A180" t="str">
        <f t="shared" si="2"/>
        <v>A271M243C1</v>
      </c>
      <c r="C180">
        <v>179</v>
      </c>
      <c r="D180">
        <f>VLOOKUP(PREVIOS!C180,ALUMNOS!A:B,2,FALSE)</f>
        <v>271</v>
      </c>
      <c r="E180">
        <f>VLOOKUP(PREVIOS!E180&amp;'TABLA PREVIOS'!J180,MATERIAS!A:H,7,FALSE)</f>
        <v>243</v>
      </c>
      <c r="F180">
        <f>VLOOKUP(PREVIOS!G180,CONDICION!A:B,2,FALSE)</f>
        <v>1</v>
      </c>
      <c r="G180">
        <f>IF(PREVIOS!AG180=1,1,VLOOKUP(PREVIOS!AG180,CALIFICACION!A:C,3,FALSE))</f>
        <v>1</v>
      </c>
      <c r="H180" s="1" t="s">
        <v>534</v>
      </c>
      <c r="I180" s="1" t="s">
        <v>534</v>
      </c>
      <c r="J180">
        <f>VLOOKUP(PREVIOS!F180&amp;VLOOKUP(PREVIOS!I180,PLAN!A:B,2,FALSE),CURSO!A:D,4,FALSE)</f>
        <v>19</v>
      </c>
      <c r="K180">
        <f>VLOOKUP(PREVIOS!H180,CICLO!A:B,2,FALSE)</f>
        <v>56</v>
      </c>
      <c r="L180">
        <f>VLOOKUP(PREVIOS!I180,PLAN!A:B,2,FALSE)</f>
        <v>5</v>
      </c>
    </row>
    <row r="181" spans="1:12" x14ac:dyDescent="0.25">
      <c r="A181" t="str">
        <f t="shared" si="2"/>
        <v>A317M230C1</v>
      </c>
      <c r="C181">
        <v>180</v>
      </c>
      <c r="D181">
        <f>VLOOKUP(PREVIOS!C181,ALUMNOS!A:B,2,FALSE)</f>
        <v>317</v>
      </c>
      <c r="E181">
        <f>VLOOKUP(PREVIOS!E181&amp;'TABLA PREVIOS'!J181,MATERIAS!A:H,7,FALSE)</f>
        <v>230</v>
      </c>
      <c r="F181">
        <f>VLOOKUP(PREVIOS!G181,CONDICION!A:B,2,FALSE)</f>
        <v>1</v>
      </c>
      <c r="G181">
        <f>IF(PREVIOS!AG181=1,1,VLOOKUP(PREVIOS!AG181,CALIFICACION!A:C,3,FALSE))</f>
        <v>1</v>
      </c>
      <c r="H181" s="1" t="s">
        <v>534</v>
      </c>
      <c r="I181" s="1" t="s">
        <v>534</v>
      </c>
      <c r="J181">
        <f>VLOOKUP(PREVIOS!F181&amp;VLOOKUP(PREVIOS!I181,PLAN!A:B,2,FALSE),CURSO!A:D,4,FALSE)</f>
        <v>18</v>
      </c>
      <c r="K181">
        <f>VLOOKUP(PREVIOS!H181,CICLO!A:B,2,FALSE)</f>
        <v>54</v>
      </c>
      <c r="L181">
        <f>VLOOKUP(PREVIOS!I181,PLAN!A:B,2,FALSE)</f>
        <v>5</v>
      </c>
    </row>
    <row r="182" spans="1:12" x14ac:dyDescent="0.25">
      <c r="A182" t="str">
        <f t="shared" si="2"/>
        <v>A317M238C1</v>
      </c>
      <c r="C182">
        <v>181</v>
      </c>
      <c r="D182">
        <f>VLOOKUP(PREVIOS!C182,ALUMNOS!A:B,2,FALSE)</f>
        <v>317</v>
      </c>
      <c r="E182">
        <f>VLOOKUP(PREVIOS!E182&amp;'TABLA PREVIOS'!J182,MATERIAS!A:H,7,FALSE)</f>
        <v>238</v>
      </c>
      <c r="F182">
        <f>VLOOKUP(PREVIOS!G182,CONDICION!A:B,2,FALSE)</f>
        <v>1</v>
      </c>
      <c r="G182">
        <f>IF(PREVIOS!AG182=1,1,VLOOKUP(PREVIOS!AG182,CALIFICACION!A:C,3,FALSE))</f>
        <v>1</v>
      </c>
      <c r="H182" s="1" t="s">
        <v>534</v>
      </c>
      <c r="I182" s="1" t="s">
        <v>534</v>
      </c>
      <c r="J182">
        <f>VLOOKUP(PREVIOS!F182&amp;VLOOKUP(PREVIOS!I182,PLAN!A:B,2,FALSE),CURSO!A:D,4,FALSE)</f>
        <v>19</v>
      </c>
      <c r="K182">
        <f>VLOOKUP(PREVIOS!H182,CICLO!A:B,2,FALSE)</f>
        <v>55</v>
      </c>
      <c r="L182">
        <f>VLOOKUP(PREVIOS!I182,PLAN!A:B,2,FALSE)</f>
        <v>5</v>
      </c>
    </row>
    <row r="183" spans="1:12" x14ac:dyDescent="0.25">
      <c r="A183" t="str">
        <f t="shared" si="2"/>
        <v>A317M245C3</v>
      </c>
      <c r="C183">
        <v>182</v>
      </c>
      <c r="D183">
        <f>VLOOKUP(PREVIOS!C183,ALUMNOS!A:B,2,FALSE)</f>
        <v>317</v>
      </c>
      <c r="E183">
        <f>VLOOKUP(PREVIOS!E183&amp;'TABLA PREVIOS'!J183,MATERIAS!A:H,7,FALSE)</f>
        <v>245</v>
      </c>
      <c r="F183">
        <f>VLOOKUP(PREVIOS!G183,CONDICION!A:B,2,FALSE)</f>
        <v>3</v>
      </c>
      <c r="G183">
        <f>IF(PREVIOS!AG183=1,1,VLOOKUP(PREVIOS!AG183,CALIFICACION!A:C,3,FALSE))</f>
        <v>1</v>
      </c>
      <c r="H183" s="1" t="s">
        <v>534</v>
      </c>
      <c r="I183" s="1" t="s">
        <v>534</v>
      </c>
      <c r="J183">
        <f>VLOOKUP(PREVIOS!F183&amp;VLOOKUP(PREVIOS!I183,PLAN!A:B,2,FALSE),CURSO!A:D,4,FALSE)</f>
        <v>19</v>
      </c>
      <c r="K183">
        <f>VLOOKUP(PREVIOS!H183,CICLO!A:B,2,FALSE)</f>
        <v>55</v>
      </c>
      <c r="L183">
        <f>VLOOKUP(PREVIOS!I183,PLAN!A:B,2,FALSE)</f>
        <v>5</v>
      </c>
    </row>
    <row r="184" spans="1:12" x14ac:dyDescent="0.25">
      <c r="A184" t="str">
        <f t="shared" si="2"/>
        <v>A319M240C1</v>
      </c>
      <c r="C184">
        <v>183</v>
      </c>
      <c r="D184">
        <f>VLOOKUP(PREVIOS!C184,ALUMNOS!A:B,2,FALSE)</f>
        <v>319</v>
      </c>
      <c r="E184">
        <f>VLOOKUP(PREVIOS!E184&amp;'TABLA PREVIOS'!J184,MATERIAS!A:H,7,FALSE)</f>
        <v>240</v>
      </c>
      <c r="F184">
        <f>VLOOKUP(PREVIOS!G184,CONDICION!A:B,2,FALSE)</f>
        <v>1</v>
      </c>
      <c r="G184">
        <f>IF(PREVIOS!AG184=1,1,VLOOKUP(PREVIOS!AG184,CALIFICACION!A:C,3,FALSE))</f>
        <v>1</v>
      </c>
      <c r="H184" s="1" t="s">
        <v>534</v>
      </c>
      <c r="I184" s="1" t="s">
        <v>534</v>
      </c>
      <c r="J184">
        <f>VLOOKUP(PREVIOS!F184&amp;VLOOKUP(PREVIOS!I184,PLAN!A:B,2,FALSE),CURSO!A:D,4,FALSE)</f>
        <v>19</v>
      </c>
      <c r="K184">
        <f>VLOOKUP(PREVIOS!H184,CICLO!A:B,2,FALSE)</f>
        <v>56</v>
      </c>
      <c r="L184">
        <f>VLOOKUP(PREVIOS!I184,PLAN!A:B,2,FALSE)</f>
        <v>5</v>
      </c>
    </row>
    <row r="185" spans="1:12" x14ac:dyDescent="0.25">
      <c r="A185" t="str">
        <f t="shared" si="2"/>
        <v>A602M220C1</v>
      </c>
      <c r="C185">
        <v>184</v>
      </c>
      <c r="D185">
        <f>VLOOKUP(PREVIOS!C185,ALUMNOS!A:B,2,FALSE)</f>
        <v>602</v>
      </c>
      <c r="E185">
        <f>VLOOKUP(PREVIOS!E185&amp;'TABLA PREVIOS'!J185,MATERIAS!A:H,7,FALSE)</f>
        <v>220</v>
      </c>
      <c r="F185">
        <f>VLOOKUP(PREVIOS!G185,CONDICION!A:B,2,FALSE)</f>
        <v>1</v>
      </c>
      <c r="G185">
        <f>IF(PREVIOS!AG185=1,1,VLOOKUP(PREVIOS!AG185,CALIFICACION!A:C,3,FALSE))</f>
        <v>1</v>
      </c>
      <c r="H185" s="1" t="s">
        <v>534</v>
      </c>
      <c r="I185" s="1" t="s">
        <v>534</v>
      </c>
      <c r="J185">
        <f>VLOOKUP(PREVIOS!F185&amp;VLOOKUP(PREVIOS!I185,PLAN!A:B,2,FALSE),CURSO!A:D,4,FALSE)</f>
        <v>17</v>
      </c>
      <c r="K185">
        <f>VLOOKUP(PREVIOS!H185,CICLO!A:B,2,FALSE)</f>
        <v>54</v>
      </c>
      <c r="L185">
        <f>VLOOKUP(PREVIOS!I185,PLAN!A:B,2,FALSE)</f>
        <v>5</v>
      </c>
    </row>
    <row r="186" spans="1:12" x14ac:dyDescent="0.25">
      <c r="A186" t="str">
        <f t="shared" si="2"/>
        <v>A754M248C1</v>
      </c>
      <c r="C186">
        <v>185</v>
      </c>
      <c r="D186">
        <f>VLOOKUP(PREVIOS!C186,ALUMNOS!A:B,2,FALSE)</f>
        <v>754</v>
      </c>
      <c r="E186">
        <f>VLOOKUP(PREVIOS!E186&amp;'TABLA PREVIOS'!J186,MATERIAS!A:H,7,FALSE)</f>
        <v>248</v>
      </c>
      <c r="F186">
        <f>VLOOKUP(PREVIOS!G186,CONDICION!A:B,2,FALSE)</f>
        <v>1</v>
      </c>
      <c r="G186">
        <f>IF(PREVIOS!AG186=1,1,VLOOKUP(PREVIOS!AG186,CALIFICACION!A:C,3,FALSE))</f>
        <v>1</v>
      </c>
      <c r="H186" s="1" t="s">
        <v>534</v>
      </c>
      <c r="I186" s="1" t="s">
        <v>534</v>
      </c>
      <c r="J186">
        <f>VLOOKUP(PREVIOS!F186&amp;VLOOKUP(PREVIOS!I186,PLAN!A:B,2,FALSE),CURSO!A:D,4,FALSE)</f>
        <v>19</v>
      </c>
      <c r="K186">
        <f>VLOOKUP(PREVIOS!H186,CICLO!A:B,2,FALSE)</f>
        <v>56</v>
      </c>
      <c r="L186">
        <f>VLOOKUP(PREVIOS!I186,PLAN!A:B,2,FALSE)</f>
        <v>5</v>
      </c>
    </row>
    <row r="187" spans="1:12" x14ac:dyDescent="0.25">
      <c r="A187" t="str">
        <f t="shared" si="2"/>
        <v>A754M245C1</v>
      </c>
      <c r="C187">
        <v>186</v>
      </c>
      <c r="D187">
        <f>VLOOKUP(PREVIOS!C187,ALUMNOS!A:B,2,FALSE)</f>
        <v>754</v>
      </c>
      <c r="E187">
        <f>VLOOKUP(PREVIOS!E187&amp;'TABLA PREVIOS'!J187,MATERIAS!A:H,7,FALSE)</f>
        <v>245</v>
      </c>
      <c r="F187">
        <f>VLOOKUP(PREVIOS!G187,CONDICION!A:B,2,FALSE)</f>
        <v>1</v>
      </c>
      <c r="G187">
        <f>IF(PREVIOS!AG187=1,1,VLOOKUP(PREVIOS!AG187,CALIFICACION!A:C,3,FALSE))</f>
        <v>1</v>
      </c>
      <c r="H187" s="1" t="s">
        <v>534</v>
      </c>
      <c r="I187" s="1" t="s">
        <v>534</v>
      </c>
      <c r="J187">
        <f>VLOOKUP(PREVIOS!F187&amp;VLOOKUP(PREVIOS!I187,PLAN!A:B,2,FALSE),CURSO!A:D,4,FALSE)</f>
        <v>19</v>
      </c>
      <c r="K187">
        <f>VLOOKUP(PREVIOS!H187,CICLO!A:B,2,FALSE)</f>
        <v>56</v>
      </c>
      <c r="L187">
        <f>VLOOKUP(PREVIOS!I187,PLAN!A:B,2,FALSE)</f>
        <v>5</v>
      </c>
    </row>
    <row r="188" spans="1:12" x14ac:dyDescent="0.25">
      <c r="A188" t="str">
        <f t="shared" si="2"/>
        <v>A757M240C1</v>
      </c>
      <c r="C188">
        <v>187</v>
      </c>
      <c r="D188">
        <f>VLOOKUP(PREVIOS!C188,ALUMNOS!A:B,2,FALSE)</f>
        <v>757</v>
      </c>
      <c r="E188">
        <f>VLOOKUP(PREVIOS!E188&amp;'TABLA PREVIOS'!J188,MATERIAS!A:H,7,FALSE)</f>
        <v>240</v>
      </c>
      <c r="F188">
        <f>VLOOKUP(PREVIOS!G188,CONDICION!A:B,2,FALSE)</f>
        <v>1</v>
      </c>
      <c r="G188">
        <f>IF(PREVIOS!AG188=1,1,VLOOKUP(PREVIOS!AG188,CALIFICACION!A:C,3,FALSE))</f>
        <v>9</v>
      </c>
      <c r="H188" s="1" t="s">
        <v>534</v>
      </c>
      <c r="I188" s="1" t="s">
        <v>534</v>
      </c>
      <c r="J188">
        <f>VLOOKUP(PREVIOS!F188&amp;VLOOKUP(PREVIOS!I188,PLAN!A:B,2,FALSE),CURSO!A:D,4,FALSE)</f>
        <v>19</v>
      </c>
      <c r="K188">
        <f>VLOOKUP(PREVIOS!H188,CICLO!A:B,2,FALSE)</f>
        <v>55</v>
      </c>
      <c r="L188">
        <f>VLOOKUP(PREVIOS!I188,PLAN!A:B,2,FALSE)</f>
        <v>5</v>
      </c>
    </row>
    <row r="189" spans="1:12" x14ac:dyDescent="0.25">
      <c r="A189" t="str">
        <f t="shared" si="2"/>
        <v>A35M240C1</v>
      </c>
      <c r="C189">
        <v>188</v>
      </c>
      <c r="D189">
        <f>VLOOKUP(PREVIOS!C189,ALUMNOS!A:B,2,FALSE)</f>
        <v>35</v>
      </c>
      <c r="E189">
        <f>VLOOKUP(PREVIOS!E189&amp;'TABLA PREVIOS'!J189,MATERIAS!A:H,7,FALSE)</f>
        <v>240</v>
      </c>
      <c r="F189">
        <f>VLOOKUP(PREVIOS!G189,CONDICION!A:B,2,FALSE)</f>
        <v>1</v>
      </c>
      <c r="G189">
        <f>IF(PREVIOS!AG189=1,1,VLOOKUP(PREVIOS!AG189,CALIFICACION!A:C,3,FALSE))</f>
        <v>1</v>
      </c>
      <c r="H189" s="1" t="s">
        <v>534</v>
      </c>
      <c r="I189" s="1" t="s">
        <v>534</v>
      </c>
      <c r="J189">
        <f>VLOOKUP(PREVIOS!F189&amp;VLOOKUP(PREVIOS!I189,PLAN!A:B,2,FALSE),CURSO!A:D,4,FALSE)</f>
        <v>19</v>
      </c>
      <c r="K189">
        <f>VLOOKUP(PREVIOS!H189,CICLO!A:B,2,FALSE)</f>
        <v>56</v>
      </c>
      <c r="L189">
        <f>VLOOKUP(PREVIOS!I189,PLAN!A:B,2,FALSE)</f>
        <v>5</v>
      </c>
    </row>
    <row r="190" spans="1:12" x14ac:dyDescent="0.25">
      <c r="A190" t="str">
        <f t="shared" si="2"/>
        <v>A94M233C1</v>
      </c>
      <c r="C190">
        <v>189</v>
      </c>
      <c r="D190">
        <f>VLOOKUP(PREVIOS!C190,ALUMNOS!A:B,2,FALSE)</f>
        <v>94</v>
      </c>
      <c r="E190">
        <f>VLOOKUP(PREVIOS!E190&amp;'TABLA PREVIOS'!J190,MATERIAS!A:H,7,FALSE)</f>
        <v>233</v>
      </c>
      <c r="F190">
        <f>VLOOKUP(PREVIOS!G190,CONDICION!A:B,2,FALSE)</f>
        <v>1</v>
      </c>
      <c r="G190">
        <f>IF(PREVIOS!AG190=1,1,VLOOKUP(PREVIOS!AG190,CALIFICACION!A:C,3,FALSE))</f>
        <v>1</v>
      </c>
      <c r="H190" s="1" t="s">
        <v>534</v>
      </c>
      <c r="I190" s="1" t="s">
        <v>534</v>
      </c>
      <c r="J190">
        <f>VLOOKUP(PREVIOS!F190&amp;VLOOKUP(PREVIOS!I190,PLAN!A:B,2,FALSE),CURSO!A:D,4,FALSE)</f>
        <v>18</v>
      </c>
      <c r="K190">
        <f>VLOOKUP(PREVIOS!H190,CICLO!A:B,2,FALSE)</f>
        <v>55</v>
      </c>
      <c r="L190">
        <f>VLOOKUP(PREVIOS!I190,PLAN!A:B,2,FALSE)</f>
        <v>5</v>
      </c>
    </row>
    <row r="191" spans="1:12" x14ac:dyDescent="0.25">
      <c r="A191" t="str">
        <f t="shared" si="2"/>
        <v>A94M243C1</v>
      </c>
      <c r="C191">
        <v>190</v>
      </c>
      <c r="D191">
        <f>VLOOKUP(PREVIOS!C191,ALUMNOS!A:B,2,FALSE)</f>
        <v>94</v>
      </c>
      <c r="E191">
        <f>VLOOKUP(PREVIOS!E191&amp;'TABLA PREVIOS'!J191,MATERIAS!A:H,7,FALSE)</f>
        <v>243</v>
      </c>
      <c r="F191">
        <f>VLOOKUP(PREVIOS!G191,CONDICION!A:B,2,FALSE)</f>
        <v>1</v>
      </c>
      <c r="G191">
        <f>IF(PREVIOS!AG191=1,1,VLOOKUP(PREVIOS!AG191,CALIFICACION!A:C,3,FALSE))</f>
        <v>1</v>
      </c>
      <c r="H191" s="1" t="s">
        <v>534</v>
      </c>
      <c r="I191" s="1" t="s">
        <v>534</v>
      </c>
      <c r="J191">
        <f>VLOOKUP(PREVIOS!F191&amp;VLOOKUP(PREVIOS!I191,PLAN!A:B,2,FALSE),CURSO!A:D,4,FALSE)</f>
        <v>19</v>
      </c>
      <c r="K191">
        <f>VLOOKUP(PREVIOS!H191,CICLO!A:B,2,FALSE)</f>
        <v>56</v>
      </c>
      <c r="L191">
        <f>VLOOKUP(PREVIOS!I191,PLAN!A:B,2,FALSE)</f>
        <v>5</v>
      </c>
    </row>
    <row r="192" spans="1:12" x14ac:dyDescent="0.25">
      <c r="A192" t="str">
        <f t="shared" si="2"/>
        <v>A94M245C3</v>
      </c>
      <c r="C192">
        <v>191</v>
      </c>
      <c r="D192">
        <f>VLOOKUP(PREVIOS!C192,ALUMNOS!A:B,2,FALSE)</f>
        <v>94</v>
      </c>
      <c r="E192">
        <f>VLOOKUP(PREVIOS!E192&amp;'TABLA PREVIOS'!J192,MATERIAS!A:H,7,FALSE)</f>
        <v>245</v>
      </c>
      <c r="F192">
        <f>VLOOKUP(PREVIOS!G192,CONDICION!A:B,2,FALSE)</f>
        <v>3</v>
      </c>
      <c r="G192">
        <f>IF(PREVIOS!AG192=1,1,VLOOKUP(PREVIOS!AG192,CALIFICACION!A:C,3,FALSE))</f>
        <v>1</v>
      </c>
      <c r="H192" s="1" t="s">
        <v>534</v>
      </c>
      <c r="I192" s="1" t="s">
        <v>534</v>
      </c>
      <c r="J192">
        <f>VLOOKUP(PREVIOS!F192&amp;VLOOKUP(PREVIOS!I192,PLAN!A:B,2,FALSE),CURSO!A:D,4,FALSE)</f>
        <v>19</v>
      </c>
      <c r="K192">
        <f>VLOOKUP(PREVIOS!H192,CICLO!A:B,2,FALSE)</f>
        <v>56</v>
      </c>
      <c r="L192">
        <f>VLOOKUP(PREVIOS!I192,PLAN!A:B,2,FALSE)</f>
        <v>5</v>
      </c>
    </row>
    <row r="193" spans="1:12" x14ac:dyDescent="0.25">
      <c r="A193" t="str">
        <f t="shared" si="2"/>
        <v>A805M240C1</v>
      </c>
      <c r="C193">
        <v>192</v>
      </c>
      <c r="D193">
        <f>VLOOKUP(PREVIOS!C193,ALUMNOS!A:B,2,FALSE)</f>
        <v>805</v>
      </c>
      <c r="E193">
        <f>VLOOKUP(PREVIOS!E193&amp;'TABLA PREVIOS'!J193,MATERIAS!A:H,7,FALSE)</f>
        <v>240</v>
      </c>
      <c r="F193">
        <f>VLOOKUP(PREVIOS!G193,CONDICION!A:B,2,FALSE)</f>
        <v>1</v>
      </c>
      <c r="G193">
        <f>IF(PREVIOS!AG193=1,1,VLOOKUP(PREVIOS!AG193,CALIFICACION!A:C,3,FALSE))</f>
        <v>9</v>
      </c>
      <c r="H193" s="1" t="s">
        <v>534</v>
      </c>
      <c r="I193" s="1" t="s">
        <v>534</v>
      </c>
      <c r="J193">
        <f>VLOOKUP(PREVIOS!F193&amp;VLOOKUP(PREVIOS!I193,PLAN!A:B,2,FALSE),CURSO!A:D,4,FALSE)</f>
        <v>19</v>
      </c>
      <c r="K193">
        <f>VLOOKUP(PREVIOS!H193,CICLO!A:B,2,FALSE)</f>
        <v>56</v>
      </c>
      <c r="L193">
        <f>VLOOKUP(PREVIOS!I193,PLAN!A:B,2,FALSE)</f>
        <v>5</v>
      </c>
    </row>
    <row r="194" spans="1:12" x14ac:dyDescent="0.25">
      <c r="A194" t="str">
        <f t="shared" si="2"/>
        <v>A806M244C1</v>
      </c>
      <c r="C194">
        <v>193</v>
      </c>
      <c r="D194">
        <f>VLOOKUP(PREVIOS!C194,ALUMNOS!A:B,2,FALSE)</f>
        <v>806</v>
      </c>
      <c r="E194">
        <f>VLOOKUP(PREVIOS!E194&amp;'TABLA PREVIOS'!J194,MATERIAS!A:H,7,FALSE)</f>
        <v>244</v>
      </c>
      <c r="F194">
        <f>VLOOKUP(PREVIOS!G194,CONDICION!A:B,2,FALSE)</f>
        <v>1</v>
      </c>
      <c r="G194">
        <f>IF(PREVIOS!AG194=1,1,VLOOKUP(PREVIOS!AG194,CALIFICACION!A:C,3,FALSE))</f>
        <v>1</v>
      </c>
      <c r="H194" s="1" t="s">
        <v>534</v>
      </c>
      <c r="I194" s="1" t="s">
        <v>534</v>
      </c>
      <c r="J194">
        <f>VLOOKUP(PREVIOS!F194&amp;VLOOKUP(PREVIOS!I194,PLAN!A:B,2,FALSE),CURSO!A:D,4,FALSE)</f>
        <v>19</v>
      </c>
      <c r="K194">
        <f>VLOOKUP(PREVIOS!H194,CICLO!A:B,2,FALSE)</f>
        <v>56</v>
      </c>
      <c r="L194">
        <f>VLOOKUP(PREVIOS!I194,PLAN!A:B,2,FALSE)</f>
        <v>5</v>
      </c>
    </row>
    <row r="195" spans="1:12" x14ac:dyDescent="0.25">
      <c r="A195" t="str">
        <f t="shared" ref="A195:A258" si="3">"A"&amp;D195&amp;"M"&amp;E195&amp;"C"&amp;F195</f>
        <v>A806M240C1</v>
      </c>
      <c r="C195">
        <v>194</v>
      </c>
      <c r="D195">
        <f>VLOOKUP(PREVIOS!C195,ALUMNOS!A:B,2,FALSE)</f>
        <v>806</v>
      </c>
      <c r="E195">
        <f>VLOOKUP(PREVIOS!E195&amp;'TABLA PREVIOS'!J195,MATERIAS!A:H,7,FALSE)</f>
        <v>240</v>
      </c>
      <c r="F195">
        <f>VLOOKUP(PREVIOS!G195,CONDICION!A:B,2,FALSE)</f>
        <v>1</v>
      </c>
      <c r="G195">
        <f>IF(PREVIOS!AG195=1,1,VLOOKUP(PREVIOS!AG195,CALIFICACION!A:C,3,FALSE))</f>
        <v>9</v>
      </c>
      <c r="H195" s="1" t="s">
        <v>534</v>
      </c>
      <c r="I195" s="1" t="s">
        <v>534</v>
      </c>
      <c r="J195">
        <f>VLOOKUP(PREVIOS!F195&amp;VLOOKUP(PREVIOS!I195,PLAN!A:B,2,FALSE),CURSO!A:D,4,FALSE)</f>
        <v>19</v>
      </c>
      <c r="K195">
        <f>VLOOKUP(PREVIOS!H195,CICLO!A:B,2,FALSE)</f>
        <v>56</v>
      </c>
      <c r="L195">
        <f>VLOOKUP(PREVIOS!I195,PLAN!A:B,2,FALSE)</f>
        <v>5</v>
      </c>
    </row>
    <row r="196" spans="1:12" x14ac:dyDescent="0.25">
      <c r="A196" t="str">
        <f t="shared" si="3"/>
        <v>A561M230C1</v>
      </c>
      <c r="C196">
        <v>195</v>
      </c>
      <c r="D196">
        <f>VLOOKUP(PREVIOS!C196,ALUMNOS!A:B,2,FALSE)</f>
        <v>561</v>
      </c>
      <c r="E196">
        <f>VLOOKUP(PREVIOS!E196&amp;'TABLA PREVIOS'!J196,MATERIAS!A:H,7,FALSE)</f>
        <v>230</v>
      </c>
      <c r="F196">
        <f>VLOOKUP(PREVIOS!G196,CONDICION!A:B,2,FALSE)</f>
        <v>1</v>
      </c>
      <c r="G196">
        <f>IF(PREVIOS!AG196=1,1,VLOOKUP(PREVIOS!AG196,CALIFICACION!A:C,3,FALSE))</f>
        <v>1</v>
      </c>
      <c r="H196" s="1" t="s">
        <v>534</v>
      </c>
      <c r="I196" s="1" t="s">
        <v>534</v>
      </c>
      <c r="J196">
        <f>VLOOKUP(PREVIOS!F196&amp;VLOOKUP(PREVIOS!I196,PLAN!A:B,2,FALSE),CURSO!A:D,4,FALSE)</f>
        <v>18</v>
      </c>
      <c r="K196">
        <f>VLOOKUP(PREVIOS!H196,CICLO!A:B,2,FALSE)</f>
        <v>55</v>
      </c>
      <c r="L196">
        <f>VLOOKUP(PREVIOS!I196,PLAN!A:B,2,FALSE)</f>
        <v>5</v>
      </c>
    </row>
    <row r="197" spans="1:12" x14ac:dyDescent="0.25">
      <c r="A197" t="str">
        <f t="shared" si="3"/>
        <v>A561M249C1</v>
      </c>
      <c r="C197">
        <v>196</v>
      </c>
      <c r="D197">
        <f>VLOOKUP(PREVIOS!C197,ALUMNOS!A:B,2,FALSE)</f>
        <v>561</v>
      </c>
      <c r="E197">
        <f>VLOOKUP(PREVIOS!E197&amp;'TABLA PREVIOS'!J197,MATERIAS!A:H,7,FALSE)</f>
        <v>249</v>
      </c>
      <c r="F197">
        <f>VLOOKUP(PREVIOS!G197,CONDICION!A:B,2,FALSE)</f>
        <v>1</v>
      </c>
      <c r="G197">
        <f>IF(PREVIOS!AG197=1,1,VLOOKUP(PREVIOS!AG197,CALIFICACION!A:C,3,FALSE))</f>
        <v>1</v>
      </c>
      <c r="H197" s="1" t="s">
        <v>534</v>
      </c>
      <c r="I197" s="1" t="s">
        <v>534</v>
      </c>
      <c r="J197">
        <f>VLOOKUP(PREVIOS!F197&amp;VLOOKUP(PREVIOS!I197,PLAN!A:B,2,FALSE),CURSO!A:D,4,FALSE)</f>
        <v>19</v>
      </c>
      <c r="K197">
        <f>VLOOKUP(PREVIOS!H197,CICLO!A:B,2,FALSE)</f>
        <v>56</v>
      </c>
      <c r="L197">
        <f>VLOOKUP(PREVIOS!I197,PLAN!A:B,2,FALSE)</f>
        <v>5</v>
      </c>
    </row>
    <row r="198" spans="1:12" x14ac:dyDescent="0.25">
      <c r="A198" t="str">
        <f t="shared" si="3"/>
        <v>A561M239C3</v>
      </c>
      <c r="C198">
        <v>197</v>
      </c>
      <c r="D198">
        <f>VLOOKUP(PREVIOS!C198,ALUMNOS!A:B,2,FALSE)</f>
        <v>561</v>
      </c>
      <c r="E198">
        <f>VLOOKUP(PREVIOS!E198&amp;'TABLA PREVIOS'!J198,MATERIAS!A:H,7,FALSE)</f>
        <v>239</v>
      </c>
      <c r="F198">
        <f>VLOOKUP(PREVIOS!G198,CONDICION!A:B,2,FALSE)</f>
        <v>3</v>
      </c>
      <c r="G198">
        <f>IF(PREVIOS!AG198=1,1,VLOOKUP(PREVIOS!AG198,CALIFICACION!A:C,3,FALSE))</f>
        <v>1</v>
      </c>
      <c r="H198" s="1" t="s">
        <v>534</v>
      </c>
      <c r="I198" s="1" t="s">
        <v>534</v>
      </c>
      <c r="J198">
        <f>VLOOKUP(PREVIOS!F198&amp;VLOOKUP(PREVIOS!I198,PLAN!A:B,2,FALSE),CURSO!A:D,4,FALSE)</f>
        <v>19</v>
      </c>
      <c r="K198">
        <f>VLOOKUP(PREVIOS!H198,CICLO!A:B,2,FALSE)</f>
        <v>56</v>
      </c>
      <c r="L198">
        <f>VLOOKUP(PREVIOS!I198,PLAN!A:B,2,FALSE)</f>
        <v>5</v>
      </c>
    </row>
    <row r="199" spans="1:12" x14ac:dyDescent="0.25">
      <c r="A199" t="str">
        <f t="shared" si="3"/>
        <v>A646M234C1</v>
      </c>
      <c r="C199">
        <v>198</v>
      </c>
      <c r="D199">
        <f>VLOOKUP(PREVIOS!C199,ALUMNOS!A:B,2,FALSE)</f>
        <v>646</v>
      </c>
      <c r="E199">
        <f>VLOOKUP(PREVIOS!E199&amp;'TABLA PREVIOS'!J199,MATERIAS!A:H,7,FALSE)</f>
        <v>234</v>
      </c>
      <c r="F199">
        <f>VLOOKUP(PREVIOS!G199,CONDICION!A:B,2,FALSE)</f>
        <v>1</v>
      </c>
      <c r="G199">
        <f>IF(PREVIOS!AG199=1,1,VLOOKUP(PREVIOS!AG199,CALIFICACION!A:C,3,FALSE))</f>
        <v>1</v>
      </c>
      <c r="H199" s="1" t="s">
        <v>534</v>
      </c>
      <c r="I199" s="1" t="s">
        <v>534</v>
      </c>
      <c r="J199">
        <f>VLOOKUP(PREVIOS!F199&amp;VLOOKUP(PREVIOS!I199,PLAN!A:B,2,FALSE),CURSO!A:D,4,FALSE)</f>
        <v>18</v>
      </c>
      <c r="K199">
        <f>VLOOKUP(PREVIOS!H199,CICLO!A:B,2,FALSE)</f>
        <v>53</v>
      </c>
      <c r="L199">
        <f>VLOOKUP(PREVIOS!I199,PLAN!A:B,2,FALSE)</f>
        <v>5</v>
      </c>
    </row>
    <row r="200" spans="1:12" x14ac:dyDescent="0.25">
      <c r="A200" t="str">
        <f t="shared" si="3"/>
        <v>A646M246C1</v>
      </c>
      <c r="C200">
        <v>199</v>
      </c>
      <c r="D200">
        <f>VLOOKUP(PREVIOS!C200,ALUMNOS!A:B,2,FALSE)</f>
        <v>646</v>
      </c>
      <c r="E200">
        <f>VLOOKUP(PREVIOS!E200&amp;'TABLA PREVIOS'!J200,MATERIAS!A:H,7,FALSE)</f>
        <v>246</v>
      </c>
      <c r="F200">
        <f>VLOOKUP(PREVIOS!G200,CONDICION!A:B,2,FALSE)</f>
        <v>1</v>
      </c>
      <c r="G200">
        <f>IF(PREVIOS!AG200=1,1,VLOOKUP(PREVIOS!AG200,CALIFICACION!A:C,3,FALSE))</f>
        <v>1</v>
      </c>
      <c r="H200" s="1" t="s">
        <v>534</v>
      </c>
      <c r="I200" s="1" t="s">
        <v>534</v>
      </c>
      <c r="J200">
        <f>VLOOKUP(PREVIOS!F200&amp;VLOOKUP(PREVIOS!I200,PLAN!A:B,2,FALSE),CURSO!A:D,4,FALSE)</f>
        <v>19</v>
      </c>
      <c r="K200">
        <f>VLOOKUP(PREVIOS!H200,CICLO!A:B,2,FALSE)</f>
        <v>54</v>
      </c>
      <c r="L200">
        <f>VLOOKUP(PREVIOS!I200,PLAN!A:B,2,FALSE)</f>
        <v>5</v>
      </c>
    </row>
    <row r="201" spans="1:12" x14ac:dyDescent="0.25">
      <c r="A201" t="str">
        <f t="shared" si="3"/>
        <v>A646M247C1</v>
      </c>
      <c r="C201">
        <v>200</v>
      </c>
      <c r="D201">
        <f>VLOOKUP(PREVIOS!C201,ALUMNOS!A:B,2,FALSE)</f>
        <v>646</v>
      </c>
      <c r="E201">
        <f>VLOOKUP(PREVIOS!E201&amp;'TABLA PREVIOS'!J201,MATERIAS!A:H,7,FALSE)</f>
        <v>247</v>
      </c>
      <c r="F201">
        <f>VLOOKUP(PREVIOS!G201,CONDICION!A:B,2,FALSE)</f>
        <v>1</v>
      </c>
      <c r="G201">
        <f>IF(PREVIOS!AG201=1,1,VLOOKUP(PREVIOS!AG201,CALIFICACION!A:C,3,FALSE))</f>
        <v>1</v>
      </c>
      <c r="H201" s="1" t="s">
        <v>534</v>
      </c>
      <c r="I201" s="1" t="s">
        <v>534</v>
      </c>
      <c r="J201">
        <f>VLOOKUP(PREVIOS!F201&amp;VLOOKUP(PREVIOS!I201,PLAN!A:B,2,FALSE),CURSO!A:D,4,FALSE)</f>
        <v>19</v>
      </c>
      <c r="K201">
        <f>VLOOKUP(PREVIOS!H201,CICLO!A:B,2,FALSE)</f>
        <v>54</v>
      </c>
      <c r="L201">
        <f>VLOOKUP(PREVIOS!I201,PLAN!A:B,2,FALSE)</f>
        <v>5</v>
      </c>
    </row>
    <row r="202" spans="1:12" x14ac:dyDescent="0.25">
      <c r="A202" t="str">
        <f t="shared" si="3"/>
        <v>A646M238C1</v>
      </c>
      <c r="C202">
        <v>201</v>
      </c>
      <c r="D202">
        <f>VLOOKUP(PREVIOS!C202,ALUMNOS!A:B,2,FALSE)</f>
        <v>646</v>
      </c>
      <c r="E202">
        <f>VLOOKUP(PREVIOS!E202&amp;'TABLA PREVIOS'!J202,MATERIAS!A:H,7,FALSE)</f>
        <v>238</v>
      </c>
      <c r="F202">
        <f>VLOOKUP(PREVIOS!G202,CONDICION!A:B,2,FALSE)</f>
        <v>1</v>
      </c>
      <c r="G202">
        <f>IF(PREVIOS!AG202=1,1,VLOOKUP(PREVIOS!AG202,CALIFICACION!A:C,3,FALSE))</f>
        <v>1</v>
      </c>
      <c r="H202" s="1" t="s">
        <v>534</v>
      </c>
      <c r="I202" s="1" t="s">
        <v>534</v>
      </c>
      <c r="J202">
        <f>VLOOKUP(PREVIOS!F202&amp;VLOOKUP(PREVIOS!I202,PLAN!A:B,2,FALSE),CURSO!A:D,4,FALSE)</f>
        <v>19</v>
      </c>
      <c r="K202">
        <f>VLOOKUP(PREVIOS!H202,CICLO!A:B,2,FALSE)</f>
        <v>54</v>
      </c>
      <c r="L202">
        <f>VLOOKUP(PREVIOS!I202,PLAN!A:B,2,FALSE)</f>
        <v>5</v>
      </c>
    </row>
    <row r="203" spans="1:12" x14ac:dyDescent="0.25">
      <c r="A203" t="str">
        <f t="shared" si="3"/>
        <v>A723M249C1</v>
      </c>
      <c r="C203">
        <v>202</v>
      </c>
      <c r="D203">
        <f>VLOOKUP(PREVIOS!C203,ALUMNOS!A:B,2,FALSE)</f>
        <v>723</v>
      </c>
      <c r="E203">
        <f>VLOOKUP(PREVIOS!E203&amp;'TABLA PREVIOS'!J203,MATERIAS!A:H,7,FALSE)</f>
        <v>249</v>
      </c>
      <c r="F203">
        <f>VLOOKUP(PREVIOS!G203,CONDICION!A:B,2,FALSE)</f>
        <v>1</v>
      </c>
      <c r="G203">
        <f>IF(PREVIOS!AG203=1,1,VLOOKUP(PREVIOS!AG203,CALIFICACION!A:C,3,FALSE))</f>
        <v>9</v>
      </c>
      <c r="H203" s="1" t="s">
        <v>534</v>
      </c>
      <c r="I203" s="1" t="s">
        <v>534</v>
      </c>
      <c r="J203">
        <f>VLOOKUP(PREVIOS!F203&amp;VLOOKUP(PREVIOS!I203,PLAN!A:B,2,FALSE),CURSO!A:D,4,FALSE)</f>
        <v>19</v>
      </c>
      <c r="K203">
        <f>VLOOKUP(PREVIOS!H203,CICLO!A:B,2,FALSE)</f>
        <v>56</v>
      </c>
      <c r="L203">
        <f>VLOOKUP(PREVIOS!I203,PLAN!A:B,2,FALSE)</f>
        <v>5</v>
      </c>
    </row>
    <row r="204" spans="1:12" x14ac:dyDescent="0.25">
      <c r="A204" t="str">
        <f t="shared" si="3"/>
        <v>A723M243C1</v>
      </c>
      <c r="C204">
        <v>203</v>
      </c>
      <c r="D204">
        <f>VLOOKUP(PREVIOS!C204,ALUMNOS!A:B,2,FALSE)</f>
        <v>723</v>
      </c>
      <c r="E204">
        <f>VLOOKUP(PREVIOS!E204&amp;'TABLA PREVIOS'!J204,MATERIAS!A:H,7,FALSE)</f>
        <v>243</v>
      </c>
      <c r="F204">
        <f>VLOOKUP(PREVIOS!G204,CONDICION!A:B,2,FALSE)</f>
        <v>1</v>
      </c>
      <c r="G204">
        <f>IF(PREVIOS!AG204=1,1,VLOOKUP(PREVIOS!AG204,CALIFICACION!A:C,3,FALSE))</f>
        <v>9</v>
      </c>
      <c r="H204" s="1" t="s">
        <v>534</v>
      </c>
      <c r="I204" s="1" t="s">
        <v>534</v>
      </c>
      <c r="J204">
        <f>VLOOKUP(PREVIOS!F204&amp;VLOOKUP(PREVIOS!I204,PLAN!A:B,2,FALSE),CURSO!A:D,4,FALSE)</f>
        <v>19</v>
      </c>
      <c r="K204">
        <f>VLOOKUP(PREVIOS!H204,CICLO!A:B,2,FALSE)</f>
        <v>56</v>
      </c>
      <c r="L204">
        <f>VLOOKUP(PREVIOS!I204,PLAN!A:B,2,FALSE)</f>
        <v>5</v>
      </c>
    </row>
    <row r="205" spans="1:12" x14ac:dyDescent="0.25">
      <c r="A205" t="str">
        <f t="shared" si="3"/>
        <v>A723M240C3</v>
      </c>
      <c r="C205">
        <v>204</v>
      </c>
      <c r="D205">
        <f>VLOOKUP(PREVIOS!C205,ALUMNOS!A:B,2,FALSE)</f>
        <v>723</v>
      </c>
      <c r="E205">
        <f>VLOOKUP(PREVIOS!E205&amp;'TABLA PREVIOS'!J205,MATERIAS!A:H,7,FALSE)</f>
        <v>240</v>
      </c>
      <c r="F205">
        <f>VLOOKUP(PREVIOS!G205,CONDICION!A:B,2,FALSE)</f>
        <v>3</v>
      </c>
      <c r="G205">
        <f>IF(PREVIOS!AG205=1,1,VLOOKUP(PREVIOS!AG205,CALIFICACION!A:C,3,FALSE))</f>
        <v>1</v>
      </c>
      <c r="H205" s="1" t="s">
        <v>534</v>
      </c>
      <c r="I205" s="1" t="s">
        <v>534</v>
      </c>
      <c r="J205">
        <f>VLOOKUP(PREVIOS!F205&amp;VLOOKUP(PREVIOS!I205,PLAN!A:B,2,FALSE),CURSO!A:D,4,FALSE)</f>
        <v>19</v>
      </c>
      <c r="K205">
        <f>VLOOKUP(PREVIOS!H205,CICLO!A:B,2,FALSE)</f>
        <v>56</v>
      </c>
      <c r="L205">
        <f>VLOOKUP(PREVIOS!I205,PLAN!A:B,2,FALSE)</f>
        <v>5</v>
      </c>
    </row>
    <row r="206" spans="1:12" x14ac:dyDescent="0.25">
      <c r="A206" t="str">
        <f t="shared" si="3"/>
        <v>A763M240C1</v>
      </c>
      <c r="C206">
        <v>205</v>
      </c>
      <c r="D206">
        <f>VLOOKUP(PREVIOS!C206,ALUMNOS!A:B,2,FALSE)</f>
        <v>763</v>
      </c>
      <c r="E206">
        <f>VLOOKUP(PREVIOS!E206&amp;'TABLA PREVIOS'!J206,MATERIAS!A:H,7,FALSE)</f>
        <v>240</v>
      </c>
      <c r="F206">
        <f>VLOOKUP(PREVIOS!G206,CONDICION!A:B,2,FALSE)</f>
        <v>1</v>
      </c>
      <c r="G206">
        <f>IF(PREVIOS!AG206=1,1,VLOOKUP(PREVIOS!AG206,CALIFICACION!A:C,3,FALSE))</f>
        <v>1</v>
      </c>
      <c r="H206" s="1" t="s">
        <v>534</v>
      </c>
      <c r="I206" s="1" t="s">
        <v>534</v>
      </c>
      <c r="J206">
        <f>VLOOKUP(PREVIOS!F206&amp;VLOOKUP(PREVIOS!I206,PLAN!A:B,2,FALSE),CURSO!A:D,4,FALSE)</f>
        <v>19</v>
      </c>
      <c r="K206">
        <f>VLOOKUP(PREVIOS!H206,CICLO!A:B,2,FALSE)</f>
        <v>56</v>
      </c>
      <c r="L206">
        <f>VLOOKUP(PREVIOS!I206,PLAN!A:B,2,FALSE)</f>
        <v>5</v>
      </c>
    </row>
    <row r="207" spans="1:12" x14ac:dyDescent="0.25">
      <c r="A207" t="str">
        <f t="shared" si="3"/>
        <v>A780M229C1</v>
      </c>
      <c r="C207">
        <v>206</v>
      </c>
      <c r="D207">
        <f>VLOOKUP(PREVIOS!C207,ALUMNOS!A:B,2,FALSE)</f>
        <v>780</v>
      </c>
      <c r="E207">
        <f>VLOOKUP(PREVIOS!E207&amp;'TABLA PREVIOS'!J207,MATERIAS!A:H,7,FALSE)</f>
        <v>229</v>
      </c>
      <c r="F207">
        <f>VLOOKUP(PREVIOS!G207,CONDICION!A:B,2,FALSE)</f>
        <v>1</v>
      </c>
      <c r="G207">
        <f>IF(PREVIOS!AG207=1,1,VLOOKUP(PREVIOS!AG207,CALIFICACION!A:C,3,FALSE))</f>
        <v>1</v>
      </c>
      <c r="H207" s="1" t="s">
        <v>534</v>
      </c>
      <c r="I207" s="1" t="s">
        <v>534</v>
      </c>
      <c r="J207">
        <f>VLOOKUP(PREVIOS!F207&amp;VLOOKUP(PREVIOS!I207,PLAN!A:B,2,FALSE),CURSO!A:D,4,FALSE)</f>
        <v>18</v>
      </c>
      <c r="K207">
        <f>VLOOKUP(PREVIOS!H207,CICLO!A:B,2,FALSE)</f>
        <v>55</v>
      </c>
      <c r="L207">
        <f>VLOOKUP(PREVIOS!I207,PLAN!A:B,2,FALSE)</f>
        <v>5</v>
      </c>
    </row>
    <row r="208" spans="1:12" x14ac:dyDescent="0.25">
      <c r="A208" t="str">
        <f t="shared" si="3"/>
        <v>A780M243C1</v>
      </c>
      <c r="C208">
        <v>207</v>
      </c>
      <c r="D208">
        <f>VLOOKUP(PREVIOS!C208,ALUMNOS!A:B,2,FALSE)</f>
        <v>780</v>
      </c>
      <c r="E208">
        <f>VLOOKUP(PREVIOS!E208&amp;'TABLA PREVIOS'!J208,MATERIAS!A:H,7,FALSE)</f>
        <v>243</v>
      </c>
      <c r="F208">
        <f>VLOOKUP(PREVIOS!G208,CONDICION!A:B,2,FALSE)</f>
        <v>1</v>
      </c>
      <c r="G208">
        <f>IF(PREVIOS!AG208=1,1,VLOOKUP(PREVIOS!AG208,CALIFICACION!A:C,3,FALSE))</f>
        <v>1</v>
      </c>
      <c r="H208" s="1" t="s">
        <v>534</v>
      </c>
      <c r="I208" s="1" t="s">
        <v>534</v>
      </c>
      <c r="J208">
        <f>VLOOKUP(PREVIOS!F208&amp;VLOOKUP(PREVIOS!I208,PLAN!A:B,2,FALSE),CURSO!A:D,4,FALSE)</f>
        <v>19</v>
      </c>
      <c r="K208">
        <f>VLOOKUP(PREVIOS!H208,CICLO!A:B,2,FALSE)</f>
        <v>56</v>
      </c>
      <c r="L208">
        <f>VLOOKUP(PREVIOS!I208,PLAN!A:B,2,FALSE)</f>
        <v>5</v>
      </c>
    </row>
    <row r="209" spans="1:12" x14ac:dyDescent="0.25">
      <c r="A209" t="str">
        <f t="shared" si="3"/>
        <v>A41M236C1</v>
      </c>
      <c r="C209">
        <v>208</v>
      </c>
      <c r="D209">
        <f>VLOOKUP(PREVIOS!C209,ALUMNOS!A:B,2,FALSE)</f>
        <v>41</v>
      </c>
      <c r="E209">
        <f>VLOOKUP(PREVIOS!E209&amp;'TABLA PREVIOS'!J209,MATERIAS!A:H,7,FALSE)</f>
        <v>236</v>
      </c>
      <c r="F209">
        <f>VLOOKUP(PREVIOS!G209,CONDICION!A:B,2,FALSE)</f>
        <v>1</v>
      </c>
      <c r="G209">
        <f>IF(PREVIOS!AG209=1,1,VLOOKUP(PREVIOS!AG209,CALIFICACION!A:C,3,FALSE))</f>
        <v>1</v>
      </c>
      <c r="H209" s="1" t="s">
        <v>534</v>
      </c>
      <c r="I209" s="1" t="s">
        <v>534</v>
      </c>
      <c r="J209">
        <f>VLOOKUP(PREVIOS!F209&amp;VLOOKUP(PREVIOS!I209,PLAN!A:B,2,FALSE),CURSO!A:D,4,FALSE)</f>
        <v>18</v>
      </c>
      <c r="K209">
        <f>VLOOKUP(PREVIOS!H209,CICLO!A:B,2,FALSE)</f>
        <v>53</v>
      </c>
      <c r="L209">
        <f>VLOOKUP(PREVIOS!I209,PLAN!A:B,2,FALSE)</f>
        <v>5</v>
      </c>
    </row>
    <row r="210" spans="1:12" x14ac:dyDescent="0.25">
      <c r="A210" t="str">
        <f t="shared" si="3"/>
        <v>A41M229C3</v>
      </c>
      <c r="C210">
        <v>209</v>
      </c>
      <c r="D210">
        <f>VLOOKUP(PREVIOS!C210,ALUMNOS!A:B,2,FALSE)</f>
        <v>41</v>
      </c>
      <c r="E210">
        <f>VLOOKUP(PREVIOS!E210&amp;'TABLA PREVIOS'!J210,MATERIAS!A:H,7,FALSE)</f>
        <v>229</v>
      </c>
      <c r="F210">
        <f>VLOOKUP(PREVIOS!G210,CONDICION!A:B,2,FALSE)</f>
        <v>3</v>
      </c>
      <c r="G210">
        <f>IF(PREVIOS!AG210=1,1,VLOOKUP(PREVIOS!AG210,CALIFICACION!A:C,3,FALSE))</f>
        <v>1</v>
      </c>
      <c r="H210" s="1" t="s">
        <v>534</v>
      </c>
      <c r="I210" s="1" t="s">
        <v>534</v>
      </c>
      <c r="J210">
        <f>VLOOKUP(PREVIOS!F210&amp;VLOOKUP(PREVIOS!I210,PLAN!A:B,2,FALSE),CURSO!A:D,4,FALSE)</f>
        <v>18</v>
      </c>
      <c r="K210">
        <f>VLOOKUP(PREVIOS!H210,CICLO!A:B,2,FALSE)</f>
        <v>53</v>
      </c>
      <c r="L210">
        <f>VLOOKUP(PREVIOS!I210,PLAN!A:B,2,FALSE)</f>
        <v>5</v>
      </c>
    </row>
    <row r="211" spans="1:12" x14ac:dyDescent="0.25">
      <c r="A211" t="str">
        <f t="shared" si="3"/>
        <v>A41M248C1</v>
      </c>
      <c r="C211">
        <v>210</v>
      </c>
      <c r="D211">
        <f>VLOOKUP(PREVIOS!C211,ALUMNOS!A:B,2,FALSE)</f>
        <v>41</v>
      </c>
      <c r="E211">
        <f>VLOOKUP(PREVIOS!E211&amp;'TABLA PREVIOS'!J211,MATERIAS!A:H,7,FALSE)</f>
        <v>248</v>
      </c>
      <c r="F211">
        <f>VLOOKUP(PREVIOS!G211,CONDICION!A:B,2,FALSE)</f>
        <v>1</v>
      </c>
      <c r="G211">
        <f>IF(PREVIOS!AG211=1,1,VLOOKUP(PREVIOS!AG211,CALIFICACION!A:C,3,FALSE))</f>
        <v>1</v>
      </c>
      <c r="H211" s="1" t="s">
        <v>534</v>
      </c>
      <c r="I211" s="1" t="s">
        <v>534</v>
      </c>
      <c r="J211">
        <f>VLOOKUP(PREVIOS!F211&amp;VLOOKUP(PREVIOS!I211,PLAN!A:B,2,FALSE),CURSO!A:D,4,FALSE)</f>
        <v>19</v>
      </c>
      <c r="K211">
        <f>VLOOKUP(PREVIOS!H211,CICLO!A:B,2,FALSE)</f>
        <v>54</v>
      </c>
      <c r="L211">
        <f>VLOOKUP(PREVIOS!I211,PLAN!A:B,2,FALSE)</f>
        <v>5</v>
      </c>
    </row>
    <row r="212" spans="1:12" x14ac:dyDescent="0.25">
      <c r="A212" t="str">
        <f t="shared" si="3"/>
        <v>A57M259C1</v>
      </c>
      <c r="C212">
        <v>211</v>
      </c>
      <c r="D212">
        <f>VLOOKUP(PREVIOS!C212,ALUMNOS!A:B,2,FALSE)</f>
        <v>57</v>
      </c>
      <c r="E212">
        <f>VLOOKUP(PREVIOS!E212&amp;'TABLA PREVIOS'!J212,MATERIAS!A:H,7,FALSE)</f>
        <v>259</v>
      </c>
      <c r="F212">
        <f>VLOOKUP(PREVIOS!G212,CONDICION!A:B,2,FALSE)</f>
        <v>1</v>
      </c>
      <c r="G212">
        <f>IF(PREVIOS!AG212=1,1,VLOOKUP(PREVIOS!AG212,CALIFICACION!A:C,3,FALSE))</f>
        <v>1</v>
      </c>
      <c r="H212" s="1" t="s">
        <v>534</v>
      </c>
      <c r="I212" s="1" t="s">
        <v>534</v>
      </c>
      <c r="J212">
        <f>VLOOKUP(PREVIOS!F212&amp;VLOOKUP(PREVIOS!I212,PLAN!A:B,2,FALSE),CURSO!A:D,4,FALSE)</f>
        <v>20</v>
      </c>
      <c r="K212">
        <f>VLOOKUP(PREVIOS!H212,CICLO!A:B,2,FALSE)</f>
        <v>56</v>
      </c>
      <c r="L212">
        <f>VLOOKUP(PREVIOS!I212,PLAN!A:B,2,FALSE)</f>
        <v>6</v>
      </c>
    </row>
    <row r="213" spans="1:12" x14ac:dyDescent="0.25">
      <c r="A213" t="str">
        <f t="shared" si="3"/>
        <v>A355M232C1</v>
      </c>
      <c r="C213">
        <v>212</v>
      </c>
      <c r="D213">
        <f>VLOOKUP(PREVIOS!C213,ALUMNOS!A:B,2,FALSE)</f>
        <v>355</v>
      </c>
      <c r="E213">
        <f>VLOOKUP(PREVIOS!E213&amp;'TABLA PREVIOS'!J213,MATERIAS!A:H,7,FALSE)</f>
        <v>232</v>
      </c>
      <c r="F213">
        <f>VLOOKUP(PREVIOS!G213,CONDICION!A:B,2,FALSE)</f>
        <v>1</v>
      </c>
      <c r="G213">
        <f>IF(PREVIOS!AG213=1,1,VLOOKUP(PREVIOS!AG213,CALIFICACION!A:C,3,FALSE))</f>
        <v>1</v>
      </c>
      <c r="H213" s="1" t="s">
        <v>534</v>
      </c>
      <c r="I213" s="1" t="s">
        <v>534</v>
      </c>
      <c r="J213">
        <f>VLOOKUP(PREVIOS!F213&amp;VLOOKUP(PREVIOS!I213,PLAN!A:B,2,FALSE),CURSO!A:D,4,FALSE)</f>
        <v>18</v>
      </c>
      <c r="K213">
        <f>VLOOKUP(PREVIOS!H213,CICLO!A:B,2,FALSE)</f>
        <v>54</v>
      </c>
      <c r="L213">
        <f>VLOOKUP(PREVIOS!I213,PLAN!A:B,2,FALSE)</f>
        <v>5</v>
      </c>
    </row>
    <row r="214" spans="1:12" x14ac:dyDescent="0.25">
      <c r="A214" t="str">
        <f t="shared" si="3"/>
        <v>A355M258C1</v>
      </c>
      <c r="C214">
        <v>213</v>
      </c>
      <c r="D214">
        <f>VLOOKUP(PREVIOS!C214,ALUMNOS!A:B,2,FALSE)</f>
        <v>355</v>
      </c>
      <c r="E214">
        <f>VLOOKUP(PREVIOS!E214&amp;'TABLA PREVIOS'!J214,MATERIAS!A:H,7,FALSE)</f>
        <v>258</v>
      </c>
      <c r="F214">
        <f>VLOOKUP(PREVIOS!G214,CONDICION!A:B,2,FALSE)</f>
        <v>1</v>
      </c>
      <c r="G214">
        <f>IF(PREVIOS!AG214=1,1,VLOOKUP(PREVIOS!AG214,CALIFICACION!A:C,3,FALSE))</f>
        <v>1</v>
      </c>
      <c r="H214" s="1" t="s">
        <v>534</v>
      </c>
      <c r="I214" s="1" t="s">
        <v>534</v>
      </c>
      <c r="J214">
        <f>VLOOKUP(PREVIOS!F214&amp;VLOOKUP(PREVIOS!I214,PLAN!A:B,2,FALSE),CURSO!A:D,4,FALSE)</f>
        <v>20</v>
      </c>
      <c r="K214">
        <f>VLOOKUP(PREVIOS!H214,CICLO!A:B,2,FALSE)</f>
        <v>56</v>
      </c>
      <c r="L214">
        <f>VLOOKUP(PREVIOS!I214,PLAN!A:B,2,FALSE)</f>
        <v>6</v>
      </c>
    </row>
    <row r="215" spans="1:12" x14ac:dyDescent="0.25">
      <c r="A215" t="str">
        <f t="shared" si="3"/>
        <v>A355M252C3</v>
      </c>
      <c r="C215">
        <v>214</v>
      </c>
      <c r="D215">
        <f>VLOOKUP(PREVIOS!C215,ALUMNOS!A:B,2,FALSE)</f>
        <v>355</v>
      </c>
      <c r="E215">
        <f>VLOOKUP(PREVIOS!E215&amp;'TABLA PREVIOS'!J215,MATERIAS!A:H,7,FALSE)</f>
        <v>252</v>
      </c>
      <c r="F215">
        <f>VLOOKUP(PREVIOS!G215,CONDICION!A:B,2,FALSE)</f>
        <v>3</v>
      </c>
      <c r="G215">
        <f>IF(PREVIOS!AG215=1,1,VLOOKUP(PREVIOS!AG215,CALIFICACION!A:C,3,FALSE))</f>
        <v>1</v>
      </c>
      <c r="H215" s="1" t="s">
        <v>534</v>
      </c>
      <c r="I215" s="1" t="s">
        <v>534</v>
      </c>
      <c r="J215">
        <f>VLOOKUP(PREVIOS!F215&amp;VLOOKUP(PREVIOS!I215,PLAN!A:B,2,FALSE),CURSO!A:D,4,FALSE)</f>
        <v>20</v>
      </c>
      <c r="K215">
        <f>VLOOKUP(PREVIOS!H215,CICLO!A:B,2,FALSE)</f>
        <v>56</v>
      </c>
      <c r="L215">
        <f>VLOOKUP(PREVIOS!I215,PLAN!A:B,2,FALSE)</f>
        <v>6</v>
      </c>
    </row>
    <row r="216" spans="1:12" x14ac:dyDescent="0.25">
      <c r="A216" t="str">
        <f t="shared" si="3"/>
        <v>A814M260C2</v>
      </c>
      <c r="C216">
        <v>215</v>
      </c>
      <c r="D216">
        <f>VLOOKUP(PREVIOS!C216,ALUMNOS!A:B,2,FALSE)</f>
        <v>814</v>
      </c>
      <c r="E216">
        <f>VLOOKUP(PREVIOS!E216&amp;'TABLA PREVIOS'!J216,MATERIAS!A:H,7,FALSE)</f>
        <v>260</v>
      </c>
      <c r="F216">
        <f>VLOOKUP(PREVIOS!G216,CONDICION!A:B,2,FALSE)</f>
        <v>2</v>
      </c>
      <c r="G216">
        <f>IF(PREVIOS!AG216=1,1,VLOOKUP(PREVIOS!AG216,CALIFICACION!A:C,3,FALSE))</f>
        <v>1</v>
      </c>
      <c r="H216" s="1" t="s">
        <v>534</v>
      </c>
      <c r="I216" s="1" t="s">
        <v>534</v>
      </c>
      <c r="J216">
        <f>VLOOKUP(PREVIOS!F216&amp;VLOOKUP(PREVIOS!I216,PLAN!A:B,2,FALSE),CURSO!A:D,4,FALSE)</f>
        <v>20</v>
      </c>
      <c r="K216">
        <f>VLOOKUP(PREVIOS!H216,CICLO!A:B,2,FALSE)</f>
        <v>57</v>
      </c>
      <c r="L216">
        <f>VLOOKUP(PREVIOS!I216,PLAN!A:B,2,FALSE)</f>
        <v>6</v>
      </c>
    </row>
    <row r="217" spans="1:12" x14ac:dyDescent="0.25">
      <c r="A217" t="str">
        <f t="shared" si="3"/>
        <v>A814M259C2</v>
      </c>
      <c r="C217">
        <v>216</v>
      </c>
      <c r="D217">
        <f>VLOOKUP(PREVIOS!C217,ALUMNOS!A:B,2,FALSE)</f>
        <v>814</v>
      </c>
      <c r="E217">
        <f>VLOOKUP(PREVIOS!E217&amp;'TABLA PREVIOS'!J217,MATERIAS!A:H,7,FALSE)</f>
        <v>259</v>
      </c>
      <c r="F217">
        <f>VLOOKUP(PREVIOS!G217,CONDICION!A:B,2,FALSE)</f>
        <v>2</v>
      </c>
      <c r="G217">
        <f>IF(PREVIOS!AG217=1,1,VLOOKUP(PREVIOS!AG217,CALIFICACION!A:C,3,FALSE))</f>
        <v>1</v>
      </c>
      <c r="H217" s="1" t="s">
        <v>534</v>
      </c>
      <c r="I217" s="1" t="s">
        <v>534</v>
      </c>
      <c r="J217">
        <f>VLOOKUP(PREVIOS!F217&amp;VLOOKUP(PREVIOS!I217,PLAN!A:B,2,FALSE),CURSO!A:D,4,FALSE)</f>
        <v>20</v>
      </c>
      <c r="K217">
        <f>VLOOKUP(PREVIOS!H217,CICLO!A:B,2,FALSE)</f>
        <v>57</v>
      </c>
      <c r="L217">
        <f>VLOOKUP(PREVIOS!I217,PLAN!A:B,2,FALSE)</f>
        <v>6</v>
      </c>
    </row>
    <row r="218" spans="1:12" x14ac:dyDescent="0.25">
      <c r="A218" t="str">
        <f t="shared" si="3"/>
        <v>A694M258C1</v>
      </c>
      <c r="C218">
        <v>217</v>
      </c>
      <c r="D218">
        <f>VLOOKUP(PREVIOS!C218,ALUMNOS!A:B,2,FALSE)</f>
        <v>694</v>
      </c>
      <c r="E218">
        <f>VLOOKUP(PREVIOS!E218&amp;'TABLA PREVIOS'!J218,MATERIAS!A:H,7,FALSE)</f>
        <v>258</v>
      </c>
      <c r="F218">
        <f>VLOOKUP(PREVIOS!G218,CONDICION!A:B,2,FALSE)</f>
        <v>1</v>
      </c>
      <c r="G218">
        <f>IF(PREVIOS!AG218=1,1,VLOOKUP(PREVIOS!AG218,CALIFICACION!A:C,3,FALSE))</f>
        <v>1</v>
      </c>
      <c r="H218" s="1" t="s">
        <v>534</v>
      </c>
      <c r="I218" s="1" t="s">
        <v>534</v>
      </c>
      <c r="J218">
        <f>VLOOKUP(PREVIOS!F218&amp;VLOOKUP(PREVIOS!I218,PLAN!A:B,2,FALSE),CURSO!A:D,4,FALSE)</f>
        <v>20</v>
      </c>
      <c r="K218">
        <f>VLOOKUP(PREVIOS!H218,CICLO!A:B,2,FALSE)</f>
        <v>56</v>
      </c>
      <c r="L218">
        <f>VLOOKUP(PREVIOS!I218,PLAN!A:B,2,FALSE)</f>
        <v>6</v>
      </c>
    </row>
    <row r="219" spans="1:12" x14ac:dyDescent="0.25">
      <c r="A219" t="str">
        <f t="shared" si="3"/>
        <v>A694M256C1</v>
      </c>
      <c r="C219">
        <v>218</v>
      </c>
      <c r="D219">
        <f>VLOOKUP(PREVIOS!C219,ALUMNOS!A:B,2,FALSE)</f>
        <v>694</v>
      </c>
      <c r="E219">
        <f>VLOOKUP(PREVIOS!E219&amp;'TABLA PREVIOS'!J219,MATERIAS!A:H,7,FALSE)</f>
        <v>256</v>
      </c>
      <c r="F219">
        <f>VLOOKUP(PREVIOS!G219,CONDICION!A:B,2,FALSE)</f>
        <v>1</v>
      </c>
      <c r="G219">
        <f>IF(PREVIOS!AG219=1,1,VLOOKUP(PREVIOS!AG219,CALIFICACION!A:C,3,FALSE))</f>
        <v>9</v>
      </c>
      <c r="H219" s="1" t="s">
        <v>534</v>
      </c>
      <c r="I219" s="1" t="s">
        <v>534</v>
      </c>
      <c r="J219">
        <f>VLOOKUP(PREVIOS!F219&amp;VLOOKUP(PREVIOS!I219,PLAN!A:B,2,FALSE),CURSO!A:D,4,FALSE)</f>
        <v>20</v>
      </c>
      <c r="K219">
        <f>VLOOKUP(PREVIOS!H219,CICLO!A:B,2,FALSE)</f>
        <v>56</v>
      </c>
      <c r="L219">
        <f>VLOOKUP(PREVIOS!I219,PLAN!A:B,2,FALSE)</f>
        <v>6</v>
      </c>
    </row>
    <row r="220" spans="1:12" x14ac:dyDescent="0.25">
      <c r="A220" t="str">
        <f t="shared" si="3"/>
        <v>A811M240C1</v>
      </c>
      <c r="C220">
        <v>219</v>
      </c>
      <c r="D220">
        <f>VLOOKUP(PREVIOS!C220,ALUMNOS!A:B,2,FALSE)</f>
        <v>811</v>
      </c>
      <c r="E220">
        <f>VLOOKUP(PREVIOS!E220&amp;'TABLA PREVIOS'!J220,MATERIAS!A:H,7,FALSE)</f>
        <v>240</v>
      </c>
      <c r="F220">
        <f>VLOOKUP(PREVIOS!G220,CONDICION!A:B,2,FALSE)</f>
        <v>1</v>
      </c>
      <c r="G220">
        <f>IF(PREVIOS!AG220=1,1,VLOOKUP(PREVIOS!AG220,CALIFICACION!A:C,3,FALSE))</f>
        <v>1</v>
      </c>
      <c r="H220" s="1" t="s">
        <v>534</v>
      </c>
      <c r="I220" s="1" t="s">
        <v>534</v>
      </c>
      <c r="J220">
        <f>VLOOKUP(PREVIOS!F220&amp;VLOOKUP(PREVIOS!I220,PLAN!A:B,2,FALSE),CURSO!A:D,4,FALSE)</f>
        <v>19</v>
      </c>
      <c r="K220">
        <f>VLOOKUP(PREVIOS!H220,CICLO!A:B,2,FALSE)</f>
        <v>55</v>
      </c>
      <c r="L220">
        <f>VLOOKUP(PREVIOS!I220,PLAN!A:B,2,FALSE)</f>
        <v>5</v>
      </c>
    </row>
    <row r="221" spans="1:12" x14ac:dyDescent="0.25">
      <c r="A221" t="str">
        <f t="shared" si="3"/>
        <v>A811M252C1</v>
      </c>
      <c r="C221">
        <v>220</v>
      </c>
      <c r="D221">
        <f>VLOOKUP(PREVIOS!C221,ALUMNOS!A:B,2,FALSE)</f>
        <v>811</v>
      </c>
      <c r="E221">
        <f>VLOOKUP(PREVIOS!E221&amp;'TABLA PREVIOS'!J221,MATERIAS!A:H,7,FALSE)</f>
        <v>252</v>
      </c>
      <c r="F221">
        <f>VLOOKUP(PREVIOS!G221,CONDICION!A:B,2,FALSE)</f>
        <v>1</v>
      </c>
      <c r="G221">
        <f>IF(PREVIOS!AG221=1,1,VLOOKUP(PREVIOS!AG221,CALIFICACION!A:C,3,FALSE))</f>
        <v>1</v>
      </c>
      <c r="H221" s="1" t="s">
        <v>534</v>
      </c>
      <c r="I221" s="1" t="s">
        <v>534</v>
      </c>
      <c r="J221">
        <f>VLOOKUP(PREVIOS!F221&amp;VLOOKUP(PREVIOS!I221,PLAN!A:B,2,FALSE),CURSO!A:D,4,FALSE)</f>
        <v>20</v>
      </c>
      <c r="K221">
        <f>VLOOKUP(PREVIOS!H221,CICLO!A:B,2,FALSE)</f>
        <v>56</v>
      </c>
      <c r="L221">
        <f>VLOOKUP(PREVIOS!I221,PLAN!A:B,2,FALSE)</f>
        <v>6</v>
      </c>
    </row>
    <row r="222" spans="1:12" x14ac:dyDescent="0.25">
      <c r="A222" t="str">
        <f t="shared" si="3"/>
        <v>A176M230C1</v>
      </c>
      <c r="C222">
        <v>221</v>
      </c>
      <c r="D222">
        <f>VLOOKUP(PREVIOS!C222,ALUMNOS!A:B,2,FALSE)</f>
        <v>176</v>
      </c>
      <c r="E222">
        <f>VLOOKUP(PREVIOS!E222&amp;'TABLA PREVIOS'!J222,MATERIAS!A:H,7,FALSE)</f>
        <v>230</v>
      </c>
      <c r="F222">
        <f>VLOOKUP(PREVIOS!G222,CONDICION!A:B,2,FALSE)</f>
        <v>1</v>
      </c>
      <c r="G222">
        <f>IF(PREVIOS!AG222=1,1,VLOOKUP(PREVIOS!AG222,CALIFICACION!A:C,3,FALSE))</f>
        <v>1</v>
      </c>
      <c r="H222" s="1" t="s">
        <v>534</v>
      </c>
      <c r="I222" s="1" t="s">
        <v>534</v>
      </c>
      <c r="J222">
        <f>VLOOKUP(PREVIOS!F222&amp;VLOOKUP(PREVIOS!I222,PLAN!A:B,2,FALSE),CURSO!A:D,4,FALSE)</f>
        <v>18</v>
      </c>
      <c r="K222">
        <f>VLOOKUP(PREVIOS!H222,CICLO!A:B,2,FALSE)</f>
        <v>54</v>
      </c>
      <c r="L222">
        <f>VLOOKUP(PREVIOS!I222,PLAN!A:B,2,FALSE)</f>
        <v>5</v>
      </c>
    </row>
    <row r="223" spans="1:12" x14ac:dyDescent="0.25">
      <c r="A223" t="str">
        <f t="shared" si="3"/>
        <v>A176M245C1</v>
      </c>
      <c r="C223">
        <v>222</v>
      </c>
      <c r="D223">
        <f>VLOOKUP(PREVIOS!C223,ALUMNOS!A:B,2,FALSE)</f>
        <v>176</v>
      </c>
      <c r="E223">
        <f>VLOOKUP(PREVIOS!E223&amp;'TABLA PREVIOS'!J223,MATERIAS!A:H,7,FALSE)</f>
        <v>245</v>
      </c>
      <c r="F223">
        <f>VLOOKUP(PREVIOS!G223,CONDICION!A:B,2,FALSE)</f>
        <v>1</v>
      </c>
      <c r="G223">
        <f>IF(PREVIOS!AG223=1,1,VLOOKUP(PREVIOS!AG223,CALIFICACION!A:C,3,FALSE))</f>
        <v>1</v>
      </c>
      <c r="H223" s="1" t="s">
        <v>534</v>
      </c>
      <c r="I223" s="1" t="s">
        <v>534</v>
      </c>
      <c r="J223">
        <f>VLOOKUP(PREVIOS!F223&amp;VLOOKUP(PREVIOS!I223,PLAN!A:B,2,FALSE),CURSO!A:D,4,FALSE)</f>
        <v>19</v>
      </c>
      <c r="K223">
        <f>VLOOKUP(PREVIOS!H223,CICLO!A:B,2,FALSE)</f>
        <v>55</v>
      </c>
      <c r="L223">
        <f>VLOOKUP(PREVIOS!I223,PLAN!A:B,2,FALSE)</f>
        <v>5</v>
      </c>
    </row>
    <row r="224" spans="1:12" x14ac:dyDescent="0.25">
      <c r="A224" t="str">
        <f t="shared" si="3"/>
        <v>A226M228C1</v>
      </c>
      <c r="C224">
        <v>223</v>
      </c>
      <c r="D224">
        <f>VLOOKUP(PREVIOS!C224,ALUMNOS!A:B,2,FALSE)</f>
        <v>226</v>
      </c>
      <c r="E224">
        <f>VLOOKUP(PREVIOS!E224&amp;'TABLA PREVIOS'!J224,MATERIAS!A:H,7,FALSE)</f>
        <v>228</v>
      </c>
      <c r="F224">
        <f>VLOOKUP(PREVIOS!G224,CONDICION!A:B,2,FALSE)</f>
        <v>1</v>
      </c>
      <c r="G224">
        <f>IF(PREVIOS!AG224=1,1,VLOOKUP(PREVIOS!AG224,CALIFICACION!A:C,3,FALSE))</f>
        <v>1</v>
      </c>
      <c r="H224" s="1" t="s">
        <v>534</v>
      </c>
      <c r="I224" s="1" t="s">
        <v>534</v>
      </c>
      <c r="J224">
        <f>VLOOKUP(PREVIOS!F224&amp;VLOOKUP(PREVIOS!I224,PLAN!A:B,2,FALSE),CURSO!A:D,4,FALSE)</f>
        <v>18</v>
      </c>
      <c r="K224">
        <f>VLOOKUP(PREVIOS!H224,CICLO!A:B,2,FALSE)</f>
        <v>53</v>
      </c>
      <c r="L224">
        <f>VLOOKUP(PREVIOS!I224,PLAN!A:B,2,FALSE)</f>
        <v>5</v>
      </c>
    </row>
    <row r="225" spans="1:12" x14ac:dyDescent="0.25">
      <c r="A225" t="str">
        <f t="shared" si="3"/>
        <v>A226M245C1</v>
      </c>
      <c r="C225">
        <v>224</v>
      </c>
      <c r="D225">
        <f>VLOOKUP(PREVIOS!C225,ALUMNOS!A:B,2,FALSE)</f>
        <v>226</v>
      </c>
      <c r="E225">
        <f>VLOOKUP(PREVIOS!E225&amp;'TABLA PREVIOS'!J225,MATERIAS!A:H,7,FALSE)</f>
        <v>245</v>
      </c>
      <c r="F225">
        <f>VLOOKUP(PREVIOS!G225,CONDICION!A:B,2,FALSE)</f>
        <v>1</v>
      </c>
      <c r="G225">
        <f>IF(PREVIOS!AG225=1,1,VLOOKUP(PREVIOS!AG225,CALIFICACION!A:C,3,FALSE))</f>
        <v>1</v>
      </c>
      <c r="H225" s="1" t="s">
        <v>534</v>
      </c>
      <c r="I225" s="1" t="s">
        <v>534</v>
      </c>
      <c r="J225">
        <f>VLOOKUP(PREVIOS!F225&amp;VLOOKUP(PREVIOS!I225,PLAN!A:B,2,FALSE),CURSO!A:D,4,FALSE)</f>
        <v>19</v>
      </c>
      <c r="K225">
        <f>VLOOKUP(PREVIOS!H225,CICLO!A:B,2,FALSE)</f>
        <v>54</v>
      </c>
      <c r="L225">
        <f>VLOOKUP(PREVIOS!I225,PLAN!A:B,2,FALSE)</f>
        <v>5</v>
      </c>
    </row>
    <row r="226" spans="1:12" x14ac:dyDescent="0.25">
      <c r="A226" t="str">
        <f t="shared" si="3"/>
        <v>A226M239C3</v>
      </c>
      <c r="C226">
        <v>225</v>
      </c>
      <c r="D226">
        <f>VLOOKUP(PREVIOS!C226,ALUMNOS!A:B,2,FALSE)</f>
        <v>226</v>
      </c>
      <c r="E226">
        <f>VLOOKUP(PREVIOS!E226&amp;'TABLA PREVIOS'!J226,MATERIAS!A:H,7,FALSE)</f>
        <v>239</v>
      </c>
      <c r="F226">
        <f>VLOOKUP(PREVIOS!G226,CONDICION!A:B,2,FALSE)</f>
        <v>3</v>
      </c>
      <c r="G226">
        <f>IF(PREVIOS!AG226=1,1,VLOOKUP(PREVIOS!AG226,CALIFICACION!A:C,3,FALSE))</f>
        <v>1</v>
      </c>
      <c r="H226" s="1" t="s">
        <v>534</v>
      </c>
      <c r="I226" s="1" t="s">
        <v>534</v>
      </c>
      <c r="J226">
        <f>VLOOKUP(PREVIOS!F226&amp;VLOOKUP(PREVIOS!I226,PLAN!A:B,2,FALSE),CURSO!A:D,4,FALSE)</f>
        <v>19</v>
      </c>
      <c r="K226">
        <f>VLOOKUP(PREVIOS!H226,CICLO!A:B,2,FALSE)</f>
        <v>54</v>
      </c>
      <c r="L226">
        <f>VLOOKUP(PREVIOS!I226,PLAN!A:B,2,FALSE)</f>
        <v>5</v>
      </c>
    </row>
    <row r="227" spans="1:12" x14ac:dyDescent="0.25">
      <c r="A227" t="str">
        <f t="shared" si="3"/>
        <v>A341M240C1</v>
      </c>
      <c r="C227">
        <v>226</v>
      </c>
      <c r="D227">
        <f>VLOOKUP(PREVIOS!C227,ALUMNOS!A:B,2,FALSE)</f>
        <v>341</v>
      </c>
      <c r="E227">
        <f>VLOOKUP(PREVIOS!E227&amp;'TABLA PREVIOS'!J227,MATERIAS!A:H,7,FALSE)</f>
        <v>240</v>
      </c>
      <c r="F227">
        <f>VLOOKUP(PREVIOS!G227,CONDICION!A:B,2,FALSE)</f>
        <v>1</v>
      </c>
      <c r="G227">
        <f>IF(PREVIOS!AG227=1,1,VLOOKUP(PREVIOS!AG227,CALIFICACION!A:C,3,FALSE))</f>
        <v>9</v>
      </c>
      <c r="H227" s="1" t="s">
        <v>534</v>
      </c>
      <c r="I227" s="1" t="s">
        <v>534</v>
      </c>
      <c r="J227">
        <f>VLOOKUP(PREVIOS!F227&amp;VLOOKUP(PREVIOS!I227,PLAN!A:B,2,FALSE),CURSO!A:D,4,FALSE)</f>
        <v>19</v>
      </c>
      <c r="K227">
        <f>VLOOKUP(PREVIOS!H227,CICLO!A:B,2,FALSE)</f>
        <v>54</v>
      </c>
      <c r="L227">
        <f>VLOOKUP(PREVIOS!I227,PLAN!A:B,2,FALSE)</f>
        <v>5</v>
      </c>
    </row>
    <row r="228" spans="1:12" x14ac:dyDescent="0.25">
      <c r="A228" t="str">
        <f t="shared" si="3"/>
        <v>A579M245C1</v>
      </c>
      <c r="C228">
        <v>227</v>
      </c>
      <c r="D228">
        <f>VLOOKUP(PREVIOS!C228,ALUMNOS!A:B,2,FALSE)</f>
        <v>579</v>
      </c>
      <c r="E228">
        <f>VLOOKUP(PREVIOS!E228&amp;'TABLA PREVIOS'!J228,MATERIAS!A:H,7,FALSE)</f>
        <v>245</v>
      </c>
      <c r="F228">
        <f>VLOOKUP(PREVIOS!G228,CONDICION!A:B,2,FALSE)</f>
        <v>1</v>
      </c>
      <c r="G228">
        <f>IF(PREVIOS!AG228=1,1,VLOOKUP(PREVIOS!AG228,CALIFICACION!A:C,3,FALSE))</f>
        <v>1</v>
      </c>
      <c r="H228" s="1" t="s">
        <v>534</v>
      </c>
      <c r="I228" s="1" t="s">
        <v>534</v>
      </c>
      <c r="J228">
        <f>VLOOKUP(PREVIOS!F228&amp;VLOOKUP(PREVIOS!I228,PLAN!A:B,2,FALSE),CURSO!A:D,4,FALSE)</f>
        <v>19</v>
      </c>
      <c r="K228">
        <f>VLOOKUP(PREVIOS!H228,CICLO!A:B,2,FALSE)</f>
        <v>54</v>
      </c>
      <c r="L228">
        <f>VLOOKUP(PREVIOS!I228,PLAN!A:B,2,FALSE)</f>
        <v>5</v>
      </c>
    </row>
    <row r="229" spans="1:12" x14ac:dyDescent="0.25">
      <c r="A229" t="str">
        <f t="shared" si="3"/>
        <v>A579M256C1</v>
      </c>
      <c r="C229">
        <v>228</v>
      </c>
      <c r="D229">
        <f>VLOOKUP(PREVIOS!C229,ALUMNOS!A:B,2,FALSE)</f>
        <v>579</v>
      </c>
      <c r="E229">
        <f>VLOOKUP(PREVIOS!E229&amp;'TABLA PREVIOS'!J229,MATERIAS!A:H,7,FALSE)</f>
        <v>256</v>
      </c>
      <c r="F229">
        <f>VLOOKUP(PREVIOS!G229,CONDICION!A:B,2,FALSE)</f>
        <v>1</v>
      </c>
      <c r="G229">
        <f>IF(PREVIOS!AG229=1,1,VLOOKUP(PREVIOS!AG229,CALIFICACION!A:C,3,FALSE))</f>
        <v>1</v>
      </c>
      <c r="H229" s="1" t="s">
        <v>534</v>
      </c>
      <c r="I229" s="1" t="s">
        <v>534</v>
      </c>
      <c r="J229">
        <f>VLOOKUP(PREVIOS!F229&amp;VLOOKUP(PREVIOS!I229,PLAN!A:B,2,FALSE),CURSO!A:D,4,FALSE)</f>
        <v>20</v>
      </c>
      <c r="K229">
        <f>VLOOKUP(PREVIOS!H229,CICLO!A:B,2,FALSE)</f>
        <v>56</v>
      </c>
      <c r="L229">
        <f>VLOOKUP(PREVIOS!I229,PLAN!A:B,2,FALSE)</f>
        <v>6</v>
      </c>
    </row>
    <row r="230" spans="1:12" x14ac:dyDescent="0.25">
      <c r="A230" t="str">
        <f t="shared" si="3"/>
        <v>A579M252C3</v>
      </c>
      <c r="C230">
        <v>229</v>
      </c>
      <c r="D230">
        <f>VLOOKUP(PREVIOS!C230,ALUMNOS!A:B,2,FALSE)</f>
        <v>579</v>
      </c>
      <c r="E230">
        <f>VLOOKUP(PREVIOS!E230&amp;'TABLA PREVIOS'!J230,MATERIAS!A:H,7,FALSE)</f>
        <v>252</v>
      </c>
      <c r="F230">
        <f>VLOOKUP(PREVIOS!G230,CONDICION!A:B,2,FALSE)</f>
        <v>3</v>
      </c>
      <c r="G230">
        <f>IF(PREVIOS!AG230=1,1,VLOOKUP(PREVIOS!AG230,CALIFICACION!A:C,3,FALSE))</f>
        <v>1</v>
      </c>
      <c r="H230" s="1" t="s">
        <v>534</v>
      </c>
      <c r="I230" s="1" t="s">
        <v>534</v>
      </c>
      <c r="J230">
        <f>VLOOKUP(PREVIOS!F230&amp;VLOOKUP(PREVIOS!I230,PLAN!A:B,2,FALSE),CURSO!A:D,4,FALSE)</f>
        <v>20</v>
      </c>
      <c r="K230">
        <f>VLOOKUP(PREVIOS!H230,CICLO!A:B,2,FALSE)</f>
        <v>56</v>
      </c>
      <c r="L230">
        <f>VLOOKUP(PREVIOS!I230,PLAN!A:B,2,FALSE)</f>
        <v>6</v>
      </c>
    </row>
    <row r="231" spans="1:12" x14ac:dyDescent="0.25">
      <c r="A231" t="str">
        <f t="shared" si="3"/>
        <v>A682M245C1</v>
      </c>
      <c r="C231">
        <v>230</v>
      </c>
      <c r="D231">
        <f>VLOOKUP(PREVIOS!C231,ALUMNOS!A:B,2,FALSE)</f>
        <v>682</v>
      </c>
      <c r="E231">
        <f>VLOOKUP(PREVIOS!E231&amp;'TABLA PREVIOS'!J231,MATERIAS!A:H,7,FALSE)</f>
        <v>245</v>
      </c>
      <c r="F231">
        <f>VLOOKUP(PREVIOS!G231,CONDICION!A:B,2,FALSE)</f>
        <v>1</v>
      </c>
      <c r="G231">
        <f>IF(PREVIOS!AG231=1,1,VLOOKUP(PREVIOS!AG231,CALIFICACION!A:C,3,FALSE))</f>
        <v>1</v>
      </c>
      <c r="H231" s="1" t="s">
        <v>534</v>
      </c>
      <c r="I231" s="1" t="s">
        <v>534</v>
      </c>
      <c r="J231">
        <f>VLOOKUP(PREVIOS!F231&amp;VLOOKUP(PREVIOS!I231,PLAN!A:B,2,FALSE),CURSO!A:D,4,FALSE)</f>
        <v>19</v>
      </c>
      <c r="K231">
        <f>VLOOKUP(PREVIOS!H231,CICLO!A:B,2,FALSE)</f>
        <v>54</v>
      </c>
      <c r="L231">
        <f>VLOOKUP(PREVIOS!I231,PLAN!A:B,2,FALSE)</f>
        <v>5</v>
      </c>
    </row>
    <row r="232" spans="1:12" x14ac:dyDescent="0.25">
      <c r="A232" t="str">
        <f t="shared" si="3"/>
        <v>A682M254C1</v>
      </c>
      <c r="C232">
        <v>231</v>
      </c>
      <c r="D232">
        <f>VLOOKUP(PREVIOS!C232,ALUMNOS!A:B,2,FALSE)</f>
        <v>682</v>
      </c>
      <c r="E232">
        <f>VLOOKUP(PREVIOS!E232&amp;'TABLA PREVIOS'!J232,MATERIAS!A:H,7,FALSE)</f>
        <v>254</v>
      </c>
      <c r="F232">
        <f>VLOOKUP(PREVIOS!G232,CONDICION!A:B,2,FALSE)</f>
        <v>1</v>
      </c>
      <c r="G232">
        <f>IF(PREVIOS!AG232=1,1,VLOOKUP(PREVIOS!AG232,CALIFICACION!A:C,3,FALSE))</f>
        <v>1</v>
      </c>
      <c r="H232" s="1" t="s">
        <v>534</v>
      </c>
      <c r="I232" s="1" t="s">
        <v>534</v>
      </c>
      <c r="J232">
        <f>VLOOKUP(PREVIOS!F232&amp;VLOOKUP(PREVIOS!I232,PLAN!A:B,2,FALSE),CURSO!A:D,4,FALSE)</f>
        <v>20</v>
      </c>
      <c r="K232">
        <f>VLOOKUP(PREVIOS!H232,CICLO!A:B,2,FALSE)</f>
        <v>56</v>
      </c>
      <c r="L232">
        <f>VLOOKUP(PREVIOS!I232,PLAN!A:B,2,FALSE)</f>
        <v>6</v>
      </c>
    </row>
    <row r="233" spans="1:12" x14ac:dyDescent="0.25">
      <c r="A233" t="str">
        <f t="shared" si="3"/>
        <v>A682M256C3</v>
      </c>
      <c r="C233">
        <v>232</v>
      </c>
      <c r="D233">
        <f>VLOOKUP(PREVIOS!C233,ALUMNOS!A:B,2,FALSE)</f>
        <v>682</v>
      </c>
      <c r="E233">
        <f>VLOOKUP(PREVIOS!E233&amp;'TABLA PREVIOS'!J233,MATERIAS!A:H,7,FALSE)</f>
        <v>256</v>
      </c>
      <c r="F233">
        <f>VLOOKUP(PREVIOS!G233,CONDICION!A:B,2,FALSE)</f>
        <v>3</v>
      </c>
      <c r="G233">
        <f>IF(PREVIOS!AG233=1,1,VLOOKUP(PREVIOS!AG233,CALIFICACION!A:C,3,FALSE))</f>
        <v>1</v>
      </c>
      <c r="H233" s="1" t="s">
        <v>534</v>
      </c>
      <c r="I233" s="1" t="s">
        <v>534</v>
      </c>
      <c r="J233">
        <f>VLOOKUP(PREVIOS!F233&amp;VLOOKUP(PREVIOS!I233,PLAN!A:B,2,FALSE),CURSO!A:D,4,FALSE)</f>
        <v>20</v>
      </c>
      <c r="K233">
        <f>VLOOKUP(PREVIOS!H233,CICLO!A:B,2,FALSE)</f>
        <v>56</v>
      </c>
      <c r="L233">
        <f>VLOOKUP(PREVIOS!I233,PLAN!A:B,2,FALSE)</f>
        <v>6</v>
      </c>
    </row>
    <row r="234" spans="1:12" x14ac:dyDescent="0.25">
      <c r="A234" t="str">
        <f t="shared" si="3"/>
        <v>A815M260C2</v>
      </c>
      <c r="C234">
        <v>233</v>
      </c>
      <c r="D234">
        <f>VLOOKUP(PREVIOS!C234,ALUMNOS!A:B,2,FALSE)</f>
        <v>815</v>
      </c>
      <c r="E234">
        <f>VLOOKUP(PREVIOS!E234&amp;'TABLA PREVIOS'!J234,MATERIAS!A:H,7,FALSE)</f>
        <v>260</v>
      </c>
      <c r="F234">
        <f>VLOOKUP(PREVIOS!G234,CONDICION!A:B,2,FALSE)</f>
        <v>2</v>
      </c>
      <c r="G234">
        <f>IF(PREVIOS!AG234=1,1,VLOOKUP(PREVIOS!AG234,CALIFICACION!A:C,3,FALSE))</f>
        <v>11</v>
      </c>
      <c r="H234" s="1" t="s">
        <v>534</v>
      </c>
      <c r="I234" s="1" t="s">
        <v>534</v>
      </c>
      <c r="J234">
        <f>VLOOKUP(PREVIOS!F234&amp;VLOOKUP(PREVIOS!I234,PLAN!A:B,2,FALSE),CURSO!A:D,4,FALSE)</f>
        <v>20</v>
      </c>
      <c r="K234">
        <f>VLOOKUP(PREVIOS!H234,CICLO!A:B,2,FALSE)</f>
        <v>57</v>
      </c>
      <c r="L234">
        <f>VLOOKUP(PREVIOS!I234,PLAN!A:B,2,FALSE)</f>
        <v>6</v>
      </c>
    </row>
    <row r="235" spans="1:12" x14ac:dyDescent="0.25">
      <c r="A235" t="str">
        <f t="shared" si="3"/>
        <v>A815M259C2</v>
      </c>
      <c r="C235">
        <v>234</v>
      </c>
      <c r="D235">
        <f>VLOOKUP(PREVIOS!C235,ALUMNOS!A:B,2,FALSE)</f>
        <v>815</v>
      </c>
      <c r="E235">
        <f>VLOOKUP(PREVIOS!E235&amp;'TABLA PREVIOS'!J235,MATERIAS!A:H,7,FALSE)</f>
        <v>259</v>
      </c>
      <c r="F235">
        <f>VLOOKUP(PREVIOS!G235,CONDICION!A:B,2,FALSE)</f>
        <v>2</v>
      </c>
      <c r="G235">
        <f>IF(PREVIOS!AG235=1,1,VLOOKUP(PREVIOS!AG235,CALIFICACION!A:C,3,FALSE))</f>
        <v>11</v>
      </c>
      <c r="H235" s="1" t="s">
        <v>534</v>
      </c>
      <c r="I235" s="1" t="s">
        <v>534</v>
      </c>
      <c r="J235">
        <f>VLOOKUP(PREVIOS!F235&amp;VLOOKUP(PREVIOS!I235,PLAN!A:B,2,FALSE),CURSO!A:D,4,FALSE)</f>
        <v>20</v>
      </c>
      <c r="K235">
        <f>VLOOKUP(PREVIOS!H235,CICLO!A:B,2,FALSE)</f>
        <v>57</v>
      </c>
      <c r="L235">
        <f>VLOOKUP(PREVIOS!I235,PLAN!A:B,2,FALSE)</f>
        <v>6</v>
      </c>
    </row>
    <row r="236" spans="1:12" x14ac:dyDescent="0.25">
      <c r="A236" t="str">
        <f t="shared" si="3"/>
        <v>A813M260C2</v>
      </c>
      <c r="C236">
        <v>235</v>
      </c>
      <c r="D236">
        <f>VLOOKUP(PREVIOS!C236,ALUMNOS!A:B,2,FALSE)</f>
        <v>813</v>
      </c>
      <c r="E236">
        <f>VLOOKUP(PREVIOS!E236&amp;'TABLA PREVIOS'!J236,MATERIAS!A:H,7,FALSE)</f>
        <v>260</v>
      </c>
      <c r="F236">
        <f>VLOOKUP(PREVIOS!G236,CONDICION!A:B,2,FALSE)</f>
        <v>2</v>
      </c>
      <c r="G236">
        <f>IF(PREVIOS!AG236=1,1,VLOOKUP(PREVIOS!AG236,CALIFICACION!A:C,3,FALSE))</f>
        <v>1</v>
      </c>
      <c r="H236" s="1" t="s">
        <v>534</v>
      </c>
      <c r="I236" s="1" t="s">
        <v>534</v>
      </c>
      <c r="J236">
        <f>VLOOKUP(PREVIOS!F236&amp;VLOOKUP(PREVIOS!I236,PLAN!A:B,2,FALSE),CURSO!A:D,4,FALSE)</f>
        <v>20</v>
      </c>
      <c r="K236">
        <f>VLOOKUP(PREVIOS!H236,CICLO!A:B,2,FALSE)</f>
        <v>57</v>
      </c>
      <c r="L236">
        <f>VLOOKUP(PREVIOS!I236,PLAN!A:B,2,FALSE)</f>
        <v>6</v>
      </c>
    </row>
    <row r="237" spans="1:12" x14ac:dyDescent="0.25">
      <c r="A237" t="str">
        <f t="shared" si="3"/>
        <v>A813M259C2</v>
      </c>
      <c r="C237">
        <v>236</v>
      </c>
      <c r="D237">
        <f>VLOOKUP(PREVIOS!C237,ALUMNOS!A:B,2,FALSE)</f>
        <v>813</v>
      </c>
      <c r="E237">
        <f>VLOOKUP(PREVIOS!E237&amp;'TABLA PREVIOS'!J237,MATERIAS!A:H,7,FALSE)</f>
        <v>259</v>
      </c>
      <c r="F237">
        <f>VLOOKUP(PREVIOS!G237,CONDICION!A:B,2,FALSE)</f>
        <v>2</v>
      </c>
      <c r="G237">
        <f>IF(PREVIOS!AG237=1,1,VLOOKUP(PREVIOS!AG237,CALIFICACION!A:C,3,FALSE))</f>
        <v>1</v>
      </c>
      <c r="H237" s="1" t="s">
        <v>534</v>
      </c>
      <c r="I237" s="1" t="s">
        <v>534</v>
      </c>
      <c r="J237">
        <f>VLOOKUP(PREVIOS!F237&amp;VLOOKUP(PREVIOS!I237,PLAN!A:B,2,FALSE),CURSO!A:D,4,FALSE)</f>
        <v>20</v>
      </c>
      <c r="K237">
        <f>VLOOKUP(PREVIOS!H237,CICLO!A:B,2,FALSE)</f>
        <v>57</v>
      </c>
      <c r="L237">
        <f>VLOOKUP(PREVIOS!I237,PLAN!A:B,2,FALSE)</f>
        <v>6</v>
      </c>
    </row>
    <row r="238" spans="1:12" x14ac:dyDescent="0.25">
      <c r="A238" t="str">
        <f t="shared" si="3"/>
        <v>A202M256C1</v>
      </c>
      <c r="C238">
        <v>237</v>
      </c>
      <c r="D238">
        <f>VLOOKUP(PREVIOS!C238,ALUMNOS!A:B,2,FALSE)</f>
        <v>202</v>
      </c>
      <c r="E238">
        <f>VLOOKUP(PREVIOS!E238&amp;'TABLA PREVIOS'!J238,MATERIAS!A:H,7,FALSE)</f>
        <v>256</v>
      </c>
      <c r="F238">
        <f>VLOOKUP(PREVIOS!G238,CONDICION!A:B,2,FALSE)</f>
        <v>1</v>
      </c>
      <c r="G238">
        <f>IF(PREVIOS!AG238=1,1,VLOOKUP(PREVIOS!AG238,CALIFICACION!A:C,3,FALSE))</f>
        <v>1</v>
      </c>
      <c r="H238" s="1" t="s">
        <v>534</v>
      </c>
      <c r="I238" s="1" t="s">
        <v>534</v>
      </c>
      <c r="J238">
        <f>VLOOKUP(PREVIOS!F238&amp;VLOOKUP(PREVIOS!I238,PLAN!A:B,2,FALSE),CURSO!A:D,4,FALSE)</f>
        <v>20</v>
      </c>
      <c r="K238">
        <f>VLOOKUP(PREVIOS!H238,CICLO!A:B,2,FALSE)</f>
        <v>56</v>
      </c>
      <c r="L238">
        <f>VLOOKUP(PREVIOS!I238,PLAN!A:B,2,FALSE)</f>
        <v>6</v>
      </c>
    </row>
    <row r="239" spans="1:12" x14ac:dyDescent="0.25">
      <c r="A239" t="str">
        <f t="shared" si="3"/>
        <v>A275M230C1</v>
      </c>
      <c r="C239">
        <v>238</v>
      </c>
      <c r="D239">
        <f>VLOOKUP(PREVIOS!C239,ALUMNOS!A:B,2,FALSE)</f>
        <v>275</v>
      </c>
      <c r="E239">
        <f>VLOOKUP(PREVIOS!E239&amp;'TABLA PREVIOS'!J239,MATERIAS!A:H,7,FALSE)</f>
        <v>230</v>
      </c>
      <c r="F239">
        <f>VLOOKUP(PREVIOS!G239,CONDICION!A:B,2,FALSE)</f>
        <v>1</v>
      </c>
      <c r="G239">
        <f>IF(PREVIOS!AG239=1,1,VLOOKUP(PREVIOS!AG239,CALIFICACION!A:C,3,FALSE))</f>
        <v>1</v>
      </c>
      <c r="H239" s="1" t="s">
        <v>534</v>
      </c>
      <c r="I239" s="1" t="s">
        <v>534</v>
      </c>
      <c r="J239">
        <f>VLOOKUP(PREVIOS!F239&amp;VLOOKUP(PREVIOS!I239,PLAN!A:B,2,FALSE),CURSO!A:D,4,FALSE)</f>
        <v>18</v>
      </c>
      <c r="K239">
        <f>VLOOKUP(PREVIOS!H239,CICLO!A:B,2,FALSE)</f>
        <v>54</v>
      </c>
      <c r="L239">
        <f>VLOOKUP(PREVIOS!I239,PLAN!A:B,2,FALSE)</f>
        <v>5</v>
      </c>
    </row>
    <row r="240" spans="1:12" x14ac:dyDescent="0.25">
      <c r="A240" t="str">
        <f t="shared" si="3"/>
        <v>A275M240C1</v>
      </c>
      <c r="C240">
        <v>239</v>
      </c>
      <c r="D240">
        <f>VLOOKUP(PREVIOS!C240,ALUMNOS!A:B,2,FALSE)</f>
        <v>275</v>
      </c>
      <c r="E240">
        <f>VLOOKUP(PREVIOS!E240&amp;'TABLA PREVIOS'!J240,MATERIAS!A:H,7,FALSE)</f>
        <v>240</v>
      </c>
      <c r="F240">
        <f>VLOOKUP(PREVIOS!G240,CONDICION!A:B,2,FALSE)</f>
        <v>1</v>
      </c>
      <c r="G240">
        <f>IF(PREVIOS!AG240=1,1,VLOOKUP(PREVIOS!AG240,CALIFICACION!A:C,3,FALSE))</f>
        <v>1</v>
      </c>
      <c r="H240" s="1" t="s">
        <v>534</v>
      </c>
      <c r="I240" s="1" t="s">
        <v>534</v>
      </c>
      <c r="J240">
        <f>VLOOKUP(PREVIOS!F240&amp;VLOOKUP(PREVIOS!I240,PLAN!A:B,2,FALSE),CURSO!A:D,4,FALSE)</f>
        <v>19</v>
      </c>
      <c r="K240">
        <f>VLOOKUP(PREVIOS!H240,CICLO!A:B,2,FALSE)</f>
        <v>55</v>
      </c>
      <c r="L240">
        <f>VLOOKUP(PREVIOS!I240,PLAN!A:B,2,FALSE)</f>
        <v>5</v>
      </c>
    </row>
    <row r="241" spans="1:12" x14ac:dyDescent="0.25">
      <c r="A241" t="str">
        <f t="shared" si="3"/>
        <v>A275M261C3</v>
      </c>
      <c r="C241">
        <v>240</v>
      </c>
      <c r="D241">
        <f>VLOOKUP(PREVIOS!C241,ALUMNOS!A:B,2,FALSE)</f>
        <v>275</v>
      </c>
      <c r="E241">
        <f>VLOOKUP(PREVIOS!E241&amp;'TABLA PREVIOS'!J241,MATERIAS!A:H,7,FALSE)</f>
        <v>261</v>
      </c>
      <c r="F241">
        <f>VLOOKUP(PREVIOS!G241,CONDICION!A:B,2,FALSE)</f>
        <v>3</v>
      </c>
      <c r="G241">
        <f>IF(PREVIOS!AG241=1,1,VLOOKUP(PREVIOS!AG241,CALIFICACION!A:C,3,FALSE))</f>
        <v>1</v>
      </c>
      <c r="H241" s="1" t="s">
        <v>534</v>
      </c>
      <c r="I241" s="1" t="s">
        <v>534</v>
      </c>
      <c r="J241">
        <f>VLOOKUP(PREVIOS!F241&amp;VLOOKUP(PREVIOS!I241,PLAN!A:B,2,FALSE),CURSO!A:D,4,FALSE)</f>
        <v>20</v>
      </c>
      <c r="K241">
        <f>VLOOKUP(PREVIOS!H241,CICLO!A:B,2,FALSE)</f>
        <v>56</v>
      </c>
      <c r="L241">
        <f>VLOOKUP(PREVIOS!I241,PLAN!A:B,2,FALSE)</f>
        <v>6</v>
      </c>
    </row>
    <row r="242" spans="1:12" x14ac:dyDescent="0.25">
      <c r="A242" t="str">
        <f t="shared" si="3"/>
        <v>A282M230C1</v>
      </c>
      <c r="C242">
        <v>241</v>
      </c>
      <c r="D242">
        <f>VLOOKUP(PREVIOS!C242,ALUMNOS!A:B,2,FALSE)</f>
        <v>282</v>
      </c>
      <c r="E242">
        <f>VLOOKUP(PREVIOS!E242&amp;'TABLA PREVIOS'!J242,MATERIAS!A:H,7,FALSE)</f>
        <v>230</v>
      </c>
      <c r="F242">
        <f>VLOOKUP(PREVIOS!G242,CONDICION!A:B,2,FALSE)</f>
        <v>1</v>
      </c>
      <c r="G242">
        <f>IF(PREVIOS!AG242=1,1,VLOOKUP(PREVIOS!AG242,CALIFICACION!A:C,3,FALSE))</f>
        <v>1</v>
      </c>
      <c r="H242" s="1" t="s">
        <v>534</v>
      </c>
      <c r="I242" s="1" t="s">
        <v>534</v>
      </c>
      <c r="J242">
        <f>VLOOKUP(PREVIOS!F242&amp;VLOOKUP(PREVIOS!I242,PLAN!A:B,2,FALSE),CURSO!A:D,4,FALSE)</f>
        <v>18</v>
      </c>
      <c r="K242">
        <f>VLOOKUP(PREVIOS!H242,CICLO!A:B,2,FALSE)</f>
        <v>53</v>
      </c>
      <c r="L242">
        <f>VLOOKUP(PREVIOS!I242,PLAN!A:B,2,FALSE)</f>
        <v>5</v>
      </c>
    </row>
    <row r="243" spans="1:12" x14ac:dyDescent="0.25">
      <c r="A243" t="str">
        <f t="shared" si="3"/>
        <v>A282M240C1</v>
      </c>
      <c r="C243">
        <v>242</v>
      </c>
      <c r="D243">
        <f>VLOOKUP(PREVIOS!C243,ALUMNOS!A:B,2,FALSE)</f>
        <v>282</v>
      </c>
      <c r="E243">
        <f>VLOOKUP(PREVIOS!E243&amp;'TABLA PREVIOS'!J243,MATERIAS!A:H,7,FALSE)</f>
        <v>240</v>
      </c>
      <c r="F243">
        <f>VLOOKUP(PREVIOS!G243,CONDICION!A:B,2,FALSE)</f>
        <v>1</v>
      </c>
      <c r="G243">
        <f>IF(PREVIOS!AG243=1,1,VLOOKUP(PREVIOS!AG243,CALIFICACION!A:C,3,FALSE))</f>
        <v>1</v>
      </c>
      <c r="H243" s="1" t="s">
        <v>534</v>
      </c>
      <c r="I243" s="1" t="s">
        <v>534</v>
      </c>
      <c r="J243">
        <f>VLOOKUP(PREVIOS!F243&amp;VLOOKUP(PREVIOS!I243,PLAN!A:B,2,FALSE),CURSO!A:D,4,FALSE)</f>
        <v>19</v>
      </c>
      <c r="K243">
        <f>VLOOKUP(PREVIOS!H243,CICLO!A:B,2,FALSE)</f>
        <v>54</v>
      </c>
      <c r="L243">
        <f>VLOOKUP(PREVIOS!I243,PLAN!A:B,2,FALSE)</f>
        <v>5</v>
      </c>
    </row>
    <row r="244" spans="1:12" x14ac:dyDescent="0.25">
      <c r="A244" t="str">
        <f t="shared" si="3"/>
        <v>A282M252C3</v>
      </c>
      <c r="C244">
        <v>243</v>
      </c>
      <c r="D244">
        <f>VLOOKUP(PREVIOS!C244,ALUMNOS!A:B,2,FALSE)</f>
        <v>282</v>
      </c>
      <c r="E244">
        <f>VLOOKUP(PREVIOS!E244&amp;'TABLA PREVIOS'!J244,MATERIAS!A:H,7,FALSE)</f>
        <v>252</v>
      </c>
      <c r="F244">
        <f>VLOOKUP(PREVIOS!G244,CONDICION!A:B,2,FALSE)</f>
        <v>3</v>
      </c>
      <c r="G244">
        <f>IF(PREVIOS!AG244=1,1,VLOOKUP(PREVIOS!AG244,CALIFICACION!A:C,3,FALSE))</f>
        <v>1</v>
      </c>
      <c r="H244" s="1" t="s">
        <v>534</v>
      </c>
      <c r="I244" s="1" t="s">
        <v>534</v>
      </c>
      <c r="J244">
        <f>VLOOKUP(PREVIOS!F244&amp;VLOOKUP(PREVIOS!I244,PLAN!A:B,2,FALSE),CURSO!A:D,4,FALSE)</f>
        <v>20</v>
      </c>
      <c r="K244">
        <f>VLOOKUP(PREVIOS!H244,CICLO!A:B,2,FALSE)</f>
        <v>56</v>
      </c>
      <c r="L244">
        <f>VLOOKUP(PREVIOS!I244,PLAN!A:B,2,FALSE)</f>
        <v>6</v>
      </c>
    </row>
    <row r="245" spans="1:12" x14ac:dyDescent="0.25">
      <c r="A245" t="str">
        <f t="shared" si="3"/>
        <v>A289M245C1</v>
      </c>
      <c r="C245">
        <v>244</v>
      </c>
      <c r="D245">
        <f>VLOOKUP(PREVIOS!C245,ALUMNOS!A:B,2,FALSE)</f>
        <v>289</v>
      </c>
      <c r="E245">
        <f>VLOOKUP(PREVIOS!E245&amp;'TABLA PREVIOS'!J245,MATERIAS!A:H,7,FALSE)</f>
        <v>245</v>
      </c>
      <c r="F245">
        <f>VLOOKUP(PREVIOS!G245,CONDICION!A:B,2,FALSE)</f>
        <v>1</v>
      </c>
      <c r="G245">
        <f>IF(PREVIOS!AG245=1,1,VLOOKUP(PREVIOS!AG245,CALIFICACION!A:C,3,FALSE))</f>
        <v>1</v>
      </c>
      <c r="H245" s="1" t="s">
        <v>534</v>
      </c>
      <c r="I245" s="1" t="s">
        <v>534</v>
      </c>
      <c r="J245">
        <f>VLOOKUP(PREVIOS!F245&amp;VLOOKUP(PREVIOS!I245,PLAN!A:B,2,FALSE),CURSO!A:D,4,FALSE)</f>
        <v>19</v>
      </c>
      <c r="K245">
        <f>VLOOKUP(PREVIOS!H245,CICLO!A:B,2,FALSE)</f>
        <v>55</v>
      </c>
      <c r="L245">
        <f>VLOOKUP(PREVIOS!I245,PLAN!A:B,2,FALSE)</f>
        <v>5</v>
      </c>
    </row>
    <row r="246" spans="1:12" x14ac:dyDescent="0.25">
      <c r="A246" t="str">
        <f t="shared" si="3"/>
        <v>A316M228C1</v>
      </c>
      <c r="C246">
        <v>245</v>
      </c>
      <c r="D246">
        <f>VLOOKUP(PREVIOS!C246,ALUMNOS!A:B,2,FALSE)</f>
        <v>316</v>
      </c>
      <c r="E246">
        <f>VLOOKUP(PREVIOS!E246&amp;'TABLA PREVIOS'!J246,MATERIAS!A:H,7,FALSE)</f>
        <v>228</v>
      </c>
      <c r="F246">
        <f>VLOOKUP(PREVIOS!G246,CONDICION!A:B,2,FALSE)</f>
        <v>1</v>
      </c>
      <c r="G246">
        <f>IF(PREVIOS!AG246=1,1,VLOOKUP(PREVIOS!AG246,CALIFICACION!A:C,3,FALSE))</f>
        <v>1</v>
      </c>
      <c r="H246" s="1" t="s">
        <v>534</v>
      </c>
      <c r="I246" s="1" t="s">
        <v>534</v>
      </c>
      <c r="J246">
        <f>VLOOKUP(PREVIOS!F246&amp;VLOOKUP(PREVIOS!I246,PLAN!A:B,2,FALSE),CURSO!A:D,4,FALSE)</f>
        <v>18</v>
      </c>
      <c r="K246">
        <f>VLOOKUP(PREVIOS!H246,CICLO!A:B,2,FALSE)</f>
        <v>53</v>
      </c>
      <c r="L246">
        <f>VLOOKUP(PREVIOS!I246,PLAN!A:B,2,FALSE)</f>
        <v>5</v>
      </c>
    </row>
    <row r="247" spans="1:12" x14ac:dyDescent="0.25">
      <c r="A247" t="str">
        <f t="shared" si="3"/>
        <v>A316M229C1</v>
      </c>
      <c r="C247">
        <v>246</v>
      </c>
      <c r="D247">
        <f>VLOOKUP(PREVIOS!C247,ALUMNOS!A:B,2,FALSE)</f>
        <v>316</v>
      </c>
      <c r="E247">
        <f>VLOOKUP(PREVIOS!E247&amp;'TABLA PREVIOS'!J247,MATERIAS!A:H,7,FALSE)</f>
        <v>229</v>
      </c>
      <c r="F247">
        <f>VLOOKUP(PREVIOS!G247,CONDICION!A:B,2,FALSE)</f>
        <v>1</v>
      </c>
      <c r="G247">
        <f>IF(PREVIOS!AG247=1,1,VLOOKUP(PREVIOS!AG247,CALIFICACION!A:C,3,FALSE))</f>
        <v>1</v>
      </c>
      <c r="H247" s="1" t="s">
        <v>534</v>
      </c>
      <c r="I247" s="1" t="s">
        <v>534</v>
      </c>
      <c r="J247">
        <f>VLOOKUP(PREVIOS!F247&amp;VLOOKUP(PREVIOS!I247,PLAN!A:B,2,FALSE),CURSO!A:D,4,FALSE)</f>
        <v>18</v>
      </c>
      <c r="K247">
        <f>VLOOKUP(PREVIOS!H247,CICLO!A:B,2,FALSE)</f>
        <v>53</v>
      </c>
      <c r="L247">
        <f>VLOOKUP(PREVIOS!I247,PLAN!A:B,2,FALSE)</f>
        <v>5</v>
      </c>
    </row>
    <row r="248" spans="1:12" x14ac:dyDescent="0.25">
      <c r="A248" t="str">
        <f t="shared" si="3"/>
        <v>A316M240C3</v>
      </c>
      <c r="C248">
        <v>247</v>
      </c>
      <c r="D248">
        <f>VLOOKUP(PREVIOS!C248,ALUMNOS!A:B,2,FALSE)</f>
        <v>316</v>
      </c>
      <c r="E248">
        <f>VLOOKUP(PREVIOS!E248&amp;'TABLA PREVIOS'!J248,MATERIAS!A:H,7,FALSE)</f>
        <v>240</v>
      </c>
      <c r="F248">
        <f>VLOOKUP(PREVIOS!G248,CONDICION!A:B,2,FALSE)</f>
        <v>3</v>
      </c>
      <c r="G248">
        <f>IF(PREVIOS!AG248=1,1,VLOOKUP(PREVIOS!AG248,CALIFICACION!A:C,3,FALSE))</f>
        <v>1</v>
      </c>
      <c r="H248" s="1" t="s">
        <v>534</v>
      </c>
      <c r="I248" s="1" t="s">
        <v>534</v>
      </c>
      <c r="J248">
        <f>VLOOKUP(PREVIOS!F248&amp;VLOOKUP(PREVIOS!I248,PLAN!A:B,2,FALSE),CURSO!A:D,4,FALSE)</f>
        <v>19</v>
      </c>
      <c r="K248">
        <f>VLOOKUP(PREVIOS!H248,CICLO!A:B,2,FALSE)</f>
        <v>55</v>
      </c>
      <c r="L248">
        <f>VLOOKUP(PREVIOS!I248,PLAN!A:B,2,FALSE)</f>
        <v>5</v>
      </c>
    </row>
    <row r="249" spans="1:12" x14ac:dyDescent="0.25">
      <c r="A249" t="str">
        <f t="shared" si="3"/>
        <v>A390M260C1</v>
      </c>
      <c r="C249">
        <v>248</v>
      </c>
      <c r="D249">
        <f>VLOOKUP(PREVIOS!C249,ALUMNOS!A:B,2,FALSE)</f>
        <v>390</v>
      </c>
      <c r="E249">
        <f>VLOOKUP(PREVIOS!E249&amp;'TABLA PREVIOS'!J249,MATERIAS!A:H,7,FALSE)</f>
        <v>260</v>
      </c>
      <c r="F249">
        <f>VLOOKUP(PREVIOS!G249,CONDICION!A:B,2,FALSE)</f>
        <v>1</v>
      </c>
      <c r="G249">
        <f>IF(PREVIOS!AG249=1,1,VLOOKUP(PREVIOS!AG249,CALIFICACION!A:C,3,FALSE))</f>
        <v>1</v>
      </c>
      <c r="H249" s="1" t="s">
        <v>534</v>
      </c>
      <c r="I249" s="1" t="s">
        <v>534</v>
      </c>
      <c r="J249">
        <f>VLOOKUP(PREVIOS!F249&amp;VLOOKUP(PREVIOS!I249,PLAN!A:B,2,FALSE),CURSO!A:D,4,FALSE)</f>
        <v>20</v>
      </c>
      <c r="K249">
        <f>VLOOKUP(PREVIOS!H249,CICLO!A:B,2,FALSE)</f>
        <v>56</v>
      </c>
      <c r="L249">
        <f>VLOOKUP(PREVIOS!I249,PLAN!A:B,2,FALSE)</f>
        <v>6</v>
      </c>
    </row>
    <row r="250" spans="1:12" x14ac:dyDescent="0.25">
      <c r="A250" t="str">
        <f t="shared" si="3"/>
        <v>A390M258C1</v>
      </c>
      <c r="C250">
        <v>249</v>
      </c>
      <c r="D250">
        <f>VLOOKUP(PREVIOS!C250,ALUMNOS!A:B,2,FALSE)</f>
        <v>390</v>
      </c>
      <c r="E250">
        <f>VLOOKUP(PREVIOS!E250&amp;'TABLA PREVIOS'!J250,MATERIAS!A:H,7,FALSE)</f>
        <v>258</v>
      </c>
      <c r="F250">
        <f>VLOOKUP(PREVIOS!G250,CONDICION!A:B,2,FALSE)</f>
        <v>1</v>
      </c>
      <c r="G250">
        <f>IF(PREVIOS!AG250=1,1,VLOOKUP(PREVIOS!AG250,CALIFICACION!A:C,3,FALSE))</f>
        <v>1</v>
      </c>
      <c r="H250" s="1" t="s">
        <v>534</v>
      </c>
      <c r="I250" s="1" t="s">
        <v>534</v>
      </c>
      <c r="J250">
        <f>VLOOKUP(PREVIOS!F250&amp;VLOOKUP(PREVIOS!I250,PLAN!A:B,2,FALSE),CURSO!A:D,4,FALSE)</f>
        <v>20</v>
      </c>
      <c r="K250">
        <f>VLOOKUP(PREVIOS!H250,CICLO!A:B,2,FALSE)</f>
        <v>56</v>
      </c>
      <c r="L250">
        <f>VLOOKUP(PREVIOS!I250,PLAN!A:B,2,FALSE)</f>
        <v>6</v>
      </c>
    </row>
    <row r="251" spans="1:12" x14ac:dyDescent="0.25">
      <c r="A251" t="str">
        <f t="shared" si="3"/>
        <v>A390M251C3</v>
      </c>
      <c r="C251">
        <v>250</v>
      </c>
      <c r="D251">
        <f>VLOOKUP(PREVIOS!C251,ALUMNOS!A:B,2,FALSE)</f>
        <v>390</v>
      </c>
      <c r="E251">
        <f>VLOOKUP(PREVIOS!E251&amp;'TABLA PREVIOS'!J251,MATERIAS!A:H,7,FALSE)</f>
        <v>251</v>
      </c>
      <c r="F251">
        <f>VLOOKUP(PREVIOS!G251,CONDICION!A:B,2,FALSE)</f>
        <v>3</v>
      </c>
      <c r="G251">
        <f>IF(PREVIOS!AG251=1,1,VLOOKUP(PREVIOS!AG251,CALIFICACION!A:C,3,FALSE))</f>
        <v>1</v>
      </c>
      <c r="H251" s="1" t="s">
        <v>534</v>
      </c>
      <c r="I251" s="1" t="s">
        <v>534</v>
      </c>
      <c r="J251">
        <f>VLOOKUP(PREVIOS!F251&amp;VLOOKUP(PREVIOS!I251,PLAN!A:B,2,FALSE),CURSO!A:D,4,FALSE)</f>
        <v>20</v>
      </c>
      <c r="K251">
        <f>VLOOKUP(PREVIOS!H251,CICLO!A:B,2,FALSE)</f>
        <v>56</v>
      </c>
      <c r="L251">
        <f>VLOOKUP(PREVIOS!I251,PLAN!A:B,2,FALSE)</f>
        <v>6</v>
      </c>
    </row>
    <row r="252" spans="1:12" x14ac:dyDescent="0.25">
      <c r="A252" t="str">
        <f t="shared" si="3"/>
        <v>A416M239C1</v>
      </c>
      <c r="C252">
        <v>251</v>
      </c>
      <c r="D252">
        <f>VLOOKUP(PREVIOS!C252,ALUMNOS!A:B,2,FALSE)</f>
        <v>416</v>
      </c>
      <c r="E252">
        <f>VLOOKUP(PREVIOS!E252&amp;'TABLA PREVIOS'!J252,MATERIAS!A:H,7,FALSE)</f>
        <v>239</v>
      </c>
      <c r="F252">
        <f>VLOOKUP(PREVIOS!G252,CONDICION!A:B,2,FALSE)</f>
        <v>1</v>
      </c>
      <c r="G252">
        <f>IF(PREVIOS!AG252=1,1,VLOOKUP(PREVIOS!AG252,CALIFICACION!A:C,3,FALSE))</f>
        <v>1</v>
      </c>
      <c r="H252" s="1" t="s">
        <v>534</v>
      </c>
      <c r="I252" s="1" t="s">
        <v>534</v>
      </c>
      <c r="J252">
        <f>VLOOKUP(PREVIOS!F252&amp;VLOOKUP(PREVIOS!I252,PLAN!A:B,2,FALSE),CURSO!A:D,4,FALSE)</f>
        <v>19</v>
      </c>
      <c r="K252">
        <f>VLOOKUP(PREVIOS!H252,CICLO!A:B,2,FALSE)</f>
        <v>55</v>
      </c>
      <c r="L252">
        <f>VLOOKUP(PREVIOS!I252,PLAN!A:B,2,FALSE)</f>
        <v>5</v>
      </c>
    </row>
    <row r="253" spans="1:12" x14ac:dyDescent="0.25">
      <c r="A253" t="str">
        <f t="shared" si="3"/>
        <v>A416M261C1</v>
      </c>
      <c r="C253">
        <v>252</v>
      </c>
      <c r="D253">
        <f>VLOOKUP(PREVIOS!C253,ALUMNOS!A:B,2,FALSE)</f>
        <v>416</v>
      </c>
      <c r="E253">
        <f>VLOOKUP(PREVIOS!E253&amp;'TABLA PREVIOS'!J253,MATERIAS!A:H,7,FALSE)</f>
        <v>261</v>
      </c>
      <c r="F253">
        <f>VLOOKUP(PREVIOS!G253,CONDICION!A:B,2,FALSE)</f>
        <v>1</v>
      </c>
      <c r="G253">
        <f>IF(PREVIOS!AG253=1,1,VLOOKUP(PREVIOS!AG253,CALIFICACION!A:C,3,FALSE))</f>
        <v>1</v>
      </c>
      <c r="H253" s="1" t="s">
        <v>534</v>
      </c>
      <c r="I253" s="1" t="s">
        <v>534</v>
      </c>
      <c r="J253">
        <f>VLOOKUP(PREVIOS!F253&amp;VLOOKUP(PREVIOS!I253,PLAN!A:B,2,FALSE),CURSO!A:D,4,FALSE)</f>
        <v>20</v>
      </c>
      <c r="K253">
        <f>VLOOKUP(PREVIOS!H253,CICLO!A:B,2,FALSE)</f>
        <v>56</v>
      </c>
      <c r="L253">
        <f>VLOOKUP(PREVIOS!I253,PLAN!A:B,2,FALSE)</f>
        <v>6</v>
      </c>
    </row>
    <row r="254" spans="1:12" x14ac:dyDescent="0.25">
      <c r="A254" t="str">
        <f t="shared" si="3"/>
        <v>A511M248C1</v>
      </c>
      <c r="C254">
        <v>253</v>
      </c>
      <c r="D254">
        <f>VLOOKUP(PREVIOS!C254,ALUMNOS!A:B,2,FALSE)</f>
        <v>511</v>
      </c>
      <c r="E254">
        <f>VLOOKUP(PREVIOS!E254&amp;'TABLA PREVIOS'!J254,MATERIAS!A:H,7,FALSE)</f>
        <v>248</v>
      </c>
      <c r="F254">
        <f>VLOOKUP(PREVIOS!G254,CONDICION!A:B,2,FALSE)</f>
        <v>1</v>
      </c>
      <c r="G254">
        <f>IF(PREVIOS!AG254=1,1,VLOOKUP(PREVIOS!AG254,CALIFICACION!A:C,3,FALSE))</f>
        <v>1</v>
      </c>
      <c r="H254" s="1" t="s">
        <v>534</v>
      </c>
      <c r="I254" s="1" t="s">
        <v>534</v>
      </c>
      <c r="J254">
        <f>VLOOKUP(PREVIOS!F254&amp;VLOOKUP(PREVIOS!I254,PLAN!A:B,2,FALSE),CURSO!A:D,4,FALSE)</f>
        <v>19</v>
      </c>
      <c r="K254">
        <f>VLOOKUP(PREVIOS!H254,CICLO!A:B,2,FALSE)</f>
        <v>55</v>
      </c>
      <c r="L254">
        <f>VLOOKUP(PREVIOS!I254,PLAN!A:B,2,FALSE)</f>
        <v>5</v>
      </c>
    </row>
    <row r="255" spans="1:12" x14ac:dyDescent="0.25">
      <c r="A255" t="str">
        <f t="shared" si="3"/>
        <v>A511M245C1</v>
      </c>
      <c r="C255">
        <v>254</v>
      </c>
      <c r="D255">
        <f>VLOOKUP(PREVIOS!C255,ALUMNOS!A:B,2,FALSE)</f>
        <v>511</v>
      </c>
      <c r="E255">
        <f>VLOOKUP(PREVIOS!E255&amp;'TABLA PREVIOS'!J255,MATERIAS!A:H,7,FALSE)</f>
        <v>245</v>
      </c>
      <c r="F255">
        <f>VLOOKUP(PREVIOS!G255,CONDICION!A:B,2,FALSE)</f>
        <v>1</v>
      </c>
      <c r="G255">
        <f>IF(PREVIOS!AG255=1,1,VLOOKUP(PREVIOS!AG255,CALIFICACION!A:C,3,FALSE))</f>
        <v>1</v>
      </c>
      <c r="H255" s="1" t="s">
        <v>534</v>
      </c>
      <c r="I255" s="1" t="s">
        <v>534</v>
      </c>
      <c r="J255">
        <f>VLOOKUP(PREVIOS!F255&amp;VLOOKUP(PREVIOS!I255,PLAN!A:B,2,FALSE),CURSO!A:D,4,FALSE)</f>
        <v>19</v>
      </c>
      <c r="K255">
        <f>VLOOKUP(PREVIOS!H255,CICLO!A:B,2,FALSE)</f>
        <v>55</v>
      </c>
      <c r="L255">
        <f>VLOOKUP(PREVIOS!I255,PLAN!A:B,2,FALSE)</f>
        <v>5</v>
      </c>
    </row>
    <row r="256" spans="1:12" x14ac:dyDescent="0.25">
      <c r="A256" t="str">
        <f t="shared" si="3"/>
        <v>A511M251C3</v>
      </c>
      <c r="C256">
        <v>255</v>
      </c>
      <c r="D256">
        <f>VLOOKUP(PREVIOS!C256,ALUMNOS!A:B,2,FALSE)</f>
        <v>511</v>
      </c>
      <c r="E256">
        <f>VLOOKUP(PREVIOS!E256&amp;'TABLA PREVIOS'!J256,MATERIAS!A:H,7,FALSE)</f>
        <v>251</v>
      </c>
      <c r="F256">
        <f>VLOOKUP(PREVIOS!G256,CONDICION!A:B,2,FALSE)</f>
        <v>3</v>
      </c>
      <c r="G256">
        <f>IF(PREVIOS!AG256=1,1,VLOOKUP(PREVIOS!AG256,CALIFICACION!A:C,3,FALSE))</f>
        <v>1</v>
      </c>
      <c r="H256" s="1" t="s">
        <v>534</v>
      </c>
      <c r="I256" s="1" t="s">
        <v>534</v>
      </c>
      <c r="J256">
        <f>VLOOKUP(PREVIOS!F256&amp;VLOOKUP(PREVIOS!I256,PLAN!A:B,2,FALSE),CURSO!A:D,4,FALSE)</f>
        <v>20</v>
      </c>
      <c r="K256">
        <f>VLOOKUP(PREVIOS!H256,CICLO!A:B,2,FALSE)</f>
        <v>56</v>
      </c>
      <c r="L256">
        <f>VLOOKUP(PREVIOS!I256,PLAN!A:B,2,FALSE)</f>
        <v>6</v>
      </c>
    </row>
    <row r="257" spans="1:12" x14ac:dyDescent="0.25">
      <c r="A257" t="str">
        <f t="shared" si="3"/>
        <v>A519M230C1</v>
      </c>
      <c r="C257">
        <v>256</v>
      </c>
      <c r="D257">
        <f>VLOOKUP(PREVIOS!C257,ALUMNOS!A:B,2,FALSE)</f>
        <v>519</v>
      </c>
      <c r="E257">
        <f>VLOOKUP(PREVIOS!E257&amp;'TABLA PREVIOS'!J257,MATERIAS!A:H,7,FALSE)</f>
        <v>230</v>
      </c>
      <c r="F257">
        <f>VLOOKUP(PREVIOS!G257,CONDICION!A:B,2,FALSE)</f>
        <v>1</v>
      </c>
      <c r="G257">
        <f>IF(PREVIOS!AG257=1,1,VLOOKUP(PREVIOS!AG257,CALIFICACION!A:C,3,FALSE))</f>
        <v>1</v>
      </c>
      <c r="H257" s="1" t="s">
        <v>534</v>
      </c>
      <c r="I257" s="1" t="s">
        <v>534</v>
      </c>
      <c r="J257">
        <f>VLOOKUP(PREVIOS!F257&amp;VLOOKUP(PREVIOS!I257,PLAN!A:B,2,FALSE),CURSO!A:D,4,FALSE)</f>
        <v>18</v>
      </c>
      <c r="K257">
        <f>VLOOKUP(PREVIOS!H257,CICLO!A:B,2,FALSE)</f>
        <v>54</v>
      </c>
      <c r="L257">
        <f>VLOOKUP(PREVIOS!I257,PLAN!A:B,2,FALSE)</f>
        <v>5</v>
      </c>
    </row>
    <row r="258" spans="1:12" x14ac:dyDescent="0.25">
      <c r="A258" t="str">
        <f t="shared" si="3"/>
        <v>A519M240C1</v>
      </c>
      <c r="C258">
        <v>257</v>
      </c>
      <c r="D258">
        <f>VLOOKUP(PREVIOS!C258,ALUMNOS!A:B,2,FALSE)</f>
        <v>519</v>
      </c>
      <c r="E258">
        <f>VLOOKUP(PREVIOS!E258&amp;'TABLA PREVIOS'!J258,MATERIAS!A:H,7,FALSE)</f>
        <v>240</v>
      </c>
      <c r="F258">
        <f>VLOOKUP(PREVIOS!G258,CONDICION!A:B,2,FALSE)</f>
        <v>1</v>
      </c>
      <c r="G258">
        <f>IF(PREVIOS!AG258=1,1,VLOOKUP(PREVIOS!AG258,CALIFICACION!A:C,3,FALSE))</f>
        <v>1</v>
      </c>
      <c r="H258" s="1" t="s">
        <v>534</v>
      </c>
      <c r="I258" s="1" t="s">
        <v>534</v>
      </c>
      <c r="J258">
        <f>VLOOKUP(PREVIOS!F258&amp;VLOOKUP(PREVIOS!I258,PLAN!A:B,2,FALSE),CURSO!A:D,4,FALSE)</f>
        <v>19</v>
      </c>
      <c r="K258">
        <f>VLOOKUP(PREVIOS!H258,CICLO!A:B,2,FALSE)</f>
        <v>55</v>
      </c>
      <c r="L258">
        <f>VLOOKUP(PREVIOS!I258,PLAN!A:B,2,FALSE)</f>
        <v>5</v>
      </c>
    </row>
    <row r="259" spans="1:12" x14ac:dyDescent="0.25">
      <c r="A259" t="str">
        <f t="shared" ref="A259:A322" si="4">"A"&amp;D259&amp;"M"&amp;E259&amp;"C"&amp;F259</f>
        <v>A519M252C3</v>
      </c>
      <c r="C259">
        <v>258</v>
      </c>
      <c r="D259">
        <f>VLOOKUP(PREVIOS!C259,ALUMNOS!A:B,2,FALSE)</f>
        <v>519</v>
      </c>
      <c r="E259">
        <f>VLOOKUP(PREVIOS!E259&amp;'TABLA PREVIOS'!J259,MATERIAS!A:H,7,FALSE)</f>
        <v>252</v>
      </c>
      <c r="F259">
        <f>VLOOKUP(PREVIOS!G259,CONDICION!A:B,2,FALSE)</f>
        <v>3</v>
      </c>
      <c r="G259">
        <f>IF(PREVIOS!AG259=1,1,VLOOKUP(PREVIOS!AG259,CALIFICACION!A:C,3,FALSE))</f>
        <v>1</v>
      </c>
      <c r="H259" s="1" t="s">
        <v>534</v>
      </c>
      <c r="I259" s="1" t="s">
        <v>534</v>
      </c>
      <c r="J259">
        <f>VLOOKUP(PREVIOS!F259&amp;VLOOKUP(PREVIOS!I259,PLAN!A:B,2,FALSE),CURSO!A:D,4,FALSE)</f>
        <v>20</v>
      </c>
      <c r="K259">
        <f>VLOOKUP(PREVIOS!H259,CICLO!A:B,2,FALSE)</f>
        <v>56</v>
      </c>
      <c r="L259">
        <f>VLOOKUP(PREVIOS!I259,PLAN!A:B,2,FALSE)</f>
        <v>6</v>
      </c>
    </row>
    <row r="260" spans="1:12" x14ac:dyDescent="0.25">
      <c r="A260" t="str">
        <f t="shared" si="4"/>
        <v>A781M256C1</v>
      </c>
      <c r="C260">
        <v>259</v>
      </c>
      <c r="D260">
        <f>VLOOKUP(PREVIOS!C260,ALUMNOS!A:B,2,FALSE)</f>
        <v>781</v>
      </c>
      <c r="E260">
        <f>VLOOKUP(PREVIOS!E260&amp;'TABLA PREVIOS'!J260,MATERIAS!A:H,7,FALSE)</f>
        <v>256</v>
      </c>
      <c r="F260">
        <f>VLOOKUP(PREVIOS!G260,CONDICION!A:B,2,FALSE)</f>
        <v>1</v>
      </c>
      <c r="G260">
        <f>IF(PREVIOS!AG260=1,1,VLOOKUP(PREVIOS!AG260,CALIFICACION!A:C,3,FALSE))</f>
        <v>1</v>
      </c>
      <c r="H260" s="1" t="s">
        <v>534</v>
      </c>
      <c r="I260" s="1" t="s">
        <v>534</v>
      </c>
      <c r="J260">
        <f>VLOOKUP(PREVIOS!F260&amp;VLOOKUP(PREVIOS!I260,PLAN!A:B,2,FALSE),CURSO!A:D,4,FALSE)</f>
        <v>20</v>
      </c>
      <c r="K260">
        <f>VLOOKUP(PREVIOS!H260,CICLO!A:B,2,FALSE)</f>
        <v>56</v>
      </c>
      <c r="L260">
        <f>VLOOKUP(PREVIOS!I260,PLAN!A:B,2,FALSE)</f>
        <v>6</v>
      </c>
    </row>
    <row r="261" spans="1:12" x14ac:dyDescent="0.25">
      <c r="A261" t="str">
        <f t="shared" si="4"/>
        <v>A781M252C3</v>
      </c>
      <c r="C261">
        <v>260</v>
      </c>
      <c r="D261">
        <f>VLOOKUP(PREVIOS!C261,ALUMNOS!A:B,2,FALSE)</f>
        <v>781</v>
      </c>
      <c r="E261">
        <f>VLOOKUP(PREVIOS!E261&amp;'TABLA PREVIOS'!J261,MATERIAS!A:H,7,FALSE)</f>
        <v>252</v>
      </c>
      <c r="F261">
        <f>VLOOKUP(PREVIOS!G261,CONDICION!A:B,2,FALSE)</f>
        <v>3</v>
      </c>
      <c r="G261">
        <f>IF(PREVIOS!AG261=1,1,VLOOKUP(PREVIOS!AG261,CALIFICACION!A:C,3,FALSE))</f>
        <v>1</v>
      </c>
      <c r="H261" s="1" t="s">
        <v>534</v>
      </c>
      <c r="I261" s="1" t="s">
        <v>534</v>
      </c>
      <c r="J261">
        <f>VLOOKUP(PREVIOS!F261&amp;VLOOKUP(PREVIOS!I261,PLAN!A:B,2,FALSE),CURSO!A:D,4,FALSE)</f>
        <v>20</v>
      </c>
      <c r="K261">
        <f>VLOOKUP(PREVIOS!H261,CICLO!A:B,2,FALSE)</f>
        <v>56</v>
      </c>
      <c r="L261">
        <f>VLOOKUP(PREVIOS!I261,PLAN!A:B,2,FALSE)</f>
        <v>6</v>
      </c>
    </row>
    <row r="262" spans="1:12" x14ac:dyDescent="0.25">
      <c r="A262" t="str">
        <f t="shared" si="4"/>
        <v>A781M259C1</v>
      </c>
      <c r="C262">
        <v>261</v>
      </c>
      <c r="D262">
        <f>VLOOKUP(PREVIOS!C262,ALUMNOS!A:B,2,FALSE)</f>
        <v>781</v>
      </c>
      <c r="E262">
        <f>VLOOKUP(PREVIOS!E262&amp;'TABLA PREVIOS'!J262,MATERIAS!A:H,7,FALSE)</f>
        <v>259</v>
      </c>
      <c r="F262">
        <f>VLOOKUP(PREVIOS!G262,CONDICION!A:B,2,FALSE)</f>
        <v>1</v>
      </c>
      <c r="G262">
        <f>IF(PREVIOS!AG262=1,1,VLOOKUP(PREVIOS!AG262,CALIFICACION!A:C,3,FALSE))</f>
        <v>1</v>
      </c>
      <c r="H262" s="1" t="s">
        <v>534</v>
      </c>
      <c r="I262" s="1" t="s">
        <v>534</v>
      </c>
      <c r="J262">
        <f>VLOOKUP(PREVIOS!F262&amp;VLOOKUP(PREVIOS!I262,PLAN!A:B,2,FALSE),CURSO!A:D,4,FALSE)</f>
        <v>20</v>
      </c>
      <c r="K262">
        <f>VLOOKUP(PREVIOS!H262,CICLO!A:B,2,FALSE)</f>
        <v>56</v>
      </c>
      <c r="L262">
        <f>VLOOKUP(PREVIOS!I262,PLAN!A:B,2,FALSE)</f>
        <v>6</v>
      </c>
    </row>
    <row r="263" spans="1:12" x14ac:dyDescent="0.25">
      <c r="A263" t="str">
        <f t="shared" si="4"/>
        <v>A49M259C1</v>
      </c>
      <c r="C263">
        <v>262</v>
      </c>
      <c r="D263">
        <f>VLOOKUP(PREVIOS!C263,ALUMNOS!A:B,2,FALSE)</f>
        <v>49</v>
      </c>
      <c r="E263">
        <f>VLOOKUP(PREVIOS!E263&amp;'TABLA PREVIOS'!J263,MATERIAS!A:H,7,FALSE)</f>
        <v>259</v>
      </c>
      <c r="F263">
        <f>VLOOKUP(PREVIOS!G263,CONDICION!A:B,2,FALSE)</f>
        <v>1</v>
      </c>
      <c r="G263">
        <f>IF(PREVIOS!AG263=1,1,VLOOKUP(PREVIOS!AG263,CALIFICACION!A:C,3,FALSE))</f>
        <v>1</v>
      </c>
      <c r="H263" s="1" t="s">
        <v>534</v>
      </c>
      <c r="I263" s="1" t="s">
        <v>534</v>
      </c>
      <c r="J263">
        <f>VLOOKUP(PREVIOS!F263&amp;VLOOKUP(PREVIOS!I263,PLAN!A:B,2,FALSE),CURSO!A:D,4,FALSE)</f>
        <v>20</v>
      </c>
      <c r="K263">
        <f>VLOOKUP(PREVIOS!H263,CICLO!A:B,2,FALSE)</f>
        <v>55</v>
      </c>
      <c r="L263">
        <f>VLOOKUP(PREVIOS!I263,PLAN!A:B,2,FALSE)</f>
        <v>6</v>
      </c>
    </row>
    <row r="264" spans="1:12" x14ac:dyDescent="0.25">
      <c r="A264" t="str">
        <f t="shared" si="4"/>
        <v>A204M252C1</v>
      </c>
      <c r="C264">
        <v>263</v>
      </c>
      <c r="D264">
        <f>VLOOKUP(PREVIOS!C264,ALUMNOS!A:B,2,FALSE)</f>
        <v>204</v>
      </c>
      <c r="E264">
        <f>VLOOKUP(PREVIOS!E264&amp;'TABLA PREVIOS'!J264,MATERIAS!A:H,7,FALSE)</f>
        <v>252</v>
      </c>
      <c r="F264">
        <f>VLOOKUP(PREVIOS!G264,CONDICION!A:B,2,FALSE)</f>
        <v>1</v>
      </c>
      <c r="G264">
        <f>IF(PREVIOS!AG264=1,1,VLOOKUP(PREVIOS!AG264,CALIFICACION!A:C,3,FALSE))</f>
        <v>1</v>
      </c>
      <c r="H264" s="1" t="s">
        <v>534</v>
      </c>
      <c r="I264" s="1" t="s">
        <v>534</v>
      </c>
      <c r="J264">
        <f>VLOOKUP(PREVIOS!F264&amp;VLOOKUP(PREVIOS!I264,PLAN!A:B,2,FALSE),CURSO!A:D,4,FALSE)</f>
        <v>20</v>
      </c>
      <c r="K264">
        <f>VLOOKUP(PREVIOS!H264,CICLO!A:B,2,FALSE)</f>
        <v>55</v>
      </c>
      <c r="L264">
        <f>VLOOKUP(PREVIOS!I264,PLAN!A:B,2,FALSE)</f>
        <v>6</v>
      </c>
    </row>
    <row r="265" spans="1:12" x14ac:dyDescent="0.25">
      <c r="A265" t="str">
        <f t="shared" si="4"/>
        <v>A204M269C3</v>
      </c>
      <c r="C265">
        <v>264</v>
      </c>
      <c r="D265">
        <f>VLOOKUP(PREVIOS!C265,ALUMNOS!A:B,2,FALSE)</f>
        <v>204</v>
      </c>
      <c r="E265">
        <f>VLOOKUP(PREVIOS!E265&amp;'TABLA PREVIOS'!J265,MATERIAS!A:H,7,FALSE)</f>
        <v>269</v>
      </c>
      <c r="F265">
        <f>VLOOKUP(PREVIOS!G265,CONDICION!A:B,2,FALSE)</f>
        <v>3</v>
      </c>
      <c r="G265">
        <f>IF(PREVIOS!AG265=1,1,VLOOKUP(PREVIOS!AG265,CALIFICACION!A:C,3,FALSE))</f>
        <v>1</v>
      </c>
      <c r="H265" s="1" t="s">
        <v>534</v>
      </c>
      <c r="I265" s="1" t="s">
        <v>534</v>
      </c>
      <c r="J265">
        <f>VLOOKUP(PREVIOS!F265&amp;VLOOKUP(PREVIOS!I265,PLAN!A:B,2,FALSE),CURSO!A:D,4,FALSE)</f>
        <v>21</v>
      </c>
      <c r="K265">
        <f>VLOOKUP(PREVIOS!H265,CICLO!A:B,2,FALSE)</f>
        <v>56</v>
      </c>
      <c r="L265">
        <f>VLOOKUP(PREVIOS!I265,PLAN!A:B,2,FALSE)</f>
        <v>6</v>
      </c>
    </row>
    <row r="266" spans="1:12" x14ac:dyDescent="0.25">
      <c r="A266" t="str">
        <f t="shared" si="4"/>
        <v>A204M265C1</v>
      </c>
      <c r="C266">
        <v>265</v>
      </c>
      <c r="D266">
        <f>VLOOKUP(PREVIOS!C266,ALUMNOS!A:B,2,FALSE)</f>
        <v>204</v>
      </c>
      <c r="E266">
        <f>VLOOKUP(PREVIOS!E266&amp;'TABLA PREVIOS'!J266,MATERIAS!A:H,7,FALSE)</f>
        <v>265</v>
      </c>
      <c r="F266">
        <f>VLOOKUP(PREVIOS!G266,CONDICION!A:B,2,FALSE)</f>
        <v>1</v>
      </c>
      <c r="G266">
        <f>IF(PREVIOS!AG266=1,1,VLOOKUP(PREVIOS!AG266,CALIFICACION!A:C,3,FALSE))</f>
        <v>1</v>
      </c>
      <c r="H266" s="1" t="s">
        <v>534</v>
      </c>
      <c r="I266" s="1" t="s">
        <v>534</v>
      </c>
      <c r="J266">
        <f>VLOOKUP(PREVIOS!F266&amp;VLOOKUP(PREVIOS!I266,PLAN!A:B,2,FALSE),CURSO!A:D,4,FALSE)</f>
        <v>21</v>
      </c>
      <c r="K266">
        <f>VLOOKUP(PREVIOS!H266,CICLO!A:B,2,FALSE)</f>
        <v>56</v>
      </c>
      <c r="L266">
        <f>VLOOKUP(PREVIOS!I266,PLAN!A:B,2,FALSE)</f>
        <v>6</v>
      </c>
    </row>
    <row r="267" spans="1:12" x14ac:dyDescent="0.25">
      <c r="A267" t="str">
        <f t="shared" si="4"/>
        <v>A250M265C1</v>
      </c>
      <c r="C267">
        <v>266</v>
      </c>
      <c r="D267">
        <f>VLOOKUP(PREVIOS!C267,ALUMNOS!A:B,2,FALSE)</f>
        <v>250</v>
      </c>
      <c r="E267">
        <f>VLOOKUP(PREVIOS!E267&amp;'TABLA PREVIOS'!J267,MATERIAS!A:H,7,FALSE)</f>
        <v>265</v>
      </c>
      <c r="F267">
        <f>VLOOKUP(PREVIOS!G267,CONDICION!A:B,2,FALSE)</f>
        <v>1</v>
      </c>
      <c r="G267">
        <f>IF(PREVIOS!AG267=1,1,VLOOKUP(PREVIOS!AG267,CALIFICACION!A:C,3,FALSE))</f>
        <v>9</v>
      </c>
      <c r="H267" s="1" t="s">
        <v>534</v>
      </c>
      <c r="I267" s="1" t="s">
        <v>534</v>
      </c>
      <c r="J267">
        <f>VLOOKUP(PREVIOS!F267&amp;VLOOKUP(PREVIOS!I267,PLAN!A:B,2,FALSE),CURSO!A:D,4,FALSE)</f>
        <v>21</v>
      </c>
      <c r="K267">
        <f>VLOOKUP(PREVIOS!H267,CICLO!A:B,2,FALSE)</f>
        <v>56</v>
      </c>
      <c r="L267">
        <f>VLOOKUP(PREVIOS!I267,PLAN!A:B,2,FALSE)</f>
        <v>6</v>
      </c>
    </row>
    <row r="268" spans="1:12" x14ac:dyDescent="0.25">
      <c r="A268" t="str">
        <f t="shared" si="4"/>
        <v>A295M265C1</v>
      </c>
      <c r="C268">
        <v>267</v>
      </c>
      <c r="D268">
        <f>VLOOKUP(PREVIOS!C268,ALUMNOS!A:B,2,FALSE)</f>
        <v>295</v>
      </c>
      <c r="E268">
        <f>VLOOKUP(PREVIOS!E268&amp;'TABLA PREVIOS'!J268,MATERIAS!A:H,7,FALSE)</f>
        <v>265</v>
      </c>
      <c r="F268">
        <f>VLOOKUP(PREVIOS!G268,CONDICION!A:B,2,FALSE)</f>
        <v>1</v>
      </c>
      <c r="G268">
        <f>IF(PREVIOS!AG268=1,1,VLOOKUP(PREVIOS!AG268,CALIFICACION!A:C,3,FALSE))</f>
        <v>1</v>
      </c>
      <c r="H268" s="1" t="s">
        <v>534</v>
      </c>
      <c r="I268" s="1" t="s">
        <v>534</v>
      </c>
      <c r="J268">
        <f>VLOOKUP(PREVIOS!F268&amp;VLOOKUP(PREVIOS!I268,PLAN!A:B,2,FALSE),CURSO!A:D,4,FALSE)</f>
        <v>21</v>
      </c>
      <c r="K268">
        <f>VLOOKUP(PREVIOS!H268,CICLO!A:B,2,FALSE)</f>
        <v>56</v>
      </c>
      <c r="L268">
        <f>VLOOKUP(PREVIOS!I268,PLAN!A:B,2,FALSE)</f>
        <v>6</v>
      </c>
    </row>
    <row r="269" spans="1:12" x14ac:dyDescent="0.25">
      <c r="A269" t="str">
        <f t="shared" si="4"/>
        <v>A295M273C1</v>
      </c>
      <c r="C269">
        <v>268</v>
      </c>
      <c r="D269">
        <f>VLOOKUP(PREVIOS!C269,ALUMNOS!A:B,2,FALSE)</f>
        <v>295</v>
      </c>
      <c r="E269">
        <f>VLOOKUP(PREVIOS!E269&amp;'TABLA PREVIOS'!J269,MATERIAS!A:H,7,FALSE)</f>
        <v>273</v>
      </c>
      <c r="F269">
        <f>VLOOKUP(PREVIOS!G269,CONDICION!A:B,2,FALSE)</f>
        <v>1</v>
      </c>
      <c r="G269">
        <f>IF(PREVIOS!AG269=1,1,VLOOKUP(PREVIOS!AG269,CALIFICACION!A:C,3,FALSE))</f>
        <v>1</v>
      </c>
      <c r="H269" s="1" t="s">
        <v>534</v>
      </c>
      <c r="I269" s="1" t="s">
        <v>534</v>
      </c>
      <c r="J269">
        <f>VLOOKUP(PREVIOS!F269&amp;VLOOKUP(PREVIOS!I269,PLAN!A:B,2,FALSE),CURSO!A:D,4,FALSE)</f>
        <v>21</v>
      </c>
      <c r="K269">
        <f>VLOOKUP(PREVIOS!H269,CICLO!A:B,2,FALSE)</f>
        <v>56</v>
      </c>
      <c r="L269">
        <f>VLOOKUP(PREVIOS!I269,PLAN!A:B,2,FALSE)</f>
        <v>6</v>
      </c>
    </row>
    <row r="270" spans="1:12" x14ac:dyDescent="0.25">
      <c r="A270" t="str">
        <f t="shared" si="4"/>
        <v>A395M265C1</v>
      </c>
      <c r="C270">
        <v>269</v>
      </c>
      <c r="D270">
        <f>VLOOKUP(PREVIOS!C270,ALUMNOS!A:B,2,FALSE)</f>
        <v>395</v>
      </c>
      <c r="E270">
        <f>VLOOKUP(PREVIOS!E270&amp;'TABLA PREVIOS'!J270,MATERIAS!A:H,7,FALSE)</f>
        <v>265</v>
      </c>
      <c r="F270">
        <f>VLOOKUP(PREVIOS!G270,CONDICION!A:B,2,FALSE)</f>
        <v>1</v>
      </c>
      <c r="G270">
        <f>IF(PREVIOS!AG270=1,1,VLOOKUP(PREVIOS!AG270,CALIFICACION!A:C,3,FALSE))</f>
        <v>9</v>
      </c>
      <c r="H270" s="1" t="s">
        <v>534</v>
      </c>
      <c r="I270" s="1" t="s">
        <v>534</v>
      </c>
      <c r="J270">
        <f>VLOOKUP(PREVIOS!F270&amp;VLOOKUP(PREVIOS!I270,PLAN!A:B,2,FALSE),CURSO!A:D,4,FALSE)</f>
        <v>21</v>
      </c>
      <c r="K270">
        <f>VLOOKUP(PREVIOS!H270,CICLO!A:B,2,FALSE)</f>
        <v>56</v>
      </c>
      <c r="L270">
        <f>VLOOKUP(PREVIOS!I270,PLAN!A:B,2,FALSE)</f>
        <v>6</v>
      </c>
    </row>
    <row r="271" spans="1:12" x14ac:dyDescent="0.25">
      <c r="A271" t="str">
        <f t="shared" si="4"/>
        <v>A532M265C1</v>
      </c>
      <c r="C271">
        <v>270</v>
      </c>
      <c r="D271">
        <f>VLOOKUP(PREVIOS!C271,ALUMNOS!A:B,2,FALSE)</f>
        <v>532</v>
      </c>
      <c r="E271">
        <f>VLOOKUP(PREVIOS!E271&amp;'TABLA PREVIOS'!J271,MATERIAS!A:H,7,FALSE)</f>
        <v>265</v>
      </c>
      <c r="F271">
        <f>VLOOKUP(PREVIOS!G271,CONDICION!A:B,2,FALSE)</f>
        <v>1</v>
      </c>
      <c r="G271">
        <f>IF(PREVIOS!AG271=1,1,VLOOKUP(PREVIOS!AG271,CALIFICACION!A:C,3,FALSE))</f>
        <v>1</v>
      </c>
      <c r="H271" s="1" t="s">
        <v>534</v>
      </c>
      <c r="I271" s="1" t="s">
        <v>534</v>
      </c>
      <c r="J271">
        <f>VLOOKUP(PREVIOS!F271&amp;VLOOKUP(PREVIOS!I271,PLAN!A:B,2,FALSE),CURSO!A:D,4,FALSE)</f>
        <v>21</v>
      </c>
      <c r="K271">
        <f>VLOOKUP(PREVIOS!H271,CICLO!A:B,2,FALSE)</f>
        <v>56</v>
      </c>
      <c r="L271">
        <f>VLOOKUP(PREVIOS!I271,PLAN!A:B,2,FALSE)</f>
        <v>6</v>
      </c>
    </row>
    <row r="272" spans="1:12" x14ac:dyDescent="0.25">
      <c r="A272" t="str">
        <f t="shared" si="4"/>
        <v>A532M273C1</v>
      </c>
      <c r="C272">
        <v>271</v>
      </c>
      <c r="D272">
        <f>VLOOKUP(PREVIOS!C272,ALUMNOS!A:B,2,FALSE)</f>
        <v>532</v>
      </c>
      <c r="E272">
        <f>VLOOKUP(PREVIOS!E272&amp;'TABLA PREVIOS'!J272,MATERIAS!A:H,7,FALSE)</f>
        <v>273</v>
      </c>
      <c r="F272">
        <f>VLOOKUP(PREVIOS!G272,CONDICION!A:B,2,FALSE)</f>
        <v>1</v>
      </c>
      <c r="G272">
        <f>IF(PREVIOS!AG272=1,1,VLOOKUP(PREVIOS!AG272,CALIFICACION!A:C,3,FALSE))</f>
        <v>1</v>
      </c>
      <c r="H272" s="1" t="s">
        <v>534</v>
      </c>
      <c r="I272" s="1" t="s">
        <v>534</v>
      </c>
      <c r="J272">
        <f>VLOOKUP(PREVIOS!F272&amp;VLOOKUP(PREVIOS!I272,PLAN!A:B,2,FALSE),CURSO!A:D,4,FALSE)</f>
        <v>21</v>
      </c>
      <c r="K272">
        <f>VLOOKUP(PREVIOS!H272,CICLO!A:B,2,FALSE)</f>
        <v>56</v>
      </c>
      <c r="L272">
        <f>VLOOKUP(PREVIOS!I272,PLAN!A:B,2,FALSE)</f>
        <v>6</v>
      </c>
    </row>
    <row r="273" spans="1:12" x14ac:dyDescent="0.25">
      <c r="A273" t="str">
        <f t="shared" si="4"/>
        <v>A585M265C1</v>
      </c>
      <c r="C273">
        <v>272</v>
      </c>
      <c r="D273">
        <f>VLOOKUP(PREVIOS!C273,ALUMNOS!A:B,2,FALSE)</f>
        <v>585</v>
      </c>
      <c r="E273">
        <f>VLOOKUP(PREVIOS!E273&amp;'TABLA PREVIOS'!J273,MATERIAS!A:H,7,FALSE)</f>
        <v>265</v>
      </c>
      <c r="F273">
        <f>VLOOKUP(PREVIOS!G273,CONDICION!A:B,2,FALSE)</f>
        <v>1</v>
      </c>
      <c r="G273">
        <f>IF(PREVIOS!AG273=1,1,VLOOKUP(PREVIOS!AG273,CALIFICACION!A:C,3,FALSE))</f>
        <v>1</v>
      </c>
      <c r="H273" s="1" t="s">
        <v>534</v>
      </c>
      <c r="I273" s="1" t="s">
        <v>534</v>
      </c>
      <c r="J273">
        <f>VLOOKUP(PREVIOS!F273&amp;VLOOKUP(PREVIOS!I273,PLAN!A:B,2,FALSE),CURSO!A:D,4,FALSE)</f>
        <v>21</v>
      </c>
      <c r="K273">
        <f>VLOOKUP(PREVIOS!H273,CICLO!A:B,2,FALSE)</f>
        <v>56</v>
      </c>
      <c r="L273">
        <f>VLOOKUP(PREVIOS!I273,PLAN!A:B,2,FALSE)</f>
        <v>6</v>
      </c>
    </row>
    <row r="274" spans="1:12" x14ac:dyDescent="0.25">
      <c r="A274" t="str">
        <f t="shared" si="4"/>
        <v>A727M260C2</v>
      </c>
      <c r="C274">
        <v>273</v>
      </c>
      <c r="D274">
        <f>VLOOKUP(PREVIOS!C274,ALUMNOS!A:B,2,FALSE)</f>
        <v>727</v>
      </c>
      <c r="E274">
        <f>VLOOKUP(PREVIOS!E274&amp;'TABLA PREVIOS'!J274,MATERIAS!A:H,7,FALSE)</f>
        <v>260</v>
      </c>
      <c r="F274">
        <f>VLOOKUP(PREVIOS!G274,CONDICION!A:B,2,FALSE)</f>
        <v>2</v>
      </c>
      <c r="G274">
        <f>IF(PREVIOS!AG274=1,1,VLOOKUP(PREVIOS!AG274,CALIFICACION!A:C,3,FALSE))</f>
        <v>9</v>
      </c>
      <c r="H274" s="1" t="s">
        <v>534</v>
      </c>
      <c r="I274" s="1" t="s">
        <v>534</v>
      </c>
      <c r="J274">
        <f>VLOOKUP(PREVIOS!F274&amp;VLOOKUP(PREVIOS!I274,PLAN!A:B,2,FALSE),CURSO!A:D,4,FALSE)</f>
        <v>20</v>
      </c>
      <c r="K274">
        <f>VLOOKUP(PREVIOS!H274,CICLO!A:B,2,FALSE)</f>
        <v>57</v>
      </c>
      <c r="L274">
        <f>VLOOKUP(PREVIOS!I274,PLAN!A:B,2,FALSE)</f>
        <v>6</v>
      </c>
    </row>
    <row r="275" spans="1:12" x14ac:dyDescent="0.25">
      <c r="A275" t="str">
        <f t="shared" si="4"/>
        <v>A727M259C2</v>
      </c>
      <c r="C275">
        <v>274</v>
      </c>
      <c r="D275">
        <f>VLOOKUP(PREVIOS!C275,ALUMNOS!A:B,2,FALSE)</f>
        <v>727</v>
      </c>
      <c r="E275">
        <f>VLOOKUP(PREVIOS!E275&amp;'TABLA PREVIOS'!J275,MATERIAS!A:H,7,FALSE)</f>
        <v>259</v>
      </c>
      <c r="F275">
        <f>VLOOKUP(PREVIOS!G275,CONDICION!A:B,2,FALSE)</f>
        <v>2</v>
      </c>
      <c r="G275">
        <f>IF(PREVIOS!AG275=1,1,VLOOKUP(PREVIOS!AG275,CALIFICACION!A:C,3,FALSE))</f>
        <v>9</v>
      </c>
      <c r="H275" s="1" t="s">
        <v>534</v>
      </c>
      <c r="I275" s="1" t="s">
        <v>534</v>
      </c>
      <c r="J275">
        <f>VLOOKUP(PREVIOS!F275&amp;VLOOKUP(PREVIOS!I275,PLAN!A:B,2,FALSE),CURSO!A:D,4,FALSE)</f>
        <v>20</v>
      </c>
      <c r="K275">
        <f>VLOOKUP(PREVIOS!H275,CICLO!A:B,2,FALSE)</f>
        <v>57</v>
      </c>
      <c r="L275">
        <f>VLOOKUP(PREVIOS!I275,PLAN!A:B,2,FALSE)</f>
        <v>6</v>
      </c>
    </row>
    <row r="276" spans="1:12" x14ac:dyDescent="0.25">
      <c r="A276" t="str">
        <f t="shared" si="4"/>
        <v>A727M274C2</v>
      </c>
      <c r="C276">
        <v>275</v>
      </c>
      <c r="D276">
        <f>VLOOKUP(PREVIOS!C276,ALUMNOS!A:B,2,FALSE)</f>
        <v>727</v>
      </c>
      <c r="E276">
        <f>VLOOKUP(PREVIOS!E276&amp;'TABLA PREVIOS'!J276,MATERIAS!A:H,7,FALSE)</f>
        <v>274</v>
      </c>
      <c r="F276">
        <f>VLOOKUP(PREVIOS!G276,CONDICION!A:B,2,FALSE)</f>
        <v>2</v>
      </c>
      <c r="G276">
        <f>IF(PREVIOS!AG276=1,1,VLOOKUP(PREVIOS!AG276,CALIFICACION!A:C,3,FALSE))</f>
        <v>9</v>
      </c>
      <c r="H276" s="1" t="s">
        <v>534</v>
      </c>
      <c r="I276" s="1" t="s">
        <v>534</v>
      </c>
      <c r="J276">
        <f>VLOOKUP(PREVIOS!F276&amp;VLOOKUP(PREVIOS!I276,PLAN!A:B,2,FALSE),CURSO!A:D,4,FALSE)</f>
        <v>21</v>
      </c>
      <c r="K276">
        <f>VLOOKUP(PREVIOS!H276,CICLO!A:B,2,FALSE)</f>
        <v>57</v>
      </c>
      <c r="L276">
        <f>VLOOKUP(PREVIOS!I276,PLAN!A:B,2,FALSE)</f>
        <v>6</v>
      </c>
    </row>
    <row r="277" spans="1:12" x14ac:dyDescent="0.25">
      <c r="A277" t="str">
        <f t="shared" si="4"/>
        <v>A727M275C2</v>
      </c>
      <c r="C277">
        <v>276</v>
      </c>
      <c r="D277">
        <f>VLOOKUP(PREVIOS!C277,ALUMNOS!A:B,2,FALSE)</f>
        <v>727</v>
      </c>
      <c r="E277">
        <f>VLOOKUP(PREVIOS!E277&amp;'TABLA PREVIOS'!J277,MATERIAS!A:H,7,FALSE)</f>
        <v>275</v>
      </c>
      <c r="F277">
        <f>VLOOKUP(PREVIOS!G277,CONDICION!A:B,2,FALSE)</f>
        <v>2</v>
      </c>
      <c r="G277">
        <f>IF(PREVIOS!AG277=1,1,VLOOKUP(PREVIOS!AG277,CALIFICACION!A:C,3,FALSE))</f>
        <v>1</v>
      </c>
      <c r="H277" s="1" t="s">
        <v>534</v>
      </c>
      <c r="I277" s="1" t="s">
        <v>534</v>
      </c>
      <c r="J277">
        <f>VLOOKUP(PREVIOS!F277&amp;VLOOKUP(PREVIOS!I277,PLAN!A:B,2,FALSE),CURSO!A:D,4,FALSE)</f>
        <v>21</v>
      </c>
      <c r="K277">
        <f>VLOOKUP(PREVIOS!H277,CICLO!A:B,2,FALSE)</f>
        <v>57</v>
      </c>
      <c r="L277">
        <f>VLOOKUP(PREVIOS!I277,PLAN!A:B,2,FALSE)</f>
        <v>6</v>
      </c>
    </row>
    <row r="278" spans="1:12" x14ac:dyDescent="0.25">
      <c r="A278" t="str">
        <f t="shared" si="4"/>
        <v>A727M273C2</v>
      </c>
      <c r="C278">
        <v>277</v>
      </c>
      <c r="D278">
        <f>VLOOKUP(PREVIOS!C278,ALUMNOS!A:B,2,FALSE)</f>
        <v>727</v>
      </c>
      <c r="E278">
        <f>VLOOKUP(PREVIOS!E278&amp;'TABLA PREVIOS'!J278,MATERIAS!A:H,7,FALSE)</f>
        <v>273</v>
      </c>
      <c r="F278">
        <f>VLOOKUP(PREVIOS!G278,CONDICION!A:B,2,FALSE)</f>
        <v>2</v>
      </c>
      <c r="G278">
        <f>IF(PREVIOS!AG278=1,1,VLOOKUP(PREVIOS!AG278,CALIFICACION!A:C,3,FALSE))</f>
        <v>1</v>
      </c>
      <c r="H278" s="1" t="s">
        <v>534</v>
      </c>
      <c r="I278" s="1" t="s">
        <v>534</v>
      </c>
      <c r="J278">
        <f>VLOOKUP(PREVIOS!F278&amp;VLOOKUP(PREVIOS!I278,PLAN!A:B,2,FALSE),CURSO!A:D,4,FALSE)</f>
        <v>21</v>
      </c>
      <c r="K278">
        <f>VLOOKUP(PREVIOS!H278,CICLO!A:B,2,FALSE)</f>
        <v>57</v>
      </c>
      <c r="L278">
        <f>VLOOKUP(PREVIOS!I278,PLAN!A:B,2,FALSE)</f>
        <v>6</v>
      </c>
    </row>
    <row r="279" spans="1:12" x14ac:dyDescent="0.25">
      <c r="A279" t="str">
        <f t="shared" si="4"/>
        <v>A487M259C1</v>
      </c>
      <c r="C279">
        <v>278</v>
      </c>
      <c r="D279">
        <f>VLOOKUP(PREVIOS!C279,ALUMNOS!A:B,2,FALSE)</f>
        <v>487</v>
      </c>
      <c r="E279">
        <f>VLOOKUP(PREVIOS!E279&amp;'TABLA PREVIOS'!J279,MATERIAS!A:H,7,FALSE)</f>
        <v>259</v>
      </c>
      <c r="F279">
        <f>VLOOKUP(PREVIOS!G279,CONDICION!A:B,2,FALSE)</f>
        <v>1</v>
      </c>
      <c r="G279">
        <f>IF(PREVIOS!AG279=1,1,VLOOKUP(PREVIOS!AG279,CALIFICACION!A:C,3,FALSE))</f>
        <v>1</v>
      </c>
      <c r="H279" s="1" t="s">
        <v>534</v>
      </c>
      <c r="I279" s="1" t="s">
        <v>534</v>
      </c>
      <c r="J279">
        <f>VLOOKUP(PREVIOS!F279&amp;VLOOKUP(PREVIOS!I279,PLAN!A:B,2,FALSE),CURSO!A:D,4,FALSE)</f>
        <v>20</v>
      </c>
      <c r="K279">
        <f>VLOOKUP(PREVIOS!H279,CICLO!A:B,2,FALSE)</f>
        <v>55</v>
      </c>
      <c r="L279">
        <f>VLOOKUP(PREVIOS!I279,PLAN!A:B,2,FALSE)</f>
        <v>6</v>
      </c>
    </row>
    <row r="280" spans="1:12" x14ac:dyDescent="0.25">
      <c r="A280" t="str">
        <f t="shared" si="4"/>
        <v>A487M277C1</v>
      </c>
      <c r="C280">
        <v>279</v>
      </c>
      <c r="D280">
        <f>VLOOKUP(PREVIOS!C280,ALUMNOS!A:B,2,FALSE)</f>
        <v>487</v>
      </c>
      <c r="E280">
        <f>VLOOKUP(PREVIOS!E280&amp;'TABLA PREVIOS'!J280,MATERIAS!A:H,7,FALSE)</f>
        <v>277</v>
      </c>
      <c r="F280">
        <f>VLOOKUP(PREVIOS!G280,CONDICION!A:B,2,FALSE)</f>
        <v>1</v>
      </c>
      <c r="G280">
        <f>IF(PREVIOS!AG280=1,1,VLOOKUP(PREVIOS!AG280,CALIFICACION!A:C,3,FALSE))</f>
        <v>1</v>
      </c>
      <c r="H280" s="1" t="s">
        <v>534</v>
      </c>
      <c r="I280" s="1" t="s">
        <v>534</v>
      </c>
      <c r="J280">
        <f>VLOOKUP(PREVIOS!F280&amp;VLOOKUP(PREVIOS!I280,PLAN!A:B,2,FALSE),CURSO!A:D,4,FALSE)</f>
        <v>21</v>
      </c>
      <c r="K280">
        <f>VLOOKUP(PREVIOS!H280,CICLO!A:B,2,FALSE)</f>
        <v>56</v>
      </c>
      <c r="L280">
        <f>VLOOKUP(PREVIOS!I280,PLAN!A:B,2,FALSE)</f>
        <v>6</v>
      </c>
    </row>
    <row r="281" spans="1:12" x14ac:dyDescent="0.25">
      <c r="A281" t="str">
        <f t="shared" si="4"/>
        <v>A487M265C3</v>
      </c>
      <c r="C281">
        <v>280</v>
      </c>
      <c r="D281">
        <f>VLOOKUP(PREVIOS!C281,ALUMNOS!A:B,2,FALSE)</f>
        <v>487</v>
      </c>
      <c r="E281">
        <f>VLOOKUP(PREVIOS!E281&amp;'TABLA PREVIOS'!J281,MATERIAS!A:H,7,FALSE)</f>
        <v>265</v>
      </c>
      <c r="F281">
        <f>VLOOKUP(PREVIOS!G281,CONDICION!A:B,2,FALSE)</f>
        <v>3</v>
      </c>
      <c r="G281">
        <f>IF(PREVIOS!AG281=1,1,VLOOKUP(PREVIOS!AG281,CALIFICACION!A:C,3,FALSE))</f>
        <v>1</v>
      </c>
      <c r="H281" s="1" t="s">
        <v>534</v>
      </c>
      <c r="I281" s="1" t="s">
        <v>534</v>
      </c>
      <c r="J281">
        <f>VLOOKUP(PREVIOS!F281&amp;VLOOKUP(PREVIOS!I281,PLAN!A:B,2,FALSE),CURSO!A:D,4,FALSE)</f>
        <v>21</v>
      </c>
      <c r="K281">
        <f>VLOOKUP(PREVIOS!H281,CICLO!A:B,2,FALSE)</f>
        <v>56</v>
      </c>
      <c r="L281">
        <f>VLOOKUP(PREVIOS!I281,PLAN!A:B,2,FALSE)</f>
        <v>6</v>
      </c>
    </row>
    <row r="282" spans="1:12" x14ac:dyDescent="0.25">
      <c r="A282" t="str">
        <f t="shared" si="4"/>
        <v>A40M273C1</v>
      </c>
      <c r="C282">
        <v>281</v>
      </c>
      <c r="D282">
        <f>VLOOKUP(PREVIOS!C282,ALUMNOS!A:B,2,FALSE)</f>
        <v>40</v>
      </c>
      <c r="E282">
        <f>VLOOKUP(PREVIOS!E282&amp;'TABLA PREVIOS'!J282,MATERIAS!A:H,7,FALSE)</f>
        <v>273</v>
      </c>
      <c r="F282">
        <f>VLOOKUP(PREVIOS!G282,CONDICION!A:B,2,FALSE)</f>
        <v>1</v>
      </c>
      <c r="G282">
        <f>IF(PREVIOS!AG282=1,1,VLOOKUP(PREVIOS!AG282,CALIFICACION!A:C,3,FALSE))</f>
        <v>1</v>
      </c>
      <c r="H282" s="1" t="s">
        <v>534</v>
      </c>
      <c r="I282" s="1" t="s">
        <v>534</v>
      </c>
      <c r="J282">
        <f>VLOOKUP(PREVIOS!F282&amp;VLOOKUP(PREVIOS!I282,PLAN!A:B,2,FALSE),CURSO!A:D,4,FALSE)</f>
        <v>21</v>
      </c>
      <c r="K282">
        <f>VLOOKUP(PREVIOS!H282,CICLO!A:B,2,FALSE)</f>
        <v>56</v>
      </c>
      <c r="L282">
        <f>VLOOKUP(PREVIOS!I282,PLAN!A:B,2,FALSE)</f>
        <v>6</v>
      </c>
    </row>
    <row r="283" spans="1:12" x14ac:dyDescent="0.25">
      <c r="A283" t="str">
        <f t="shared" si="4"/>
        <v>A91M234C1</v>
      </c>
      <c r="C283">
        <v>282</v>
      </c>
      <c r="D283">
        <f>VLOOKUP(PREVIOS!C283,ALUMNOS!A:B,2,FALSE)</f>
        <v>91</v>
      </c>
      <c r="E283">
        <f>VLOOKUP(PREVIOS!E283&amp;'TABLA PREVIOS'!J283,MATERIAS!A:H,7,FALSE)</f>
        <v>234</v>
      </c>
      <c r="F283">
        <f>VLOOKUP(PREVIOS!G283,CONDICION!A:B,2,FALSE)</f>
        <v>1</v>
      </c>
      <c r="G283">
        <f>IF(PREVIOS!AG283=1,1,VLOOKUP(PREVIOS!AG283,CALIFICACION!A:C,3,FALSE))</f>
        <v>1</v>
      </c>
      <c r="H283" s="1" t="s">
        <v>534</v>
      </c>
      <c r="I283" s="1" t="s">
        <v>534</v>
      </c>
      <c r="J283">
        <f>VLOOKUP(PREVIOS!F283&amp;VLOOKUP(PREVIOS!I283,PLAN!A:B,2,FALSE),CURSO!A:D,4,FALSE)</f>
        <v>18</v>
      </c>
      <c r="K283">
        <f>VLOOKUP(PREVIOS!H283,CICLO!A:B,2,FALSE)</f>
        <v>53</v>
      </c>
      <c r="L283">
        <f>VLOOKUP(PREVIOS!I283,PLAN!A:B,2,FALSE)</f>
        <v>5</v>
      </c>
    </row>
    <row r="284" spans="1:12" x14ac:dyDescent="0.25">
      <c r="A284" t="str">
        <f t="shared" si="4"/>
        <v>A91M256C1</v>
      </c>
      <c r="C284">
        <v>283</v>
      </c>
      <c r="D284">
        <f>VLOOKUP(PREVIOS!C284,ALUMNOS!A:B,2,FALSE)</f>
        <v>91</v>
      </c>
      <c r="E284">
        <f>VLOOKUP(PREVIOS!E284&amp;'TABLA PREVIOS'!J284,MATERIAS!A:H,7,FALSE)</f>
        <v>256</v>
      </c>
      <c r="F284">
        <f>VLOOKUP(PREVIOS!G284,CONDICION!A:B,2,FALSE)</f>
        <v>1</v>
      </c>
      <c r="G284">
        <f>IF(PREVIOS!AG284=1,1,VLOOKUP(PREVIOS!AG284,CALIFICACION!A:C,3,FALSE))</f>
        <v>1</v>
      </c>
      <c r="H284" s="1" t="s">
        <v>534</v>
      </c>
      <c r="I284" s="1" t="s">
        <v>534</v>
      </c>
      <c r="J284">
        <f>VLOOKUP(PREVIOS!F284&amp;VLOOKUP(PREVIOS!I284,PLAN!A:B,2,FALSE),CURSO!A:D,4,FALSE)</f>
        <v>20</v>
      </c>
      <c r="K284">
        <f>VLOOKUP(PREVIOS!H284,CICLO!A:B,2,FALSE)</f>
        <v>55</v>
      </c>
      <c r="L284">
        <f>VLOOKUP(PREVIOS!I284,PLAN!A:B,2,FALSE)</f>
        <v>6</v>
      </c>
    </row>
    <row r="285" spans="1:12" x14ac:dyDescent="0.25">
      <c r="A285" t="str">
        <f t="shared" si="4"/>
        <v>A122M245C1</v>
      </c>
      <c r="C285">
        <v>284</v>
      </c>
      <c r="D285">
        <f>VLOOKUP(PREVIOS!C285,ALUMNOS!A:B,2,FALSE)</f>
        <v>122</v>
      </c>
      <c r="E285">
        <f>VLOOKUP(PREVIOS!E285&amp;'TABLA PREVIOS'!J285,MATERIAS!A:H,7,FALSE)</f>
        <v>245</v>
      </c>
      <c r="F285">
        <f>VLOOKUP(PREVIOS!G285,CONDICION!A:B,2,FALSE)</f>
        <v>1</v>
      </c>
      <c r="G285">
        <f>IF(PREVIOS!AG285=1,1,VLOOKUP(PREVIOS!AG285,CALIFICACION!A:C,3,FALSE))</f>
        <v>1</v>
      </c>
      <c r="H285" s="1" t="s">
        <v>534</v>
      </c>
      <c r="I285" s="1" t="s">
        <v>534</v>
      </c>
      <c r="J285">
        <f>VLOOKUP(PREVIOS!F285&amp;VLOOKUP(PREVIOS!I285,PLAN!A:B,2,FALSE),CURSO!A:D,4,FALSE)</f>
        <v>19</v>
      </c>
      <c r="K285">
        <f>VLOOKUP(PREVIOS!H285,CICLO!A:B,2,FALSE)</f>
        <v>54</v>
      </c>
      <c r="L285">
        <f>VLOOKUP(PREVIOS!I285,PLAN!A:B,2,FALSE)</f>
        <v>5</v>
      </c>
    </row>
    <row r="286" spans="1:12" x14ac:dyDescent="0.25">
      <c r="A286" t="str">
        <f t="shared" si="4"/>
        <v>A284M273C1</v>
      </c>
      <c r="C286">
        <v>285</v>
      </c>
      <c r="D286">
        <f>VLOOKUP(PREVIOS!C286,ALUMNOS!A:B,2,FALSE)</f>
        <v>284</v>
      </c>
      <c r="E286">
        <f>VLOOKUP(PREVIOS!E286&amp;'TABLA PREVIOS'!J286,MATERIAS!A:H,7,FALSE)</f>
        <v>273</v>
      </c>
      <c r="F286">
        <f>VLOOKUP(PREVIOS!G286,CONDICION!A:B,2,FALSE)</f>
        <v>1</v>
      </c>
      <c r="G286">
        <f>IF(PREVIOS!AG286=1,1,VLOOKUP(PREVIOS!AG286,CALIFICACION!A:C,3,FALSE))</f>
        <v>1</v>
      </c>
      <c r="H286" s="1" t="s">
        <v>534</v>
      </c>
      <c r="I286" s="1" t="s">
        <v>534</v>
      </c>
      <c r="J286">
        <f>VLOOKUP(PREVIOS!F286&amp;VLOOKUP(PREVIOS!I286,PLAN!A:B,2,FALSE),CURSO!A:D,4,FALSE)</f>
        <v>21</v>
      </c>
      <c r="K286">
        <f>VLOOKUP(PREVIOS!H286,CICLO!A:B,2,FALSE)</f>
        <v>56</v>
      </c>
      <c r="L286">
        <f>VLOOKUP(PREVIOS!I286,PLAN!A:B,2,FALSE)</f>
        <v>6</v>
      </c>
    </row>
    <row r="287" spans="1:12" x14ac:dyDescent="0.25">
      <c r="A287" t="str">
        <f t="shared" si="4"/>
        <v>A398M233C3</v>
      </c>
      <c r="C287">
        <v>286</v>
      </c>
      <c r="D287">
        <f>VLOOKUP(PREVIOS!C287,ALUMNOS!A:B,2,FALSE)</f>
        <v>398</v>
      </c>
      <c r="E287">
        <f>VLOOKUP(PREVIOS!E287&amp;'TABLA PREVIOS'!J287,MATERIAS!A:H,7,FALSE)</f>
        <v>233</v>
      </c>
      <c r="F287">
        <f>VLOOKUP(PREVIOS!G287,CONDICION!A:B,2,FALSE)</f>
        <v>3</v>
      </c>
      <c r="G287">
        <f>IF(PREVIOS!AG287=1,1,VLOOKUP(PREVIOS!AG287,CALIFICACION!A:C,3,FALSE))</f>
        <v>1</v>
      </c>
      <c r="H287" s="1" t="s">
        <v>534</v>
      </c>
      <c r="I287" s="1" t="s">
        <v>534</v>
      </c>
      <c r="J287">
        <f>VLOOKUP(PREVIOS!F287&amp;VLOOKUP(PREVIOS!I287,PLAN!A:B,2,FALSE),CURSO!A:D,4,FALSE)</f>
        <v>18</v>
      </c>
      <c r="K287">
        <f>VLOOKUP(PREVIOS!H287,CICLO!A:B,2,FALSE)</f>
        <v>53</v>
      </c>
      <c r="L287">
        <f>VLOOKUP(PREVIOS!I287,PLAN!A:B,2,FALSE)</f>
        <v>5</v>
      </c>
    </row>
    <row r="288" spans="1:12" x14ac:dyDescent="0.25">
      <c r="A288" t="str">
        <f t="shared" si="4"/>
        <v>A398M230C1</v>
      </c>
      <c r="C288">
        <v>287</v>
      </c>
      <c r="D288">
        <f>VLOOKUP(PREVIOS!C288,ALUMNOS!A:B,2,FALSE)</f>
        <v>398</v>
      </c>
      <c r="E288">
        <f>VLOOKUP(PREVIOS!E288&amp;'TABLA PREVIOS'!J288,MATERIAS!A:H,7,FALSE)</f>
        <v>230</v>
      </c>
      <c r="F288">
        <f>VLOOKUP(PREVIOS!G288,CONDICION!A:B,2,FALSE)</f>
        <v>1</v>
      </c>
      <c r="G288">
        <f>IF(PREVIOS!AG288=1,1,VLOOKUP(PREVIOS!AG288,CALIFICACION!A:C,3,FALSE))</f>
        <v>1</v>
      </c>
      <c r="H288" s="1" t="s">
        <v>534</v>
      </c>
      <c r="I288" s="1" t="s">
        <v>534</v>
      </c>
      <c r="J288">
        <f>VLOOKUP(PREVIOS!F288&amp;VLOOKUP(PREVIOS!I288,PLAN!A:B,2,FALSE),CURSO!A:D,4,FALSE)</f>
        <v>18</v>
      </c>
      <c r="K288">
        <f>VLOOKUP(PREVIOS!H288,CICLO!A:B,2,FALSE)</f>
        <v>53</v>
      </c>
      <c r="L288">
        <f>VLOOKUP(PREVIOS!I288,PLAN!A:B,2,FALSE)</f>
        <v>5</v>
      </c>
    </row>
    <row r="289" spans="1:12" x14ac:dyDescent="0.25">
      <c r="A289" t="str">
        <f t="shared" si="4"/>
        <v>A398M245C1</v>
      </c>
      <c r="C289">
        <v>288</v>
      </c>
      <c r="D289">
        <f>VLOOKUP(PREVIOS!C289,ALUMNOS!A:B,2,FALSE)</f>
        <v>398</v>
      </c>
      <c r="E289">
        <f>VLOOKUP(PREVIOS!E289&amp;'TABLA PREVIOS'!J289,MATERIAS!A:H,7,FALSE)</f>
        <v>245</v>
      </c>
      <c r="F289">
        <f>VLOOKUP(PREVIOS!G289,CONDICION!A:B,2,FALSE)</f>
        <v>1</v>
      </c>
      <c r="G289">
        <f>IF(PREVIOS!AG289=1,1,VLOOKUP(PREVIOS!AG289,CALIFICACION!A:C,3,FALSE))</f>
        <v>1</v>
      </c>
      <c r="H289" s="1" t="s">
        <v>534</v>
      </c>
      <c r="I289" s="1" t="s">
        <v>534</v>
      </c>
      <c r="J289">
        <f>VLOOKUP(PREVIOS!F289&amp;VLOOKUP(PREVIOS!I289,PLAN!A:B,2,FALSE),CURSO!A:D,4,FALSE)</f>
        <v>19</v>
      </c>
      <c r="K289">
        <f>VLOOKUP(PREVIOS!H289,CICLO!A:B,2,FALSE)</f>
        <v>54</v>
      </c>
      <c r="L289">
        <f>VLOOKUP(PREVIOS!I289,PLAN!A:B,2,FALSE)</f>
        <v>5</v>
      </c>
    </row>
    <row r="290" spans="1:12" x14ac:dyDescent="0.25">
      <c r="A290" t="str">
        <f t="shared" si="4"/>
        <v>A443M260C2</v>
      </c>
      <c r="C290">
        <v>289</v>
      </c>
      <c r="D290">
        <f>VLOOKUP(PREVIOS!C290,ALUMNOS!A:B,2,FALSE)</f>
        <v>443</v>
      </c>
      <c r="E290">
        <f>VLOOKUP(PREVIOS!E290&amp;'TABLA PREVIOS'!J290,MATERIAS!A:H,7,FALSE)</f>
        <v>260</v>
      </c>
      <c r="F290">
        <f>VLOOKUP(PREVIOS!G290,CONDICION!A:B,2,FALSE)</f>
        <v>2</v>
      </c>
      <c r="G290">
        <f>IF(PREVIOS!AG290=1,1,VLOOKUP(PREVIOS!AG290,CALIFICACION!A:C,3,FALSE))</f>
        <v>9</v>
      </c>
      <c r="H290" s="1" t="s">
        <v>534</v>
      </c>
      <c r="I290" s="1" t="s">
        <v>534</v>
      </c>
      <c r="J290">
        <f>VLOOKUP(PREVIOS!F290&amp;VLOOKUP(PREVIOS!I290,PLAN!A:B,2,FALSE),CURSO!A:D,4,FALSE)</f>
        <v>20</v>
      </c>
      <c r="K290">
        <f>VLOOKUP(PREVIOS!H290,CICLO!A:B,2,FALSE)</f>
        <v>56</v>
      </c>
      <c r="L290">
        <f>VLOOKUP(PREVIOS!I290,PLAN!A:B,2,FALSE)</f>
        <v>6</v>
      </c>
    </row>
    <row r="291" spans="1:12" x14ac:dyDescent="0.25">
      <c r="A291" t="str">
        <f t="shared" si="4"/>
        <v>A473M260C1</v>
      </c>
      <c r="C291">
        <v>290</v>
      </c>
      <c r="D291">
        <f>VLOOKUP(PREVIOS!C291,ALUMNOS!A:B,2,FALSE)</f>
        <v>473</v>
      </c>
      <c r="E291">
        <f>VLOOKUP(PREVIOS!E291&amp;'TABLA PREVIOS'!J291,MATERIAS!A:H,7,FALSE)</f>
        <v>260</v>
      </c>
      <c r="F291">
        <f>VLOOKUP(PREVIOS!G291,CONDICION!A:B,2,FALSE)</f>
        <v>1</v>
      </c>
      <c r="G291">
        <f>IF(PREVIOS!AG291=1,1,VLOOKUP(PREVIOS!AG291,CALIFICACION!A:C,3,FALSE))</f>
        <v>1</v>
      </c>
      <c r="H291" s="1" t="s">
        <v>534</v>
      </c>
      <c r="I291" s="1" t="s">
        <v>534</v>
      </c>
      <c r="J291">
        <f>VLOOKUP(PREVIOS!F291&amp;VLOOKUP(PREVIOS!I291,PLAN!A:B,2,FALSE),CURSO!A:D,4,FALSE)</f>
        <v>20</v>
      </c>
      <c r="K291">
        <f>VLOOKUP(PREVIOS!H291,CICLO!A:B,2,FALSE)</f>
        <v>55</v>
      </c>
      <c r="L291">
        <f>VLOOKUP(PREVIOS!I291,PLAN!A:B,2,FALSE)</f>
        <v>6</v>
      </c>
    </row>
    <row r="292" spans="1:12" x14ac:dyDescent="0.25">
      <c r="A292" t="str">
        <f t="shared" si="4"/>
        <v>A473M258C1</v>
      </c>
      <c r="C292">
        <v>291</v>
      </c>
      <c r="D292">
        <f>VLOOKUP(PREVIOS!C292,ALUMNOS!A:B,2,FALSE)</f>
        <v>473</v>
      </c>
      <c r="E292">
        <f>VLOOKUP(PREVIOS!E292&amp;'TABLA PREVIOS'!J292,MATERIAS!A:H,7,FALSE)</f>
        <v>258</v>
      </c>
      <c r="F292">
        <f>VLOOKUP(PREVIOS!G292,CONDICION!A:B,2,FALSE)</f>
        <v>1</v>
      </c>
      <c r="G292">
        <f>IF(PREVIOS!AG292=1,1,VLOOKUP(PREVIOS!AG292,CALIFICACION!A:C,3,FALSE))</f>
        <v>1</v>
      </c>
      <c r="H292" s="1" t="s">
        <v>534</v>
      </c>
      <c r="I292" s="1" t="s">
        <v>534</v>
      </c>
      <c r="J292">
        <f>VLOOKUP(PREVIOS!F292&amp;VLOOKUP(PREVIOS!I292,PLAN!A:B,2,FALSE),CURSO!A:D,4,FALSE)</f>
        <v>20</v>
      </c>
      <c r="K292">
        <f>VLOOKUP(PREVIOS!H292,CICLO!A:B,2,FALSE)</f>
        <v>55</v>
      </c>
      <c r="L292">
        <f>VLOOKUP(PREVIOS!I292,PLAN!A:B,2,FALSE)</f>
        <v>6</v>
      </c>
    </row>
    <row r="293" spans="1:12" x14ac:dyDescent="0.25">
      <c r="A293" t="str">
        <f t="shared" si="4"/>
        <v>A498M260C1</v>
      </c>
      <c r="C293">
        <v>292</v>
      </c>
      <c r="D293">
        <f>VLOOKUP(PREVIOS!C293,ALUMNOS!A:B,2,FALSE)</f>
        <v>498</v>
      </c>
      <c r="E293">
        <f>VLOOKUP(PREVIOS!E293&amp;'TABLA PREVIOS'!J293,MATERIAS!A:H,7,FALSE)</f>
        <v>260</v>
      </c>
      <c r="F293">
        <f>VLOOKUP(PREVIOS!G293,CONDICION!A:B,2,FALSE)</f>
        <v>1</v>
      </c>
      <c r="G293">
        <f>IF(PREVIOS!AG293=1,1,VLOOKUP(PREVIOS!AG293,CALIFICACION!A:C,3,FALSE))</f>
        <v>1</v>
      </c>
      <c r="H293" s="1" t="s">
        <v>534</v>
      </c>
      <c r="I293" s="1" t="s">
        <v>534</v>
      </c>
      <c r="J293">
        <f>VLOOKUP(PREVIOS!F293&amp;VLOOKUP(PREVIOS!I293,PLAN!A:B,2,FALSE),CURSO!A:D,4,FALSE)</f>
        <v>20</v>
      </c>
      <c r="K293">
        <f>VLOOKUP(PREVIOS!H293,CICLO!A:B,2,FALSE)</f>
        <v>55</v>
      </c>
      <c r="L293">
        <f>VLOOKUP(PREVIOS!I293,PLAN!A:B,2,FALSE)</f>
        <v>6</v>
      </c>
    </row>
    <row r="294" spans="1:12" x14ac:dyDescent="0.25">
      <c r="A294" t="str">
        <f t="shared" si="4"/>
        <v>A550M232C1</v>
      </c>
      <c r="C294">
        <v>293</v>
      </c>
      <c r="D294">
        <f>VLOOKUP(PREVIOS!C294,ALUMNOS!A:B,2,FALSE)</f>
        <v>550</v>
      </c>
      <c r="E294">
        <f>VLOOKUP(PREVIOS!E294&amp;'TABLA PREVIOS'!J294,MATERIAS!A:H,7,FALSE)</f>
        <v>232</v>
      </c>
      <c r="F294">
        <f>VLOOKUP(PREVIOS!G294,CONDICION!A:B,2,FALSE)</f>
        <v>1</v>
      </c>
      <c r="G294">
        <f>IF(PREVIOS!AG294=1,1,VLOOKUP(PREVIOS!AG294,CALIFICACION!A:C,3,FALSE))</f>
        <v>1</v>
      </c>
      <c r="H294" s="1" t="s">
        <v>534</v>
      </c>
      <c r="I294" s="1" t="s">
        <v>534</v>
      </c>
      <c r="J294">
        <f>VLOOKUP(PREVIOS!F294&amp;VLOOKUP(PREVIOS!I294,PLAN!A:B,2,FALSE),CURSO!A:D,4,FALSE)</f>
        <v>18</v>
      </c>
      <c r="K294">
        <f>VLOOKUP(PREVIOS!H294,CICLO!A:B,2,FALSE)</f>
        <v>53</v>
      </c>
      <c r="L294">
        <f>VLOOKUP(PREVIOS!I294,PLAN!A:B,2,FALSE)</f>
        <v>5</v>
      </c>
    </row>
    <row r="295" spans="1:12" x14ac:dyDescent="0.25">
      <c r="A295" t="str">
        <f t="shared" si="4"/>
        <v>A550M229C1</v>
      </c>
      <c r="C295">
        <v>294</v>
      </c>
      <c r="D295">
        <f>VLOOKUP(PREVIOS!C295,ALUMNOS!A:B,2,FALSE)</f>
        <v>550</v>
      </c>
      <c r="E295">
        <f>VLOOKUP(PREVIOS!E295&amp;'TABLA PREVIOS'!J295,MATERIAS!A:H,7,FALSE)</f>
        <v>229</v>
      </c>
      <c r="F295">
        <f>VLOOKUP(PREVIOS!G295,CONDICION!A:B,2,FALSE)</f>
        <v>1</v>
      </c>
      <c r="G295">
        <f>IF(PREVIOS!AG295=1,1,VLOOKUP(PREVIOS!AG295,CALIFICACION!A:C,3,FALSE))</f>
        <v>1</v>
      </c>
      <c r="H295" s="1" t="s">
        <v>534</v>
      </c>
      <c r="I295" s="1" t="s">
        <v>534</v>
      </c>
      <c r="J295">
        <f>VLOOKUP(PREVIOS!F295&amp;VLOOKUP(PREVIOS!I295,PLAN!A:B,2,FALSE),CURSO!A:D,4,FALSE)</f>
        <v>18</v>
      </c>
      <c r="K295">
        <f>VLOOKUP(PREVIOS!H295,CICLO!A:B,2,FALSE)</f>
        <v>53</v>
      </c>
      <c r="L295">
        <f>VLOOKUP(PREVIOS!I295,PLAN!A:B,2,FALSE)</f>
        <v>5</v>
      </c>
    </row>
    <row r="296" spans="1:12" x14ac:dyDescent="0.25">
      <c r="A296" t="str">
        <f t="shared" si="4"/>
        <v>A550M272C1</v>
      </c>
      <c r="C296">
        <v>295</v>
      </c>
      <c r="D296">
        <f>VLOOKUP(PREVIOS!C296,ALUMNOS!A:B,2,FALSE)</f>
        <v>550</v>
      </c>
      <c r="E296">
        <f>VLOOKUP(PREVIOS!E296&amp;'TABLA PREVIOS'!J296,MATERIAS!A:H,7,FALSE)</f>
        <v>272</v>
      </c>
      <c r="F296">
        <f>VLOOKUP(PREVIOS!G296,CONDICION!A:B,2,FALSE)</f>
        <v>1</v>
      </c>
      <c r="G296">
        <f>IF(PREVIOS!AG296=1,1,VLOOKUP(PREVIOS!AG296,CALIFICACION!A:C,3,FALSE))</f>
        <v>1</v>
      </c>
      <c r="H296" s="1" t="s">
        <v>534</v>
      </c>
      <c r="I296" s="1" t="s">
        <v>534</v>
      </c>
      <c r="J296">
        <f>VLOOKUP(PREVIOS!F296&amp;VLOOKUP(PREVIOS!I296,PLAN!A:B,2,FALSE),CURSO!A:D,4,FALSE)</f>
        <v>21</v>
      </c>
      <c r="K296">
        <f>VLOOKUP(PREVIOS!H296,CICLO!A:B,2,FALSE)</f>
        <v>56</v>
      </c>
      <c r="L296">
        <f>VLOOKUP(PREVIOS!I296,PLAN!A:B,2,FALSE)</f>
        <v>6</v>
      </c>
    </row>
    <row r="297" spans="1:12" x14ac:dyDescent="0.25">
      <c r="A297" t="str">
        <f t="shared" si="4"/>
        <v>A642M240C1</v>
      </c>
      <c r="C297">
        <v>296</v>
      </c>
      <c r="D297">
        <f>VLOOKUP(PREVIOS!C297,ALUMNOS!A:B,2,FALSE)</f>
        <v>642</v>
      </c>
      <c r="E297">
        <f>VLOOKUP(PREVIOS!E297&amp;'TABLA PREVIOS'!J297,MATERIAS!A:H,7,FALSE)</f>
        <v>240</v>
      </c>
      <c r="F297">
        <f>VLOOKUP(PREVIOS!G297,CONDICION!A:B,2,FALSE)</f>
        <v>1</v>
      </c>
      <c r="G297">
        <f>IF(PREVIOS!AG297=1,1,VLOOKUP(PREVIOS!AG297,CALIFICACION!A:C,3,FALSE))</f>
        <v>1</v>
      </c>
      <c r="H297" s="1" t="s">
        <v>534</v>
      </c>
      <c r="I297" s="1" t="s">
        <v>534</v>
      </c>
      <c r="J297">
        <f>VLOOKUP(PREVIOS!F297&amp;VLOOKUP(PREVIOS!I297,PLAN!A:B,2,FALSE),CURSO!A:D,4,FALSE)</f>
        <v>19</v>
      </c>
      <c r="K297">
        <f>VLOOKUP(PREVIOS!H297,CICLO!A:B,2,FALSE)</f>
        <v>54</v>
      </c>
      <c r="L297">
        <f>VLOOKUP(PREVIOS!I297,PLAN!A:B,2,FALSE)</f>
        <v>5</v>
      </c>
    </row>
    <row r="298" spans="1:12" x14ac:dyDescent="0.25">
      <c r="A298" t="str">
        <f t="shared" si="4"/>
        <v>A642M273C1</v>
      </c>
      <c r="C298">
        <v>297</v>
      </c>
      <c r="D298">
        <f>VLOOKUP(PREVIOS!C298,ALUMNOS!A:B,2,FALSE)</f>
        <v>642</v>
      </c>
      <c r="E298">
        <f>VLOOKUP(PREVIOS!E298&amp;'TABLA PREVIOS'!J298,MATERIAS!A:H,7,FALSE)</f>
        <v>273</v>
      </c>
      <c r="F298">
        <f>VLOOKUP(PREVIOS!G298,CONDICION!A:B,2,FALSE)</f>
        <v>1</v>
      </c>
      <c r="G298">
        <f>IF(PREVIOS!AG298=1,1,VLOOKUP(PREVIOS!AG298,CALIFICACION!A:C,3,FALSE))</f>
        <v>1</v>
      </c>
      <c r="H298" s="1" t="s">
        <v>534</v>
      </c>
      <c r="I298" s="1" t="s">
        <v>534</v>
      </c>
      <c r="J298">
        <f>VLOOKUP(PREVIOS!F298&amp;VLOOKUP(PREVIOS!I298,PLAN!A:B,2,FALSE),CURSO!A:D,4,FALSE)</f>
        <v>21</v>
      </c>
      <c r="K298">
        <f>VLOOKUP(PREVIOS!H298,CICLO!A:B,2,FALSE)</f>
        <v>56</v>
      </c>
      <c r="L298">
        <f>VLOOKUP(PREVIOS!I298,PLAN!A:B,2,FALSE)</f>
        <v>6</v>
      </c>
    </row>
    <row r="299" spans="1:12" x14ac:dyDescent="0.25">
      <c r="A299" t="str">
        <f t="shared" si="4"/>
        <v>A778M255C1</v>
      </c>
      <c r="C299">
        <v>298</v>
      </c>
      <c r="D299">
        <f>VLOOKUP(PREVIOS!C299,ALUMNOS!A:B,2,FALSE)</f>
        <v>778</v>
      </c>
      <c r="E299">
        <f>VLOOKUP(PREVIOS!E299&amp;'TABLA PREVIOS'!J299,MATERIAS!A:H,7,FALSE)</f>
        <v>255</v>
      </c>
      <c r="F299">
        <f>VLOOKUP(PREVIOS!G299,CONDICION!A:B,2,FALSE)</f>
        <v>1</v>
      </c>
      <c r="G299">
        <f>IF(PREVIOS!AG299=1,1,VLOOKUP(PREVIOS!AG299,CALIFICACION!A:C,3,FALSE))</f>
        <v>1</v>
      </c>
      <c r="H299" s="1" t="s">
        <v>534</v>
      </c>
      <c r="I299" s="1" t="s">
        <v>534</v>
      </c>
      <c r="J299">
        <f>VLOOKUP(PREVIOS!F299&amp;VLOOKUP(PREVIOS!I299,PLAN!A:B,2,FALSE),CURSO!A:D,4,FALSE)</f>
        <v>20</v>
      </c>
      <c r="K299">
        <f>VLOOKUP(PREVIOS!H299,CICLO!A:B,2,FALSE)</f>
        <v>55</v>
      </c>
      <c r="L299">
        <f>VLOOKUP(PREVIOS!I299,PLAN!A:B,2,FALSE)</f>
        <v>6</v>
      </c>
    </row>
    <row r="300" spans="1:12" x14ac:dyDescent="0.25">
      <c r="A300" t="str">
        <f t="shared" si="4"/>
        <v>A778M272C1</v>
      </c>
      <c r="C300">
        <v>299</v>
      </c>
      <c r="D300">
        <f>VLOOKUP(PREVIOS!C300,ALUMNOS!A:B,2,FALSE)</f>
        <v>778</v>
      </c>
      <c r="E300">
        <f>VLOOKUP(PREVIOS!E300&amp;'TABLA PREVIOS'!J300,MATERIAS!A:H,7,FALSE)</f>
        <v>272</v>
      </c>
      <c r="F300">
        <f>VLOOKUP(PREVIOS!G300,CONDICION!A:B,2,FALSE)</f>
        <v>1</v>
      </c>
      <c r="G300">
        <f>IF(PREVIOS!AG300=1,1,VLOOKUP(PREVIOS!AG300,CALIFICACION!A:C,3,FALSE))</f>
        <v>1</v>
      </c>
      <c r="H300" s="1" t="s">
        <v>534</v>
      </c>
      <c r="I300" s="1" t="s">
        <v>534</v>
      </c>
      <c r="J300">
        <f>VLOOKUP(PREVIOS!F300&amp;VLOOKUP(PREVIOS!I300,PLAN!A:B,2,FALSE),CURSO!A:D,4,FALSE)</f>
        <v>21</v>
      </c>
      <c r="K300">
        <f>VLOOKUP(PREVIOS!H300,CICLO!A:B,2,FALSE)</f>
        <v>56</v>
      </c>
      <c r="L300">
        <f>VLOOKUP(PREVIOS!I300,PLAN!A:B,2,FALSE)</f>
        <v>6</v>
      </c>
    </row>
    <row r="301" spans="1:12" x14ac:dyDescent="0.25">
      <c r="A301" t="str">
        <f t="shared" si="4"/>
        <v>A778M273C1</v>
      </c>
      <c r="C301">
        <v>300</v>
      </c>
      <c r="D301">
        <f>VLOOKUP(PREVIOS!C301,ALUMNOS!A:B,2,FALSE)</f>
        <v>778</v>
      </c>
      <c r="E301">
        <f>VLOOKUP(PREVIOS!E301&amp;'TABLA PREVIOS'!J301,MATERIAS!A:H,7,FALSE)</f>
        <v>273</v>
      </c>
      <c r="F301">
        <f>VLOOKUP(PREVIOS!G301,CONDICION!A:B,2,FALSE)</f>
        <v>1</v>
      </c>
      <c r="G301">
        <f>IF(PREVIOS!AG301=1,1,VLOOKUP(PREVIOS!AG301,CALIFICACION!A:C,3,FALSE))</f>
        <v>1</v>
      </c>
      <c r="H301" s="1" t="s">
        <v>534</v>
      </c>
      <c r="I301" s="1" t="s">
        <v>534</v>
      </c>
      <c r="J301">
        <f>VLOOKUP(PREVIOS!F301&amp;VLOOKUP(PREVIOS!I301,PLAN!A:B,2,FALSE),CURSO!A:D,4,FALSE)</f>
        <v>21</v>
      </c>
      <c r="K301">
        <f>VLOOKUP(PREVIOS!H301,CICLO!A:B,2,FALSE)</f>
        <v>56</v>
      </c>
      <c r="L301">
        <f>VLOOKUP(PREVIOS!I301,PLAN!A:B,2,FALSE)</f>
        <v>6</v>
      </c>
    </row>
    <row r="302" spans="1:12" x14ac:dyDescent="0.25">
      <c r="A302" t="str">
        <f t="shared" si="4"/>
        <v>A121M173C1</v>
      </c>
      <c r="C302">
        <v>301</v>
      </c>
      <c r="D302">
        <f>VLOOKUP(PREVIOS!C302,ALUMNOS!A:B,2,FALSE)</f>
        <v>121</v>
      </c>
      <c r="E302">
        <f>VLOOKUP(PREVIOS!E302&amp;'TABLA PREVIOS'!J302,MATERIAS!A:H,7,FALSE)</f>
        <v>173</v>
      </c>
      <c r="F302">
        <f>VLOOKUP(PREVIOS!G302,CONDICION!A:B,2,FALSE)</f>
        <v>1</v>
      </c>
      <c r="G302">
        <f>IF(PREVIOS!AG302=1,1,VLOOKUP(PREVIOS!AG302,CALIFICACION!A:C,3,FALSE))</f>
        <v>1</v>
      </c>
      <c r="H302" s="1" t="s">
        <v>534</v>
      </c>
      <c r="I302" s="1" t="s">
        <v>534</v>
      </c>
      <c r="J302">
        <f>VLOOKUP(PREVIOS!F302&amp;VLOOKUP(PREVIOS!I302,PLAN!A:B,2,FALSE),CURSO!A:D,4,FALSE)</f>
        <v>14</v>
      </c>
      <c r="K302">
        <f>VLOOKUP(PREVIOS!H302,CICLO!A:B,2,FALSE)</f>
        <v>41</v>
      </c>
      <c r="L302">
        <f>VLOOKUP(PREVIOS!I302,PLAN!A:B,2,FALSE)</f>
        <v>4</v>
      </c>
    </row>
    <row r="303" spans="1:12" x14ac:dyDescent="0.25">
      <c r="A303" t="str">
        <f t="shared" si="4"/>
        <v>A121M193C1</v>
      </c>
      <c r="C303">
        <v>302</v>
      </c>
      <c r="D303">
        <f>VLOOKUP(PREVIOS!C303,ALUMNOS!A:B,2,FALSE)</f>
        <v>121</v>
      </c>
      <c r="E303">
        <f>VLOOKUP(PREVIOS!E303&amp;'TABLA PREVIOS'!J303,MATERIAS!A:H,7,FALSE)</f>
        <v>193</v>
      </c>
      <c r="F303">
        <f>VLOOKUP(PREVIOS!G303,CONDICION!A:B,2,FALSE)</f>
        <v>1</v>
      </c>
      <c r="G303">
        <f>IF(PREVIOS!AG303=1,1,VLOOKUP(PREVIOS!AG303,CALIFICACION!A:C,3,FALSE))</f>
        <v>1</v>
      </c>
      <c r="H303" s="1" t="s">
        <v>534</v>
      </c>
      <c r="I303" s="1" t="s">
        <v>534</v>
      </c>
      <c r="J303">
        <f>VLOOKUP(PREVIOS!F303&amp;VLOOKUP(PREVIOS!I303,PLAN!A:B,2,FALSE),CURSO!A:D,4,FALSE)</f>
        <v>15</v>
      </c>
      <c r="K303">
        <f>VLOOKUP(PREVIOS!H303,CICLO!A:B,2,FALSE)</f>
        <v>42</v>
      </c>
      <c r="L303">
        <f>VLOOKUP(PREVIOS!I303,PLAN!A:B,2,FALSE)</f>
        <v>4</v>
      </c>
    </row>
    <row r="304" spans="1:12" x14ac:dyDescent="0.25">
      <c r="A304" t="str">
        <f t="shared" si="4"/>
        <v>A121M210C1</v>
      </c>
      <c r="C304">
        <v>303</v>
      </c>
      <c r="D304">
        <f>VLOOKUP(PREVIOS!C304,ALUMNOS!A:B,2,FALSE)</f>
        <v>121</v>
      </c>
      <c r="E304">
        <f>VLOOKUP(PREVIOS!E304&amp;'TABLA PREVIOS'!J304,MATERIAS!A:H,7,FALSE)</f>
        <v>210</v>
      </c>
      <c r="F304">
        <f>VLOOKUP(PREVIOS!G304,CONDICION!A:B,2,FALSE)</f>
        <v>1</v>
      </c>
      <c r="G304">
        <f>IF(PREVIOS!AG304=1,1,VLOOKUP(PREVIOS!AG304,CALIFICACION!A:C,3,FALSE))</f>
        <v>1</v>
      </c>
      <c r="H304" s="1" t="s">
        <v>534</v>
      </c>
      <c r="I304" s="1" t="s">
        <v>534</v>
      </c>
      <c r="J304">
        <f>VLOOKUP(PREVIOS!F304&amp;VLOOKUP(PREVIOS!I304,PLAN!A:B,2,FALSE),CURSO!A:D,4,FALSE)</f>
        <v>16</v>
      </c>
      <c r="K304">
        <f>VLOOKUP(PREVIOS!H304,CICLO!A:B,2,FALSE)</f>
        <v>43</v>
      </c>
      <c r="L304">
        <f>VLOOKUP(PREVIOS!I304,PLAN!A:B,2,FALSE)</f>
        <v>4</v>
      </c>
    </row>
    <row r="305" spans="1:12" x14ac:dyDescent="0.25">
      <c r="A305" t="str">
        <f t="shared" si="4"/>
        <v>A121M216C1</v>
      </c>
      <c r="C305">
        <v>304</v>
      </c>
      <c r="D305">
        <f>VLOOKUP(PREVIOS!C305,ALUMNOS!A:B,2,FALSE)</f>
        <v>121</v>
      </c>
      <c r="E305">
        <f>VLOOKUP(PREVIOS!E305&amp;'TABLA PREVIOS'!J305,MATERIAS!A:H,7,FALSE)</f>
        <v>216</v>
      </c>
      <c r="F305">
        <f>VLOOKUP(PREVIOS!G305,CONDICION!A:B,2,FALSE)</f>
        <v>1</v>
      </c>
      <c r="G305">
        <f>IF(PREVIOS!AG305=1,1,VLOOKUP(PREVIOS!AG305,CALIFICACION!A:C,3,FALSE))</f>
        <v>1</v>
      </c>
      <c r="H305" s="1" t="s">
        <v>534</v>
      </c>
      <c r="I305" s="1" t="s">
        <v>534</v>
      </c>
      <c r="J305">
        <f>VLOOKUP(PREVIOS!F305&amp;VLOOKUP(PREVIOS!I305,PLAN!A:B,2,FALSE),CURSO!A:D,4,FALSE)</f>
        <v>16</v>
      </c>
      <c r="K305">
        <f>VLOOKUP(PREVIOS!H305,CICLO!A:B,2,FALSE)</f>
        <v>43</v>
      </c>
      <c r="L305">
        <f>VLOOKUP(PREVIOS!I305,PLAN!A:B,2,FALSE)</f>
        <v>4</v>
      </c>
    </row>
    <row r="306" spans="1:12" x14ac:dyDescent="0.25">
      <c r="A306" t="str">
        <f t="shared" si="4"/>
        <v>A121M217C1</v>
      </c>
      <c r="C306">
        <v>305</v>
      </c>
      <c r="D306">
        <f>VLOOKUP(PREVIOS!C306,ALUMNOS!A:B,2,FALSE)</f>
        <v>121</v>
      </c>
      <c r="E306">
        <f>VLOOKUP(PREVIOS!E306&amp;'TABLA PREVIOS'!J306,MATERIAS!A:H,7,FALSE)</f>
        <v>217</v>
      </c>
      <c r="F306">
        <f>VLOOKUP(PREVIOS!G306,CONDICION!A:B,2,FALSE)</f>
        <v>1</v>
      </c>
      <c r="G306">
        <f>IF(PREVIOS!AG306=1,1,VLOOKUP(PREVIOS!AG306,CALIFICACION!A:C,3,FALSE))</f>
        <v>1</v>
      </c>
      <c r="H306" s="1" t="s">
        <v>534</v>
      </c>
      <c r="I306" s="1" t="s">
        <v>534</v>
      </c>
      <c r="J306">
        <f>VLOOKUP(PREVIOS!F306&amp;VLOOKUP(PREVIOS!I306,PLAN!A:B,2,FALSE),CURSO!A:D,4,FALSE)</f>
        <v>16</v>
      </c>
      <c r="K306">
        <f>VLOOKUP(PREVIOS!H306,CICLO!A:B,2,FALSE)</f>
        <v>43</v>
      </c>
      <c r="L306">
        <f>VLOOKUP(PREVIOS!I306,PLAN!A:B,2,FALSE)</f>
        <v>4</v>
      </c>
    </row>
    <row r="307" spans="1:12" x14ac:dyDescent="0.25">
      <c r="A307" t="str">
        <f t="shared" si="4"/>
        <v>A315M245C1</v>
      </c>
      <c r="C307">
        <v>306</v>
      </c>
      <c r="D307">
        <f>VLOOKUP(PREVIOS!C307,ALUMNOS!A:B,2,FALSE)</f>
        <v>315</v>
      </c>
      <c r="E307">
        <f>VLOOKUP(PREVIOS!E307&amp;'TABLA PREVIOS'!J307,MATERIAS!A:H,7,FALSE)</f>
        <v>245</v>
      </c>
      <c r="F307">
        <f>VLOOKUP(PREVIOS!G307,CONDICION!A:B,2,FALSE)</f>
        <v>1</v>
      </c>
      <c r="G307">
        <f>IF(PREVIOS!AG307=1,1,VLOOKUP(PREVIOS!AG307,CALIFICACION!A:C,3,FALSE))</f>
        <v>1</v>
      </c>
      <c r="H307" s="1" t="s">
        <v>534</v>
      </c>
      <c r="I307" s="1" t="s">
        <v>534</v>
      </c>
      <c r="J307">
        <f>VLOOKUP(PREVIOS!F307&amp;VLOOKUP(PREVIOS!I307,PLAN!A:B,2,FALSE),CURSO!A:D,4,FALSE)</f>
        <v>19</v>
      </c>
      <c r="K307">
        <f>VLOOKUP(PREVIOS!H307,CICLO!A:B,2,FALSE)</f>
        <v>44</v>
      </c>
      <c r="L307">
        <f>VLOOKUP(PREVIOS!I307,PLAN!A:B,2,FALSE)</f>
        <v>5</v>
      </c>
    </row>
    <row r="308" spans="1:12" x14ac:dyDescent="0.25">
      <c r="A308" t="str">
        <f t="shared" si="4"/>
        <v>A120M234C1</v>
      </c>
      <c r="C308">
        <v>307</v>
      </c>
      <c r="D308">
        <f>VLOOKUP(PREVIOS!C308,ALUMNOS!A:B,2,FALSE)</f>
        <v>120</v>
      </c>
      <c r="E308">
        <f>VLOOKUP(PREVIOS!E308&amp;'TABLA PREVIOS'!J308,MATERIAS!A:H,7,FALSE)</f>
        <v>234</v>
      </c>
      <c r="F308">
        <f>VLOOKUP(PREVIOS!G308,CONDICION!A:B,2,FALSE)</f>
        <v>1</v>
      </c>
      <c r="G308">
        <f>IF(PREVIOS!AG308=1,1,VLOOKUP(PREVIOS!AG308,CALIFICACION!A:C,3,FALSE))</f>
        <v>1</v>
      </c>
      <c r="H308" s="1" t="s">
        <v>534</v>
      </c>
      <c r="I308" s="1" t="s">
        <v>534</v>
      </c>
      <c r="J308">
        <f>VLOOKUP(PREVIOS!F308&amp;VLOOKUP(PREVIOS!I308,PLAN!A:B,2,FALSE),CURSO!A:D,4,FALSE)</f>
        <v>18</v>
      </c>
      <c r="K308">
        <f>VLOOKUP(PREVIOS!H308,CICLO!A:B,2,FALSE)</f>
        <v>45</v>
      </c>
      <c r="L308">
        <f>VLOOKUP(PREVIOS!I308,PLAN!A:B,2,FALSE)</f>
        <v>5</v>
      </c>
    </row>
    <row r="309" spans="1:12" x14ac:dyDescent="0.25">
      <c r="A309" t="str">
        <f t="shared" si="4"/>
        <v>A120M256C1</v>
      </c>
      <c r="C309">
        <v>308</v>
      </c>
      <c r="D309">
        <f>VLOOKUP(PREVIOS!C309,ALUMNOS!A:B,2,FALSE)</f>
        <v>120</v>
      </c>
      <c r="E309">
        <f>VLOOKUP(PREVIOS!E309&amp;'TABLA PREVIOS'!J309,MATERIAS!A:H,7,FALSE)</f>
        <v>256</v>
      </c>
      <c r="F309">
        <f>VLOOKUP(PREVIOS!G309,CONDICION!A:B,2,FALSE)</f>
        <v>1</v>
      </c>
      <c r="G309">
        <f>IF(PREVIOS!AG309=1,1,VLOOKUP(PREVIOS!AG309,CALIFICACION!A:C,3,FALSE))</f>
        <v>1</v>
      </c>
      <c r="H309" s="1" t="s">
        <v>534</v>
      </c>
      <c r="I309" s="1" t="s">
        <v>534</v>
      </c>
      <c r="J309">
        <f>VLOOKUP(PREVIOS!F309&amp;VLOOKUP(PREVIOS!I309,PLAN!A:B,2,FALSE),CURSO!A:D,4,FALSE)</f>
        <v>20</v>
      </c>
      <c r="K309">
        <f>VLOOKUP(PREVIOS!H309,CICLO!A:B,2,FALSE)</f>
        <v>47</v>
      </c>
      <c r="L309">
        <f>VLOOKUP(PREVIOS!I309,PLAN!A:B,2,FALSE)</f>
        <v>6</v>
      </c>
    </row>
    <row r="310" spans="1:12" x14ac:dyDescent="0.25">
      <c r="A310" t="str">
        <f t="shared" si="4"/>
        <v>A120M265C1</v>
      </c>
      <c r="C310">
        <v>309</v>
      </c>
      <c r="D310">
        <f>VLOOKUP(PREVIOS!C310,ALUMNOS!A:B,2,FALSE)</f>
        <v>120</v>
      </c>
      <c r="E310">
        <f>VLOOKUP(PREVIOS!E310&amp;'TABLA PREVIOS'!J310,MATERIAS!A:H,7,FALSE)</f>
        <v>265</v>
      </c>
      <c r="F310">
        <f>VLOOKUP(PREVIOS!G310,CONDICION!A:B,2,FALSE)</f>
        <v>1</v>
      </c>
      <c r="G310">
        <f>IF(PREVIOS!AG310=1,1,VLOOKUP(PREVIOS!AG310,CALIFICACION!A:C,3,FALSE))</f>
        <v>1</v>
      </c>
      <c r="H310" s="1" t="s">
        <v>534</v>
      </c>
      <c r="I310" s="1" t="s">
        <v>534</v>
      </c>
      <c r="J310">
        <f>VLOOKUP(PREVIOS!F310&amp;VLOOKUP(PREVIOS!I310,PLAN!A:B,2,FALSE),CURSO!A:D,4,FALSE)</f>
        <v>21</v>
      </c>
      <c r="K310">
        <f>VLOOKUP(PREVIOS!H310,CICLO!A:B,2,FALSE)</f>
        <v>48</v>
      </c>
      <c r="L310">
        <f>VLOOKUP(PREVIOS!I310,PLAN!A:B,2,FALSE)</f>
        <v>6</v>
      </c>
    </row>
    <row r="311" spans="1:12" x14ac:dyDescent="0.25">
      <c r="A311" t="str">
        <f t="shared" si="4"/>
        <v>A120M282C1</v>
      </c>
      <c r="C311">
        <v>310</v>
      </c>
      <c r="D311">
        <f>VLOOKUP(PREVIOS!C311,ALUMNOS!A:B,2,FALSE)</f>
        <v>120</v>
      </c>
      <c r="E311">
        <f>VLOOKUP(PREVIOS!E311&amp;'TABLA PREVIOS'!J311,MATERIAS!A:H,7,FALSE)</f>
        <v>282</v>
      </c>
      <c r="F311">
        <f>VLOOKUP(PREVIOS!G311,CONDICION!A:B,2,FALSE)</f>
        <v>1</v>
      </c>
      <c r="G311">
        <f>IF(PREVIOS!AG311=1,1,VLOOKUP(PREVIOS!AG311,CALIFICACION!A:C,3,FALSE))</f>
        <v>1</v>
      </c>
      <c r="H311" s="1" t="s">
        <v>534</v>
      </c>
      <c r="I311" s="1" t="s">
        <v>534</v>
      </c>
      <c r="J311">
        <f>VLOOKUP(PREVIOS!F311&amp;VLOOKUP(PREVIOS!I311,PLAN!A:B,2,FALSE),CURSO!A:D,4,FALSE)</f>
        <v>22</v>
      </c>
      <c r="K311">
        <f>VLOOKUP(PREVIOS!H311,CICLO!A:B,2,FALSE)</f>
        <v>49</v>
      </c>
      <c r="L311">
        <f>VLOOKUP(PREVIOS!I311,PLAN!A:B,2,FALSE)</f>
        <v>6</v>
      </c>
    </row>
    <row r="312" spans="1:12" x14ac:dyDescent="0.25">
      <c r="A312" t="str">
        <f t="shared" si="4"/>
        <v>A528M282C1</v>
      </c>
      <c r="C312">
        <v>311</v>
      </c>
      <c r="D312">
        <f>VLOOKUP(PREVIOS!C312,ALUMNOS!A:B,2,FALSE)</f>
        <v>528</v>
      </c>
      <c r="E312">
        <f>VLOOKUP(PREVIOS!E312&amp;'TABLA PREVIOS'!J312,MATERIAS!A:H,7,FALSE)</f>
        <v>282</v>
      </c>
      <c r="F312">
        <f>VLOOKUP(PREVIOS!G312,CONDICION!A:B,2,FALSE)</f>
        <v>1</v>
      </c>
      <c r="G312">
        <f>IF(PREVIOS!AG312=1,1,VLOOKUP(PREVIOS!AG312,CALIFICACION!A:C,3,FALSE))</f>
        <v>1</v>
      </c>
      <c r="H312" s="1" t="s">
        <v>534</v>
      </c>
      <c r="I312" s="1" t="s">
        <v>534</v>
      </c>
      <c r="J312">
        <f>VLOOKUP(PREVIOS!F312&amp;VLOOKUP(PREVIOS!I312,PLAN!A:B,2,FALSE),CURSO!A:D,4,FALSE)</f>
        <v>22</v>
      </c>
      <c r="K312">
        <f>VLOOKUP(PREVIOS!H312,CICLO!A:B,2,FALSE)</f>
        <v>49</v>
      </c>
      <c r="L312">
        <f>VLOOKUP(PREVIOS!I312,PLAN!A:B,2,FALSE)</f>
        <v>6</v>
      </c>
    </row>
    <row r="313" spans="1:12" x14ac:dyDescent="0.25">
      <c r="A313" t="str">
        <f t="shared" si="4"/>
        <v>A818M254C1</v>
      </c>
      <c r="C313">
        <v>312</v>
      </c>
      <c r="D313">
        <f>VLOOKUP(PREVIOS!C313,ALUMNOS!A:B,2,FALSE)</f>
        <v>818</v>
      </c>
      <c r="E313">
        <f>VLOOKUP(PREVIOS!E313&amp;'TABLA PREVIOS'!J313,MATERIAS!A:H,7,FALSE)</f>
        <v>254</v>
      </c>
      <c r="F313">
        <f>VLOOKUP(PREVIOS!G313,CONDICION!A:B,2,FALSE)</f>
        <v>1</v>
      </c>
      <c r="G313">
        <f>IF(PREVIOS!AG313=1,1,VLOOKUP(PREVIOS!AG313,CALIFICACION!A:C,3,FALSE))</f>
        <v>1</v>
      </c>
      <c r="H313" s="1" t="s">
        <v>534</v>
      </c>
      <c r="I313" s="1" t="s">
        <v>534</v>
      </c>
      <c r="J313">
        <f>VLOOKUP(PREVIOS!F313&amp;VLOOKUP(PREVIOS!I313,PLAN!A:B,2,FALSE),CURSO!A:D,4,FALSE)</f>
        <v>20</v>
      </c>
      <c r="K313">
        <f>VLOOKUP(PREVIOS!H313,CICLO!A:B,2,FALSE)</f>
        <v>47</v>
      </c>
      <c r="L313">
        <f>VLOOKUP(PREVIOS!I313,PLAN!A:B,2,FALSE)</f>
        <v>6</v>
      </c>
    </row>
    <row r="314" spans="1:12" x14ac:dyDescent="0.25">
      <c r="A314" t="str">
        <f t="shared" si="4"/>
        <v>A818M256C1</v>
      </c>
      <c r="C314">
        <v>313</v>
      </c>
      <c r="D314">
        <f>VLOOKUP(PREVIOS!C314,ALUMNOS!A:B,2,FALSE)</f>
        <v>818</v>
      </c>
      <c r="E314">
        <f>VLOOKUP(PREVIOS!E314&amp;'TABLA PREVIOS'!J314,MATERIAS!A:H,7,FALSE)</f>
        <v>256</v>
      </c>
      <c r="F314">
        <f>VLOOKUP(PREVIOS!G314,CONDICION!A:B,2,FALSE)</f>
        <v>1</v>
      </c>
      <c r="G314">
        <f>IF(PREVIOS!AG314=1,1,VLOOKUP(PREVIOS!AG314,CALIFICACION!A:C,3,FALSE))</f>
        <v>1</v>
      </c>
      <c r="H314" s="1" t="s">
        <v>534</v>
      </c>
      <c r="I314" s="1" t="s">
        <v>534</v>
      </c>
      <c r="J314">
        <f>VLOOKUP(PREVIOS!F314&amp;VLOOKUP(PREVIOS!I314,PLAN!A:B,2,FALSE),CURSO!A:D,4,FALSE)</f>
        <v>20</v>
      </c>
      <c r="K314">
        <f>VLOOKUP(PREVIOS!H314,CICLO!A:B,2,FALSE)</f>
        <v>47</v>
      </c>
      <c r="L314">
        <f>VLOOKUP(PREVIOS!I314,PLAN!A:B,2,FALSE)</f>
        <v>6</v>
      </c>
    </row>
    <row r="315" spans="1:12" x14ac:dyDescent="0.25">
      <c r="A315" t="str">
        <f t="shared" si="4"/>
        <v>A818M275C1</v>
      </c>
      <c r="C315">
        <v>314</v>
      </c>
      <c r="D315">
        <f>VLOOKUP(PREVIOS!C315,ALUMNOS!A:B,2,FALSE)</f>
        <v>818</v>
      </c>
      <c r="E315">
        <f>VLOOKUP(PREVIOS!E315&amp;'TABLA PREVIOS'!J315,MATERIAS!A:H,7,FALSE)</f>
        <v>275</v>
      </c>
      <c r="F315">
        <f>VLOOKUP(PREVIOS!G315,CONDICION!A:B,2,FALSE)</f>
        <v>1</v>
      </c>
      <c r="G315">
        <f>IF(PREVIOS!AG315=1,1,VLOOKUP(PREVIOS!AG315,CALIFICACION!A:C,3,FALSE))</f>
        <v>1</v>
      </c>
      <c r="H315" s="1" t="s">
        <v>534</v>
      </c>
      <c r="I315" s="1" t="s">
        <v>534</v>
      </c>
      <c r="J315">
        <f>VLOOKUP(PREVIOS!F315&amp;VLOOKUP(PREVIOS!I315,PLAN!A:B,2,FALSE),CURSO!A:D,4,FALSE)</f>
        <v>21</v>
      </c>
      <c r="K315">
        <f>VLOOKUP(PREVIOS!H315,CICLO!A:B,2,FALSE)</f>
        <v>48</v>
      </c>
      <c r="L315">
        <f>VLOOKUP(PREVIOS!I315,PLAN!A:B,2,FALSE)</f>
        <v>6</v>
      </c>
    </row>
    <row r="316" spans="1:12" x14ac:dyDescent="0.25">
      <c r="A316" t="str">
        <f t="shared" si="4"/>
        <v>A818M285C1</v>
      </c>
      <c r="C316">
        <v>315</v>
      </c>
      <c r="D316">
        <f>VLOOKUP(PREVIOS!C316,ALUMNOS!A:B,2,FALSE)</f>
        <v>818</v>
      </c>
      <c r="E316">
        <f>VLOOKUP(PREVIOS!E316&amp;'TABLA PREVIOS'!J316,MATERIAS!A:H,7,FALSE)</f>
        <v>285</v>
      </c>
      <c r="F316">
        <f>VLOOKUP(PREVIOS!G316,CONDICION!A:B,2,FALSE)</f>
        <v>1</v>
      </c>
      <c r="G316">
        <f>IF(PREVIOS!AG316=1,1,VLOOKUP(PREVIOS!AG316,CALIFICACION!A:C,3,FALSE))</f>
        <v>1</v>
      </c>
      <c r="H316" s="1" t="s">
        <v>534</v>
      </c>
      <c r="I316" s="1" t="s">
        <v>534</v>
      </c>
      <c r="J316">
        <f>VLOOKUP(PREVIOS!F316&amp;VLOOKUP(PREVIOS!I316,PLAN!A:B,2,FALSE),CURSO!A:D,4,FALSE)</f>
        <v>22</v>
      </c>
      <c r="K316">
        <f>VLOOKUP(PREVIOS!H316,CICLO!A:B,2,FALSE)</f>
        <v>50</v>
      </c>
      <c r="L316">
        <f>VLOOKUP(PREVIOS!I316,PLAN!A:B,2,FALSE)</f>
        <v>6</v>
      </c>
    </row>
    <row r="317" spans="1:12" x14ac:dyDescent="0.25">
      <c r="A317" t="str">
        <f t="shared" si="4"/>
        <v>A818M289C1</v>
      </c>
      <c r="C317">
        <v>316</v>
      </c>
      <c r="D317">
        <f>VLOOKUP(PREVIOS!C317,ALUMNOS!A:B,2,FALSE)</f>
        <v>818</v>
      </c>
      <c r="E317">
        <f>VLOOKUP(PREVIOS!E317&amp;'TABLA PREVIOS'!J317,MATERIAS!A:H,7,FALSE)</f>
        <v>289</v>
      </c>
      <c r="F317">
        <f>VLOOKUP(PREVIOS!G317,CONDICION!A:B,2,FALSE)</f>
        <v>1</v>
      </c>
      <c r="G317">
        <f>IF(PREVIOS!AG317=1,1,VLOOKUP(PREVIOS!AG317,CALIFICACION!A:C,3,FALSE))</f>
        <v>1</v>
      </c>
      <c r="H317" s="1" t="s">
        <v>534</v>
      </c>
      <c r="I317" s="1" t="s">
        <v>534</v>
      </c>
      <c r="J317">
        <f>VLOOKUP(PREVIOS!F317&amp;VLOOKUP(PREVIOS!I317,PLAN!A:B,2,FALSE),CURSO!A:D,4,FALSE)</f>
        <v>22</v>
      </c>
      <c r="K317">
        <f>VLOOKUP(PREVIOS!H317,CICLO!A:B,2,FALSE)</f>
        <v>50</v>
      </c>
      <c r="L317">
        <f>VLOOKUP(PREVIOS!I317,PLAN!A:B,2,FALSE)</f>
        <v>6</v>
      </c>
    </row>
    <row r="318" spans="1:12" x14ac:dyDescent="0.25">
      <c r="A318" t="str">
        <f t="shared" si="4"/>
        <v>A818M290C1</v>
      </c>
      <c r="C318">
        <v>317</v>
      </c>
      <c r="D318">
        <f>VLOOKUP(PREVIOS!C318,ALUMNOS!A:B,2,FALSE)</f>
        <v>818</v>
      </c>
      <c r="E318">
        <f>VLOOKUP(PREVIOS!E318&amp;'TABLA PREVIOS'!J318,MATERIAS!A:H,7,FALSE)</f>
        <v>290</v>
      </c>
      <c r="F318">
        <f>VLOOKUP(PREVIOS!G318,CONDICION!A:B,2,FALSE)</f>
        <v>1</v>
      </c>
      <c r="G318">
        <f>IF(PREVIOS!AG318=1,1,VLOOKUP(PREVIOS!AG318,CALIFICACION!A:C,3,FALSE))</f>
        <v>1</v>
      </c>
      <c r="H318" s="1" t="s">
        <v>534</v>
      </c>
      <c r="I318" s="1" t="s">
        <v>534</v>
      </c>
      <c r="J318">
        <f>VLOOKUP(PREVIOS!F318&amp;VLOOKUP(PREVIOS!I318,PLAN!A:B,2,FALSE),CURSO!A:D,4,FALSE)</f>
        <v>22</v>
      </c>
      <c r="K318">
        <f>VLOOKUP(PREVIOS!H318,CICLO!A:B,2,FALSE)</f>
        <v>50</v>
      </c>
      <c r="L318">
        <f>VLOOKUP(PREVIOS!I318,PLAN!A:B,2,FALSE)</f>
        <v>6</v>
      </c>
    </row>
    <row r="319" spans="1:12" x14ac:dyDescent="0.25">
      <c r="A319" t="str">
        <f t="shared" si="4"/>
        <v>A222M244C1</v>
      </c>
      <c r="C319">
        <v>318</v>
      </c>
      <c r="D319">
        <f>VLOOKUP(PREVIOS!C319,ALUMNOS!A:B,2,FALSE)</f>
        <v>222</v>
      </c>
      <c r="E319">
        <f>VLOOKUP(PREVIOS!E319&amp;'TABLA PREVIOS'!J319,MATERIAS!A:H,7,FALSE)</f>
        <v>244</v>
      </c>
      <c r="F319">
        <f>VLOOKUP(PREVIOS!G319,CONDICION!A:B,2,FALSE)</f>
        <v>1</v>
      </c>
      <c r="G319">
        <f>IF(PREVIOS!AG319=1,1,VLOOKUP(PREVIOS!AG319,CALIFICACION!A:C,3,FALSE))</f>
        <v>9</v>
      </c>
      <c r="H319" s="1" t="s">
        <v>534</v>
      </c>
      <c r="I319" s="1" t="s">
        <v>534</v>
      </c>
      <c r="J319">
        <f>VLOOKUP(PREVIOS!F319&amp;VLOOKUP(PREVIOS!I319,PLAN!A:B,2,FALSE),CURSO!A:D,4,FALSE)</f>
        <v>19</v>
      </c>
      <c r="K319">
        <f>VLOOKUP(PREVIOS!H319,CICLO!A:B,2,FALSE)</f>
        <v>47</v>
      </c>
      <c r="L319">
        <f>VLOOKUP(PREVIOS!I319,PLAN!A:B,2,FALSE)</f>
        <v>5</v>
      </c>
    </row>
    <row r="320" spans="1:12" x14ac:dyDescent="0.25">
      <c r="A320" t="str">
        <f t="shared" si="4"/>
        <v>A486M278C1</v>
      </c>
      <c r="C320">
        <v>319</v>
      </c>
      <c r="D320">
        <f>VLOOKUP(PREVIOS!C320,ALUMNOS!A:B,2,FALSE)</f>
        <v>486</v>
      </c>
      <c r="E320">
        <f>VLOOKUP(PREVIOS!E320&amp;'TABLA PREVIOS'!J320,MATERIAS!A:H,7,FALSE)</f>
        <v>278</v>
      </c>
      <c r="F320">
        <f>VLOOKUP(PREVIOS!G320,CONDICION!A:B,2,FALSE)</f>
        <v>1</v>
      </c>
      <c r="G320">
        <f>IF(PREVIOS!AG320=1,1,VLOOKUP(PREVIOS!AG320,CALIFICACION!A:C,3,FALSE))</f>
        <v>1</v>
      </c>
      <c r="H320" s="1" t="s">
        <v>534</v>
      </c>
      <c r="I320" s="1" t="s">
        <v>534</v>
      </c>
      <c r="J320">
        <f>VLOOKUP(PREVIOS!F320&amp;VLOOKUP(PREVIOS!I320,PLAN!A:B,2,FALSE),CURSO!A:D,4,FALSE)</f>
        <v>22</v>
      </c>
      <c r="K320">
        <f>VLOOKUP(PREVIOS!H320,CICLO!A:B,2,FALSE)</f>
        <v>50</v>
      </c>
      <c r="L320">
        <f>VLOOKUP(PREVIOS!I320,PLAN!A:B,2,FALSE)</f>
        <v>6</v>
      </c>
    </row>
    <row r="321" spans="1:12" x14ac:dyDescent="0.25">
      <c r="A321" t="str">
        <f t="shared" si="4"/>
        <v>A486M282C1</v>
      </c>
      <c r="C321">
        <v>320</v>
      </c>
      <c r="D321">
        <f>VLOOKUP(PREVIOS!C321,ALUMNOS!A:B,2,FALSE)</f>
        <v>486</v>
      </c>
      <c r="E321">
        <f>VLOOKUP(PREVIOS!E321&amp;'TABLA PREVIOS'!J321,MATERIAS!A:H,7,FALSE)</f>
        <v>282</v>
      </c>
      <c r="F321">
        <f>VLOOKUP(PREVIOS!G321,CONDICION!A:B,2,FALSE)</f>
        <v>1</v>
      </c>
      <c r="G321">
        <f>IF(PREVIOS!AG321=1,1,VLOOKUP(PREVIOS!AG321,CALIFICACION!A:C,3,FALSE))</f>
        <v>1</v>
      </c>
      <c r="H321" s="1" t="s">
        <v>534</v>
      </c>
      <c r="I321" s="1" t="s">
        <v>534</v>
      </c>
      <c r="J321">
        <f>VLOOKUP(PREVIOS!F321&amp;VLOOKUP(PREVIOS!I321,PLAN!A:B,2,FALSE),CURSO!A:D,4,FALSE)</f>
        <v>22</v>
      </c>
      <c r="K321">
        <f>VLOOKUP(PREVIOS!H321,CICLO!A:B,2,FALSE)</f>
        <v>50</v>
      </c>
      <c r="L321">
        <f>VLOOKUP(PREVIOS!I321,PLAN!A:B,2,FALSE)</f>
        <v>6</v>
      </c>
    </row>
    <row r="322" spans="1:12" x14ac:dyDescent="0.25">
      <c r="A322" t="str">
        <f t="shared" si="4"/>
        <v>A486M279C1</v>
      </c>
      <c r="C322">
        <v>321</v>
      </c>
      <c r="D322">
        <f>VLOOKUP(PREVIOS!C322,ALUMNOS!A:B,2,FALSE)</f>
        <v>486</v>
      </c>
      <c r="E322">
        <f>VLOOKUP(PREVIOS!E322&amp;'TABLA PREVIOS'!J322,MATERIAS!A:H,7,FALSE)</f>
        <v>279</v>
      </c>
      <c r="F322">
        <f>VLOOKUP(PREVIOS!G322,CONDICION!A:B,2,FALSE)</f>
        <v>1</v>
      </c>
      <c r="G322">
        <f>IF(PREVIOS!AG322=1,1,VLOOKUP(PREVIOS!AG322,CALIFICACION!A:C,3,FALSE))</f>
        <v>1</v>
      </c>
      <c r="H322" s="1" t="s">
        <v>534</v>
      </c>
      <c r="I322" s="1" t="s">
        <v>534</v>
      </c>
      <c r="J322">
        <f>VLOOKUP(PREVIOS!F322&amp;VLOOKUP(PREVIOS!I322,PLAN!A:B,2,FALSE),CURSO!A:D,4,FALSE)</f>
        <v>22</v>
      </c>
      <c r="K322">
        <f>VLOOKUP(PREVIOS!H322,CICLO!A:B,2,FALSE)</f>
        <v>50</v>
      </c>
      <c r="L322">
        <f>VLOOKUP(PREVIOS!I322,PLAN!A:B,2,FALSE)</f>
        <v>6</v>
      </c>
    </row>
    <row r="323" spans="1:12" x14ac:dyDescent="0.25">
      <c r="A323" t="str">
        <f t="shared" ref="A323:A386" si="5">"A"&amp;D323&amp;"M"&amp;E323&amp;"C"&amp;F323</f>
        <v>A378M285C1</v>
      </c>
      <c r="C323">
        <v>322</v>
      </c>
      <c r="D323">
        <f>VLOOKUP(PREVIOS!C323,ALUMNOS!A:B,2,FALSE)</f>
        <v>378</v>
      </c>
      <c r="E323">
        <f>VLOOKUP(PREVIOS!E323&amp;'TABLA PREVIOS'!J323,MATERIAS!A:H,7,FALSE)</f>
        <v>285</v>
      </c>
      <c r="F323">
        <f>VLOOKUP(PREVIOS!G323,CONDICION!A:B,2,FALSE)</f>
        <v>1</v>
      </c>
      <c r="G323">
        <f>IF(PREVIOS!AG323=1,1,VLOOKUP(PREVIOS!AG323,CALIFICACION!A:C,3,FALSE))</f>
        <v>1</v>
      </c>
      <c r="H323" s="1" t="s">
        <v>534</v>
      </c>
      <c r="I323" s="1" t="s">
        <v>534</v>
      </c>
      <c r="J323">
        <f>VLOOKUP(PREVIOS!F323&amp;VLOOKUP(PREVIOS!I323,PLAN!A:B,2,FALSE),CURSO!A:D,4,FALSE)</f>
        <v>22</v>
      </c>
      <c r="K323">
        <f>VLOOKUP(PREVIOS!H323,CICLO!A:B,2,FALSE)</f>
        <v>52</v>
      </c>
      <c r="L323">
        <f>VLOOKUP(PREVIOS!I323,PLAN!A:B,2,FALSE)</f>
        <v>6</v>
      </c>
    </row>
    <row r="324" spans="1:12" x14ac:dyDescent="0.25">
      <c r="A324" t="str">
        <f t="shared" si="5"/>
        <v>A378M286C1</v>
      </c>
      <c r="C324">
        <v>323</v>
      </c>
      <c r="D324">
        <f>VLOOKUP(PREVIOS!C324,ALUMNOS!A:B,2,FALSE)</f>
        <v>378</v>
      </c>
      <c r="E324">
        <f>VLOOKUP(PREVIOS!E324&amp;'TABLA PREVIOS'!J324,MATERIAS!A:H,7,FALSE)</f>
        <v>286</v>
      </c>
      <c r="F324">
        <f>VLOOKUP(PREVIOS!G324,CONDICION!A:B,2,FALSE)</f>
        <v>1</v>
      </c>
      <c r="G324">
        <f>IF(PREVIOS!AG324=1,1,VLOOKUP(PREVIOS!AG324,CALIFICACION!A:C,3,FALSE))</f>
        <v>1</v>
      </c>
      <c r="H324" s="1" t="s">
        <v>534</v>
      </c>
      <c r="I324" s="1" t="s">
        <v>534</v>
      </c>
      <c r="J324">
        <f>VLOOKUP(PREVIOS!F324&amp;VLOOKUP(PREVIOS!I324,PLAN!A:B,2,FALSE),CURSO!A:D,4,FALSE)</f>
        <v>22</v>
      </c>
      <c r="K324">
        <f>VLOOKUP(PREVIOS!H324,CICLO!A:B,2,FALSE)</f>
        <v>52</v>
      </c>
      <c r="L324">
        <f>VLOOKUP(PREVIOS!I324,PLAN!A:B,2,FALSE)</f>
        <v>6</v>
      </c>
    </row>
    <row r="325" spans="1:12" x14ac:dyDescent="0.25">
      <c r="A325" t="str">
        <f t="shared" si="5"/>
        <v>A378M292C1</v>
      </c>
      <c r="C325">
        <v>324</v>
      </c>
      <c r="D325">
        <f>VLOOKUP(PREVIOS!C325,ALUMNOS!A:B,2,FALSE)</f>
        <v>378</v>
      </c>
      <c r="E325">
        <f>VLOOKUP(PREVIOS!E325&amp;'TABLA PREVIOS'!J325,MATERIAS!A:H,7,FALSE)</f>
        <v>292</v>
      </c>
      <c r="F325">
        <f>VLOOKUP(PREVIOS!G325,CONDICION!A:B,2,FALSE)</f>
        <v>1</v>
      </c>
      <c r="G325">
        <f>IF(PREVIOS!AG325=1,1,VLOOKUP(PREVIOS!AG325,CALIFICACION!A:C,3,FALSE))</f>
        <v>1</v>
      </c>
      <c r="H325" s="1" t="s">
        <v>534</v>
      </c>
      <c r="I325" s="1" t="s">
        <v>534</v>
      </c>
      <c r="J325">
        <f>VLOOKUP(PREVIOS!F325&amp;VLOOKUP(PREVIOS!I325,PLAN!A:B,2,FALSE),CURSO!A:D,4,FALSE)</f>
        <v>22</v>
      </c>
      <c r="K325">
        <f>VLOOKUP(PREVIOS!H325,CICLO!A:B,2,FALSE)</f>
        <v>52</v>
      </c>
      <c r="L325">
        <f>VLOOKUP(PREVIOS!I325,PLAN!A:B,2,FALSE)</f>
        <v>6</v>
      </c>
    </row>
    <row r="326" spans="1:12" x14ac:dyDescent="0.25">
      <c r="A326" t="str">
        <f t="shared" si="5"/>
        <v>A378M291C1</v>
      </c>
      <c r="C326">
        <v>325</v>
      </c>
      <c r="D326">
        <f>VLOOKUP(PREVIOS!C326,ALUMNOS!A:B,2,FALSE)</f>
        <v>378</v>
      </c>
      <c r="E326">
        <f>VLOOKUP(PREVIOS!E326&amp;'TABLA PREVIOS'!J326,MATERIAS!A:H,7,FALSE)</f>
        <v>291</v>
      </c>
      <c r="F326">
        <f>VLOOKUP(PREVIOS!G326,CONDICION!A:B,2,FALSE)</f>
        <v>1</v>
      </c>
      <c r="G326">
        <f>IF(PREVIOS!AG326=1,1,VLOOKUP(PREVIOS!AG326,CALIFICACION!A:C,3,FALSE))</f>
        <v>1</v>
      </c>
      <c r="H326" s="1" t="s">
        <v>534</v>
      </c>
      <c r="I326" s="1" t="s">
        <v>534</v>
      </c>
      <c r="J326">
        <f>VLOOKUP(PREVIOS!F326&amp;VLOOKUP(PREVIOS!I326,PLAN!A:B,2,FALSE),CURSO!A:D,4,FALSE)</f>
        <v>22</v>
      </c>
      <c r="K326">
        <f>VLOOKUP(PREVIOS!H326,CICLO!A:B,2,FALSE)</f>
        <v>52</v>
      </c>
      <c r="L326">
        <f>VLOOKUP(PREVIOS!I326,PLAN!A:B,2,FALSE)</f>
        <v>6</v>
      </c>
    </row>
    <row r="327" spans="1:12" x14ac:dyDescent="0.25">
      <c r="A327" t="str">
        <f t="shared" si="5"/>
        <v>A378M288C1</v>
      </c>
      <c r="C327">
        <v>326</v>
      </c>
      <c r="D327">
        <f>VLOOKUP(PREVIOS!C327,ALUMNOS!A:B,2,FALSE)</f>
        <v>378</v>
      </c>
      <c r="E327">
        <f>VLOOKUP(PREVIOS!E327&amp;'TABLA PREVIOS'!J327,MATERIAS!A:H,7,FALSE)</f>
        <v>288</v>
      </c>
      <c r="F327">
        <f>VLOOKUP(PREVIOS!G327,CONDICION!A:B,2,FALSE)</f>
        <v>1</v>
      </c>
      <c r="G327">
        <f>IF(PREVIOS!AG327=1,1,VLOOKUP(PREVIOS!AG327,CALIFICACION!A:C,3,FALSE))</f>
        <v>1</v>
      </c>
      <c r="H327" s="1" t="s">
        <v>534</v>
      </c>
      <c r="I327" s="1" t="s">
        <v>534</v>
      </c>
      <c r="J327">
        <f>VLOOKUP(PREVIOS!F327&amp;VLOOKUP(PREVIOS!I327,PLAN!A:B,2,FALSE),CURSO!A:D,4,FALSE)</f>
        <v>22</v>
      </c>
      <c r="K327">
        <f>VLOOKUP(PREVIOS!H327,CICLO!A:B,2,FALSE)</f>
        <v>52</v>
      </c>
      <c r="L327">
        <f>VLOOKUP(PREVIOS!I327,PLAN!A:B,2,FALSE)</f>
        <v>6</v>
      </c>
    </row>
    <row r="328" spans="1:12" x14ac:dyDescent="0.25">
      <c r="A328" t="str">
        <f t="shared" si="5"/>
        <v>A676M254C1</v>
      </c>
      <c r="C328">
        <v>327</v>
      </c>
      <c r="D328">
        <f>VLOOKUP(PREVIOS!C328,ALUMNOS!A:B,2,FALSE)</f>
        <v>676</v>
      </c>
      <c r="E328">
        <f>VLOOKUP(PREVIOS!E328&amp;'TABLA PREVIOS'!J328,MATERIAS!A:H,7,FALSE)</f>
        <v>254</v>
      </c>
      <c r="F328">
        <f>VLOOKUP(PREVIOS!G328,CONDICION!A:B,2,FALSE)</f>
        <v>1</v>
      </c>
      <c r="G328">
        <f>IF(PREVIOS!AG328=1,1,VLOOKUP(PREVIOS!AG328,CALIFICACION!A:C,3,FALSE))</f>
        <v>1</v>
      </c>
      <c r="H328" s="1" t="s">
        <v>534</v>
      </c>
      <c r="I328" s="1" t="s">
        <v>534</v>
      </c>
      <c r="J328">
        <f>VLOOKUP(PREVIOS!F328&amp;VLOOKUP(PREVIOS!I328,PLAN!A:B,2,FALSE),CURSO!A:D,4,FALSE)</f>
        <v>20</v>
      </c>
      <c r="K328">
        <f>VLOOKUP(PREVIOS!H328,CICLO!A:B,2,FALSE)</f>
        <v>50</v>
      </c>
      <c r="L328">
        <f>VLOOKUP(PREVIOS!I328,PLAN!A:B,2,FALSE)</f>
        <v>6</v>
      </c>
    </row>
    <row r="329" spans="1:12" x14ac:dyDescent="0.25">
      <c r="A329" t="str">
        <f t="shared" si="5"/>
        <v>A676M259C1</v>
      </c>
      <c r="C329">
        <v>328</v>
      </c>
      <c r="D329">
        <f>VLOOKUP(PREVIOS!C329,ALUMNOS!A:B,2,FALSE)</f>
        <v>676</v>
      </c>
      <c r="E329">
        <f>VLOOKUP(PREVIOS!E329&amp;'TABLA PREVIOS'!J329,MATERIAS!A:H,7,FALSE)</f>
        <v>259</v>
      </c>
      <c r="F329">
        <f>VLOOKUP(PREVIOS!G329,CONDICION!A:B,2,FALSE)</f>
        <v>1</v>
      </c>
      <c r="G329">
        <f>IF(PREVIOS!AG329=1,1,VLOOKUP(PREVIOS!AG329,CALIFICACION!A:C,3,FALSE))</f>
        <v>1</v>
      </c>
      <c r="H329" s="1" t="s">
        <v>534</v>
      </c>
      <c r="I329" s="1" t="s">
        <v>534</v>
      </c>
      <c r="J329">
        <f>VLOOKUP(PREVIOS!F329&amp;VLOOKUP(PREVIOS!I329,PLAN!A:B,2,FALSE),CURSO!A:D,4,FALSE)</f>
        <v>20</v>
      </c>
      <c r="K329">
        <f>VLOOKUP(PREVIOS!H329,CICLO!A:B,2,FALSE)</f>
        <v>50</v>
      </c>
      <c r="L329">
        <f>VLOOKUP(PREVIOS!I329,PLAN!A:B,2,FALSE)</f>
        <v>6</v>
      </c>
    </row>
    <row r="330" spans="1:12" x14ac:dyDescent="0.25">
      <c r="A330" t="str">
        <f t="shared" si="5"/>
        <v>A676M285C1</v>
      </c>
      <c r="C330">
        <v>329</v>
      </c>
      <c r="D330">
        <f>VLOOKUP(PREVIOS!C330,ALUMNOS!A:B,2,FALSE)</f>
        <v>676</v>
      </c>
      <c r="E330">
        <f>VLOOKUP(PREVIOS!E330&amp;'TABLA PREVIOS'!J330,MATERIAS!A:H,7,FALSE)</f>
        <v>285</v>
      </c>
      <c r="F330">
        <f>VLOOKUP(PREVIOS!G330,CONDICION!A:B,2,FALSE)</f>
        <v>1</v>
      </c>
      <c r="G330">
        <f>IF(PREVIOS!AG330=1,1,VLOOKUP(PREVIOS!AG330,CALIFICACION!A:C,3,FALSE))</f>
        <v>1</v>
      </c>
      <c r="H330" s="1" t="s">
        <v>534</v>
      </c>
      <c r="I330" s="1" t="s">
        <v>534</v>
      </c>
      <c r="J330">
        <f>VLOOKUP(PREVIOS!F330&amp;VLOOKUP(PREVIOS!I330,PLAN!A:B,2,FALSE),CURSO!A:D,4,FALSE)</f>
        <v>22</v>
      </c>
      <c r="K330">
        <f>VLOOKUP(PREVIOS!H330,CICLO!A:B,2,FALSE)</f>
        <v>52</v>
      </c>
      <c r="L330">
        <f>VLOOKUP(PREVIOS!I330,PLAN!A:B,2,FALSE)</f>
        <v>6</v>
      </c>
    </row>
    <row r="331" spans="1:12" x14ac:dyDescent="0.25">
      <c r="A331" t="str">
        <f t="shared" si="5"/>
        <v>A676M288C1</v>
      </c>
      <c r="C331">
        <v>330</v>
      </c>
      <c r="D331">
        <f>VLOOKUP(PREVIOS!C331,ALUMNOS!A:B,2,FALSE)</f>
        <v>676</v>
      </c>
      <c r="E331">
        <f>VLOOKUP(PREVIOS!E331&amp;'TABLA PREVIOS'!J331,MATERIAS!A:H,7,FALSE)</f>
        <v>288</v>
      </c>
      <c r="F331">
        <f>VLOOKUP(PREVIOS!G331,CONDICION!A:B,2,FALSE)</f>
        <v>1</v>
      </c>
      <c r="G331">
        <f>IF(PREVIOS!AG331=1,1,VLOOKUP(PREVIOS!AG331,CALIFICACION!A:C,3,FALSE))</f>
        <v>1</v>
      </c>
      <c r="H331" s="1" t="s">
        <v>534</v>
      </c>
      <c r="I331" s="1" t="s">
        <v>534</v>
      </c>
      <c r="J331">
        <f>VLOOKUP(PREVIOS!F331&amp;VLOOKUP(PREVIOS!I331,PLAN!A:B,2,FALSE),CURSO!A:D,4,FALSE)</f>
        <v>22</v>
      </c>
      <c r="K331">
        <f>VLOOKUP(PREVIOS!H331,CICLO!A:B,2,FALSE)</f>
        <v>52</v>
      </c>
      <c r="L331">
        <f>VLOOKUP(PREVIOS!I331,PLAN!A:B,2,FALSE)</f>
        <v>6</v>
      </c>
    </row>
    <row r="332" spans="1:12" x14ac:dyDescent="0.25">
      <c r="A332" t="str">
        <f t="shared" si="5"/>
        <v>A63M285C1</v>
      </c>
      <c r="C332">
        <v>331</v>
      </c>
      <c r="D332">
        <f>VLOOKUP(PREVIOS!C332,ALUMNOS!A:B,2,FALSE)</f>
        <v>63</v>
      </c>
      <c r="E332">
        <f>VLOOKUP(PREVIOS!E332&amp;'TABLA PREVIOS'!J332,MATERIAS!A:H,7,FALSE)</f>
        <v>285</v>
      </c>
      <c r="F332">
        <f>VLOOKUP(PREVIOS!G332,CONDICION!A:B,2,FALSE)</f>
        <v>1</v>
      </c>
      <c r="G332">
        <f>IF(PREVIOS!AG332=1,1,VLOOKUP(PREVIOS!AG332,CALIFICACION!A:C,3,FALSE))</f>
        <v>1</v>
      </c>
      <c r="H332" s="1" t="s">
        <v>534</v>
      </c>
      <c r="I332" s="1" t="s">
        <v>534</v>
      </c>
      <c r="J332">
        <f>VLOOKUP(PREVIOS!F332&amp;VLOOKUP(PREVIOS!I332,PLAN!A:B,2,FALSE),CURSO!A:D,4,FALSE)</f>
        <v>22</v>
      </c>
      <c r="K332">
        <f>VLOOKUP(PREVIOS!H332,CICLO!A:B,2,FALSE)</f>
        <v>53</v>
      </c>
      <c r="L332">
        <f>VLOOKUP(PREVIOS!I332,PLAN!A:B,2,FALSE)</f>
        <v>6</v>
      </c>
    </row>
    <row r="333" spans="1:12" x14ac:dyDescent="0.25">
      <c r="A333" t="str">
        <f t="shared" si="5"/>
        <v>A63M290C1</v>
      </c>
      <c r="C333">
        <v>332</v>
      </c>
      <c r="D333">
        <f>VLOOKUP(PREVIOS!C333,ALUMNOS!A:B,2,FALSE)</f>
        <v>63</v>
      </c>
      <c r="E333">
        <f>VLOOKUP(PREVIOS!E333&amp;'TABLA PREVIOS'!J333,MATERIAS!A:H,7,FALSE)</f>
        <v>290</v>
      </c>
      <c r="F333">
        <f>VLOOKUP(PREVIOS!G333,CONDICION!A:B,2,FALSE)</f>
        <v>1</v>
      </c>
      <c r="G333">
        <f>IF(PREVIOS!AG333=1,1,VLOOKUP(PREVIOS!AG333,CALIFICACION!A:C,3,FALSE))</f>
        <v>1</v>
      </c>
      <c r="H333" s="1" t="s">
        <v>534</v>
      </c>
      <c r="I333" s="1" t="s">
        <v>534</v>
      </c>
      <c r="J333">
        <f>VLOOKUP(PREVIOS!F333&amp;VLOOKUP(PREVIOS!I333,PLAN!A:B,2,FALSE),CURSO!A:D,4,FALSE)</f>
        <v>22</v>
      </c>
      <c r="K333">
        <f>VLOOKUP(PREVIOS!H333,CICLO!A:B,2,FALSE)</f>
        <v>53</v>
      </c>
      <c r="L333">
        <f>VLOOKUP(PREVIOS!I333,PLAN!A:B,2,FALSE)</f>
        <v>6</v>
      </c>
    </row>
    <row r="334" spans="1:12" x14ac:dyDescent="0.25">
      <c r="A334" t="str">
        <f t="shared" si="5"/>
        <v>A65M261C5</v>
      </c>
      <c r="C334">
        <v>333</v>
      </c>
      <c r="D334">
        <f>VLOOKUP(PREVIOS!C334,ALUMNOS!A:B,2,FALSE)</f>
        <v>65</v>
      </c>
      <c r="E334">
        <f>VLOOKUP(PREVIOS!E334&amp;'TABLA PREVIOS'!J334,MATERIAS!A:H,7,FALSE)</f>
        <v>261</v>
      </c>
      <c r="F334">
        <f>VLOOKUP(PREVIOS!G334,CONDICION!A:B,2,FALSE)</f>
        <v>5</v>
      </c>
      <c r="G334">
        <f>IF(PREVIOS!AG334=1,1,VLOOKUP(PREVIOS!AG334,CALIFICACION!A:C,3,FALSE))</f>
        <v>1</v>
      </c>
      <c r="H334" s="1" t="s">
        <v>534</v>
      </c>
      <c r="I334" s="1" t="s">
        <v>534</v>
      </c>
      <c r="J334">
        <f>VLOOKUP(PREVIOS!F334&amp;VLOOKUP(PREVIOS!I334,PLAN!A:B,2,FALSE),CURSO!A:D,4,FALSE)</f>
        <v>20</v>
      </c>
      <c r="K334">
        <f>VLOOKUP(PREVIOS!H334,CICLO!A:B,2,FALSE)</f>
        <v>51</v>
      </c>
      <c r="L334">
        <f>VLOOKUP(PREVIOS!I334,PLAN!A:B,2,FALSE)</f>
        <v>6</v>
      </c>
    </row>
    <row r="335" spans="1:12" x14ac:dyDescent="0.25">
      <c r="A335" t="str">
        <f t="shared" si="5"/>
        <v>A65M280C5</v>
      </c>
      <c r="C335">
        <v>334</v>
      </c>
      <c r="D335">
        <f>VLOOKUP(PREVIOS!C335,ALUMNOS!A:B,2,FALSE)</f>
        <v>65</v>
      </c>
      <c r="E335">
        <f>VLOOKUP(PREVIOS!E335&amp;'TABLA PREVIOS'!J335,MATERIAS!A:H,7,FALSE)</f>
        <v>280</v>
      </c>
      <c r="F335">
        <f>VLOOKUP(PREVIOS!G335,CONDICION!A:B,2,FALSE)</f>
        <v>5</v>
      </c>
      <c r="G335">
        <f>IF(PREVIOS!AG335=1,1,VLOOKUP(PREVIOS!AG335,CALIFICACION!A:C,3,FALSE))</f>
        <v>1</v>
      </c>
      <c r="H335" s="1" t="s">
        <v>534</v>
      </c>
      <c r="I335" s="1" t="s">
        <v>534</v>
      </c>
      <c r="J335">
        <f>VLOOKUP(PREVIOS!F335&amp;VLOOKUP(PREVIOS!I335,PLAN!A:B,2,FALSE),CURSO!A:D,4,FALSE)</f>
        <v>22</v>
      </c>
      <c r="K335">
        <f>VLOOKUP(PREVIOS!H335,CICLO!A:B,2,FALSE)</f>
        <v>53</v>
      </c>
      <c r="L335">
        <f>VLOOKUP(PREVIOS!I335,PLAN!A:B,2,FALSE)</f>
        <v>6</v>
      </c>
    </row>
    <row r="336" spans="1:12" x14ac:dyDescent="0.25">
      <c r="A336" t="str">
        <f t="shared" si="5"/>
        <v>A89M256C1</v>
      </c>
      <c r="C336">
        <v>335</v>
      </c>
      <c r="D336">
        <f>VLOOKUP(PREVIOS!C336,ALUMNOS!A:B,2,FALSE)</f>
        <v>89</v>
      </c>
      <c r="E336">
        <f>VLOOKUP(PREVIOS!E336&amp;'TABLA PREVIOS'!J336,MATERIAS!A:H,7,FALSE)</f>
        <v>256</v>
      </c>
      <c r="F336">
        <f>VLOOKUP(PREVIOS!G336,CONDICION!A:B,2,FALSE)</f>
        <v>1</v>
      </c>
      <c r="G336">
        <f>IF(PREVIOS!AG336=1,1,VLOOKUP(PREVIOS!AG336,CALIFICACION!A:C,3,FALSE))</f>
        <v>1</v>
      </c>
      <c r="H336" s="1" t="s">
        <v>534</v>
      </c>
      <c r="I336" s="1" t="s">
        <v>534</v>
      </c>
      <c r="J336">
        <f>VLOOKUP(PREVIOS!F336&amp;VLOOKUP(PREVIOS!I336,PLAN!A:B,2,FALSE),CURSO!A:D,4,FALSE)</f>
        <v>20</v>
      </c>
      <c r="K336">
        <f>VLOOKUP(PREVIOS!H336,CICLO!A:B,2,FALSE)</f>
        <v>51</v>
      </c>
      <c r="L336">
        <f>VLOOKUP(PREVIOS!I336,PLAN!A:B,2,FALSE)</f>
        <v>6</v>
      </c>
    </row>
    <row r="337" spans="1:12" x14ac:dyDescent="0.25">
      <c r="A337" t="str">
        <f t="shared" si="5"/>
        <v>A89M252C1</v>
      </c>
      <c r="C337">
        <v>336</v>
      </c>
      <c r="D337">
        <f>VLOOKUP(PREVIOS!C337,ALUMNOS!A:B,2,FALSE)</f>
        <v>89</v>
      </c>
      <c r="E337">
        <f>VLOOKUP(PREVIOS!E337&amp;'TABLA PREVIOS'!J337,MATERIAS!A:H,7,FALSE)</f>
        <v>252</v>
      </c>
      <c r="F337">
        <f>VLOOKUP(PREVIOS!G337,CONDICION!A:B,2,FALSE)</f>
        <v>1</v>
      </c>
      <c r="G337">
        <f>IF(PREVIOS!AG337=1,1,VLOOKUP(PREVIOS!AG337,CALIFICACION!A:C,3,FALSE))</f>
        <v>1</v>
      </c>
      <c r="H337" s="1" t="s">
        <v>534</v>
      </c>
      <c r="I337" s="1" t="s">
        <v>534</v>
      </c>
      <c r="J337">
        <f>VLOOKUP(PREVIOS!F337&amp;VLOOKUP(PREVIOS!I337,PLAN!A:B,2,FALSE),CURSO!A:D,4,FALSE)</f>
        <v>20</v>
      </c>
      <c r="K337">
        <f>VLOOKUP(PREVIOS!H337,CICLO!A:B,2,FALSE)</f>
        <v>51</v>
      </c>
      <c r="L337">
        <f>VLOOKUP(PREVIOS!I337,PLAN!A:B,2,FALSE)</f>
        <v>6</v>
      </c>
    </row>
    <row r="338" spans="1:12" x14ac:dyDescent="0.25">
      <c r="A338" t="str">
        <f t="shared" si="5"/>
        <v>A89M285C1</v>
      </c>
      <c r="C338">
        <v>337</v>
      </c>
      <c r="D338">
        <f>VLOOKUP(PREVIOS!C338,ALUMNOS!A:B,2,FALSE)</f>
        <v>89</v>
      </c>
      <c r="E338">
        <f>VLOOKUP(PREVIOS!E338&amp;'TABLA PREVIOS'!J338,MATERIAS!A:H,7,FALSE)</f>
        <v>285</v>
      </c>
      <c r="F338">
        <f>VLOOKUP(PREVIOS!G338,CONDICION!A:B,2,FALSE)</f>
        <v>1</v>
      </c>
      <c r="G338">
        <f>IF(PREVIOS!AG338=1,1,VLOOKUP(PREVIOS!AG338,CALIFICACION!A:C,3,FALSE))</f>
        <v>1</v>
      </c>
      <c r="H338" s="1" t="s">
        <v>534</v>
      </c>
      <c r="I338" s="1" t="s">
        <v>534</v>
      </c>
      <c r="J338">
        <f>VLOOKUP(PREVIOS!F338&amp;VLOOKUP(PREVIOS!I338,PLAN!A:B,2,FALSE),CURSO!A:D,4,FALSE)</f>
        <v>22</v>
      </c>
      <c r="K338">
        <f>VLOOKUP(PREVIOS!H338,CICLO!A:B,2,FALSE)</f>
        <v>53</v>
      </c>
      <c r="L338">
        <f>VLOOKUP(PREVIOS!I338,PLAN!A:B,2,FALSE)</f>
        <v>6</v>
      </c>
    </row>
    <row r="339" spans="1:12" x14ac:dyDescent="0.25">
      <c r="A339" t="str">
        <f t="shared" si="5"/>
        <v>A89M284C1</v>
      </c>
      <c r="C339">
        <v>338</v>
      </c>
      <c r="D339">
        <f>VLOOKUP(PREVIOS!C339,ALUMNOS!A:B,2,FALSE)</f>
        <v>89</v>
      </c>
      <c r="E339">
        <f>VLOOKUP(PREVIOS!E339&amp;'TABLA PREVIOS'!J339,MATERIAS!A:H,7,FALSE)</f>
        <v>284</v>
      </c>
      <c r="F339">
        <f>VLOOKUP(PREVIOS!G339,CONDICION!A:B,2,FALSE)</f>
        <v>1</v>
      </c>
      <c r="G339">
        <f>IF(PREVIOS!AG339=1,1,VLOOKUP(PREVIOS!AG339,CALIFICACION!A:C,3,FALSE))</f>
        <v>1</v>
      </c>
      <c r="H339" s="1" t="s">
        <v>534</v>
      </c>
      <c r="I339" s="1" t="s">
        <v>534</v>
      </c>
      <c r="J339">
        <f>VLOOKUP(PREVIOS!F339&amp;VLOOKUP(PREVIOS!I339,PLAN!A:B,2,FALSE),CURSO!A:D,4,FALSE)</f>
        <v>22</v>
      </c>
      <c r="K339">
        <f>VLOOKUP(PREVIOS!H339,CICLO!A:B,2,FALSE)</f>
        <v>53</v>
      </c>
      <c r="L339">
        <f>VLOOKUP(PREVIOS!I339,PLAN!A:B,2,FALSE)</f>
        <v>6</v>
      </c>
    </row>
    <row r="340" spans="1:12" x14ac:dyDescent="0.25">
      <c r="A340" t="str">
        <f t="shared" si="5"/>
        <v>A89M287C1</v>
      </c>
      <c r="C340">
        <v>339</v>
      </c>
      <c r="D340">
        <f>VLOOKUP(PREVIOS!C340,ALUMNOS!A:B,2,FALSE)</f>
        <v>89</v>
      </c>
      <c r="E340">
        <f>VLOOKUP(PREVIOS!E340&amp;'TABLA PREVIOS'!J340,MATERIAS!A:H,7,FALSE)</f>
        <v>287</v>
      </c>
      <c r="F340">
        <f>VLOOKUP(PREVIOS!G340,CONDICION!A:B,2,FALSE)</f>
        <v>1</v>
      </c>
      <c r="G340">
        <f>IF(PREVIOS!AG340=1,1,VLOOKUP(PREVIOS!AG340,CALIFICACION!A:C,3,FALSE))</f>
        <v>1</v>
      </c>
      <c r="H340" s="1" t="s">
        <v>534</v>
      </c>
      <c r="I340" s="1" t="s">
        <v>534</v>
      </c>
      <c r="J340">
        <f>VLOOKUP(PREVIOS!F340&amp;VLOOKUP(PREVIOS!I340,PLAN!A:B,2,FALSE),CURSO!A:D,4,FALSE)</f>
        <v>22</v>
      </c>
      <c r="K340">
        <f>VLOOKUP(PREVIOS!H340,CICLO!A:B,2,FALSE)</f>
        <v>53</v>
      </c>
      <c r="L340">
        <f>VLOOKUP(PREVIOS!I340,PLAN!A:B,2,FALSE)</f>
        <v>6</v>
      </c>
    </row>
    <row r="341" spans="1:12" x14ac:dyDescent="0.25">
      <c r="A341" t="str">
        <f t="shared" si="5"/>
        <v>A89M286C1</v>
      </c>
      <c r="C341">
        <v>340</v>
      </c>
      <c r="D341">
        <f>VLOOKUP(PREVIOS!C341,ALUMNOS!A:B,2,FALSE)</f>
        <v>89</v>
      </c>
      <c r="E341">
        <f>VLOOKUP(PREVIOS!E341&amp;'TABLA PREVIOS'!J341,MATERIAS!A:H,7,FALSE)</f>
        <v>286</v>
      </c>
      <c r="F341">
        <f>VLOOKUP(PREVIOS!G341,CONDICION!A:B,2,FALSE)</f>
        <v>1</v>
      </c>
      <c r="G341">
        <f>IF(PREVIOS!AG341=1,1,VLOOKUP(PREVIOS!AG341,CALIFICACION!A:C,3,FALSE))</f>
        <v>1</v>
      </c>
      <c r="H341" s="1" t="s">
        <v>534</v>
      </c>
      <c r="I341" s="1" t="s">
        <v>534</v>
      </c>
      <c r="J341">
        <f>VLOOKUP(PREVIOS!F341&amp;VLOOKUP(PREVIOS!I341,PLAN!A:B,2,FALSE),CURSO!A:D,4,FALSE)</f>
        <v>22</v>
      </c>
      <c r="K341">
        <f>VLOOKUP(PREVIOS!H341,CICLO!A:B,2,FALSE)</f>
        <v>53</v>
      </c>
      <c r="L341">
        <f>VLOOKUP(PREVIOS!I341,PLAN!A:B,2,FALSE)</f>
        <v>6</v>
      </c>
    </row>
    <row r="342" spans="1:12" x14ac:dyDescent="0.25">
      <c r="A342" t="str">
        <f t="shared" si="5"/>
        <v>A89M292C1</v>
      </c>
      <c r="C342">
        <v>341</v>
      </c>
      <c r="D342">
        <f>VLOOKUP(PREVIOS!C342,ALUMNOS!A:B,2,FALSE)</f>
        <v>89</v>
      </c>
      <c r="E342">
        <f>VLOOKUP(PREVIOS!E342&amp;'TABLA PREVIOS'!J342,MATERIAS!A:H,7,FALSE)</f>
        <v>292</v>
      </c>
      <c r="F342">
        <f>VLOOKUP(PREVIOS!G342,CONDICION!A:B,2,FALSE)</f>
        <v>1</v>
      </c>
      <c r="G342">
        <f>IF(PREVIOS!AG342=1,1,VLOOKUP(PREVIOS!AG342,CALIFICACION!A:C,3,FALSE))</f>
        <v>1</v>
      </c>
      <c r="H342" s="1" t="s">
        <v>534</v>
      </c>
      <c r="I342" s="1" t="s">
        <v>534</v>
      </c>
      <c r="J342">
        <f>VLOOKUP(PREVIOS!F342&amp;VLOOKUP(PREVIOS!I342,PLAN!A:B,2,FALSE),CURSO!A:D,4,FALSE)</f>
        <v>22</v>
      </c>
      <c r="K342">
        <f>VLOOKUP(PREVIOS!H342,CICLO!A:B,2,FALSE)</f>
        <v>53</v>
      </c>
      <c r="L342">
        <f>VLOOKUP(PREVIOS!I342,PLAN!A:B,2,FALSE)</f>
        <v>6</v>
      </c>
    </row>
    <row r="343" spans="1:12" x14ac:dyDescent="0.25">
      <c r="A343" t="str">
        <f t="shared" si="5"/>
        <v>A89M291C1</v>
      </c>
      <c r="C343">
        <v>342</v>
      </c>
      <c r="D343">
        <f>VLOOKUP(PREVIOS!C343,ALUMNOS!A:B,2,FALSE)</f>
        <v>89</v>
      </c>
      <c r="E343">
        <f>VLOOKUP(PREVIOS!E343&amp;'TABLA PREVIOS'!J343,MATERIAS!A:H,7,FALSE)</f>
        <v>291</v>
      </c>
      <c r="F343">
        <f>VLOOKUP(PREVIOS!G343,CONDICION!A:B,2,FALSE)</f>
        <v>1</v>
      </c>
      <c r="G343">
        <f>IF(PREVIOS!AG343=1,1,VLOOKUP(PREVIOS!AG343,CALIFICACION!A:C,3,FALSE))</f>
        <v>1</v>
      </c>
      <c r="H343" s="1" t="s">
        <v>534</v>
      </c>
      <c r="I343" s="1" t="s">
        <v>534</v>
      </c>
      <c r="J343">
        <f>VLOOKUP(PREVIOS!F343&amp;VLOOKUP(PREVIOS!I343,PLAN!A:B,2,FALSE),CURSO!A:D,4,FALSE)</f>
        <v>22</v>
      </c>
      <c r="K343">
        <f>VLOOKUP(PREVIOS!H343,CICLO!A:B,2,FALSE)</f>
        <v>53</v>
      </c>
      <c r="L343">
        <f>VLOOKUP(PREVIOS!I343,PLAN!A:B,2,FALSE)</f>
        <v>6</v>
      </c>
    </row>
    <row r="344" spans="1:12" x14ac:dyDescent="0.25">
      <c r="A344" t="str">
        <f t="shared" si="5"/>
        <v>A89M282C1</v>
      </c>
      <c r="C344">
        <v>343</v>
      </c>
      <c r="D344">
        <f>VLOOKUP(PREVIOS!C344,ALUMNOS!A:B,2,FALSE)</f>
        <v>89</v>
      </c>
      <c r="E344">
        <f>VLOOKUP(PREVIOS!E344&amp;'TABLA PREVIOS'!J344,MATERIAS!A:H,7,FALSE)</f>
        <v>282</v>
      </c>
      <c r="F344">
        <f>VLOOKUP(PREVIOS!G344,CONDICION!A:B,2,FALSE)</f>
        <v>1</v>
      </c>
      <c r="G344">
        <f>IF(PREVIOS!AG344=1,1,VLOOKUP(PREVIOS!AG344,CALIFICACION!A:C,3,FALSE))</f>
        <v>1</v>
      </c>
      <c r="H344" s="1" t="s">
        <v>534</v>
      </c>
      <c r="I344" s="1" t="s">
        <v>534</v>
      </c>
      <c r="J344">
        <f>VLOOKUP(PREVIOS!F344&amp;VLOOKUP(PREVIOS!I344,PLAN!A:B,2,FALSE),CURSO!A:D,4,FALSE)</f>
        <v>22</v>
      </c>
      <c r="K344">
        <f>VLOOKUP(PREVIOS!H344,CICLO!A:B,2,FALSE)</f>
        <v>53</v>
      </c>
      <c r="L344">
        <f>VLOOKUP(PREVIOS!I344,PLAN!A:B,2,FALSE)</f>
        <v>6</v>
      </c>
    </row>
    <row r="345" spans="1:12" x14ac:dyDescent="0.25">
      <c r="A345" t="str">
        <f t="shared" si="5"/>
        <v>A89M279C1</v>
      </c>
      <c r="C345">
        <v>344</v>
      </c>
      <c r="D345">
        <f>VLOOKUP(PREVIOS!C345,ALUMNOS!A:B,2,FALSE)</f>
        <v>89</v>
      </c>
      <c r="E345">
        <f>VLOOKUP(PREVIOS!E345&amp;'TABLA PREVIOS'!J345,MATERIAS!A:H,7,FALSE)</f>
        <v>279</v>
      </c>
      <c r="F345">
        <f>VLOOKUP(PREVIOS!G345,CONDICION!A:B,2,FALSE)</f>
        <v>1</v>
      </c>
      <c r="G345">
        <f>IF(PREVIOS!AG345=1,1,VLOOKUP(PREVIOS!AG345,CALIFICACION!A:C,3,FALSE))</f>
        <v>1</v>
      </c>
      <c r="H345" s="1" t="s">
        <v>534</v>
      </c>
      <c r="I345" s="1" t="s">
        <v>534</v>
      </c>
      <c r="J345">
        <f>VLOOKUP(PREVIOS!F345&amp;VLOOKUP(PREVIOS!I345,PLAN!A:B,2,FALSE),CURSO!A:D,4,FALSE)</f>
        <v>22</v>
      </c>
      <c r="K345">
        <f>VLOOKUP(PREVIOS!H345,CICLO!A:B,2,FALSE)</f>
        <v>53</v>
      </c>
      <c r="L345">
        <f>VLOOKUP(PREVIOS!I345,PLAN!A:B,2,FALSE)</f>
        <v>6</v>
      </c>
    </row>
    <row r="346" spans="1:12" x14ac:dyDescent="0.25">
      <c r="A346" t="str">
        <f t="shared" si="5"/>
        <v>A89M280C1</v>
      </c>
      <c r="C346">
        <v>345</v>
      </c>
      <c r="D346">
        <f>VLOOKUP(PREVIOS!C346,ALUMNOS!A:B,2,FALSE)</f>
        <v>89</v>
      </c>
      <c r="E346">
        <f>VLOOKUP(PREVIOS!E346&amp;'TABLA PREVIOS'!J346,MATERIAS!A:H,7,FALSE)</f>
        <v>280</v>
      </c>
      <c r="F346">
        <f>VLOOKUP(PREVIOS!G346,CONDICION!A:B,2,FALSE)</f>
        <v>1</v>
      </c>
      <c r="G346">
        <f>IF(PREVIOS!AG346=1,1,VLOOKUP(PREVIOS!AG346,CALIFICACION!A:C,3,FALSE))</f>
        <v>1</v>
      </c>
      <c r="H346" s="1" t="s">
        <v>534</v>
      </c>
      <c r="I346" s="1" t="s">
        <v>534</v>
      </c>
      <c r="J346">
        <f>VLOOKUP(PREVIOS!F346&amp;VLOOKUP(PREVIOS!I346,PLAN!A:B,2,FALSE),CURSO!A:D,4,FALSE)</f>
        <v>22</v>
      </c>
      <c r="K346">
        <f>VLOOKUP(PREVIOS!H346,CICLO!A:B,2,FALSE)</f>
        <v>53</v>
      </c>
      <c r="L346">
        <f>VLOOKUP(PREVIOS!I346,PLAN!A:B,2,FALSE)</f>
        <v>6</v>
      </c>
    </row>
    <row r="347" spans="1:12" x14ac:dyDescent="0.25">
      <c r="A347" t="str">
        <f t="shared" si="5"/>
        <v>A89M281C1</v>
      </c>
      <c r="C347">
        <v>346</v>
      </c>
      <c r="D347">
        <f>VLOOKUP(PREVIOS!C347,ALUMNOS!A:B,2,FALSE)</f>
        <v>89</v>
      </c>
      <c r="E347">
        <f>VLOOKUP(PREVIOS!E347&amp;'TABLA PREVIOS'!J347,MATERIAS!A:H,7,FALSE)</f>
        <v>281</v>
      </c>
      <c r="F347">
        <f>VLOOKUP(PREVIOS!G347,CONDICION!A:B,2,FALSE)</f>
        <v>1</v>
      </c>
      <c r="G347">
        <f>IF(PREVIOS!AG347=1,1,VLOOKUP(PREVIOS!AG347,CALIFICACION!A:C,3,FALSE))</f>
        <v>1</v>
      </c>
      <c r="H347" s="1" t="s">
        <v>534</v>
      </c>
      <c r="I347" s="1" t="s">
        <v>534</v>
      </c>
      <c r="J347">
        <f>VLOOKUP(PREVIOS!F347&amp;VLOOKUP(PREVIOS!I347,PLAN!A:B,2,FALSE),CURSO!A:D,4,FALSE)</f>
        <v>22</v>
      </c>
      <c r="K347">
        <f>VLOOKUP(PREVIOS!H347,CICLO!A:B,2,FALSE)</f>
        <v>53</v>
      </c>
      <c r="L347">
        <f>VLOOKUP(PREVIOS!I347,PLAN!A:B,2,FALSE)</f>
        <v>6</v>
      </c>
    </row>
    <row r="348" spans="1:12" x14ac:dyDescent="0.25">
      <c r="A348" t="str">
        <f t="shared" si="5"/>
        <v>A89M288C1</v>
      </c>
      <c r="C348">
        <v>347</v>
      </c>
      <c r="D348">
        <f>VLOOKUP(PREVIOS!C348,ALUMNOS!A:B,2,FALSE)</f>
        <v>89</v>
      </c>
      <c r="E348">
        <f>VLOOKUP(PREVIOS!E348&amp;'TABLA PREVIOS'!J348,MATERIAS!A:H,7,FALSE)</f>
        <v>288</v>
      </c>
      <c r="F348">
        <f>VLOOKUP(PREVIOS!G348,CONDICION!A:B,2,FALSE)</f>
        <v>1</v>
      </c>
      <c r="G348">
        <f>IF(PREVIOS!AG348=1,1,VLOOKUP(PREVIOS!AG348,CALIFICACION!A:C,3,FALSE))</f>
        <v>1</v>
      </c>
      <c r="H348" s="1" t="s">
        <v>534</v>
      </c>
      <c r="I348" s="1" t="s">
        <v>534</v>
      </c>
      <c r="J348">
        <f>VLOOKUP(PREVIOS!F348&amp;VLOOKUP(PREVIOS!I348,PLAN!A:B,2,FALSE),CURSO!A:D,4,FALSE)</f>
        <v>22</v>
      </c>
      <c r="K348">
        <f>VLOOKUP(PREVIOS!H348,CICLO!A:B,2,FALSE)</f>
        <v>53</v>
      </c>
      <c r="L348">
        <f>VLOOKUP(PREVIOS!I348,PLAN!A:B,2,FALSE)</f>
        <v>6</v>
      </c>
    </row>
    <row r="349" spans="1:12" x14ac:dyDescent="0.25">
      <c r="A349" t="str">
        <f t="shared" si="5"/>
        <v>A89M290C1</v>
      </c>
      <c r="C349">
        <v>348</v>
      </c>
      <c r="D349">
        <f>VLOOKUP(PREVIOS!C349,ALUMNOS!A:B,2,FALSE)</f>
        <v>89</v>
      </c>
      <c r="E349">
        <f>VLOOKUP(PREVIOS!E349&amp;'TABLA PREVIOS'!J349,MATERIAS!A:H,7,FALSE)</f>
        <v>290</v>
      </c>
      <c r="F349">
        <f>VLOOKUP(PREVIOS!G349,CONDICION!A:B,2,FALSE)</f>
        <v>1</v>
      </c>
      <c r="G349">
        <f>IF(PREVIOS!AG349=1,1,VLOOKUP(PREVIOS!AG349,CALIFICACION!A:C,3,FALSE))</f>
        <v>1</v>
      </c>
      <c r="H349" s="1" t="s">
        <v>534</v>
      </c>
      <c r="I349" s="1" t="s">
        <v>534</v>
      </c>
      <c r="J349">
        <f>VLOOKUP(PREVIOS!F349&amp;VLOOKUP(PREVIOS!I349,PLAN!A:B,2,FALSE),CURSO!A:D,4,FALSE)</f>
        <v>22</v>
      </c>
      <c r="K349">
        <f>VLOOKUP(PREVIOS!H349,CICLO!A:B,2,FALSE)</f>
        <v>53</v>
      </c>
      <c r="L349">
        <f>VLOOKUP(PREVIOS!I349,PLAN!A:B,2,FALSE)</f>
        <v>6</v>
      </c>
    </row>
    <row r="350" spans="1:12" x14ac:dyDescent="0.25">
      <c r="A350" t="str">
        <f t="shared" si="5"/>
        <v>A252M244C1</v>
      </c>
      <c r="C350">
        <v>349</v>
      </c>
      <c r="D350">
        <f>VLOOKUP(PREVIOS!C350,ALUMNOS!A:B,2,FALSE)</f>
        <v>252</v>
      </c>
      <c r="E350">
        <f>VLOOKUP(PREVIOS!E350&amp;'TABLA PREVIOS'!J350,MATERIAS!A:H,7,FALSE)</f>
        <v>244</v>
      </c>
      <c r="F350">
        <f>VLOOKUP(PREVIOS!G350,CONDICION!A:B,2,FALSE)</f>
        <v>1</v>
      </c>
      <c r="G350">
        <f>IF(PREVIOS!AG350=1,1,VLOOKUP(PREVIOS!AG350,CALIFICACION!A:C,3,FALSE))</f>
        <v>1</v>
      </c>
      <c r="H350" s="1" t="s">
        <v>534</v>
      </c>
      <c r="I350" s="1" t="s">
        <v>534</v>
      </c>
      <c r="J350">
        <f>VLOOKUP(PREVIOS!F350&amp;VLOOKUP(PREVIOS!I350,PLAN!A:B,2,FALSE),CURSO!A:D,4,FALSE)</f>
        <v>19</v>
      </c>
      <c r="K350">
        <f>VLOOKUP(PREVIOS!H350,CICLO!A:B,2,FALSE)</f>
        <v>50</v>
      </c>
      <c r="L350">
        <f>VLOOKUP(PREVIOS!I350,PLAN!A:B,2,FALSE)</f>
        <v>5</v>
      </c>
    </row>
    <row r="351" spans="1:12" x14ac:dyDescent="0.25">
      <c r="A351" t="str">
        <f t="shared" si="5"/>
        <v>A252M240C1</v>
      </c>
      <c r="C351">
        <v>350</v>
      </c>
      <c r="D351">
        <f>VLOOKUP(PREVIOS!C351,ALUMNOS!A:B,2,FALSE)</f>
        <v>252</v>
      </c>
      <c r="E351">
        <f>VLOOKUP(PREVIOS!E351&amp;'TABLA PREVIOS'!J351,MATERIAS!A:H,7,FALSE)</f>
        <v>240</v>
      </c>
      <c r="F351">
        <f>VLOOKUP(PREVIOS!G351,CONDICION!A:B,2,FALSE)</f>
        <v>1</v>
      </c>
      <c r="G351">
        <f>IF(PREVIOS!AG351=1,1,VLOOKUP(PREVIOS!AG351,CALIFICACION!A:C,3,FALSE))</f>
        <v>1</v>
      </c>
      <c r="H351" s="1" t="s">
        <v>534</v>
      </c>
      <c r="I351" s="1" t="s">
        <v>534</v>
      </c>
      <c r="J351">
        <f>VLOOKUP(PREVIOS!F351&amp;VLOOKUP(PREVIOS!I351,PLAN!A:B,2,FALSE),CURSO!A:D,4,FALSE)</f>
        <v>19</v>
      </c>
      <c r="K351">
        <f>VLOOKUP(PREVIOS!H351,CICLO!A:B,2,FALSE)</f>
        <v>50</v>
      </c>
      <c r="L351">
        <f>VLOOKUP(PREVIOS!I351,PLAN!A:B,2,FALSE)</f>
        <v>5</v>
      </c>
    </row>
    <row r="352" spans="1:12" x14ac:dyDescent="0.25">
      <c r="A352" t="str">
        <f t="shared" si="5"/>
        <v>A252M285C1</v>
      </c>
      <c r="C352">
        <v>351</v>
      </c>
      <c r="D352">
        <f>VLOOKUP(PREVIOS!C352,ALUMNOS!A:B,2,FALSE)</f>
        <v>252</v>
      </c>
      <c r="E352">
        <f>VLOOKUP(PREVIOS!E352&amp;'TABLA PREVIOS'!J352,MATERIAS!A:H,7,FALSE)</f>
        <v>285</v>
      </c>
      <c r="F352">
        <f>VLOOKUP(PREVIOS!G352,CONDICION!A:B,2,FALSE)</f>
        <v>1</v>
      </c>
      <c r="G352">
        <f>IF(PREVIOS!AG352=1,1,VLOOKUP(PREVIOS!AG352,CALIFICACION!A:C,3,FALSE))</f>
        <v>1</v>
      </c>
      <c r="H352" s="1" t="s">
        <v>534</v>
      </c>
      <c r="I352" s="1" t="s">
        <v>534</v>
      </c>
      <c r="J352">
        <f>VLOOKUP(PREVIOS!F352&amp;VLOOKUP(PREVIOS!I352,PLAN!A:B,2,FALSE),CURSO!A:D,4,FALSE)</f>
        <v>22</v>
      </c>
      <c r="K352">
        <f>VLOOKUP(PREVIOS!H352,CICLO!A:B,2,FALSE)</f>
        <v>53</v>
      </c>
      <c r="L352">
        <f>VLOOKUP(PREVIOS!I352,PLAN!A:B,2,FALSE)</f>
        <v>6</v>
      </c>
    </row>
    <row r="353" spans="1:12" x14ac:dyDescent="0.25">
      <c r="A353" t="str">
        <f t="shared" si="5"/>
        <v>A252M284C1</v>
      </c>
      <c r="C353">
        <v>352</v>
      </c>
      <c r="D353">
        <f>VLOOKUP(PREVIOS!C353,ALUMNOS!A:B,2,FALSE)</f>
        <v>252</v>
      </c>
      <c r="E353">
        <f>VLOOKUP(PREVIOS!E353&amp;'TABLA PREVIOS'!J353,MATERIAS!A:H,7,FALSE)</f>
        <v>284</v>
      </c>
      <c r="F353">
        <f>VLOOKUP(PREVIOS!G353,CONDICION!A:B,2,FALSE)</f>
        <v>1</v>
      </c>
      <c r="G353">
        <f>IF(PREVIOS!AG353=1,1,VLOOKUP(PREVIOS!AG353,CALIFICACION!A:C,3,FALSE))</f>
        <v>1</v>
      </c>
      <c r="H353" s="1" t="s">
        <v>534</v>
      </c>
      <c r="I353" s="1" t="s">
        <v>534</v>
      </c>
      <c r="J353">
        <f>VLOOKUP(PREVIOS!F353&amp;VLOOKUP(PREVIOS!I353,PLAN!A:B,2,FALSE),CURSO!A:D,4,FALSE)</f>
        <v>22</v>
      </c>
      <c r="K353">
        <f>VLOOKUP(PREVIOS!H353,CICLO!A:B,2,FALSE)</f>
        <v>53</v>
      </c>
      <c r="L353">
        <f>VLOOKUP(PREVIOS!I353,PLAN!A:B,2,FALSE)</f>
        <v>6</v>
      </c>
    </row>
    <row r="354" spans="1:12" x14ac:dyDescent="0.25">
      <c r="A354" t="str">
        <f t="shared" si="5"/>
        <v>A252M287C1</v>
      </c>
      <c r="C354">
        <v>353</v>
      </c>
      <c r="D354">
        <f>VLOOKUP(PREVIOS!C354,ALUMNOS!A:B,2,FALSE)</f>
        <v>252</v>
      </c>
      <c r="E354">
        <f>VLOOKUP(PREVIOS!E354&amp;'TABLA PREVIOS'!J354,MATERIAS!A:H,7,FALSE)</f>
        <v>287</v>
      </c>
      <c r="F354">
        <f>VLOOKUP(PREVIOS!G354,CONDICION!A:B,2,FALSE)</f>
        <v>1</v>
      </c>
      <c r="G354">
        <f>IF(PREVIOS!AG354=1,1,VLOOKUP(PREVIOS!AG354,CALIFICACION!A:C,3,FALSE))</f>
        <v>1</v>
      </c>
      <c r="H354" s="1" t="s">
        <v>534</v>
      </c>
      <c r="I354" s="1" t="s">
        <v>534</v>
      </c>
      <c r="J354">
        <f>VLOOKUP(PREVIOS!F354&amp;VLOOKUP(PREVIOS!I354,PLAN!A:B,2,FALSE),CURSO!A:D,4,FALSE)</f>
        <v>22</v>
      </c>
      <c r="K354">
        <f>VLOOKUP(PREVIOS!H354,CICLO!A:B,2,FALSE)</f>
        <v>53</v>
      </c>
      <c r="L354">
        <f>VLOOKUP(PREVIOS!I354,PLAN!A:B,2,FALSE)</f>
        <v>6</v>
      </c>
    </row>
    <row r="355" spans="1:12" x14ac:dyDescent="0.25">
      <c r="A355" t="str">
        <f t="shared" si="5"/>
        <v>A252M286C1</v>
      </c>
      <c r="C355">
        <v>354</v>
      </c>
      <c r="D355">
        <f>VLOOKUP(PREVIOS!C355,ALUMNOS!A:B,2,FALSE)</f>
        <v>252</v>
      </c>
      <c r="E355">
        <f>VLOOKUP(PREVIOS!E355&amp;'TABLA PREVIOS'!J355,MATERIAS!A:H,7,FALSE)</f>
        <v>286</v>
      </c>
      <c r="F355">
        <f>VLOOKUP(PREVIOS!G355,CONDICION!A:B,2,FALSE)</f>
        <v>1</v>
      </c>
      <c r="G355">
        <f>IF(PREVIOS!AG355=1,1,VLOOKUP(PREVIOS!AG355,CALIFICACION!A:C,3,FALSE))</f>
        <v>1</v>
      </c>
      <c r="H355" s="1" t="s">
        <v>534</v>
      </c>
      <c r="I355" s="1" t="s">
        <v>534</v>
      </c>
      <c r="J355">
        <f>VLOOKUP(PREVIOS!F355&amp;VLOOKUP(PREVIOS!I355,PLAN!A:B,2,FALSE),CURSO!A:D,4,FALSE)</f>
        <v>22</v>
      </c>
      <c r="K355">
        <f>VLOOKUP(PREVIOS!H355,CICLO!A:B,2,FALSE)</f>
        <v>53</v>
      </c>
      <c r="L355">
        <f>VLOOKUP(PREVIOS!I355,PLAN!A:B,2,FALSE)</f>
        <v>6</v>
      </c>
    </row>
    <row r="356" spans="1:12" x14ac:dyDescent="0.25">
      <c r="A356" t="str">
        <f t="shared" si="5"/>
        <v>A252M292C1</v>
      </c>
      <c r="C356">
        <v>355</v>
      </c>
      <c r="D356">
        <f>VLOOKUP(PREVIOS!C356,ALUMNOS!A:B,2,FALSE)</f>
        <v>252</v>
      </c>
      <c r="E356">
        <f>VLOOKUP(PREVIOS!E356&amp;'TABLA PREVIOS'!J356,MATERIAS!A:H,7,FALSE)</f>
        <v>292</v>
      </c>
      <c r="F356">
        <f>VLOOKUP(PREVIOS!G356,CONDICION!A:B,2,FALSE)</f>
        <v>1</v>
      </c>
      <c r="G356">
        <f>IF(PREVIOS!AG356=1,1,VLOOKUP(PREVIOS!AG356,CALIFICACION!A:C,3,FALSE))</f>
        <v>1</v>
      </c>
      <c r="H356" s="1" t="s">
        <v>534</v>
      </c>
      <c r="I356" s="1" t="s">
        <v>534</v>
      </c>
      <c r="J356">
        <f>VLOOKUP(PREVIOS!F356&amp;VLOOKUP(PREVIOS!I356,PLAN!A:B,2,FALSE),CURSO!A:D,4,FALSE)</f>
        <v>22</v>
      </c>
      <c r="K356">
        <f>VLOOKUP(PREVIOS!H356,CICLO!A:B,2,FALSE)</f>
        <v>53</v>
      </c>
      <c r="L356">
        <f>VLOOKUP(PREVIOS!I356,PLAN!A:B,2,FALSE)</f>
        <v>6</v>
      </c>
    </row>
    <row r="357" spans="1:12" x14ac:dyDescent="0.25">
      <c r="A357" t="str">
        <f t="shared" si="5"/>
        <v>A252M291C1</v>
      </c>
      <c r="C357">
        <v>356</v>
      </c>
      <c r="D357">
        <f>VLOOKUP(PREVIOS!C357,ALUMNOS!A:B,2,FALSE)</f>
        <v>252</v>
      </c>
      <c r="E357">
        <f>VLOOKUP(PREVIOS!E357&amp;'TABLA PREVIOS'!J357,MATERIAS!A:H,7,FALSE)</f>
        <v>291</v>
      </c>
      <c r="F357">
        <f>VLOOKUP(PREVIOS!G357,CONDICION!A:B,2,FALSE)</f>
        <v>1</v>
      </c>
      <c r="G357">
        <f>IF(PREVIOS!AG357=1,1,VLOOKUP(PREVIOS!AG357,CALIFICACION!A:C,3,FALSE))</f>
        <v>1</v>
      </c>
      <c r="H357" s="1" t="s">
        <v>534</v>
      </c>
      <c r="I357" s="1" t="s">
        <v>534</v>
      </c>
      <c r="J357">
        <f>VLOOKUP(PREVIOS!F357&amp;VLOOKUP(PREVIOS!I357,PLAN!A:B,2,FALSE),CURSO!A:D,4,FALSE)</f>
        <v>22</v>
      </c>
      <c r="K357">
        <f>VLOOKUP(PREVIOS!H357,CICLO!A:B,2,FALSE)</f>
        <v>53</v>
      </c>
      <c r="L357">
        <f>VLOOKUP(PREVIOS!I357,PLAN!A:B,2,FALSE)</f>
        <v>6</v>
      </c>
    </row>
    <row r="358" spans="1:12" x14ac:dyDescent="0.25">
      <c r="A358" t="str">
        <f t="shared" si="5"/>
        <v>A252M282C1</v>
      </c>
      <c r="C358">
        <v>357</v>
      </c>
      <c r="D358">
        <f>VLOOKUP(PREVIOS!C358,ALUMNOS!A:B,2,FALSE)</f>
        <v>252</v>
      </c>
      <c r="E358">
        <f>VLOOKUP(PREVIOS!E358&amp;'TABLA PREVIOS'!J358,MATERIAS!A:H,7,FALSE)</f>
        <v>282</v>
      </c>
      <c r="F358">
        <f>VLOOKUP(PREVIOS!G358,CONDICION!A:B,2,FALSE)</f>
        <v>1</v>
      </c>
      <c r="G358">
        <f>IF(PREVIOS!AG358=1,1,VLOOKUP(PREVIOS!AG358,CALIFICACION!A:C,3,FALSE))</f>
        <v>1</v>
      </c>
      <c r="H358" s="1" t="s">
        <v>534</v>
      </c>
      <c r="I358" s="1" t="s">
        <v>534</v>
      </c>
      <c r="J358">
        <f>VLOOKUP(PREVIOS!F358&amp;VLOOKUP(PREVIOS!I358,PLAN!A:B,2,FALSE),CURSO!A:D,4,FALSE)</f>
        <v>22</v>
      </c>
      <c r="K358">
        <f>VLOOKUP(PREVIOS!H358,CICLO!A:B,2,FALSE)</f>
        <v>53</v>
      </c>
      <c r="L358">
        <f>VLOOKUP(PREVIOS!I358,PLAN!A:B,2,FALSE)</f>
        <v>6</v>
      </c>
    </row>
    <row r="359" spans="1:12" x14ac:dyDescent="0.25">
      <c r="A359" t="str">
        <f t="shared" si="5"/>
        <v>A252M279C1</v>
      </c>
      <c r="C359">
        <v>358</v>
      </c>
      <c r="D359">
        <f>VLOOKUP(PREVIOS!C359,ALUMNOS!A:B,2,FALSE)</f>
        <v>252</v>
      </c>
      <c r="E359">
        <f>VLOOKUP(PREVIOS!E359&amp;'TABLA PREVIOS'!J359,MATERIAS!A:H,7,FALSE)</f>
        <v>279</v>
      </c>
      <c r="F359">
        <f>VLOOKUP(PREVIOS!G359,CONDICION!A:B,2,FALSE)</f>
        <v>1</v>
      </c>
      <c r="G359">
        <f>IF(PREVIOS!AG359=1,1,VLOOKUP(PREVIOS!AG359,CALIFICACION!A:C,3,FALSE))</f>
        <v>1</v>
      </c>
      <c r="H359" s="1" t="s">
        <v>534</v>
      </c>
      <c r="I359" s="1" t="s">
        <v>534</v>
      </c>
      <c r="J359">
        <f>VLOOKUP(PREVIOS!F359&amp;VLOOKUP(PREVIOS!I359,PLAN!A:B,2,FALSE),CURSO!A:D,4,FALSE)</f>
        <v>22</v>
      </c>
      <c r="K359">
        <f>VLOOKUP(PREVIOS!H359,CICLO!A:B,2,FALSE)</f>
        <v>53</v>
      </c>
      <c r="L359">
        <f>VLOOKUP(PREVIOS!I359,PLAN!A:B,2,FALSE)</f>
        <v>6</v>
      </c>
    </row>
    <row r="360" spans="1:12" x14ac:dyDescent="0.25">
      <c r="A360" t="str">
        <f t="shared" si="5"/>
        <v>A252M280C1</v>
      </c>
      <c r="C360">
        <v>359</v>
      </c>
      <c r="D360">
        <f>VLOOKUP(PREVIOS!C360,ALUMNOS!A:B,2,FALSE)</f>
        <v>252</v>
      </c>
      <c r="E360">
        <f>VLOOKUP(PREVIOS!E360&amp;'TABLA PREVIOS'!J360,MATERIAS!A:H,7,FALSE)</f>
        <v>280</v>
      </c>
      <c r="F360">
        <f>VLOOKUP(PREVIOS!G360,CONDICION!A:B,2,FALSE)</f>
        <v>1</v>
      </c>
      <c r="G360">
        <f>IF(PREVIOS!AG360=1,1,VLOOKUP(PREVIOS!AG360,CALIFICACION!A:C,3,FALSE))</f>
        <v>1</v>
      </c>
      <c r="H360" s="1" t="s">
        <v>534</v>
      </c>
      <c r="I360" s="1" t="s">
        <v>534</v>
      </c>
      <c r="J360">
        <f>VLOOKUP(PREVIOS!F360&amp;VLOOKUP(PREVIOS!I360,PLAN!A:B,2,FALSE),CURSO!A:D,4,FALSE)</f>
        <v>22</v>
      </c>
      <c r="K360">
        <f>VLOOKUP(PREVIOS!H360,CICLO!A:B,2,FALSE)</f>
        <v>53</v>
      </c>
      <c r="L360">
        <f>VLOOKUP(PREVIOS!I360,PLAN!A:B,2,FALSE)</f>
        <v>6</v>
      </c>
    </row>
    <row r="361" spans="1:12" x14ac:dyDescent="0.25">
      <c r="A361" t="str">
        <f t="shared" si="5"/>
        <v>A252M281C1</v>
      </c>
      <c r="C361">
        <v>360</v>
      </c>
      <c r="D361">
        <f>VLOOKUP(PREVIOS!C361,ALUMNOS!A:B,2,FALSE)</f>
        <v>252</v>
      </c>
      <c r="E361">
        <f>VLOOKUP(PREVIOS!E361&amp;'TABLA PREVIOS'!J361,MATERIAS!A:H,7,FALSE)</f>
        <v>281</v>
      </c>
      <c r="F361">
        <f>VLOOKUP(PREVIOS!G361,CONDICION!A:B,2,FALSE)</f>
        <v>1</v>
      </c>
      <c r="G361">
        <f>IF(PREVIOS!AG361=1,1,VLOOKUP(PREVIOS!AG361,CALIFICACION!A:C,3,FALSE))</f>
        <v>1</v>
      </c>
      <c r="H361" s="1" t="s">
        <v>534</v>
      </c>
      <c r="I361" s="1" t="s">
        <v>534</v>
      </c>
      <c r="J361">
        <f>VLOOKUP(PREVIOS!F361&amp;VLOOKUP(PREVIOS!I361,PLAN!A:B,2,FALSE),CURSO!A:D,4,FALSE)</f>
        <v>22</v>
      </c>
      <c r="K361">
        <f>VLOOKUP(PREVIOS!H361,CICLO!A:B,2,FALSE)</f>
        <v>53</v>
      </c>
      <c r="L361">
        <f>VLOOKUP(PREVIOS!I361,PLAN!A:B,2,FALSE)</f>
        <v>6</v>
      </c>
    </row>
    <row r="362" spans="1:12" x14ac:dyDescent="0.25">
      <c r="A362" t="str">
        <f t="shared" si="5"/>
        <v>A252M288C1</v>
      </c>
      <c r="C362">
        <v>361</v>
      </c>
      <c r="D362">
        <f>VLOOKUP(PREVIOS!C362,ALUMNOS!A:B,2,FALSE)</f>
        <v>252</v>
      </c>
      <c r="E362">
        <f>VLOOKUP(PREVIOS!E362&amp;'TABLA PREVIOS'!J362,MATERIAS!A:H,7,FALSE)</f>
        <v>288</v>
      </c>
      <c r="F362">
        <f>VLOOKUP(PREVIOS!G362,CONDICION!A:B,2,FALSE)</f>
        <v>1</v>
      </c>
      <c r="G362">
        <f>IF(PREVIOS!AG362=1,1,VLOOKUP(PREVIOS!AG362,CALIFICACION!A:C,3,FALSE))</f>
        <v>1</v>
      </c>
      <c r="H362" s="1" t="s">
        <v>534</v>
      </c>
      <c r="I362" s="1" t="s">
        <v>534</v>
      </c>
      <c r="J362">
        <f>VLOOKUP(PREVIOS!F362&amp;VLOOKUP(PREVIOS!I362,PLAN!A:B,2,FALSE),CURSO!A:D,4,FALSE)</f>
        <v>22</v>
      </c>
      <c r="K362">
        <f>VLOOKUP(PREVIOS!H362,CICLO!A:B,2,FALSE)</f>
        <v>53</v>
      </c>
      <c r="L362">
        <f>VLOOKUP(PREVIOS!I362,PLAN!A:B,2,FALSE)</f>
        <v>6</v>
      </c>
    </row>
    <row r="363" spans="1:12" x14ac:dyDescent="0.25">
      <c r="A363" t="str">
        <f t="shared" si="5"/>
        <v>A252M290C1</v>
      </c>
      <c r="C363">
        <v>362</v>
      </c>
      <c r="D363">
        <f>VLOOKUP(PREVIOS!C363,ALUMNOS!A:B,2,FALSE)</f>
        <v>252</v>
      </c>
      <c r="E363">
        <f>VLOOKUP(PREVIOS!E363&amp;'TABLA PREVIOS'!J363,MATERIAS!A:H,7,FALSE)</f>
        <v>290</v>
      </c>
      <c r="F363">
        <f>VLOOKUP(PREVIOS!G363,CONDICION!A:B,2,FALSE)</f>
        <v>1</v>
      </c>
      <c r="G363">
        <f>IF(PREVIOS!AG363=1,1,VLOOKUP(PREVIOS!AG363,CALIFICACION!A:C,3,FALSE))</f>
        <v>1</v>
      </c>
      <c r="H363" s="1" t="s">
        <v>534</v>
      </c>
      <c r="I363" s="1" t="s">
        <v>534</v>
      </c>
      <c r="J363">
        <f>VLOOKUP(PREVIOS!F363&amp;VLOOKUP(PREVIOS!I363,PLAN!A:B,2,FALSE),CURSO!A:D,4,FALSE)</f>
        <v>22</v>
      </c>
      <c r="K363">
        <f>VLOOKUP(PREVIOS!H363,CICLO!A:B,2,FALSE)</f>
        <v>53</v>
      </c>
      <c r="L363">
        <f>VLOOKUP(PREVIOS!I363,PLAN!A:B,2,FALSE)</f>
        <v>6</v>
      </c>
    </row>
    <row r="364" spans="1:12" x14ac:dyDescent="0.25">
      <c r="A364" t="str">
        <f t="shared" si="5"/>
        <v>A263M285C1</v>
      </c>
      <c r="C364">
        <v>363</v>
      </c>
      <c r="D364">
        <f>VLOOKUP(PREVIOS!C364,ALUMNOS!A:B,2,FALSE)</f>
        <v>263</v>
      </c>
      <c r="E364">
        <f>VLOOKUP(PREVIOS!E364&amp;'TABLA PREVIOS'!J364,MATERIAS!A:H,7,FALSE)</f>
        <v>285</v>
      </c>
      <c r="F364">
        <f>VLOOKUP(PREVIOS!G364,CONDICION!A:B,2,FALSE)</f>
        <v>1</v>
      </c>
      <c r="G364">
        <f>IF(PREVIOS!AG364=1,1,VLOOKUP(PREVIOS!AG364,CALIFICACION!A:C,3,FALSE))</f>
        <v>1</v>
      </c>
      <c r="H364" s="1" t="s">
        <v>534</v>
      </c>
      <c r="I364" s="1" t="s">
        <v>534</v>
      </c>
      <c r="J364">
        <f>VLOOKUP(PREVIOS!F364&amp;VLOOKUP(PREVIOS!I364,PLAN!A:B,2,FALSE),CURSO!A:D,4,FALSE)</f>
        <v>22</v>
      </c>
      <c r="K364">
        <f>VLOOKUP(PREVIOS!H364,CICLO!A:B,2,FALSE)</f>
        <v>53</v>
      </c>
      <c r="L364">
        <f>VLOOKUP(PREVIOS!I364,PLAN!A:B,2,FALSE)</f>
        <v>6</v>
      </c>
    </row>
    <row r="365" spans="1:12" x14ac:dyDescent="0.25">
      <c r="A365" t="str">
        <f t="shared" si="5"/>
        <v>A263M289C1</v>
      </c>
      <c r="C365">
        <v>364</v>
      </c>
      <c r="D365">
        <f>VLOOKUP(PREVIOS!C365,ALUMNOS!A:B,2,FALSE)</f>
        <v>263</v>
      </c>
      <c r="E365">
        <f>VLOOKUP(PREVIOS!E365&amp;'TABLA PREVIOS'!J365,MATERIAS!A:H,7,FALSE)</f>
        <v>289</v>
      </c>
      <c r="F365">
        <f>VLOOKUP(PREVIOS!G365,CONDICION!A:B,2,FALSE)</f>
        <v>1</v>
      </c>
      <c r="G365">
        <f>IF(PREVIOS!AG365=1,1,VLOOKUP(PREVIOS!AG365,CALIFICACION!A:C,3,FALSE))</f>
        <v>1</v>
      </c>
      <c r="H365" s="1" t="s">
        <v>534</v>
      </c>
      <c r="I365" s="1" t="s">
        <v>534</v>
      </c>
      <c r="J365">
        <f>VLOOKUP(PREVIOS!F365&amp;VLOOKUP(PREVIOS!I365,PLAN!A:B,2,FALSE),CURSO!A:D,4,FALSE)</f>
        <v>22</v>
      </c>
      <c r="K365">
        <f>VLOOKUP(PREVIOS!H365,CICLO!A:B,2,FALSE)</f>
        <v>53</v>
      </c>
      <c r="L365">
        <f>VLOOKUP(PREVIOS!I365,PLAN!A:B,2,FALSE)</f>
        <v>6</v>
      </c>
    </row>
    <row r="366" spans="1:12" x14ac:dyDescent="0.25">
      <c r="A366" t="str">
        <f t="shared" si="5"/>
        <v>A263M290C1</v>
      </c>
      <c r="C366">
        <v>365</v>
      </c>
      <c r="D366">
        <f>VLOOKUP(PREVIOS!C366,ALUMNOS!A:B,2,FALSE)</f>
        <v>263</v>
      </c>
      <c r="E366">
        <f>VLOOKUP(PREVIOS!E366&amp;'TABLA PREVIOS'!J366,MATERIAS!A:H,7,FALSE)</f>
        <v>290</v>
      </c>
      <c r="F366">
        <f>VLOOKUP(PREVIOS!G366,CONDICION!A:B,2,FALSE)</f>
        <v>1</v>
      </c>
      <c r="G366">
        <f>IF(PREVIOS!AG366=1,1,VLOOKUP(PREVIOS!AG366,CALIFICACION!A:C,3,FALSE))</f>
        <v>1</v>
      </c>
      <c r="H366" s="1" t="s">
        <v>534</v>
      </c>
      <c r="I366" s="1" t="s">
        <v>534</v>
      </c>
      <c r="J366">
        <f>VLOOKUP(PREVIOS!F366&amp;VLOOKUP(PREVIOS!I366,PLAN!A:B,2,FALSE),CURSO!A:D,4,FALSE)</f>
        <v>22</v>
      </c>
      <c r="K366">
        <f>VLOOKUP(PREVIOS!H366,CICLO!A:B,2,FALSE)</f>
        <v>53</v>
      </c>
      <c r="L366">
        <f>VLOOKUP(PREVIOS!I366,PLAN!A:B,2,FALSE)</f>
        <v>6</v>
      </c>
    </row>
    <row r="367" spans="1:12" x14ac:dyDescent="0.25">
      <c r="A367" t="str">
        <f t="shared" si="5"/>
        <v>A280M275C1</v>
      </c>
      <c r="C367">
        <v>366</v>
      </c>
      <c r="D367">
        <f>VLOOKUP(PREVIOS!C367,ALUMNOS!A:B,2,FALSE)</f>
        <v>280</v>
      </c>
      <c r="E367">
        <f>VLOOKUP(PREVIOS!E367&amp;'TABLA PREVIOS'!J367,MATERIAS!A:H,7,FALSE)</f>
        <v>275</v>
      </c>
      <c r="F367">
        <f>VLOOKUP(PREVIOS!G367,CONDICION!A:B,2,FALSE)</f>
        <v>1</v>
      </c>
      <c r="G367">
        <f>IF(PREVIOS!AG367=1,1,VLOOKUP(PREVIOS!AG367,CALIFICACION!A:C,3,FALSE))</f>
        <v>1</v>
      </c>
      <c r="H367" s="1" t="s">
        <v>534</v>
      </c>
      <c r="I367" s="1" t="s">
        <v>534</v>
      </c>
      <c r="J367">
        <f>VLOOKUP(PREVIOS!F367&amp;VLOOKUP(PREVIOS!I367,PLAN!A:B,2,FALSE),CURSO!A:D,4,FALSE)</f>
        <v>21</v>
      </c>
      <c r="K367">
        <f>VLOOKUP(PREVIOS!H367,CICLO!A:B,2,FALSE)</f>
        <v>52</v>
      </c>
      <c r="L367">
        <f>VLOOKUP(PREVIOS!I367,PLAN!A:B,2,FALSE)</f>
        <v>6</v>
      </c>
    </row>
    <row r="368" spans="1:12" x14ac:dyDescent="0.25">
      <c r="A368" t="str">
        <f t="shared" si="5"/>
        <v>A280M290C1</v>
      </c>
      <c r="C368">
        <v>367</v>
      </c>
      <c r="D368">
        <f>VLOOKUP(PREVIOS!C368,ALUMNOS!A:B,2,FALSE)</f>
        <v>280</v>
      </c>
      <c r="E368">
        <f>VLOOKUP(PREVIOS!E368&amp;'TABLA PREVIOS'!J368,MATERIAS!A:H,7,FALSE)</f>
        <v>290</v>
      </c>
      <c r="F368">
        <f>VLOOKUP(PREVIOS!G368,CONDICION!A:B,2,FALSE)</f>
        <v>1</v>
      </c>
      <c r="G368">
        <f>IF(PREVIOS!AG368=1,1,VLOOKUP(PREVIOS!AG368,CALIFICACION!A:C,3,FALSE))</f>
        <v>1</v>
      </c>
      <c r="H368" s="1" t="s">
        <v>534</v>
      </c>
      <c r="I368" s="1" t="s">
        <v>534</v>
      </c>
      <c r="J368">
        <f>VLOOKUP(PREVIOS!F368&amp;VLOOKUP(PREVIOS!I368,PLAN!A:B,2,FALSE),CURSO!A:D,4,FALSE)</f>
        <v>22</v>
      </c>
      <c r="K368">
        <f>VLOOKUP(PREVIOS!H368,CICLO!A:B,2,FALSE)</f>
        <v>53</v>
      </c>
      <c r="L368">
        <f>VLOOKUP(PREVIOS!I368,PLAN!A:B,2,FALSE)</f>
        <v>6</v>
      </c>
    </row>
    <row r="369" spans="1:12" x14ac:dyDescent="0.25">
      <c r="A369" t="str">
        <f t="shared" si="5"/>
        <v>A292M239C1</v>
      </c>
      <c r="C369">
        <v>368</v>
      </c>
      <c r="D369">
        <f>VLOOKUP(PREVIOS!C369,ALUMNOS!A:B,2,FALSE)</f>
        <v>292</v>
      </c>
      <c r="E369">
        <f>VLOOKUP(PREVIOS!E369&amp;'TABLA PREVIOS'!J369,MATERIAS!A:H,7,FALSE)</f>
        <v>239</v>
      </c>
      <c r="F369">
        <f>VLOOKUP(PREVIOS!G369,CONDICION!A:B,2,FALSE)</f>
        <v>1</v>
      </c>
      <c r="G369">
        <f>IF(PREVIOS!AG369=1,1,VLOOKUP(PREVIOS!AG369,CALIFICACION!A:C,3,FALSE))</f>
        <v>1</v>
      </c>
      <c r="H369" s="1" t="s">
        <v>534</v>
      </c>
      <c r="I369" s="1" t="s">
        <v>534</v>
      </c>
      <c r="J369">
        <f>VLOOKUP(PREVIOS!F369&amp;VLOOKUP(PREVIOS!I369,PLAN!A:B,2,FALSE),CURSO!A:D,4,FALSE)</f>
        <v>19</v>
      </c>
      <c r="K369">
        <f>VLOOKUP(PREVIOS!H369,CICLO!A:B,2,FALSE)</f>
        <v>50</v>
      </c>
      <c r="L369">
        <f>VLOOKUP(PREVIOS!I369,PLAN!A:B,2,FALSE)</f>
        <v>5</v>
      </c>
    </row>
    <row r="370" spans="1:12" x14ac:dyDescent="0.25">
      <c r="A370" t="str">
        <f t="shared" si="5"/>
        <v>A292M255C1</v>
      </c>
      <c r="C370">
        <v>369</v>
      </c>
      <c r="D370">
        <f>VLOOKUP(PREVIOS!C370,ALUMNOS!A:B,2,FALSE)</f>
        <v>292</v>
      </c>
      <c r="E370">
        <f>VLOOKUP(PREVIOS!E370&amp;'TABLA PREVIOS'!J370,MATERIAS!A:H,7,FALSE)</f>
        <v>255</v>
      </c>
      <c r="F370">
        <f>VLOOKUP(PREVIOS!G370,CONDICION!A:B,2,FALSE)</f>
        <v>1</v>
      </c>
      <c r="G370">
        <f>IF(PREVIOS!AG370=1,1,VLOOKUP(PREVIOS!AG370,CALIFICACION!A:C,3,FALSE))</f>
        <v>1</v>
      </c>
      <c r="H370" s="1" t="s">
        <v>534</v>
      </c>
      <c r="I370" s="1" t="s">
        <v>534</v>
      </c>
      <c r="J370">
        <f>VLOOKUP(PREVIOS!F370&amp;VLOOKUP(PREVIOS!I370,PLAN!A:B,2,FALSE),CURSO!A:D,4,FALSE)</f>
        <v>20</v>
      </c>
      <c r="K370">
        <f>VLOOKUP(PREVIOS!H370,CICLO!A:B,2,FALSE)</f>
        <v>51</v>
      </c>
      <c r="L370">
        <f>VLOOKUP(PREVIOS!I370,PLAN!A:B,2,FALSE)</f>
        <v>6</v>
      </c>
    </row>
    <row r="371" spans="1:12" x14ac:dyDescent="0.25">
      <c r="A371" t="str">
        <f t="shared" si="5"/>
        <v>A292M275C1</v>
      </c>
      <c r="C371">
        <v>370</v>
      </c>
      <c r="D371">
        <f>VLOOKUP(PREVIOS!C371,ALUMNOS!A:B,2,FALSE)</f>
        <v>292</v>
      </c>
      <c r="E371">
        <f>VLOOKUP(PREVIOS!E371&amp;'TABLA PREVIOS'!J371,MATERIAS!A:H,7,FALSE)</f>
        <v>275</v>
      </c>
      <c r="F371">
        <f>VLOOKUP(PREVIOS!G371,CONDICION!A:B,2,FALSE)</f>
        <v>1</v>
      </c>
      <c r="G371">
        <f>IF(PREVIOS!AG371=1,1,VLOOKUP(PREVIOS!AG371,CALIFICACION!A:C,3,FALSE))</f>
        <v>1</v>
      </c>
      <c r="H371" s="1" t="s">
        <v>534</v>
      </c>
      <c r="I371" s="1" t="s">
        <v>534</v>
      </c>
      <c r="J371">
        <f>VLOOKUP(PREVIOS!F371&amp;VLOOKUP(PREVIOS!I371,PLAN!A:B,2,FALSE),CURSO!A:D,4,FALSE)</f>
        <v>21</v>
      </c>
      <c r="K371">
        <f>VLOOKUP(PREVIOS!H371,CICLO!A:B,2,FALSE)</f>
        <v>52</v>
      </c>
      <c r="L371">
        <f>VLOOKUP(PREVIOS!I371,PLAN!A:B,2,FALSE)</f>
        <v>6</v>
      </c>
    </row>
    <row r="372" spans="1:12" x14ac:dyDescent="0.25">
      <c r="A372" t="str">
        <f t="shared" si="5"/>
        <v>A292M285C1</v>
      </c>
      <c r="C372">
        <v>371</v>
      </c>
      <c r="D372">
        <f>VLOOKUP(PREVIOS!C372,ALUMNOS!A:B,2,FALSE)</f>
        <v>292</v>
      </c>
      <c r="E372">
        <f>VLOOKUP(PREVIOS!E372&amp;'TABLA PREVIOS'!J372,MATERIAS!A:H,7,FALSE)</f>
        <v>285</v>
      </c>
      <c r="F372">
        <f>VLOOKUP(PREVIOS!G372,CONDICION!A:B,2,FALSE)</f>
        <v>1</v>
      </c>
      <c r="G372">
        <f>IF(PREVIOS!AG372=1,1,VLOOKUP(PREVIOS!AG372,CALIFICACION!A:C,3,FALSE))</f>
        <v>1</v>
      </c>
      <c r="H372" s="1" t="s">
        <v>534</v>
      </c>
      <c r="I372" s="1" t="s">
        <v>534</v>
      </c>
      <c r="J372">
        <f>VLOOKUP(PREVIOS!F372&amp;VLOOKUP(PREVIOS!I372,PLAN!A:B,2,FALSE),CURSO!A:D,4,FALSE)</f>
        <v>22</v>
      </c>
      <c r="K372">
        <f>VLOOKUP(PREVIOS!H372,CICLO!A:B,2,FALSE)</f>
        <v>53</v>
      </c>
      <c r="L372">
        <f>VLOOKUP(PREVIOS!I372,PLAN!A:B,2,FALSE)</f>
        <v>6</v>
      </c>
    </row>
    <row r="373" spans="1:12" x14ac:dyDescent="0.25">
      <c r="A373" t="str">
        <f t="shared" si="5"/>
        <v>A292M284C1</v>
      </c>
      <c r="C373">
        <v>372</v>
      </c>
      <c r="D373">
        <f>VLOOKUP(PREVIOS!C373,ALUMNOS!A:B,2,FALSE)</f>
        <v>292</v>
      </c>
      <c r="E373">
        <f>VLOOKUP(PREVIOS!E373&amp;'TABLA PREVIOS'!J373,MATERIAS!A:H,7,FALSE)</f>
        <v>284</v>
      </c>
      <c r="F373">
        <f>VLOOKUP(PREVIOS!G373,CONDICION!A:B,2,FALSE)</f>
        <v>1</v>
      </c>
      <c r="G373">
        <f>IF(PREVIOS!AG373=1,1,VLOOKUP(PREVIOS!AG373,CALIFICACION!A:C,3,FALSE))</f>
        <v>1</v>
      </c>
      <c r="H373" s="1" t="s">
        <v>534</v>
      </c>
      <c r="I373" s="1" t="s">
        <v>534</v>
      </c>
      <c r="J373">
        <f>VLOOKUP(PREVIOS!F373&amp;VLOOKUP(PREVIOS!I373,PLAN!A:B,2,FALSE),CURSO!A:D,4,FALSE)</f>
        <v>22</v>
      </c>
      <c r="K373">
        <f>VLOOKUP(PREVIOS!H373,CICLO!A:B,2,FALSE)</f>
        <v>53</v>
      </c>
      <c r="L373">
        <f>VLOOKUP(PREVIOS!I373,PLAN!A:B,2,FALSE)</f>
        <v>6</v>
      </c>
    </row>
    <row r="374" spans="1:12" x14ac:dyDescent="0.25">
      <c r="A374" t="str">
        <f t="shared" si="5"/>
        <v>A292M287C1</v>
      </c>
      <c r="C374">
        <v>373</v>
      </c>
      <c r="D374">
        <f>VLOOKUP(PREVIOS!C374,ALUMNOS!A:B,2,FALSE)</f>
        <v>292</v>
      </c>
      <c r="E374">
        <f>VLOOKUP(PREVIOS!E374&amp;'TABLA PREVIOS'!J374,MATERIAS!A:H,7,FALSE)</f>
        <v>287</v>
      </c>
      <c r="F374">
        <f>VLOOKUP(PREVIOS!G374,CONDICION!A:B,2,FALSE)</f>
        <v>1</v>
      </c>
      <c r="G374">
        <f>IF(PREVIOS!AG374=1,1,VLOOKUP(PREVIOS!AG374,CALIFICACION!A:C,3,FALSE))</f>
        <v>1</v>
      </c>
      <c r="H374" s="1" t="s">
        <v>534</v>
      </c>
      <c r="I374" s="1" t="s">
        <v>534</v>
      </c>
      <c r="J374">
        <f>VLOOKUP(PREVIOS!F374&amp;VLOOKUP(PREVIOS!I374,PLAN!A:B,2,FALSE),CURSO!A:D,4,FALSE)</f>
        <v>22</v>
      </c>
      <c r="K374">
        <f>VLOOKUP(PREVIOS!H374,CICLO!A:B,2,FALSE)</f>
        <v>53</v>
      </c>
      <c r="L374">
        <f>VLOOKUP(PREVIOS!I374,PLAN!A:B,2,FALSE)</f>
        <v>6</v>
      </c>
    </row>
    <row r="375" spans="1:12" x14ac:dyDescent="0.25">
      <c r="A375" t="str">
        <f t="shared" si="5"/>
        <v>A292M286C1</v>
      </c>
      <c r="C375">
        <v>374</v>
      </c>
      <c r="D375">
        <f>VLOOKUP(PREVIOS!C375,ALUMNOS!A:B,2,FALSE)</f>
        <v>292</v>
      </c>
      <c r="E375">
        <f>VLOOKUP(PREVIOS!E375&amp;'TABLA PREVIOS'!J375,MATERIAS!A:H,7,FALSE)</f>
        <v>286</v>
      </c>
      <c r="F375">
        <f>VLOOKUP(PREVIOS!G375,CONDICION!A:B,2,FALSE)</f>
        <v>1</v>
      </c>
      <c r="G375">
        <f>IF(PREVIOS!AG375=1,1,VLOOKUP(PREVIOS!AG375,CALIFICACION!A:C,3,FALSE))</f>
        <v>1</v>
      </c>
      <c r="H375" s="1" t="s">
        <v>534</v>
      </c>
      <c r="I375" s="1" t="s">
        <v>534</v>
      </c>
      <c r="J375">
        <f>VLOOKUP(PREVIOS!F375&amp;VLOOKUP(PREVIOS!I375,PLAN!A:B,2,FALSE),CURSO!A:D,4,FALSE)</f>
        <v>22</v>
      </c>
      <c r="K375">
        <f>VLOOKUP(PREVIOS!H375,CICLO!A:B,2,FALSE)</f>
        <v>53</v>
      </c>
      <c r="L375">
        <f>VLOOKUP(PREVIOS!I375,PLAN!A:B,2,FALSE)</f>
        <v>6</v>
      </c>
    </row>
    <row r="376" spans="1:12" x14ac:dyDescent="0.25">
      <c r="A376" t="str">
        <f t="shared" si="5"/>
        <v>A292M292C1</v>
      </c>
      <c r="C376">
        <v>375</v>
      </c>
      <c r="D376">
        <f>VLOOKUP(PREVIOS!C376,ALUMNOS!A:B,2,FALSE)</f>
        <v>292</v>
      </c>
      <c r="E376">
        <f>VLOOKUP(PREVIOS!E376&amp;'TABLA PREVIOS'!J376,MATERIAS!A:H,7,FALSE)</f>
        <v>292</v>
      </c>
      <c r="F376">
        <f>VLOOKUP(PREVIOS!G376,CONDICION!A:B,2,FALSE)</f>
        <v>1</v>
      </c>
      <c r="G376">
        <f>IF(PREVIOS!AG376=1,1,VLOOKUP(PREVIOS!AG376,CALIFICACION!A:C,3,FALSE))</f>
        <v>1</v>
      </c>
      <c r="H376" s="1" t="s">
        <v>534</v>
      </c>
      <c r="I376" s="1" t="s">
        <v>534</v>
      </c>
      <c r="J376">
        <f>VLOOKUP(PREVIOS!F376&amp;VLOOKUP(PREVIOS!I376,PLAN!A:B,2,FALSE),CURSO!A:D,4,FALSE)</f>
        <v>22</v>
      </c>
      <c r="K376">
        <f>VLOOKUP(PREVIOS!H376,CICLO!A:B,2,FALSE)</f>
        <v>53</v>
      </c>
      <c r="L376">
        <f>VLOOKUP(PREVIOS!I376,PLAN!A:B,2,FALSE)</f>
        <v>6</v>
      </c>
    </row>
    <row r="377" spans="1:12" x14ac:dyDescent="0.25">
      <c r="A377" t="str">
        <f t="shared" si="5"/>
        <v>A292M291C1</v>
      </c>
      <c r="C377">
        <v>376</v>
      </c>
      <c r="D377">
        <f>VLOOKUP(PREVIOS!C377,ALUMNOS!A:B,2,FALSE)</f>
        <v>292</v>
      </c>
      <c r="E377">
        <f>VLOOKUP(PREVIOS!E377&amp;'TABLA PREVIOS'!J377,MATERIAS!A:H,7,FALSE)</f>
        <v>291</v>
      </c>
      <c r="F377">
        <f>VLOOKUP(PREVIOS!G377,CONDICION!A:B,2,FALSE)</f>
        <v>1</v>
      </c>
      <c r="G377">
        <f>IF(PREVIOS!AG377=1,1,VLOOKUP(PREVIOS!AG377,CALIFICACION!A:C,3,FALSE))</f>
        <v>1</v>
      </c>
      <c r="H377" s="1" t="s">
        <v>534</v>
      </c>
      <c r="I377" s="1" t="s">
        <v>534</v>
      </c>
      <c r="J377">
        <f>VLOOKUP(PREVIOS!F377&amp;VLOOKUP(PREVIOS!I377,PLAN!A:B,2,FALSE),CURSO!A:D,4,FALSE)</f>
        <v>22</v>
      </c>
      <c r="K377">
        <f>VLOOKUP(PREVIOS!H377,CICLO!A:B,2,FALSE)</f>
        <v>53</v>
      </c>
      <c r="L377">
        <f>VLOOKUP(PREVIOS!I377,PLAN!A:B,2,FALSE)</f>
        <v>6</v>
      </c>
    </row>
    <row r="378" spans="1:12" x14ac:dyDescent="0.25">
      <c r="A378" t="str">
        <f t="shared" si="5"/>
        <v>A292M282C1</v>
      </c>
      <c r="C378">
        <v>377</v>
      </c>
      <c r="D378">
        <f>VLOOKUP(PREVIOS!C378,ALUMNOS!A:B,2,FALSE)</f>
        <v>292</v>
      </c>
      <c r="E378">
        <f>VLOOKUP(PREVIOS!E378&amp;'TABLA PREVIOS'!J378,MATERIAS!A:H,7,FALSE)</f>
        <v>282</v>
      </c>
      <c r="F378">
        <f>VLOOKUP(PREVIOS!G378,CONDICION!A:B,2,FALSE)</f>
        <v>1</v>
      </c>
      <c r="G378">
        <f>IF(PREVIOS!AG378=1,1,VLOOKUP(PREVIOS!AG378,CALIFICACION!A:C,3,FALSE))</f>
        <v>1</v>
      </c>
      <c r="H378" s="1" t="s">
        <v>534</v>
      </c>
      <c r="I378" s="1" t="s">
        <v>534</v>
      </c>
      <c r="J378">
        <f>VLOOKUP(PREVIOS!F378&amp;VLOOKUP(PREVIOS!I378,PLAN!A:B,2,FALSE),CURSO!A:D,4,FALSE)</f>
        <v>22</v>
      </c>
      <c r="K378">
        <f>VLOOKUP(PREVIOS!H378,CICLO!A:B,2,FALSE)</f>
        <v>53</v>
      </c>
      <c r="L378">
        <f>VLOOKUP(PREVIOS!I378,PLAN!A:B,2,FALSE)</f>
        <v>6</v>
      </c>
    </row>
    <row r="379" spans="1:12" x14ac:dyDescent="0.25">
      <c r="A379" t="str">
        <f t="shared" si="5"/>
        <v>A292M279C1</v>
      </c>
      <c r="C379">
        <v>378</v>
      </c>
      <c r="D379">
        <f>VLOOKUP(PREVIOS!C379,ALUMNOS!A:B,2,FALSE)</f>
        <v>292</v>
      </c>
      <c r="E379">
        <f>VLOOKUP(PREVIOS!E379&amp;'TABLA PREVIOS'!J379,MATERIAS!A:H,7,FALSE)</f>
        <v>279</v>
      </c>
      <c r="F379">
        <f>VLOOKUP(PREVIOS!G379,CONDICION!A:B,2,FALSE)</f>
        <v>1</v>
      </c>
      <c r="G379">
        <f>IF(PREVIOS!AG379=1,1,VLOOKUP(PREVIOS!AG379,CALIFICACION!A:C,3,FALSE))</f>
        <v>1</v>
      </c>
      <c r="H379" s="1" t="s">
        <v>534</v>
      </c>
      <c r="I379" s="1" t="s">
        <v>534</v>
      </c>
      <c r="J379">
        <f>VLOOKUP(PREVIOS!F379&amp;VLOOKUP(PREVIOS!I379,PLAN!A:B,2,FALSE),CURSO!A:D,4,FALSE)</f>
        <v>22</v>
      </c>
      <c r="K379">
        <f>VLOOKUP(PREVIOS!H379,CICLO!A:B,2,FALSE)</f>
        <v>53</v>
      </c>
      <c r="L379">
        <f>VLOOKUP(PREVIOS!I379,PLAN!A:B,2,FALSE)</f>
        <v>6</v>
      </c>
    </row>
    <row r="380" spans="1:12" x14ac:dyDescent="0.25">
      <c r="A380" t="str">
        <f t="shared" si="5"/>
        <v>A292M280C1</v>
      </c>
      <c r="C380">
        <v>379</v>
      </c>
      <c r="D380">
        <f>VLOOKUP(PREVIOS!C380,ALUMNOS!A:B,2,FALSE)</f>
        <v>292</v>
      </c>
      <c r="E380">
        <f>VLOOKUP(PREVIOS!E380&amp;'TABLA PREVIOS'!J380,MATERIAS!A:H,7,FALSE)</f>
        <v>280</v>
      </c>
      <c r="F380">
        <f>VLOOKUP(PREVIOS!G380,CONDICION!A:B,2,FALSE)</f>
        <v>1</v>
      </c>
      <c r="G380">
        <f>IF(PREVIOS!AG380=1,1,VLOOKUP(PREVIOS!AG380,CALIFICACION!A:C,3,FALSE))</f>
        <v>1</v>
      </c>
      <c r="H380" s="1" t="s">
        <v>534</v>
      </c>
      <c r="I380" s="1" t="s">
        <v>534</v>
      </c>
      <c r="J380">
        <f>VLOOKUP(PREVIOS!F380&amp;VLOOKUP(PREVIOS!I380,PLAN!A:B,2,FALSE),CURSO!A:D,4,FALSE)</f>
        <v>22</v>
      </c>
      <c r="K380">
        <f>VLOOKUP(PREVIOS!H380,CICLO!A:B,2,FALSE)</f>
        <v>53</v>
      </c>
      <c r="L380">
        <f>VLOOKUP(PREVIOS!I380,PLAN!A:B,2,FALSE)</f>
        <v>6</v>
      </c>
    </row>
    <row r="381" spans="1:12" x14ac:dyDescent="0.25">
      <c r="A381" t="str">
        <f t="shared" si="5"/>
        <v>A292M281C1</v>
      </c>
      <c r="C381">
        <v>380</v>
      </c>
      <c r="D381">
        <f>VLOOKUP(PREVIOS!C381,ALUMNOS!A:B,2,FALSE)</f>
        <v>292</v>
      </c>
      <c r="E381">
        <f>VLOOKUP(PREVIOS!E381&amp;'TABLA PREVIOS'!J381,MATERIAS!A:H,7,FALSE)</f>
        <v>281</v>
      </c>
      <c r="F381">
        <f>VLOOKUP(PREVIOS!G381,CONDICION!A:B,2,FALSE)</f>
        <v>1</v>
      </c>
      <c r="G381">
        <f>IF(PREVIOS!AG381=1,1,VLOOKUP(PREVIOS!AG381,CALIFICACION!A:C,3,FALSE))</f>
        <v>1</v>
      </c>
      <c r="H381" s="1" t="s">
        <v>534</v>
      </c>
      <c r="I381" s="1" t="s">
        <v>534</v>
      </c>
      <c r="J381">
        <f>VLOOKUP(PREVIOS!F381&amp;VLOOKUP(PREVIOS!I381,PLAN!A:B,2,FALSE),CURSO!A:D,4,FALSE)</f>
        <v>22</v>
      </c>
      <c r="K381">
        <f>VLOOKUP(PREVIOS!H381,CICLO!A:B,2,FALSE)</f>
        <v>53</v>
      </c>
      <c r="L381">
        <f>VLOOKUP(PREVIOS!I381,PLAN!A:B,2,FALSE)</f>
        <v>6</v>
      </c>
    </row>
    <row r="382" spans="1:12" x14ac:dyDescent="0.25">
      <c r="A382" t="str">
        <f t="shared" si="5"/>
        <v>A292M288C1</v>
      </c>
      <c r="C382">
        <v>381</v>
      </c>
      <c r="D382">
        <f>VLOOKUP(PREVIOS!C382,ALUMNOS!A:B,2,FALSE)</f>
        <v>292</v>
      </c>
      <c r="E382">
        <f>VLOOKUP(PREVIOS!E382&amp;'TABLA PREVIOS'!J382,MATERIAS!A:H,7,FALSE)</f>
        <v>288</v>
      </c>
      <c r="F382">
        <f>VLOOKUP(PREVIOS!G382,CONDICION!A:B,2,FALSE)</f>
        <v>1</v>
      </c>
      <c r="G382">
        <f>IF(PREVIOS!AG382=1,1,VLOOKUP(PREVIOS!AG382,CALIFICACION!A:C,3,FALSE))</f>
        <v>1</v>
      </c>
      <c r="H382" s="1" t="s">
        <v>534</v>
      </c>
      <c r="I382" s="1" t="s">
        <v>534</v>
      </c>
      <c r="J382">
        <f>VLOOKUP(PREVIOS!F382&amp;VLOOKUP(PREVIOS!I382,PLAN!A:B,2,FALSE),CURSO!A:D,4,FALSE)</f>
        <v>22</v>
      </c>
      <c r="K382">
        <f>VLOOKUP(PREVIOS!H382,CICLO!A:B,2,FALSE)</f>
        <v>53</v>
      </c>
      <c r="L382">
        <f>VLOOKUP(PREVIOS!I382,PLAN!A:B,2,FALSE)</f>
        <v>6</v>
      </c>
    </row>
    <row r="383" spans="1:12" x14ac:dyDescent="0.25">
      <c r="A383" t="str">
        <f t="shared" si="5"/>
        <v>A292M290C1</v>
      </c>
      <c r="C383">
        <v>382</v>
      </c>
      <c r="D383">
        <f>VLOOKUP(PREVIOS!C383,ALUMNOS!A:B,2,FALSE)</f>
        <v>292</v>
      </c>
      <c r="E383">
        <f>VLOOKUP(PREVIOS!E383&amp;'TABLA PREVIOS'!J383,MATERIAS!A:H,7,FALSE)</f>
        <v>290</v>
      </c>
      <c r="F383">
        <f>VLOOKUP(PREVIOS!G383,CONDICION!A:B,2,FALSE)</f>
        <v>1</v>
      </c>
      <c r="G383">
        <f>IF(PREVIOS!AG383=1,1,VLOOKUP(PREVIOS!AG383,CALIFICACION!A:C,3,FALSE))</f>
        <v>1</v>
      </c>
      <c r="H383" s="1" t="s">
        <v>534</v>
      </c>
      <c r="I383" s="1" t="s">
        <v>534</v>
      </c>
      <c r="J383">
        <f>VLOOKUP(PREVIOS!F383&amp;VLOOKUP(PREVIOS!I383,PLAN!A:B,2,FALSE),CURSO!A:D,4,FALSE)</f>
        <v>22</v>
      </c>
      <c r="K383">
        <f>VLOOKUP(PREVIOS!H383,CICLO!A:B,2,FALSE)</f>
        <v>53</v>
      </c>
      <c r="L383">
        <f>VLOOKUP(PREVIOS!I383,PLAN!A:B,2,FALSE)</f>
        <v>6</v>
      </c>
    </row>
    <row r="384" spans="1:12" x14ac:dyDescent="0.25">
      <c r="A384" t="str">
        <f t="shared" si="5"/>
        <v>A450M274C1</v>
      </c>
      <c r="C384">
        <v>383</v>
      </c>
      <c r="D384">
        <f>VLOOKUP(PREVIOS!C384,ALUMNOS!A:B,2,FALSE)</f>
        <v>450</v>
      </c>
      <c r="E384">
        <f>VLOOKUP(PREVIOS!E384&amp;'TABLA PREVIOS'!J384,MATERIAS!A:H,7,FALSE)</f>
        <v>274</v>
      </c>
      <c r="F384">
        <f>VLOOKUP(PREVIOS!G384,CONDICION!A:B,2,FALSE)</f>
        <v>1</v>
      </c>
      <c r="G384">
        <f>IF(PREVIOS!AG384=1,1,VLOOKUP(PREVIOS!AG384,CALIFICACION!A:C,3,FALSE))</f>
        <v>1</v>
      </c>
      <c r="H384" s="1" t="s">
        <v>534</v>
      </c>
      <c r="I384" s="1" t="s">
        <v>534</v>
      </c>
      <c r="J384">
        <f>VLOOKUP(PREVIOS!F384&amp;VLOOKUP(PREVIOS!I384,PLAN!A:B,2,FALSE),CURSO!A:D,4,FALSE)</f>
        <v>21</v>
      </c>
      <c r="K384">
        <f>VLOOKUP(PREVIOS!H384,CICLO!A:B,2,FALSE)</f>
        <v>52</v>
      </c>
      <c r="L384">
        <f>VLOOKUP(PREVIOS!I384,PLAN!A:B,2,FALSE)</f>
        <v>6</v>
      </c>
    </row>
    <row r="385" spans="1:12" x14ac:dyDescent="0.25">
      <c r="A385" t="str">
        <f t="shared" si="5"/>
        <v>A450M285C1</v>
      </c>
      <c r="C385">
        <v>384</v>
      </c>
      <c r="D385">
        <f>VLOOKUP(PREVIOS!C385,ALUMNOS!A:B,2,FALSE)</f>
        <v>450</v>
      </c>
      <c r="E385">
        <f>VLOOKUP(PREVIOS!E385&amp;'TABLA PREVIOS'!J385,MATERIAS!A:H,7,FALSE)</f>
        <v>285</v>
      </c>
      <c r="F385">
        <f>VLOOKUP(PREVIOS!G385,CONDICION!A:B,2,FALSE)</f>
        <v>1</v>
      </c>
      <c r="G385">
        <f>IF(PREVIOS!AG385=1,1,VLOOKUP(PREVIOS!AG385,CALIFICACION!A:C,3,FALSE))</f>
        <v>1</v>
      </c>
      <c r="H385" s="1" t="s">
        <v>534</v>
      </c>
      <c r="I385" s="1" t="s">
        <v>534</v>
      </c>
      <c r="J385">
        <f>VLOOKUP(PREVIOS!F385&amp;VLOOKUP(PREVIOS!I385,PLAN!A:B,2,FALSE),CURSO!A:D,4,FALSE)</f>
        <v>22</v>
      </c>
      <c r="K385">
        <f>VLOOKUP(PREVIOS!H385,CICLO!A:B,2,FALSE)</f>
        <v>53</v>
      </c>
      <c r="L385">
        <f>VLOOKUP(PREVIOS!I385,PLAN!A:B,2,FALSE)</f>
        <v>6</v>
      </c>
    </row>
    <row r="386" spans="1:12" x14ac:dyDescent="0.25">
      <c r="A386" t="str">
        <f t="shared" si="5"/>
        <v>A450M289C1</v>
      </c>
      <c r="C386">
        <v>385</v>
      </c>
      <c r="D386">
        <f>VLOOKUP(PREVIOS!C386,ALUMNOS!A:B,2,FALSE)</f>
        <v>450</v>
      </c>
      <c r="E386">
        <f>VLOOKUP(PREVIOS!E386&amp;'TABLA PREVIOS'!J386,MATERIAS!A:H,7,FALSE)</f>
        <v>289</v>
      </c>
      <c r="F386">
        <f>VLOOKUP(PREVIOS!G386,CONDICION!A:B,2,FALSE)</f>
        <v>1</v>
      </c>
      <c r="G386">
        <f>IF(PREVIOS!AG386=1,1,VLOOKUP(PREVIOS!AG386,CALIFICACION!A:C,3,FALSE))</f>
        <v>1</v>
      </c>
      <c r="H386" s="1" t="s">
        <v>534</v>
      </c>
      <c r="I386" s="1" t="s">
        <v>534</v>
      </c>
      <c r="J386">
        <f>VLOOKUP(PREVIOS!F386&amp;VLOOKUP(PREVIOS!I386,PLAN!A:B,2,FALSE),CURSO!A:D,4,FALSE)</f>
        <v>22</v>
      </c>
      <c r="K386">
        <f>VLOOKUP(PREVIOS!H386,CICLO!A:B,2,FALSE)</f>
        <v>53</v>
      </c>
      <c r="L386">
        <f>VLOOKUP(PREVIOS!I386,PLAN!A:B,2,FALSE)</f>
        <v>6</v>
      </c>
    </row>
    <row r="387" spans="1:12" x14ac:dyDescent="0.25">
      <c r="A387" t="str">
        <f t="shared" ref="A387:A450" si="6">"A"&amp;D387&amp;"M"&amp;E387&amp;"C"&amp;F387</f>
        <v>A450M284C1</v>
      </c>
      <c r="C387">
        <v>386</v>
      </c>
      <c r="D387">
        <f>VLOOKUP(PREVIOS!C387,ALUMNOS!A:B,2,FALSE)</f>
        <v>450</v>
      </c>
      <c r="E387">
        <f>VLOOKUP(PREVIOS!E387&amp;'TABLA PREVIOS'!J387,MATERIAS!A:H,7,FALSE)</f>
        <v>284</v>
      </c>
      <c r="F387">
        <f>VLOOKUP(PREVIOS!G387,CONDICION!A:B,2,FALSE)</f>
        <v>1</v>
      </c>
      <c r="G387">
        <f>IF(PREVIOS!AG387=1,1,VLOOKUP(PREVIOS!AG387,CALIFICACION!A:C,3,FALSE))</f>
        <v>1</v>
      </c>
      <c r="H387" s="1" t="s">
        <v>534</v>
      </c>
      <c r="I387" s="1" t="s">
        <v>534</v>
      </c>
      <c r="J387">
        <f>VLOOKUP(PREVIOS!F387&amp;VLOOKUP(PREVIOS!I387,PLAN!A:B,2,FALSE),CURSO!A:D,4,FALSE)</f>
        <v>22</v>
      </c>
      <c r="K387">
        <f>VLOOKUP(PREVIOS!H387,CICLO!A:B,2,FALSE)</f>
        <v>53</v>
      </c>
      <c r="L387">
        <f>VLOOKUP(PREVIOS!I387,PLAN!A:B,2,FALSE)</f>
        <v>6</v>
      </c>
    </row>
    <row r="388" spans="1:12" x14ac:dyDescent="0.25">
      <c r="A388" t="str">
        <f t="shared" si="6"/>
        <v>A450M287C1</v>
      </c>
      <c r="C388">
        <v>387</v>
      </c>
      <c r="D388">
        <f>VLOOKUP(PREVIOS!C388,ALUMNOS!A:B,2,FALSE)</f>
        <v>450</v>
      </c>
      <c r="E388">
        <f>VLOOKUP(PREVIOS!E388&amp;'TABLA PREVIOS'!J388,MATERIAS!A:H,7,FALSE)</f>
        <v>287</v>
      </c>
      <c r="F388">
        <f>VLOOKUP(PREVIOS!G388,CONDICION!A:B,2,FALSE)</f>
        <v>1</v>
      </c>
      <c r="G388">
        <f>IF(PREVIOS!AG388=1,1,VLOOKUP(PREVIOS!AG388,CALIFICACION!A:C,3,FALSE))</f>
        <v>1</v>
      </c>
      <c r="H388" s="1" t="s">
        <v>534</v>
      </c>
      <c r="I388" s="1" t="s">
        <v>534</v>
      </c>
      <c r="J388">
        <f>VLOOKUP(PREVIOS!F388&amp;VLOOKUP(PREVIOS!I388,PLAN!A:B,2,FALSE),CURSO!A:D,4,FALSE)</f>
        <v>22</v>
      </c>
      <c r="K388">
        <f>VLOOKUP(PREVIOS!H388,CICLO!A:B,2,FALSE)</f>
        <v>53</v>
      </c>
      <c r="L388">
        <f>VLOOKUP(PREVIOS!I388,PLAN!A:B,2,FALSE)</f>
        <v>6</v>
      </c>
    </row>
    <row r="389" spans="1:12" x14ac:dyDescent="0.25">
      <c r="A389" t="str">
        <f t="shared" si="6"/>
        <v>A450M292C1</v>
      </c>
      <c r="C389">
        <v>388</v>
      </c>
      <c r="D389">
        <f>VLOOKUP(PREVIOS!C389,ALUMNOS!A:B,2,FALSE)</f>
        <v>450</v>
      </c>
      <c r="E389">
        <f>VLOOKUP(PREVIOS!E389&amp;'TABLA PREVIOS'!J389,MATERIAS!A:H,7,FALSE)</f>
        <v>292</v>
      </c>
      <c r="F389">
        <f>VLOOKUP(PREVIOS!G389,CONDICION!A:B,2,FALSE)</f>
        <v>1</v>
      </c>
      <c r="G389">
        <f>IF(PREVIOS!AG389=1,1,VLOOKUP(PREVIOS!AG389,CALIFICACION!A:C,3,FALSE))</f>
        <v>1</v>
      </c>
      <c r="H389" s="1" t="s">
        <v>534</v>
      </c>
      <c r="I389" s="1" t="s">
        <v>534</v>
      </c>
      <c r="J389">
        <f>VLOOKUP(PREVIOS!F389&amp;VLOOKUP(PREVIOS!I389,PLAN!A:B,2,FALSE),CURSO!A:D,4,FALSE)</f>
        <v>22</v>
      </c>
      <c r="K389">
        <f>VLOOKUP(PREVIOS!H389,CICLO!A:B,2,FALSE)</f>
        <v>53</v>
      </c>
      <c r="L389">
        <f>VLOOKUP(PREVIOS!I389,PLAN!A:B,2,FALSE)</f>
        <v>6</v>
      </c>
    </row>
    <row r="390" spans="1:12" x14ac:dyDescent="0.25">
      <c r="A390" t="str">
        <f t="shared" si="6"/>
        <v>A450M282C1</v>
      </c>
      <c r="C390">
        <v>389</v>
      </c>
      <c r="D390">
        <f>VLOOKUP(PREVIOS!C390,ALUMNOS!A:B,2,FALSE)</f>
        <v>450</v>
      </c>
      <c r="E390">
        <f>VLOOKUP(PREVIOS!E390&amp;'TABLA PREVIOS'!J390,MATERIAS!A:H,7,FALSE)</f>
        <v>282</v>
      </c>
      <c r="F390">
        <f>VLOOKUP(PREVIOS!G390,CONDICION!A:B,2,FALSE)</f>
        <v>1</v>
      </c>
      <c r="G390">
        <f>IF(PREVIOS!AG390=1,1,VLOOKUP(PREVIOS!AG390,CALIFICACION!A:C,3,FALSE))</f>
        <v>1</v>
      </c>
      <c r="H390" s="1" t="s">
        <v>534</v>
      </c>
      <c r="I390" s="1" t="s">
        <v>534</v>
      </c>
      <c r="J390">
        <f>VLOOKUP(PREVIOS!F390&amp;VLOOKUP(PREVIOS!I390,PLAN!A:B,2,FALSE),CURSO!A:D,4,FALSE)</f>
        <v>22</v>
      </c>
      <c r="K390">
        <f>VLOOKUP(PREVIOS!H390,CICLO!A:B,2,FALSE)</f>
        <v>53</v>
      </c>
      <c r="L390">
        <f>VLOOKUP(PREVIOS!I390,PLAN!A:B,2,FALSE)</f>
        <v>6</v>
      </c>
    </row>
    <row r="391" spans="1:12" x14ac:dyDescent="0.25">
      <c r="A391" t="str">
        <f t="shared" si="6"/>
        <v>A450M279C1</v>
      </c>
      <c r="C391">
        <v>390</v>
      </c>
      <c r="D391">
        <f>VLOOKUP(PREVIOS!C391,ALUMNOS!A:B,2,FALSE)</f>
        <v>450</v>
      </c>
      <c r="E391">
        <f>VLOOKUP(PREVIOS!E391&amp;'TABLA PREVIOS'!J391,MATERIAS!A:H,7,FALSE)</f>
        <v>279</v>
      </c>
      <c r="F391">
        <f>VLOOKUP(PREVIOS!G391,CONDICION!A:B,2,FALSE)</f>
        <v>1</v>
      </c>
      <c r="G391">
        <f>IF(PREVIOS!AG391=1,1,VLOOKUP(PREVIOS!AG391,CALIFICACION!A:C,3,FALSE))</f>
        <v>1</v>
      </c>
      <c r="H391" s="1" t="s">
        <v>534</v>
      </c>
      <c r="I391" s="1" t="s">
        <v>534</v>
      </c>
      <c r="J391">
        <f>VLOOKUP(PREVIOS!F391&amp;VLOOKUP(PREVIOS!I391,PLAN!A:B,2,FALSE),CURSO!A:D,4,FALSE)</f>
        <v>22</v>
      </c>
      <c r="K391">
        <f>VLOOKUP(PREVIOS!H391,CICLO!A:B,2,FALSE)</f>
        <v>53</v>
      </c>
      <c r="L391">
        <f>VLOOKUP(PREVIOS!I391,PLAN!A:B,2,FALSE)</f>
        <v>6</v>
      </c>
    </row>
    <row r="392" spans="1:12" x14ac:dyDescent="0.25">
      <c r="A392" t="str">
        <f t="shared" si="6"/>
        <v>A450M280C1</v>
      </c>
      <c r="C392">
        <v>391</v>
      </c>
      <c r="D392">
        <f>VLOOKUP(PREVIOS!C392,ALUMNOS!A:B,2,FALSE)</f>
        <v>450</v>
      </c>
      <c r="E392">
        <f>VLOOKUP(PREVIOS!E392&amp;'TABLA PREVIOS'!J392,MATERIAS!A:H,7,FALSE)</f>
        <v>280</v>
      </c>
      <c r="F392">
        <f>VLOOKUP(PREVIOS!G392,CONDICION!A:B,2,FALSE)</f>
        <v>1</v>
      </c>
      <c r="G392">
        <f>IF(PREVIOS!AG392=1,1,VLOOKUP(PREVIOS!AG392,CALIFICACION!A:C,3,FALSE))</f>
        <v>1</v>
      </c>
      <c r="H392" s="1" t="s">
        <v>534</v>
      </c>
      <c r="I392" s="1" t="s">
        <v>534</v>
      </c>
      <c r="J392">
        <f>VLOOKUP(PREVIOS!F392&amp;VLOOKUP(PREVIOS!I392,PLAN!A:B,2,FALSE),CURSO!A:D,4,FALSE)</f>
        <v>22</v>
      </c>
      <c r="K392">
        <f>VLOOKUP(PREVIOS!H392,CICLO!A:B,2,FALSE)</f>
        <v>53</v>
      </c>
      <c r="L392">
        <f>VLOOKUP(PREVIOS!I392,PLAN!A:B,2,FALSE)</f>
        <v>6</v>
      </c>
    </row>
    <row r="393" spans="1:12" x14ac:dyDescent="0.25">
      <c r="A393" t="str">
        <f t="shared" si="6"/>
        <v>A450M281C1</v>
      </c>
      <c r="C393">
        <v>392</v>
      </c>
      <c r="D393">
        <f>VLOOKUP(PREVIOS!C393,ALUMNOS!A:B,2,FALSE)</f>
        <v>450</v>
      </c>
      <c r="E393">
        <f>VLOOKUP(PREVIOS!E393&amp;'TABLA PREVIOS'!J393,MATERIAS!A:H,7,FALSE)</f>
        <v>281</v>
      </c>
      <c r="F393">
        <f>VLOOKUP(PREVIOS!G393,CONDICION!A:B,2,FALSE)</f>
        <v>1</v>
      </c>
      <c r="G393">
        <f>IF(PREVIOS!AG393=1,1,VLOOKUP(PREVIOS!AG393,CALIFICACION!A:C,3,FALSE))</f>
        <v>1</v>
      </c>
      <c r="H393" s="1" t="s">
        <v>534</v>
      </c>
      <c r="I393" s="1" t="s">
        <v>534</v>
      </c>
      <c r="J393">
        <f>VLOOKUP(PREVIOS!F393&amp;VLOOKUP(PREVIOS!I393,PLAN!A:B,2,FALSE),CURSO!A:D,4,FALSE)</f>
        <v>22</v>
      </c>
      <c r="K393">
        <f>VLOOKUP(PREVIOS!H393,CICLO!A:B,2,FALSE)</f>
        <v>53</v>
      </c>
      <c r="L393">
        <f>VLOOKUP(PREVIOS!I393,PLAN!A:B,2,FALSE)</f>
        <v>6</v>
      </c>
    </row>
    <row r="394" spans="1:12" x14ac:dyDescent="0.25">
      <c r="A394" t="str">
        <f t="shared" si="6"/>
        <v>A452M252C1</v>
      </c>
      <c r="C394">
        <v>393</v>
      </c>
      <c r="D394">
        <f>VLOOKUP(PREVIOS!C394,ALUMNOS!A:B,2,FALSE)</f>
        <v>452</v>
      </c>
      <c r="E394">
        <f>VLOOKUP(PREVIOS!E394&amp;'TABLA PREVIOS'!J394,MATERIAS!A:H,7,FALSE)</f>
        <v>252</v>
      </c>
      <c r="F394">
        <f>VLOOKUP(PREVIOS!G394,CONDICION!A:B,2,FALSE)</f>
        <v>1</v>
      </c>
      <c r="G394">
        <f>IF(PREVIOS!AG394=1,1,VLOOKUP(PREVIOS!AG394,CALIFICACION!A:C,3,FALSE))</f>
        <v>1</v>
      </c>
      <c r="H394" s="1" t="s">
        <v>534</v>
      </c>
      <c r="I394" s="1" t="s">
        <v>534</v>
      </c>
      <c r="J394">
        <f>VLOOKUP(PREVIOS!F394&amp;VLOOKUP(PREVIOS!I394,PLAN!A:B,2,FALSE),CURSO!A:D,4,FALSE)</f>
        <v>20</v>
      </c>
      <c r="K394">
        <f>VLOOKUP(PREVIOS!H394,CICLO!A:B,2,FALSE)</f>
        <v>51</v>
      </c>
      <c r="L394">
        <f>VLOOKUP(PREVIOS!I394,PLAN!A:B,2,FALSE)</f>
        <v>6</v>
      </c>
    </row>
    <row r="395" spans="1:12" x14ac:dyDescent="0.25">
      <c r="A395" t="str">
        <f t="shared" si="6"/>
        <v>A452M273C1</v>
      </c>
      <c r="C395">
        <v>394</v>
      </c>
      <c r="D395">
        <f>VLOOKUP(PREVIOS!C395,ALUMNOS!A:B,2,FALSE)</f>
        <v>452</v>
      </c>
      <c r="E395">
        <f>VLOOKUP(PREVIOS!E395&amp;'TABLA PREVIOS'!J395,MATERIAS!A:H,7,FALSE)</f>
        <v>273</v>
      </c>
      <c r="F395">
        <f>VLOOKUP(PREVIOS!G395,CONDICION!A:B,2,FALSE)</f>
        <v>1</v>
      </c>
      <c r="G395">
        <f>IF(PREVIOS!AG395=1,1,VLOOKUP(PREVIOS!AG395,CALIFICACION!A:C,3,FALSE))</f>
        <v>1</v>
      </c>
      <c r="H395" s="1" t="s">
        <v>534</v>
      </c>
      <c r="I395" s="1" t="s">
        <v>534</v>
      </c>
      <c r="J395">
        <f>VLOOKUP(PREVIOS!F395&amp;VLOOKUP(PREVIOS!I395,PLAN!A:B,2,FALSE),CURSO!A:D,4,FALSE)</f>
        <v>21</v>
      </c>
      <c r="K395">
        <f>VLOOKUP(PREVIOS!H395,CICLO!A:B,2,FALSE)</f>
        <v>52</v>
      </c>
      <c r="L395">
        <f>VLOOKUP(PREVIOS!I395,PLAN!A:B,2,FALSE)</f>
        <v>6</v>
      </c>
    </row>
    <row r="396" spans="1:12" x14ac:dyDescent="0.25">
      <c r="A396" t="str">
        <f t="shared" si="6"/>
        <v>A452M285C1</v>
      </c>
      <c r="C396">
        <v>395</v>
      </c>
      <c r="D396">
        <f>VLOOKUP(PREVIOS!C396,ALUMNOS!A:B,2,FALSE)</f>
        <v>452</v>
      </c>
      <c r="E396">
        <f>VLOOKUP(PREVIOS!E396&amp;'TABLA PREVIOS'!J396,MATERIAS!A:H,7,FALSE)</f>
        <v>285</v>
      </c>
      <c r="F396">
        <f>VLOOKUP(PREVIOS!G396,CONDICION!A:B,2,FALSE)</f>
        <v>1</v>
      </c>
      <c r="G396">
        <f>IF(PREVIOS!AG396=1,1,VLOOKUP(PREVIOS!AG396,CALIFICACION!A:C,3,FALSE))</f>
        <v>1</v>
      </c>
      <c r="H396" s="1" t="s">
        <v>534</v>
      </c>
      <c r="I396" s="1" t="s">
        <v>534</v>
      </c>
      <c r="J396">
        <f>VLOOKUP(PREVIOS!F396&amp;VLOOKUP(PREVIOS!I396,PLAN!A:B,2,FALSE),CURSO!A:D,4,FALSE)</f>
        <v>22</v>
      </c>
      <c r="K396">
        <f>VLOOKUP(PREVIOS!H396,CICLO!A:B,2,FALSE)</f>
        <v>53</v>
      </c>
      <c r="L396">
        <f>VLOOKUP(PREVIOS!I396,PLAN!A:B,2,FALSE)</f>
        <v>6</v>
      </c>
    </row>
    <row r="397" spans="1:12" x14ac:dyDescent="0.25">
      <c r="A397" t="str">
        <f t="shared" si="6"/>
        <v>A452M286C1</v>
      </c>
      <c r="C397">
        <v>396</v>
      </c>
      <c r="D397">
        <f>VLOOKUP(PREVIOS!C397,ALUMNOS!A:B,2,FALSE)</f>
        <v>452</v>
      </c>
      <c r="E397">
        <f>VLOOKUP(PREVIOS!E397&amp;'TABLA PREVIOS'!J397,MATERIAS!A:H,7,FALSE)</f>
        <v>286</v>
      </c>
      <c r="F397">
        <f>VLOOKUP(PREVIOS!G397,CONDICION!A:B,2,FALSE)</f>
        <v>1</v>
      </c>
      <c r="G397">
        <f>IF(PREVIOS!AG397=1,1,VLOOKUP(PREVIOS!AG397,CALIFICACION!A:C,3,FALSE))</f>
        <v>1</v>
      </c>
      <c r="H397" s="1" t="s">
        <v>534</v>
      </c>
      <c r="I397" s="1" t="s">
        <v>534</v>
      </c>
      <c r="J397">
        <f>VLOOKUP(PREVIOS!F397&amp;VLOOKUP(PREVIOS!I397,PLAN!A:B,2,FALSE),CURSO!A:D,4,FALSE)</f>
        <v>22</v>
      </c>
      <c r="K397">
        <f>VLOOKUP(PREVIOS!H397,CICLO!A:B,2,FALSE)</f>
        <v>53</v>
      </c>
      <c r="L397">
        <f>VLOOKUP(PREVIOS!I397,PLAN!A:B,2,FALSE)</f>
        <v>6</v>
      </c>
    </row>
    <row r="398" spans="1:12" x14ac:dyDescent="0.25">
      <c r="A398" t="str">
        <f t="shared" si="6"/>
        <v>A452M292C1</v>
      </c>
      <c r="C398">
        <v>397</v>
      </c>
      <c r="D398">
        <f>VLOOKUP(PREVIOS!C398,ALUMNOS!A:B,2,FALSE)</f>
        <v>452</v>
      </c>
      <c r="E398">
        <f>VLOOKUP(PREVIOS!E398&amp;'TABLA PREVIOS'!J398,MATERIAS!A:H,7,FALSE)</f>
        <v>292</v>
      </c>
      <c r="F398">
        <f>VLOOKUP(PREVIOS!G398,CONDICION!A:B,2,FALSE)</f>
        <v>1</v>
      </c>
      <c r="G398">
        <f>IF(PREVIOS!AG398=1,1,VLOOKUP(PREVIOS!AG398,CALIFICACION!A:C,3,FALSE))</f>
        <v>1</v>
      </c>
      <c r="H398" s="1" t="s">
        <v>534</v>
      </c>
      <c r="I398" s="1" t="s">
        <v>534</v>
      </c>
      <c r="J398">
        <f>VLOOKUP(PREVIOS!F398&amp;VLOOKUP(PREVIOS!I398,PLAN!A:B,2,FALSE),CURSO!A:D,4,FALSE)</f>
        <v>22</v>
      </c>
      <c r="K398">
        <f>VLOOKUP(PREVIOS!H398,CICLO!A:B,2,FALSE)</f>
        <v>53</v>
      </c>
      <c r="L398">
        <f>VLOOKUP(PREVIOS!I398,PLAN!A:B,2,FALSE)</f>
        <v>6</v>
      </c>
    </row>
    <row r="399" spans="1:12" x14ac:dyDescent="0.25">
      <c r="A399" t="str">
        <f t="shared" si="6"/>
        <v>A452M282C1</v>
      </c>
      <c r="C399">
        <v>398</v>
      </c>
      <c r="D399">
        <f>VLOOKUP(PREVIOS!C399,ALUMNOS!A:B,2,FALSE)</f>
        <v>452</v>
      </c>
      <c r="E399">
        <f>VLOOKUP(PREVIOS!E399&amp;'TABLA PREVIOS'!J399,MATERIAS!A:H,7,FALSE)</f>
        <v>282</v>
      </c>
      <c r="F399">
        <f>VLOOKUP(PREVIOS!G399,CONDICION!A:B,2,FALSE)</f>
        <v>1</v>
      </c>
      <c r="G399">
        <f>IF(PREVIOS!AG399=1,1,VLOOKUP(PREVIOS!AG399,CALIFICACION!A:C,3,FALSE))</f>
        <v>1</v>
      </c>
      <c r="H399" s="1" t="s">
        <v>534</v>
      </c>
      <c r="I399" s="1" t="s">
        <v>534</v>
      </c>
      <c r="J399">
        <f>VLOOKUP(PREVIOS!F399&amp;VLOOKUP(PREVIOS!I399,PLAN!A:B,2,FALSE),CURSO!A:D,4,FALSE)</f>
        <v>22</v>
      </c>
      <c r="K399">
        <f>VLOOKUP(PREVIOS!H399,CICLO!A:B,2,FALSE)</f>
        <v>53</v>
      </c>
      <c r="L399">
        <f>VLOOKUP(PREVIOS!I399,PLAN!A:B,2,FALSE)</f>
        <v>6</v>
      </c>
    </row>
    <row r="400" spans="1:12" x14ac:dyDescent="0.25">
      <c r="A400" t="str">
        <f t="shared" si="6"/>
        <v>A452M280C1</v>
      </c>
      <c r="C400">
        <v>399</v>
      </c>
      <c r="D400">
        <f>VLOOKUP(PREVIOS!C400,ALUMNOS!A:B,2,FALSE)</f>
        <v>452</v>
      </c>
      <c r="E400">
        <f>VLOOKUP(PREVIOS!E400&amp;'TABLA PREVIOS'!J400,MATERIAS!A:H,7,FALSE)</f>
        <v>280</v>
      </c>
      <c r="F400">
        <f>VLOOKUP(PREVIOS!G400,CONDICION!A:B,2,FALSE)</f>
        <v>1</v>
      </c>
      <c r="G400">
        <f>IF(PREVIOS!AG400=1,1,VLOOKUP(PREVIOS!AG400,CALIFICACION!A:C,3,FALSE))</f>
        <v>1</v>
      </c>
      <c r="H400" s="1" t="s">
        <v>534</v>
      </c>
      <c r="I400" s="1" t="s">
        <v>534</v>
      </c>
      <c r="J400">
        <f>VLOOKUP(PREVIOS!F400&amp;VLOOKUP(PREVIOS!I400,PLAN!A:B,2,FALSE),CURSO!A:D,4,FALSE)</f>
        <v>22</v>
      </c>
      <c r="K400">
        <f>VLOOKUP(PREVIOS!H400,CICLO!A:B,2,FALSE)</f>
        <v>53</v>
      </c>
      <c r="L400">
        <f>VLOOKUP(PREVIOS!I400,PLAN!A:B,2,FALSE)</f>
        <v>6</v>
      </c>
    </row>
    <row r="401" spans="1:12" x14ac:dyDescent="0.25">
      <c r="A401" t="str">
        <f t="shared" si="6"/>
        <v>A452M290C1</v>
      </c>
      <c r="C401">
        <v>400</v>
      </c>
      <c r="D401">
        <f>VLOOKUP(PREVIOS!C401,ALUMNOS!A:B,2,FALSE)</f>
        <v>452</v>
      </c>
      <c r="E401">
        <f>VLOOKUP(PREVIOS!E401&amp;'TABLA PREVIOS'!J401,MATERIAS!A:H,7,FALSE)</f>
        <v>290</v>
      </c>
      <c r="F401">
        <f>VLOOKUP(PREVIOS!G401,CONDICION!A:B,2,FALSE)</f>
        <v>1</v>
      </c>
      <c r="G401">
        <f>IF(PREVIOS!AG401=1,1,VLOOKUP(PREVIOS!AG401,CALIFICACION!A:C,3,FALSE))</f>
        <v>1</v>
      </c>
      <c r="H401" s="1" t="s">
        <v>534</v>
      </c>
      <c r="I401" s="1" t="s">
        <v>534</v>
      </c>
      <c r="J401">
        <f>VLOOKUP(PREVIOS!F401&amp;VLOOKUP(PREVIOS!I401,PLAN!A:B,2,FALSE),CURSO!A:D,4,FALSE)</f>
        <v>22</v>
      </c>
      <c r="K401">
        <f>VLOOKUP(PREVIOS!H401,CICLO!A:B,2,FALSE)</f>
        <v>53</v>
      </c>
      <c r="L401">
        <f>VLOOKUP(PREVIOS!I401,PLAN!A:B,2,FALSE)</f>
        <v>6</v>
      </c>
    </row>
    <row r="402" spans="1:12" x14ac:dyDescent="0.25">
      <c r="A402" t="str">
        <f t="shared" si="6"/>
        <v>A474M285C1</v>
      </c>
      <c r="C402">
        <v>401</v>
      </c>
      <c r="D402">
        <f>VLOOKUP(PREVIOS!C402,ALUMNOS!A:B,2,FALSE)</f>
        <v>474</v>
      </c>
      <c r="E402">
        <f>VLOOKUP(PREVIOS!E402&amp;'TABLA PREVIOS'!J402,MATERIAS!A:H,7,FALSE)</f>
        <v>285</v>
      </c>
      <c r="F402">
        <f>VLOOKUP(PREVIOS!G402,CONDICION!A:B,2,FALSE)</f>
        <v>1</v>
      </c>
      <c r="G402">
        <f>IF(PREVIOS!AG402=1,1,VLOOKUP(PREVIOS!AG402,CALIFICACION!A:C,3,FALSE))</f>
        <v>1</v>
      </c>
      <c r="H402" s="1" t="s">
        <v>534</v>
      </c>
      <c r="I402" s="1" t="s">
        <v>534</v>
      </c>
      <c r="J402">
        <f>VLOOKUP(PREVIOS!F402&amp;VLOOKUP(PREVIOS!I402,PLAN!A:B,2,FALSE),CURSO!A:D,4,FALSE)</f>
        <v>22</v>
      </c>
      <c r="K402">
        <f>VLOOKUP(PREVIOS!H402,CICLO!A:B,2,FALSE)</f>
        <v>53</v>
      </c>
      <c r="L402">
        <f>VLOOKUP(PREVIOS!I402,PLAN!A:B,2,FALSE)</f>
        <v>6</v>
      </c>
    </row>
    <row r="403" spans="1:12" x14ac:dyDescent="0.25">
      <c r="A403" t="str">
        <f t="shared" si="6"/>
        <v>A474M284C1</v>
      </c>
      <c r="C403">
        <v>402</v>
      </c>
      <c r="D403">
        <f>VLOOKUP(PREVIOS!C403,ALUMNOS!A:B,2,FALSE)</f>
        <v>474</v>
      </c>
      <c r="E403">
        <f>VLOOKUP(PREVIOS!E403&amp;'TABLA PREVIOS'!J403,MATERIAS!A:H,7,FALSE)</f>
        <v>284</v>
      </c>
      <c r="F403">
        <f>VLOOKUP(PREVIOS!G403,CONDICION!A:B,2,FALSE)</f>
        <v>1</v>
      </c>
      <c r="G403">
        <f>IF(PREVIOS!AG403=1,1,VLOOKUP(PREVIOS!AG403,CALIFICACION!A:C,3,FALSE))</f>
        <v>1</v>
      </c>
      <c r="H403" s="1" t="s">
        <v>534</v>
      </c>
      <c r="I403" s="1" t="s">
        <v>534</v>
      </c>
      <c r="J403">
        <f>VLOOKUP(PREVIOS!F403&amp;VLOOKUP(PREVIOS!I403,PLAN!A:B,2,FALSE),CURSO!A:D,4,FALSE)</f>
        <v>22</v>
      </c>
      <c r="K403">
        <f>VLOOKUP(PREVIOS!H403,CICLO!A:B,2,FALSE)</f>
        <v>53</v>
      </c>
      <c r="L403">
        <f>VLOOKUP(PREVIOS!I403,PLAN!A:B,2,FALSE)</f>
        <v>6</v>
      </c>
    </row>
    <row r="404" spans="1:12" x14ac:dyDescent="0.25">
      <c r="A404" t="str">
        <f t="shared" si="6"/>
        <v>A474M287C1</v>
      </c>
      <c r="C404">
        <v>403</v>
      </c>
      <c r="D404">
        <f>VLOOKUP(PREVIOS!C404,ALUMNOS!A:B,2,FALSE)</f>
        <v>474</v>
      </c>
      <c r="E404">
        <f>VLOOKUP(PREVIOS!E404&amp;'TABLA PREVIOS'!J404,MATERIAS!A:H,7,FALSE)</f>
        <v>287</v>
      </c>
      <c r="F404">
        <f>VLOOKUP(PREVIOS!G404,CONDICION!A:B,2,FALSE)</f>
        <v>1</v>
      </c>
      <c r="G404">
        <f>IF(PREVIOS!AG404=1,1,VLOOKUP(PREVIOS!AG404,CALIFICACION!A:C,3,FALSE))</f>
        <v>1</v>
      </c>
      <c r="H404" s="1" t="s">
        <v>534</v>
      </c>
      <c r="I404" s="1" t="s">
        <v>534</v>
      </c>
      <c r="J404">
        <f>VLOOKUP(PREVIOS!F404&amp;VLOOKUP(PREVIOS!I404,PLAN!A:B,2,FALSE),CURSO!A:D,4,FALSE)</f>
        <v>22</v>
      </c>
      <c r="K404">
        <f>VLOOKUP(PREVIOS!H404,CICLO!A:B,2,FALSE)</f>
        <v>53</v>
      </c>
      <c r="L404">
        <f>VLOOKUP(PREVIOS!I404,PLAN!A:B,2,FALSE)</f>
        <v>6</v>
      </c>
    </row>
    <row r="405" spans="1:12" x14ac:dyDescent="0.25">
      <c r="A405" t="str">
        <f t="shared" si="6"/>
        <v>A474M286C1</v>
      </c>
      <c r="C405">
        <v>404</v>
      </c>
      <c r="D405">
        <f>VLOOKUP(PREVIOS!C405,ALUMNOS!A:B,2,FALSE)</f>
        <v>474</v>
      </c>
      <c r="E405">
        <f>VLOOKUP(PREVIOS!E405&amp;'TABLA PREVIOS'!J405,MATERIAS!A:H,7,FALSE)</f>
        <v>286</v>
      </c>
      <c r="F405">
        <f>VLOOKUP(PREVIOS!G405,CONDICION!A:B,2,FALSE)</f>
        <v>1</v>
      </c>
      <c r="G405">
        <f>IF(PREVIOS!AG405=1,1,VLOOKUP(PREVIOS!AG405,CALIFICACION!A:C,3,FALSE))</f>
        <v>1</v>
      </c>
      <c r="H405" s="1" t="s">
        <v>534</v>
      </c>
      <c r="I405" s="1" t="s">
        <v>534</v>
      </c>
      <c r="J405">
        <f>VLOOKUP(PREVIOS!F405&amp;VLOOKUP(PREVIOS!I405,PLAN!A:B,2,FALSE),CURSO!A:D,4,FALSE)</f>
        <v>22</v>
      </c>
      <c r="K405">
        <f>VLOOKUP(PREVIOS!H405,CICLO!A:B,2,FALSE)</f>
        <v>53</v>
      </c>
      <c r="L405">
        <f>VLOOKUP(PREVIOS!I405,PLAN!A:B,2,FALSE)</f>
        <v>6</v>
      </c>
    </row>
    <row r="406" spans="1:12" x14ac:dyDescent="0.25">
      <c r="A406" t="str">
        <f t="shared" si="6"/>
        <v>A474M292C1</v>
      </c>
      <c r="C406">
        <v>405</v>
      </c>
      <c r="D406">
        <f>VLOOKUP(PREVIOS!C406,ALUMNOS!A:B,2,FALSE)</f>
        <v>474</v>
      </c>
      <c r="E406">
        <f>VLOOKUP(PREVIOS!E406&amp;'TABLA PREVIOS'!J406,MATERIAS!A:H,7,FALSE)</f>
        <v>292</v>
      </c>
      <c r="F406">
        <f>VLOOKUP(PREVIOS!G406,CONDICION!A:B,2,FALSE)</f>
        <v>1</v>
      </c>
      <c r="G406">
        <f>IF(PREVIOS!AG406=1,1,VLOOKUP(PREVIOS!AG406,CALIFICACION!A:C,3,FALSE))</f>
        <v>1</v>
      </c>
      <c r="H406" s="1" t="s">
        <v>534</v>
      </c>
      <c r="I406" s="1" t="s">
        <v>534</v>
      </c>
      <c r="J406">
        <f>VLOOKUP(PREVIOS!F406&amp;VLOOKUP(PREVIOS!I406,PLAN!A:B,2,FALSE),CURSO!A:D,4,FALSE)</f>
        <v>22</v>
      </c>
      <c r="K406">
        <f>VLOOKUP(PREVIOS!H406,CICLO!A:B,2,FALSE)</f>
        <v>53</v>
      </c>
      <c r="L406">
        <f>VLOOKUP(PREVIOS!I406,PLAN!A:B,2,FALSE)</f>
        <v>6</v>
      </c>
    </row>
    <row r="407" spans="1:12" x14ac:dyDescent="0.25">
      <c r="A407" t="str">
        <f t="shared" si="6"/>
        <v>A474M291C1</v>
      </c>
      <c r="C407">
        <v>406</v>
      </c>
      <c r="D407">
        <f>VLOOKUP(PREVIOS!C407,ALUMNOS!A:B,2,FALSE)</f>
        <v>474</v>
      </c>
      <c r="E407">
        <f>VLOOKUP(PREVIOS!E407&amp;'TABLA PREVIOS'!J407,MATERIAS!A:H,7,FALSE)</f>
        <v>291</v>
      </c>
      <c r="F407">
        <f>VLOOKUP(PREVIOS!G407,CONDICION!A:B,2,FALSE)</f>
        <v>1</v>
      </c>
      <c r="G407">
        <f>IF(PREVIOS!AG407=1,1,VLOOKUP(PREVIOS!AG407,CALIFICACION!A:C,3,FALSE))</f>
        <v>1</v>
      </c>
      <c r="H407" s="1" t="s">
        <v>534</v>
      </c>
      <c r="I407" s="1" t="s">
        <v>534</v>
      </c>
      <c r="J407">
        <f>VLOOKUP(PREVIOS!F407&amp;VLOOKUP(PREVIOS!I407,PLAN!A:B,2,FALSE),CURSO!A:D,4,FALSE)</f>
        <v>22</v>
      </c>
      <c r="K407">
        <f>VLOOKUP(PREVIOS!H407,CICLO!A:B,2,FALSE)</f>
        <v>53</v>
      </c>
      <c r="L407">
        <f>VLOOKUP(PREVIOS!I407,PLAN!A:B,2,FALSE)</f>
        <v>6</v>
      </c>
    </row>
    <row r="408" spans="1:12" x14ac:dyDescent="0.25">
      <c r="A408" t="str">
        <f t="shared" si="6"/>
        <v>A474M282C1</v>
      </c>
      <c r="C408">
        <v>407</v>
      </c>
      <c r="D408">
        <f>VLOOKUP(PREVIOS!C408,ALUMNOS!A:B,2,FALSE)</f>
        <v>474</v>
      </c>
      <c r="E408">
        <f>VLOOKUP(PREVIOS!E408&amp;'TABLA PREVIOS'!J408,MATERIAS!A:H,7,FALSE)</f>
        <v>282</v>
      </c>
      <c r="F408">
        <f>VLOOKUP(PREVIOS!G408,CONDICION!A:B,2,FALSE)</f>
        <v>1</v>
      </c>
      <c r="G408">
        <f>IF(PREVIOS!AG408=1,1,VLOOKUP(PREVIOS!AG408,CALIFICACION!A:C,3,FALSE))</f>
        <v>1</v>
      </c>
      <c r="H408" s="1" t="s">
        <v>534</v>
      </c>
      <c r="I408" s="1" t="s">
        <v>534</v>
      </c>
      <c r="J408">
        <f>VLOOKUP(PREVIOS!F408&amp;VLOOKUP(PREVIOS!I408,PLAN!A:B,2,FALSE),CURSO!A:D,4,FALSE)</f>
        <v>22</v>
      </c>
      <c r="K408">
        <f>VLOOKUP(PREVIOS!H408,CICLO!A:B,2,FALSE)</f>
        <v>53</v>
      </c>
      <c r="L408">
        <f>VLOOKUP(PREVIOS!I408,PLAN!A:B,2,FALSE)</f>
        <v>6</v>
      </c>
    </row>
    <row r="409" spans="1:12" x14ac:dyDescent="0.25">
      <c r="A409" t="str">
        <f t="shared" si="6"/>
        <v>A474M279C1</v>
      </c>
      <c r="C409">
        <v>408</v>
      </c>
      <c r="D409">
        <f>VLOOKUP(PREVIOS!C409,ALUMNOS!A:B,2,FALSE)</f>
        <v>474</v>
      </c>
      <c r="E409">
        <f>VLOOKUP(PREVIOS!E409&amp;'TABLA PREVIOS'!J409,MATERIAS!A:H,7,FALSE)</f>
        <v>279</v>
      </c>
      <c r="F409">
        <f>VLOOKUP(PREVIOS!G409,CONDICION!A:B,2,FALSE)</f>
        <v>1</v>
      </c>
      <c r="G409">
        <f>IF(PREVIOS!AG409=1,1,VLOOKUP(PREVIOS!AG409,CALIFICACION!A:C,3,FALSE))</f>
        <v>1</v>
      </c>
      <c r="H409" s="1" t="s">
        <v>534</v>
      </c>
      <c r="I409" s="1" t="s">
        <v>534</v>
      </c>
      <c r="J409">
        <f>VLOOKUP(PREVIOS!F409&amp;VLOOKUP(PREVIOS!I409,PLAN!A:B,2,FALSE),CURSO!A:D,4,FALSE)</f>
        <v>22</v>
      </c>
      <c r="K409">
        <f>VLOOKUP(PREVIOS!H409,CICLO!A:B,2,FALSE)</f>
        <v>53</v>
      </c>
      <c r="L409">
        <f>VLOOKUP(PREVIOS!I409,PLAN!A:B,2,FALSE)</f>
        <v>6</v>
      </c>
    </row>
    <row r="410" spans="1:12" x14ac:dyDescent="0.25">
      <c r="A410" t="str">
        <f t="shared" si="6"/>
        <v>A474M280C1</v>
      </c>
      <c r="C410">
        <v>409</v>
      </c>
      <c r="D410">
        <f>VLOOKUP(PREVIOS!C410,ALUMNOS!A:B,2,FALSE)</f>
        <v>474</v>
      </c>
      <c r="E410">
        <f>VLOOKUP(PREVIOS!E410&amp;'TABLA PREVIOS'!J410,MATERIAS!A:H,7,FALSE)</f>
        <v>280</v>
      </c>
      <c r="F410">
        <f>VLOOKUP(PREVIOS!G410,CONDICION!A:B,2,FALSE)</f>
        <v>1</v>
      </c>
      <c r="G410">
        <f>IF(PREVIOS!AG410=1,1,VLOOKUP(PREVIOS!AG410,CALIFICACION!A:C,3,FALSE))</f>
        <v>1</v>
      </c>
      <c r="H410" s="1" t="s">
        <v>534</v>
      </c>
      <c r="I410" s="1" t="s">
        <v>534</v>
      </c>
      <c r="J410">
        <f>VLOOKUP(PREVIOS!F410&amp;VLOOKUP(PREVIOS!I410,PLAN!A:B,2,FALSE),CURSO!A:D,4,FALSE)</f>
        <v>22</v>
      </c>
      <c r="K410">
        <f>VLOOKUP(PREVIOS!H410,CICLO!A:B,2,FALSE)</f>
        <v>53</v>
      </c>
      <c r="L410">
        <f>VLOOKUP(PREVIOS!I410,PLAN!A:B,2,FALSE)</f>
        <v>6</v>
      </c>
    </row>
    <row r="411" spans="1:12" x14ac:dyDescent="0.25">
      <c r="A411" t="str">
        <f t="shared" si="6"/>
        <v>A474M281C1</v>
      </c>
      <c r="C411">
        <v>410</v>
      </c>
      <c r="D411">
        <f>VLOOKUP(PREVIOS!C411,ALUMNOS!A:B,2,FALSE)</f>
        <v>474</v>
      </c>
      <c r="E411">
        <f>VLOOKUP(PREVIOS!E411&amp;'TABLA PREVIOS'!J411,MATERIAS!A:H,7,FALSE)</f>
        <v>281</v>
      </c>
      <c r="F411">
        <f>VLOOKUP(PREVIOS!G411,CONDICION!A:B,2,FALSE)</f>
        <v>1</v>
      </c>
      <c r="G411">
        <f>IF(PREVIOS!AG411=1,1,VLOOKUP(PREVIOS!AG411,CALIFICACION!A:C,3,FALSE))</f>
        <v>1</v>
      </c>
      <c r="H411" s="1" t="s">
        <v>534</v>
      </c>
      <c r="I411" s="1" t="s">
        <v>534</v>
      </c>
      <c r="J411">
        <f>VLOOKUP(PREVIOS!F411&amp;VLOOKUP(PREVIOS!I411,PLAN!A:B,2,FALSE),CURSO!A:D,4,FALSE)</f>
        <v>22</v>
      </c>
      <c r="K411">
        <f>VLOOKUP(PREVIOS!H411,CICLO!A:B,2,FALSE)</f>
        <v>53</v>
      </c>
      <c r="L411">
        <f>VLOOKUP(PREVIOS!I411,PLAN!A:B,2,FALSE)</f>
        <v>6</v>
      </c>
    </row>
    <row r="412" spans="1:12" x14ac:dyDescent="0.25">
      <c r="A412" t="str">
        <f t="shared" si="6"/>
        <v>A474M288C1</v>
      </c>
      <c r="C412">
        <v>411</v>
      </c>
      <c r="D412">
        <f>VLOOKUP(PREVIOS!C412,ALUMNOS!A:B,2,FALSE)</f>
        <v>474</v>
      </c>
      <c r="E412">
        <f>VLOOKUP(PREVIOS!E412&amp;'TABLA PREVIOS'!J412,MATERIAS!A:H,7,FALSE)</f>
        <v>288</v>
      </c>
      <c r="F412">
        <f>VLOOKUP(PREVIOS!G412,CONDICION!A:B,2,FALSE)</f>
        <v>1</v>
      </c>
      <c r="G412">
        <f>IF(PREVIOS!AG412=1,1,VLOOKUP(PREVIOS!AG412,CALIFICACION!A:C,3,FALSE))</f>
        <v>1</v>
      </c>
      <c r="H412" s="1" t="s">
        <v>534</v>
      </c>
      <c r="I412" s="1" t="s">
        <v>534</v>
      </c>
      <c r="J412">
        <f>VLOOKUP(PREVIOS!F412&amp;VLOOKUP(PREVIOS!I412,PLAN!A:B,2,FALSE),CURSO!A:D,4,FALSE)</f>
        <v>22</v>
      </c>
      <c r="K412">
        <f>VLOOKUP(PREVIOS!H412,CICLO!A:B,2,FALSE)</f>
        <v>53</v>
      </c>
      <c r="L412">
        <f>VLOOKUP(PREVIOS!I412,PLAN!A:B,2,FALSE)</f>
        <v>6</v>
      </c>
    </row>
    <row r="413" spans="1:12" x14ac:dyDescent="0.25">
      <c r="A413" t="str">
        <f t="shared" si="6"/>
        <v>A474M290C1</v>
      </c>
      <c r="C413">
        <v>412</v>
      </c>
      <c r="D413">
        <f>VLOOKUP(PREVIOS!C413,ALUMNOS!A:B,2,FALSE)</f>
        <v>474</v>
      </c>
      <c r="E413">
        <f>VLOOKUP(PREVIOS!E413&amp;'TABLA PREVIOS'!J413,MATERIAS!A:H,7,FALSE)</f>
        <v>290</v>
      </c>
      <c r="F413">
        <f>VLOOKUP(PREVIOS!G413,CONDICION!A:B,2,FALSE)</f>
        <v>1</v>
      </c>
      <c r="G413">
        <f>IF(PREVIOS!AG413=1,1,VLOOKUP(PREVIOS!AG413,CALIFICACION!A:C,3,FALSE))</f>
        <v>1</v>
      </c>
      <c r="H413" s="1" t="s">
        <v>534</v>
      </c>
      <c r="I413" s="1" t="s">
        <v>534</v>
      </c>
      <c r="J413">
        <f>VLOOKUP(PREVIOS!F413&amp;VLOOKUP(PREVIOS!I413,PLAN!A:B,2,FALSE),CURSO!A:D,4,FALSE)</f>
        <v>22</v>
      </c>
      <c r="K413">
        <f>VLOOKUP(PREVIOS!H413,CICLO!A:B,2,FALSE)</f>
        <v>53</v>
      </c>
      <c r="L413">
        <f>VLOOKUP(PREVIOS!I413,PLAN!A:B,2,FALSE)</f>
        <v>6</v>
      </c>
    </row>
    <row r="414" spans="1:12" x14ac:dyDescent="0.25">
      <c r="A414" t="str">
        <f t="shared" si="6"/>
        <v>A89M245C1</v>
      </c>
      <c r="C414">
        <v>413</v>
      </c>
      <c r="D414">
        <f>VLOOKUP(PREVIOS!C414,ALUMNOS!A:B,2,FALSE)</f>
        <v>89</v>
      </c>
      <c r="E414">
        <f>VLOOKUP(PREVIOS!E414&amp;'TABLA PREVIOS'!J414,MATERIAS!A:H,7,FALSE)</f>
        <v>245</v>
      </c>
      <c r="F414">
        <f>VLOOKUP(PREVIOS!G414,CONDICION!A:B,2,FALSE)</f>
        <v>1</v>
      </c>
      <c r="G414">
        <f>IF(PREVIOS!AG414=1,1,VLOOKUP(PREVIOS!AG414,CALIFICACION!A:C,3,FALSE))</f>
        <v>1</v>
      </c>
      <c r="H414" s="1" t="s">
        <v>534</v>
      </c>
      <c r="I414" s="1" t="s">
        <v>534</v>
      </c>
      <c r="J414">
        <f>VLOOKUP(PREVIOS!F414&amp;VLOOKUP(PREVIOS!I414,PLAN!A:B,2,FALSE),CURSO!A:D,4,FALSE)</f>
        <v>19</v>
      </c>
      <c r="K414">
        <f>VLOOKUP(PREVIOS!H414,CICLO!A:B,2,FALSE)</f>
        <v>50</v>
      </c>
      <c r="L414">
        <f>VLOOKUP(PREVIOS!I414,PLAN!A:B,2,FALSE)</f>
        <v>5</v>
      </c>
    </row>
    <row r="415" spans="1:12" x14ac:dyDescent="0.25">
      <c r="A415" t="str">
        <f t="shared" si="6"/>
        <v>A636M245C1</v>
      </c>
      <c r="C415">
        <v>414</v>
      </c>
      <c r="D415">
        <f>VLOOKUP(PREVIOS!C415,ALUMNOS!A:B,2,FALSE)</f>
        <v>636</v>
      </c>
      <c r="E415">
        <f>VLOOKUP(PREVIOS!E415&amp;'TABLA PREVIOS'!J415,MATERIAS!A:H,7,FALSE)</f>
        <v>245</v>
      </c>
      <c r="F415">
        <f>VLOOKUP(PREVIOS!G415,CONDICION!A:B,2,FALSE)</f>
        <v>1</v>
      </c>
      <c r="G415">
        <f>IF(PREVIOS!AG415=1,1,VLOOKUP(PREVIOS!AG415,CALIFICACION!A:C,3,FALSE))</f>
        <v>1</v>
      </c>
      <c r="H415" s="1" t="s">
        <v>534</v>
      </c>
      <c r="I415" s="1" t="s">
        <v>534</v>
      </c>
      <c r="J415">
        <f>VLOOKUP(PREVIOS!F415&amp;VLOOKUP(PREVIOS!I415,PLAN!A:B,2,FALSE),CURSO!A:D,4,FALSE)</f>
        <v>19</v>
      </c>
      <c r="K415">
        <f>VLOOKUP(PREVIOS!H415,CICLO!A:B,2,FALSE)</f>
        <v>50</v>
      </c>
      <c r="L415">
        <f>VLOOKUP(PREVIOS!I415,PLAN!A:B,2,FALSE)</f>
        <v>5</v>
      </c>
    </row>
    <row r="416" spans="1:12" x14ac:dyDescent="0.25">
      <c r="A416" t="str">
        <f t="shared" si="6"/>
        <v>A636M255C1</v>
      </c>
      <c r="C416">
        <v>415</v>
      </c>
      <c r="D416">
        <f>VLOOKUP(PREVIOS!C416,ALUMNOS!A:B,2,FALSE)</f>
        <v>636</v>
      </c>
      <c r="E416">
        <f>VLOOKUP(PREVIOS!E416&amp;'TABLA PREVIOS'!J416,MATERIAS!A:H,7,FALSE)</f>
        <v>255</v>
      </c>
      <c r="F416">
        <f>VLOOKUP(PREVIOS!G416,CONDICION!A:B,2,FALSE)</f>
        <v>1</v>
      </c>
      <c r="G416">
        <f>IF(PREVIOS!AG416=1,1,VLOOKUP(PREVIOS!AG416,CALIFICACION!A:C,3,FALSE))</f>
        <v>1</v>
      </c>
      <c r="H416" s="1" t="s">
        <v>534</v>
      </c>
      <c r="I416" s="1" t="s">
        <v>534</v>
      </c>
      <c r="J416">
        <f>VLOOKUP(PREVIOS!F416&amp;VLOOKUP(PREVIOS!I416,PLAN!A:B,2,FALSE),CURSO!A:D,4,FALSE)</f>
        <v>20</v>
      </c>
      <c r="K416">
        <f>VLOOKUP(PREVIOS!H416,CICLO!A:B,2,FALSE)</f>
        <v>51</v>
      </c>
      <c r="L416">
        <f>VLOOKUP(PREVIOS!I416,PLAN!A:B,2,FALSE)</f>
        <v>6</v>
      </c>
    </row>
    <row r="417" spans="1:12" x14ac:dyDescent="0.25">
      <c r="A417" t="str">
        <f t="shared" si="6"/>
        <v>A636M264C1</v>
      </c>
      <c r="C417">
        <v>416</v>
      </c>
      <c r="D417">
        <f>VLOOKUP(PREVIOS!C417,ALUMNOS!A:B,2,FALSE)</f>
        <v>636</v>
      </c>
      <c r="E417">
        <f>VLOOKUP(PREVIOS!E417&amp;'TABLA PREVIOS'!J417,MATERIAS!A:H,7,FALSE)</f>
        <v>264</v>
      </c>
      <c r="F417">
        <f>VLOOKUP(PREVIOS!G417,CONDICION!A:B,2,FALSE)</f>
        <v>1</v>
      </c>
      <c r="G417">
        <f>IF(PREVIOS!AG417=1,1,VLOOKUP(PREVIOS!AG417,CALIFICACION!A:C,3,FALSE))</f>
        <v>1</v>
      </c>
      <c r="H417" s="1" t="s">
        <v>534</v>
      </c>
      <c r="I417" s="1" t="s">
        <v>534</v>
      </c>
      <c r="J417">
        <f>VLOOKUP(PREVIOS!F417&amp;VLOOKUP(PREVIOS!I417,PLAN!A:B,2,FALSE),CURSO!A:D,4,FALSE)</f>
        <v>21</v>
      </c>
      <c r="K417">
        <f>VLOOKUP(PREVIOS!H417,CICLO!A:B,2,FALSE)</f>
        <v>52</v>
      </c>
      <c r="L417">
        <f>VLOOKUP(PREVIOS!I417,PLAN!A:B,2,FALSE)</f>
        <v>6</v>
      </c>
    </row>
    <row r="418" spans="1:12" x14ac:dyDescent="0.25">
      <c r="A418" t="str">
        <f t="shared" si="6"/>
        <v>A636M285C1</v>
      </c>
      <c r="C418">
        <v>417</v>
      </c>
      <c r="D418">
        <f>VLOOKUP(PREVIOS!C418,ALUMNOS!A:B,2,FALSE)</f>
        <v>636</v>
      </c>
      <c r="E418">
        <f>VLOOKUP(PREVIOS!E418&amp;'TABLA PREVIOS'!J418,MATERIAS!A:H,7,FALSE)</f>
        <v>285</v>
      </c>
      <c r="F418">
        <f>VLOOKUP(PREVIOS!G418,CONDICION!A:B,2,FALSE)</f>
        <v>1</v>
      </c>
      <c r="G418">
        <f>IF(PREVIOS!AG418=1,1,VLOOKUP(PREVIOS!AG418,CALIFICACION!A:C,3,FALSE))</f>
        <v>1</v>
      </c>
      <c r="H418" s="1" t="s">
        <v>534</v>
      </c>
      <c r="I418" s="1" t="s">
        <v>534</v>
      </c>
      <c r="J418">
        <f>VLOOKUP(PREVIOS!F418&amp;VLOOKUP(PREVIOS!I418,PLAN!A:B,2,FALSE),CURSO!A:D,4,FALSE)</f>
        <v>22</v>
      </c>
      <c r="K418">
        <f>VLOOKUP(PREVIOS!H418,CICLO!A:B,2,FALSE)</f>
        <v>53</v>
      </c>
      <c r="L418">
        <f>VLOOKUP(PREVIOS!I418,PLAN!A:B,2,FALSE)</f>
        <v>6</v>
      </c>
    </row>
    <row r="419" spans="1:12" x14ac:dyDescent="0.25">
      <c r="A419" t="str">
        <f t="shared" si="6"/>
        <v>A636M284C1</v>
      </c>
      <c r="C419">
        <v>418</v>
      </c>
      <c r="D419">
        <f>VLOOKUP(PREVIOS!C419,ALUMNOS!A:B,2,FALSE)</f>
        <v>636</v>
      </c>
      <c r="E419">
        <f>VLOOKUP(PREVIOS!E419&amp;'TABLA PREVIOS'!J419,MATERIAS!A:H,7,FALSE)</f>
        <v>284</v>
      </c>
      <c r="F419">
        <f>VLOOKUP(PREVIOS!G419,CONDICION!A:B,2,FALSE)</f>
        <v>1</v>
      </c>
      <c r="G419">
        <f>IF(PREVIOS!AG419=1,1,VLOOKUP(PREVIOS!AG419,CALIFICACION!A:C,3,FALSE))</f>
        <v>1</v>
      </c>
      <c r="H419" s="1" t="s">
        <v>534</v>
      </c>
      <c r="I419" s="1" t="s">
        <v>534</v>
      </c>
      <c r="J419">
        <f>VLOOKUP(PREVIOS!F419&amp;VLOOKUP(PREVIOS!I419,PLAN!A:B,2,FALSE),CURSO!A:D,4,FALSE)</f>
        <v>22</v>
      </c>
      <c r="K419">
        <f>VLOOKUP(PREVIOS!H419,CICLO!A:B,2,FALSE)</f>
        <v>53</v>
      </c>
      <c r="L419">
        <f>VLOOKUP(PREVIOS!I419,PLAN!A:B,2,FALSE)</f>
        <v>6</v>
      </c>
    </row>
    <row r="420" spans="1:12" x14ac:dyDescent="0.25">
      <c r="A420" t="str">
        <f t="shared" si="6"/>
        <v>A636M287C1</v>
      </c>
      <c r="C420">
        <v>419</v>
      </c>
      <c r="D420">
        <f>VLOOKUP(PREVIOS!C420,ALUMNOS!A:B,2,FALSE)</f>
        <v>636</v>
      </c>
      <c r="E420">
        <f>VLOOKUP(PREVIOS!E420&amp;'TABLA PREVIOS'!J420,MATERIAS!A:H,7,FALSE)</f>
        <v>287</v>
      </c>
      <c r="F420">
        <f>VLOOKUP(PREVIOS!G420,CONDICION!A:B,2,FALSE)</f>
        <v>1</v>
      </c>
      <c r="G420">
        <f>IF(PREVIOS!AG420=1,1,VLOOKUP(PREVIOS!AG420,CALIFICACION!A:C,3,FALSE))</f>
        <v>1</v>
      </c>
      <c r="H420" s="1" t="s">
        <v>534</v>
      </c>
      <c r="I420" s="1" t="s">
        <v>534</v>
      </c>
      <c r="J420">
        <f>VLOOKUP(PREVIOS!F420&amp;VLOOKUP(PREVIOS!I420,PLAN!A:B,2,FALSE),CURSO!A:D,4,FALSE)</f>
        <v>22</v>
      </c>
      <c r="K420">
        <f>VLOOKUP(PREVIOS!H420,CICLO!A:B,2,FALSE)</f>
        <v>53</v>
      </c>
      <c r="L420">
        <f>VLOOKUP(PREVIOS!I420,PLAN!A:B,2,FALSE)</f>
        <v>6</v>
      </c>
    </row>
    <row r="421" spans="1:12" x14ac:dyDescent="0.25">
      <c r="A421" t="str">
        <f t="shared" si="6"/>
        <v>A636M286C1</v>
      </c>
      <c r="C421">
        <v>420</v>
      </c>
      <c r="D421">
        <f>VLOOKUP(PREVIOS!C421,ALUMNOS!A:B,2,FALSE)</f>
        <v>636</v>
      </c>
      <c r="E421">
        <f>VLOOKUP(PREVIOS!E421&amp;'TABLA PREVIOS'!J421,MATERIAS!A:H,7,FALSE)</f>
        <v>286</v>
      </c>
      <c r="F421">
        <f>VLOOKUP(PREVIOS!G421,CONDICION!A:B,2,FALSE)</f>
        <v>1</v>
      </c>
      <c r="G421">
        <f>IF(PREVIOS!AG421=1,1,VLOOKUP(PREVIOS!AG421,CALIFICACION!A:C,3,FALSE))</f>
        <v>1</v>
      </c>
      <c r="H421" s="1" t="s">
        <v>534</v>
      </c>
      <c r="I421" s="1" t="s">
        <v>534</v>
      </c>
      <c r="J421">
        <f>VLOOKUP(PREVIOS!F421&amp;VLOOKUP(PREVIOS!I421,PLAN!A:B,2,FALSE),CURSO!A:D,4,FALSE)</f>
        <v>22</v>
      </c>
      <c r="K421">
        <f>VLOOKUP(PREVIOS!H421,CICLO!A:B,2,FALSE)</f>
        <v>53</v>
      </c>
      <c r="L421">
        <f>VLOOKUP(PREVIOS!I421,PLAN!A:B,2,FALSE)</f>
        <v>6</v>
      </c>
    </row>
    <row r="422" spans="1:12" x14ac:dyDescent="0.25">
      <c r="A422" t="str">
        <f t="shared" si="6"/>
        <v>A636M292C1</v>
      </c>
      <c r="C422">
        <v>421</v>
      </c>
      <c r="D422">
        <f>VLOOKUP(PREVIOS!C422,ALUMNOS!A:B,2,FALSE)</f>
        <v>636</v>
      </c>
      <c r="E422">
        <f>VLOOKUP(PREVIOS!E422&amp;'TABLA PREVIOS'!J422,MATERIAS!A:H,7,FALSE)</f>
        <v>292</v>
      </c>
      <c r="F422">
        <f>VLOOKUP(PREVIOS!G422,CONDICION!A:B,2,FALSE)</f>
        <v>1</v>
      </c>
      <c r="G422">
        <f>IF(PREVIOS!AG422=1,1,VLOOKUP(PREVIOS!AG422,CALIFICACION!A:C,3,FALSE))</f>
        <v>1</v>
      </c>
      <c r="H422" s="1" t="s">
        <v>534</v>
      </c>
      <c r="I422" s="1" t="s">
        <v>534</v>
      </c>
      <c r="J422">
        <f>VLOOKUP(PREVIOS!F422&amp;VLOOKUP(PREVIOS!I422,PLAN!A:B,2,FALSE),CURSO!A:D,4,FALSE)</f>
        <v>22</v>
      </c>
      <c r="K422">
        <f>VLOOKUP(PREVIOS!H422,CICLO!A:B,2,FALSE)</f>
        <v>53</v>
      </c>
      <c r="L422">
        <f>VLOOKUP(PREVIOS!I422,PLAN!A:B,2,FALSE)</f>
        <v>6</v>
      </c>
    </row>
    <row r="423" spans="1:12" x14ac:dyDescent="0.25">
      <c r="A423" t="str">
        <f t="shared" si="6"/>
        <v>A636M291C1</v>
      </c>
      <c r="C423">
        <v>422</v>
      </c>
      <c r="D423">
        <f>VLOOKUP(PREVIOS!C423,ALUMNOS!A:B,2,FALSE)</f>
        <v>636</v>
      </c>
      <c r="E423">
        <f>VLOOKUP(PREVIOS!E423&amp;'TABLA PREVIOS'!J423,MATERIAS!A:H,7,FALSE)</f>
        <v>291</v>
      </c>
      <c r="F423">
        <f>VLOOKUP(PREVIOS!G423,CONDICION!A:B,2,FALSE)</f>
        <v>1</v>
      </c>
      <c r="G423">
        <f>IF(PREVIOS!AG423=1,1,VLOOKUP(PREVIOS!AG423,CALIFICACION!A:C,3,FALSE))</f>
        <v>1</v>
      </c>
      <c r="H423" s="1" t="s">
        <v>534</v>
      </c>
      <c r="I423" s="1" t="s">
        <v>534</v>
      </c>
      <c r="J423">
        <f>VLOOKUP(PREVIOS!F423&amp;VLOOKUP(PREVIOS!I423,PLAN!A:B,2,FALSE),CURSO!A:D,4,FALSE)</f>
        <v>22</v>
      </c>
      <c r="K423">
        <f>VLOOKUP(PREVIOS!H423,CICLO!A:B,2,FALSE)</f>
        <v>53</v>
      </c>
      <c r="L423">
        <f>VLOOKUP(PREVIOS!I423,PLAN!A:B,2,FALSE)</f>
        <v>6</v>
      </c>
    </row>
    <row r="424" spans="1:12" x14ac:dyDescent="0.25">
      <c r="A424" t="str">
        <f t="shared" si="6"/>
        <v>A636M282C1</v>
      </c>
      <c r="C424">
        <v>423</v>
      </c>
      <c r="D424">
        <f>VLOOKUP(PREVIOS!C424,ALUMNOS!A:B,2,FALSE)</f>
        <v>636</v>
      </c>
      <c r="E424">
        <f>VLOOKUP(PREVIOS!E424&amp;'TABLA PREVIOS'!J424,MATERIAS!A:H,7,FALSE)</f>
        <v>282</v>
      </c>
      <c r="F424">
        <f>VLOOKUP(PREVIOS!G424,CONDICION!A:B,2,FALSE)</f>
        <v>1</v>
      </c>
      <c r="G424">
        <f>IF(PREVIOS!AG424=1,1,VLOOKUP(PREVIOS!AG424,CALIFICACION!A:C,3,FALSE))</f>
        <v>1</v>
      </c>
      <c r="H424" s="1" t="s">
        <v>534</v>
      </c>
      <c r="I424" s="1" t="s">
        <v>534</v>
      </c>
      <c r="J424">
        <f>VLOOKUP(PREVIOS!F424&amp;VLOOKUP(PREVIOS!I424,PLAN!A:B,2,FALSE),CURSO!A:D,4,FALSE)</f>
        <v>22</v>
      </c>
      <c r="K424">
        <f>VLOOKUP(PREVIOS!H424,CICLO!A:B,2,FALSE)</f>
        <v>53</v>
      </c>
      <c r="L424">
        <f>VLOOKUP(PREVIOS!I424,PLAN!A:B,2,FALSE)</f>
        <v>6</v>
      </c>
    </row>
    <row r="425" spans="1:12" x14ac:dyDescent="0.25">
      <c r="A425" t="str">
        <f t="shared" si="6"/>
        <v>A636M279C1</v>
      </c>
      <c r="C425">
        <v>424</v>
      </c>
      <c r="D425">
        <f>VLOOKUP(PREVIOS!C425,ALUMNOS!A:B,2,FALSE)</f>
        <v>636</v>
      </c>
      <c r="E425">
        <f>VLOOKUP(PREVIOS!E425&amp;'TABLA PREVIOS'!J425,MATERIAS!A:H,7,FALSE)</f>
        <v>279</v>
      </c>
      <c r="F425">
        <f>VLOOKUP(PREVIOS!G425,CONDICION!A:B,2,FALSE)</f>
        <v>1</v>
      </c>
      <c r="G425">
        <f>IF(PREVIOS!AG425=1,1,VLOOKUP(PREVIOS!AG425,CALIFICACION!A:C,3,FALSE))</f>
        <v>1</v>
      </c>
      <c r="H425" s="1" t="s">
        <v>534</v>
      </c>
      <c r="I425" s="1" t="s">
        <v>534</v>
      </c>
      <c r="J425">
        <f>VLOOKUP(PREVIOS!F425&amp;VLOOKUP(PREVIOS!I425,PLAN!A:B,2,FALSE),CURSO!A:D,4,FALSE)</f>
        <v>22</v>
      </c>
      <c r="K425">
        <f>VLOOKUP(PREVIOS!H425,CICLO!A:B,2,FALSE)</f>
        <v>53</v>
      </c>
      <c r="L425">
        <f>VLOOKUP(PREVIOS!I425,PLAN!A:B,2,FALSE)</f>
        <v>6</v>
      </c>
    </row>
    <row r="426" spans="1:12" x14ac:dyDescent="0.25">
      <c r="A426" t="str">
        <f t="shared" si="6"/>
        <v>A636M280C1</v>
      </c>
      <c r="C426">
        <v>425</v>
      </c>
      <c r="D426">
        <f>VLOOKUP(PREVIOS!C426,ALUMNOS!A:B,2,FALSE)</f>
        <v>636</v>
      </c>
      <c r="E426">
        <f>VLOOKUP(PREVIOS!E426&amp;'TABLA PREVIOS'!J426,MATERIAS!A:H,7,FALSE)</f>
        <v>280</v>
      </c>
      <c r="F426">
        <f>VLOOKUP(PREVIOS!G426,CONDICION!A:B,2,FALSE)</f>
        <v>1</v>
      </c>
      <c r="G426">
        <f>IF(PREVIOS!AG426=1,1,VLOOKUP(PREVIOS!AG426,CALIFICACION!A:C,3,FALSE))</f>
        <v>1</v>
      </c>
      <c r="H426" s="1" t="s">
        <v>534</v>
      </c>
      <c r="I426" s="1" t="s">
        <v>534</v>
      </c>
      <c r="J426">
        <f>VLOOKUP(PREVIOS!F426&amp;VLOOKUP(PREVIOS!I426,PLAN!A:B,2,FALSE),CURSO!A:D,4,FALSE)</f>
        <v>22</v>
      </c>
      <c r="K426">
        <f>VLOOKUP(PREVIOS!H426,CICLO!A:B,2,FALSE)</f>
        <v>53</v>
      </c>
      <c r="L426">
        <f>VLOOKUP(PREVIOS!I426,PLAN!A:B,2,FALSE)</f>
        <v>6</v>
      </c>
    </row>
    <row r="427" spans="1:12" x14ac:dyDescent="0.25">
      <c r="A427" t="str">
        <f t="shared" si="6"/>
        <v>A636M281C1</v>
      </c>
      <c r="C427">
        <v>426</v>
      </c>
      <c r="D427">
        <f>VLOOKUP(PREVIOS!C427,ALUMNOS!A:B,2,FALSE)</f>
        <v>636</v>
      </c>
      <c r="E427">
        <f>VLOOKUP(PREVIOS!E427&amp;'TABLA PREVIOS'!J427,MATERIAS!A:H,7,FALSE)</f>
        <v>281</v>
      </c>
      <c r="F427">
        <f>VLOOKUP(PREVIOS!G427,CONDICION!A:B,2,FALSE)</f>
        <v>1</v>
      </c>
      <c r="G427">
        <f>IF(PREVIOS!AG427=1,1,VLOOKUP(PREVIOS!AG427,CALIFICACION!A:C,3,FALSE))</f>
        <v>1</v>
      </c>
      <c r="H427" s="1" t="s">
        <v>534</v>
      </c>
      <c r="I427" s="1" t="s">
        <v>534</v>
      </c>
      <c r="J427">
        <f>VLOOKUP(PREVIOS!F427&amp;VLOOKUP(PREVIOS!I427,PLAN!A:B,2,FALSE),CURSO!A:D,4,FALSE)</f>
        <v>22</v>
      </c>
      <c r="K427">
        <f>VLOOKUP(PREVIOS!H427,CICLO!A:B,2,FALSE)</f>
        <v>53</v>
      </c>
      <c r="L427">
        <f>VLOOKUP(PREVIOS!I427,PLAN!A:B,2,FALSE)</f>
        <v>6</v>
      </c>
    </row>
    <row r="428" spans="1:12" x14ac:dyDescent="0.25">
      <c r="A428" t="str">
        <f t="shared" si="6"/>
        <v>A636M288C1</v>
      </c>
      <c r="C428">
        <v>427</v>
      </c>
      <c r="D428">
        <f>VLOOKUP(PREVIOS!C428,ALUMNOS!A:B,2,FALSE)</f>
        <v>636</v>
      </c>
      <c r="E428">
        <f>VLOOKUP(PREVIOS!E428&amp;'TABLA PREVIOS'!J428,MATERIAS!A:H,7,FALSE)</f>
        <v>288</v>
      </c>
      <c r="F428">
        <f>VLOOKUP(PREVIOS!G428,CONDICION!A:B,2,FALSE)</f>
        <v>1</v>
      </c>
      <c r="G428">
        <f>IF(PREVIOS!AG428=1,1,VLOOKUP(PREVIOS!AG428,CALIFICACION!A:C,3,FALSE))</f>
        <v>1</v>
      </c>
      <c r="H428" s="1" t="s">
        <v>534</v>
      </c>
      <c r="I428" s="1" t="s">
        <v>534</v>
      </c>
      <c r="J428">
        <f>VLOOKUP(PREVIOS!F428&amp;VLOOKUP(PREVIOS!I428,PLAN!A:B,2,FALSE),CURSO!A:D,4,FALSE)</f>
        <v>22</v>
      </c>
      <c r="K428">
        <f>VLOOKUP(PREVIOS!H428,CICLO!A:B,2,FALSE)</f>
        <v>53</v>
      </c>
      <c r="L428">
        <f>VLOOKUP(PREVIOS!I428,PLAN!A:B,2,FALSE)</f>
        <v>6</v>
      </c>
    </row>
    <row r="429" spans="1:12" x14ac:dyDescent="0.25">
      <c r="A429" t="str">
        <f t="shared" si="6"/>
        <v>A636M290C1</v>
      </c>
      <c r="C429">
        <v>428</v>
      </c>
      <c r="D429">
        <f>VLOOKUP(PREVIOS!C429,ALUMNOS!A:B,2,FALSE)</f>
        <v>636</v>
      </c>
      <c r="E429">
        <f>VLOOKUP(PREVIOS!E429&amp;'TABLA PREVIOS'!J429,MATERIAS!A:H,7,FALSE)</f>
        <v>290</v>
      </c>
      <c r="F429">
        <f>VLOOKUP(PREVIOS!G429,CONDICION!A:B,2,FALSE)</f>
        <v>1</v>
      </c>
      <c r="G429">
        <f>IF(PREVIOS!AG429=1,1,VLOOKUP(PREVIOS!AG429,CALIFICACION!A:C,3,FALSE))</f>
        <v>1</v>
      </c>
      <c r="H429" s="1" t="s">
        <v>534</v>
      </c>
      <c r="I429" s="1" t="s">
        <v>534</v>
      </c>
      <c r="J429">
        <f>VLOOKUP(PREVIOS!F429&amp;VLOOKUP(PREVIOS!I429,PLAN!A:B,2,FALSE),CURSO!A:D,4,FALSE)</f>
        <v>22</v>
      </c>
      <c r="K429">
        <f>VLOOKUP(PREVIOS!H429,CICLO!A:B,2,FALSE)</f>
        <v>53</v>
      </c>
      <c r="L429">
        <f>VLOOKUP(PREVIOS!I429,PLAN!A:B,2,FALSE)</f>
        <v>6</v>
      </c>
    </row>
    <row r="430" spans="1:12" x14ac:dyDescent="0.25">
      <c r="A430" t="str">
        <f t="shared" si="6"/>
        <v>A663M274C1</v>
      </c>
      <c r="C430">
        <v>429</v>
      </c>
      <c r="D430">
        <f>VLOOKUP(PREVIOS!C430,ALUMNOS!A:B,2,FALSE)</f>
        <v>663</v>
      </c>
      <c r="E430">
        <f>VLOOKUP(PREVIOS!E430&amp;'TABLA PREVIOS'!J430,MATERIAS!A:H,7,FALSE)</f>
        <v>274</v>
      </c>
      <c r="F430">
        <f>VLOOKUP(PREVIOS!G430,CONDICION!A:B,2,FALSE)</f>
        <v>1</v>
      </c>
      <c r="G430">
        <f>IF(PREVIOS!AG430=1,1,VLOOKUP(PREVIOS!AG430,CALIFICACION!A:C,3,FALSE))</f>
        <v>1</v>
      </c>
      <c r="H430" s="1" t="s">
        <v>534</v>
      </c>
      <c r="I430" s="1" t="s">
        <v>534</v>
      </c>
      <c r="J430">
        <f>VLOOKUP(PREVIOS!F430&amp;VLOOKUP(PREVIOS!I430,PLAN!A:B,2,FALSE),CURSO!A:D,4,FALSE)</f>
        <v>21</v>
      </c>
      <c r="K430">
        <f>VLOOKUP(PREVIOS!H430,CICLO!A:B,2,FALSE)</f>
        <v>52</v>
      </c>
      <c r="L430">
        <f>VLOOKUP(PREVIOS!I430,PLAN!A:B,2,FALSE)</f>
        <v>6</v>
      </c>
    </row>
    <row r="431" spans="1:12" x14ac:dyDescent="0.25">
      <c r="A431" t="str">
        <f t="shared" si="6"/>
        <v>A663M275C1</v>
      </c>
      <c r="C431">
        <v>430</v>
      </c>
      <c r="D431">
        <f>VLOOKUP(PREVIOS!C431,ALUMNOS!A:B,2,FALSE)</f>
        <v>663</v>
      </c>
      <c r="E431">
        <f>VLOOKUP(PREVIOS!E431&amp;'TABLA PREVIOS'!J431,MATERIAS!A:H,7,FALSE)</f>
        <v>275</v>
      </c>
      <c r="F431">
        <f>VLOOKUP(PREVIOS!G431,CONDICION!A:B,2,FALSE)</f>
        <v>1</v>
      </c>
      <c r="G431">
        <f>IF(PREVIOS!AG431=1,1,VLOOKUP(PREVIOS!AG431,CALIFICACION!A:C,3,FALSE))</f>
        <v>1</v>
      </c>
      <c r="H431" s="1" t="s">
        <v>534</v>
      </c>
      <c r="I431" s="1" t="s">
        <v>534</v>
      </c>
      <c r="J431">
        <f>VLOOKUP(PREVIOS!F431&amp;VLOOKUP(PREVIOS!I431,PLAN!A:B,2,FALSE),CURSO!A:D,4,FALSE)</f>
        <v>21</v>
      </c>
      <c r="K431">
        <f>VLOOKUP(PREVIOS!H431,CICLO!A:B,2,FALSE)</f>
        <v>52</v>
      </c>
      <c r="L431">
        <f>VLOOKUP(PREVIOS!I431,PLAN!A:B,2,FALSE)</f>
        <v>6</v>
      </c>
    </row>
    <row r="432" spans="1:12" x14ac:dyDescent="0.25">
      <c r="A432" t="str">
        <f t="shared" si="6"/>
        <v>A663M285C1</v>
      </c>
      <c r="C432">
        <v>431</v>
      </c>
      <c r="D432">
        <f>VLOOKUP(PREVIOS!C432,ALUMNOS!A:B,2,FALSE)</f>
        <v>663</v>
      </c>
      <c r="E432">
        <f>VLOOKUP(PREVIOS!E432&amp;'TABLA PREVIOS'!J432,MATERIAS!A:H,7,FALSE)</f>
        <v>285</v>
      </c>
      <c r="F432">
        <f>VLOOKUP(PREVIOS!G432,CONDICION!A:B,2,FALSE)</f>
        <v>1</v>
      </c>
      <c r="G432">
        <f>IF(PREVIOS!AG432=1,1,VLOOKUP(PREVIOS!AG432,CALIFICACION!A:C,3,FALSE))</f>
        <v>1</v>
      </c>
      <c r="H432" s="1" t="s">
        <v>534</v>
      </c>
      <c r="I432" s="1" t="s">
        <v>534</v>
      </c>
      <c r="J432">
        <f>VLOOKUP(PREVIOS!F432&amp;VLOOKUP(PREVIOS!I432,PLAN!A:B,2,FALSE),CURSO!A:D,4,FALSE)</f>
        <v>22</v>
      </c>
      <c r="K432">
        <f>VLOOKUP(PREVIOS!H432,CICLO!A:B,2,FALSE)</f>
        <v>53</v>
      </c>
      <c r="L432">
        <f>VLOOKUP(PREVIOS!I432,PLAN!A:B,2,FALSE)</f>
        <v>6</v>
      </c>
    </row>
    <row r="433" spans="1:12" x14ac:dyDescent="0.25">
      <c r="A433" t="str">
        <f t="shared" si="6"/>
        <v>A663M289C1</v>
      </c>
      <c r="C433">
        <v>432</v>
      </c>
      <c r="D433">
        <f>VLOOKUP(PREVIOS!C433,ALUMNOS!A:B,2,FALSE)</f>
        <v>663</v>
      </c>
      <c r="E433">
        <f>VLOOKUP(PREVIOS!E433&amp;'TABLA PREVIOS'!J433,MATERIAS!A:H,7,FALSE)</f>
        <v>289</v>
      </c>
      <c r="F433">
        <f>VLOOKUP(PREVIOS!G433,CONDICION!A:B,2,FALSE)</f>
        <v>1</v>
      </c>
      <c r="G433">
        <f>IF(PREVIOS!AG433=1,1,VLOOKUP(PREVIOS!AG433,CALIFICACION!A:C,3,FALSE))</f>
        <v>1</v>
      </c>
      <c r="H433" s="1" t="s">
        <v>534</v>
      </c>
      <c r="I433" s="1" t="s">
        <v>534</v>
      </c>
      <c r="J433">
        <f>VLOOKUP(PREVIOS!F433&amp;VLOOKUP(PREVIOS!I433,PLAN!A:B,2,FALSE),CURSO!A:D,4,FALSE)</f>
        <v>22</v>
      </c>
      <c r="K433">
        <f>VLOOKUP(PREVIOS!H433,CICLO!A:B,2,FALSE)</f>
        <v>53</v>
      </c>
      <c r="L433">
        <f>VLOOKUP(PREVIOS!I433,PLAN!A:B,2,FALSE)</f>
        <v>6</v>
      </c>
    </row>
    <row r="434" spans="1:12" x14ac:dyDescent="0.25">
      <c r="A434" t="str">
        <f t="shared" si="6"/>
        <v>A663M287C1</v>
      </c>
      <c r="C434">
        <v>433</v>
      </c>
      <c r="D434">
        <f>VLOOKUP(PREVIOS!C434,ALUMNOS!A:B,2,FALSE)</f>
        <v>663</v>
      </c>
      <c r="E434">
        <f>VLOOKUP(PREVIOS!E434&amp;'TABLA PREVIOS'!J434,MATERIAS!A:H,7,FALSE)</f>
        <v>287</v>
      </c>
      <c r="F434">
        <f>VLOOKUP(PREVIOS!G434,CONDICION!A:B,2,FALSE)</f>
        <v>1</v>
      </c>
      <c r="G434">
        <f>IF(PREVIOS!AG434=1,1,VLOOKUP(PREVIOS!AG434,CALIFICACION!A:C,3,FALSE))</f>
        <v>1</v>
      </c>
      <c r="H434" s="1" t="s">
        <v>534</v>
      </c>
      <c r="I434" s="1" t="s">
        <v>534</v>
      </c>
      <c r="J434">
        <f>VLOOKUP(PREVIOS!F434&amp;VLOOKUP(PREVIOS!I434,PLAN!A:B,2,FALSE),CURSO!A:D,4,FALSE)</f>
        <v>22</v>
      </c>
      <c r="K434">
        <f>VLOOKUP(PREVIOS!H434,CICLO!A:B,2,FALSE)</f>
        <v>53</v>
      </c>
      <c r="L434">
        <f>VLOOKUP(PREVIOS!I434,PLAN!A:B,2,FALSE)</f>
        <v>6</v>
      </c>
    </row>
    <row r="435" spans="1:12" x14ac:dyDescent="0.25">
      <c r="A435" t="str">
        <f t="shared" si="6"/>
        <v>A663M292C1</v>
      </c>
      <c r="C435">
        <v>434</v>
      </c>
      <c r="D435">
        <f>VLOOKUP(PREVIOS!C435,ALUMNOS!A:B,2,FALSE)</f>
        <v>663</v>
      </c>
      <c r="E435">
        <f>VLOOKUP(PREVIOS!E435&amp;'TABLA PREVIOS'!J435,MATERIAS!A:H,7,FALSE)</f>
        <v>292</v>
      </c>
      <c r="F435">
        <f>VLOOKUP(PREVIOS!G435,CONDICION!A:B,2,FALSE)</f>
        <v>1</v>
      </c>
      <c r="G435">
        <f>IF(PREVIOS!AG435=1,1,VLOOKUP(PREVIOS!AG435,CALIFICACION!A:C,3,FALSE))</f>
        <v>1</v>
      </c>
      <c r="H435" s="1" t="s">
        <v>534</v>
      </c>
      <c r="I435" s="1" t="s">
        <v>534</v>
      </c>
      <c r="J435">
        <f>VLOOKUP(PREVIOS!F435&amp;VLOOKUP(PREVIOS!I435,PLAN!A:B,2,FALSE),CURSO!A:D,4,FALSE)</f>
        <v>22</v>
      </c>
      <c r="K435">
        <f>VLOOKUP(PREVIOS!H435,CICLO!A:B,2,FALSE)</f>
        <v>53</v>
      </c>
      <c r="L435">
        <f>VLOOKUP(PREVIOS!I435,PLAN!A:B,2,FALSE)</f>
        <v>6</v>
      </c>
    </row>
    <row r="436" spans="1:12" x14ac:dyDescent="0.25">
      <c r="A436" t="str">
        <f t="shared" si="6"/>
        <v>A663M282C1</v>
      </c>
      <c r="C436">
        <v>435</v>
      </c>
      <c r="D436">
        <f>VLOOKUP(PREVIOS!C436,ALUMNOS!A:B,2,FALSE)</f>
        <v>663</v>
      </c>
      <c r="E436">
        <f>VLOOKUP(PREVIOS!E436&amp;'TABLA PREVIOS'!J436,MATERIAS!A:H,7,FALSE)</f>
        <v>282</v>
      </c>
      <c r="F436">
        <f>VLOOKUP(PREVIOS!G436,CONDICION!A:B,2,FALSE)</f>
        <v>1</v>
      </c>
      <c r="G436">
        <f>IF(PREVIOS!AG436=1,1,VLOOKUP(PREVIOS!AG436,CALIFICACION!A:C,3,FALSE))</f>
        <v>1</v>
      </c>
      <c r="H436" s="1" t="s">
        <v>534</v>
      </c>
      <c r="I436" s="1" t="s">
        <v>534</v>
      </c>
      <c r="J436">
        <f>VLOOKUP(PREVIOS!F436&amp;VLOOKUP(PREVIOS!I436,PLAN!A:B,2,FALSE),CURSO!A:D,4,FALSE)</f>
        <v>22</v>
      </c>
      <c r="K436">
        <f>VLOOKUP(PREVIOS!H436,CICLO!A:B,2,FALSE)</f>
        <v>53</v>
      </c>
      <c r="L436">
        <f>VLOOKUP(PREVIOS!I436,PLAN!A:B,2,FALSE)</f>
        <v>6</v>
      </c>
    </row>
    <row r="437" spans="1:12" x14ac:dyDescent="0.25">
      <c r="A437" t="str">
        <f t="shared" si="6"/>
        <v>A663M281C1</v>
      </c>
      <c r="C437">
        <v>436</v>
      </c>
      <c r="D437">
        <f>VLOOKUP(PREVIOS!C437,ALUMNOS!A:B,2,FALSE)</f>
        <v>663</v>
      </c>
      <c r="E437">
        <f>VLOOKUP(PREVIOS!E437&amp;'TABLA PREVIOS'!J437,MATERIAS!A:H,7,FALSE)</f>
        <v>281</v>
      </c>
      <c r="F437">
        <f>VLOOKUP(PREVIOS!G437,CONDICION!A:B,2,FALSE)</f>
        <v>1</v>
      </c>
      <c r="G437">
        <f>IF(PREVIOS!AG437=1,1,VLOOKUP(PREVIOS!AG437,CALIFICACION!A:C,3,FALSE))</f>
        <v>1</v>
      </c>
      <c r="H437" s="1" t="s">
        <v>534</v>
      </c>
      <c r="I437" s="1" t="s">
        <v>534</v>
      </c>
      <c r="J437">
        <f>VLOOKUP(PREVIOS!F437&amp;VLOOKUP(PREVIOS!I437,PLAN!A:B,2,FALSE),CURSO!A:D,4,FALSE)</f>
        <v>22</v>
      </c>
      <c r="K437">
        <f>VLOOKUP(PREVIOS!H437,CICLO!A:B,2,FALSE)</f>
        <v>53</v>
      </c>
      <c r="L437">
        <f>VLOOKUP(PREVIOS!I437,PLAN!A:B,2,FALSE)</f>
        <v>6</v>
      </c>
    </row>
    <row r="438" spans="1:12" x14ac:dyDescent="0.25">
      <c r="A438" t="str">
        <f t="shared" si="6"/>
        <v>A663M290C1</v>
      </c>
      <c r="C438">
        <v>437</v>
      </c>
      <c r="D438">
        <f>VLOOKUP(PREVIOS!C438,ALUMNOS!A:B,2,FALSE)</f>
        <v>663</v>
      </c>
      <c r="E438">
        <f>VLOOKUP(PREVIOS!E438&amp;'TABLA PREVIOS'!J438,MATERIAS!A:H,7,FALSE)</f>
        <v>290</v>
      </c>
      <c r="F438">
        <f>VLOOKUP(PREVIOS!G438,CONDICION!A:B,2,FALSE)</f>
        <v>1</v>
      </c>
      <c r="G438">
        <f>IF(PREVIOS!AG438=1,1,VLOOKUP(PREVIOS!AG438,CALIFICACION!A:C,3,FALSE))</f>
        <v>1</v>
      </c>
      <c r="H438" s="1" t="s">
        <v>534</v>
      </c>
      <c r="I438" s="1" t="s">
        <v>534</v>
      </c>
      <c r="J438">
        <f>VLOOKUP(PREVIOS!F438&amp;VLOOKUP(PREVIOS!I438,PLAN!A:B,2,FALSE),CURSO!A:D,4,FALSE)</f>
        <v>22</v>
      </c>
      <c r="K438">
        <f>VLOOKUP(PREVIOS!H438,CICLO!A:B,2,FALSE)</f>
        <v>53</v>
      </c>
      <c r="L438">
        <f>VLOOKUP(PREVIOS!I438,PLAN!A:B,2,FALSE)</f>
        <v>6</v>
      </c>
    </row>
    <row r="439" spans="1:12" x14ac:dyDescent="0.25">
      <c r="A439" t="str">
        <f t="shared" si="6"/>
        <v>A709M229C1</v>
      </c>
      <c r="C439">
        <v>438</v>
      </c>
      <c r="D439">
        <f>VLOOKUP(PREVIOS!C439,ALUMNOS!A:B,2,FALSE)</f>
        <v>709</v>
      </c>
      <c r="E439">
        <f>VLOOKUP(PREVIOS!E439&amp;'TABLA PREVIOS'!J439,MATERIAS!A:H,7,FALSE)</f>
        <v>229</v>
      </c>
      <c r="F439">
        <f>VLOOKUP(PREVIOS!G439,CONDICION!A:B,2,FALSE)</f>
        <v>1</v>
      </c>
      <c r="G439">
        <f>IF(PREVIOS!AG439=1,1,VLOOKUP(PREVIOS!AG439,CALIFICACION!A:C,3,FALSE))</f>
        <v>1</v>
      </c>
      <c r="H439" s="1" t="s">
        <v>534</v>
      </c>
      <c r="I439" s="1" t="s">
        <v>534</v>
      </c>
      <c r="J439">
        <f>VLOOKUP(PREVIOS!F439&amp;VLOOKUP(PREVIOS!I439,PLAN!A:B,2,FALSE),CURSO!A:D,4,FALSE)</f>
        <v>18</v>
      </c>
      <c r="K439">
        <f>VLOOKUP(PREVIOS!H439,CICLO!A:B,2,FALSE)</f>
        <v>49</v>
      </c>
      <c r="L439">
        <f>VLOOKUP(PREVIOS!I439,PLAN!A:B,2,FALSE)</f>
        <v>5</v>
      </c>
    </row>
    <row r="440" spans="1:12" x14ac:dyDescent="0.25">
      <c r="A440" t="str">
        <f t="shared" si="6"/>
        <v>A709M274C2</v>
      </c>
      <c r="C440">
        <v>439</v>
      </c>
      <c r="D440">
        <f>VLOOKUP(PREVIOS!C440,ALUMNOS!A:B,2,FALSE)</f>
        <v>709</v>
      </c>
      <c r="E440">
        <f>VLOOKUP(PREVIOS!E440&amp;'TABLA PREVIOS'!J440,MATERIAS!A:H,7,FALSE)</f>
        <v>274</v>
      </c>
      <c r="F440">
        <f>VLOOKUP(PREVIOS!G440,CONDICION!A:B,2,FALSE)</f>
        <v>2</v>
      </c>
      <c r="G440">
        <f>IF(PREVIOS!AG440=1,1,VLOOKUP(PREVIOS!AG440,CALIFICACION!A:C,3,FALSE))</f>
        <v>1</v>
      </c>
      <c r="H440" s="1" t="s">
        <v>534</v>
      </c>
      <c r="I440" s="1" t="s">
        <v>534</v>
      </c>
      <c r="J440">
        <f>VLOOKUP(PREVIOS!F440&amp;VLOOKUP(PREVIOS!I440,PLAN!A:B,2,FALSE),CURSO!A:D,4,FALSE)</f>
        <v>21</v>
      </c>
      <c r="K440">
        <f>VLOOKUP(PREVIOS!H440,CICLO!A:B,2,FALSE)</f>
        <v>52</v>
      </c>
      <c r="L440">
        <f>VLOOKUP(PREVIOS!I440,PLAN!A:B,2,FALSE)</f>
        <v>6</v>
      </c>
    </row>
    <row r="441" spans="1:12" x14ac:dyDescent="0.25">
      <c r="A441" t="str">
        <f t="shared" si="6"/>
        <v>A709M275C2</v>
      </c>
      <c r="C441">
        <v>440</v>
      </c>
      <c r="D441">
        <f>VLOOKUP(PREVIOS!C441,ALUMNOS!A:B,2,FALSE)</f>
        <v>709</v>
      </c>
      <c r="E441">
        <f>VLOOKUP(PREVIOS!E441&amp;'TABLA PREVIOS'!J441,MATERIAS!A:H,7,FALSE)</f>
        <v>275</v>
      </c>
      <c r="F441">
        <f>VLOOKUP(PREVIOS!G441,CONDICION!A:B,2,FALSE)</f>
        <v>2</v>
      </c>
      <c r="G441">
        <f>IF(PREVIOS!AG441=1,1,VLOOKUP(PREVIOS!AG441,CALIFICACION!A:C,3,FALSE))</f>
        <v>1</v>
      </c>
      <c r="H441" s="1" t="s">
        <v>534</v>
      </c>
      <c r="I441" s="1" t="s">
        <v>534</v>
      </c>
      <c r="J441">
        <f>VLOOKUP(PREVIOS!F441&amp;VLOOKUP(PREVIOS!I441,PLAN!A:B,2,FALSE),CURSO!A:D,4,FALSE)</f>
        <v>21</v>
      </c>
      <c r="K441">
        <f>VLOOKUP(PREVIOS!H441,CICLO!A:B,2,FALSE)</f>
        <v>52</v>
      </c>
      <c r="L441">
        <f>VLOOKUP(PREVIOS!I441,PLAN!A:B,2,FALSE)</f>
        <v>6</v>
      </c>
    </row>
    <row r="442" spans="1:12" x14ac:dyDescent="0.25">
      <c r="A442" t="str">
        <f t="shared" si="6"/>
        <v>A709M273C2</v>
      </c>
      <c r="C442">
        <v>441</v>
      </c>
      <c r="D442">
        <f>VLOOKUP(PREVIOS!C442,ALUMNOS!A:B,2,FALSE)</f>
        <v>709</v>
      </c>
      <c r="E442">
        <f>VLOOKUP(PREVIOS!E442&amp;'TABLA PREVIOS'!J442,MATERIAS!A:H,7,FALSE)</f>
        <v>273</v>
      </c>
      <c r="F442">
        <f>VLOOKUP(PREVIOS!G442,CONDICION!A:B,2,FALSE)</f>
        <v>2</v>
      </c>
      <c r="G442">
        <f>IF(PREVIOS!AG442=1,1,VLOOKUP(PREVIOS!AG442,CALIFICACION!A:C,3,FALSE))</f>
        <v>1</v>
      </c>
      <c r="H442" s="1" t="s">
        <v>534</v>
      </c>
      <c r="I442" s="1" t="s">
        <v>534</v>
      </c>
      <c r="J442">
        <f>VLOOKUP(PREVIOS!F442&amp;VLOOKUP(PREVIOS!I442,PLAN!A:B,2,FALSE),CURSO!A:D,4,FALSE)</f>
        <v>21</v>
      </c>
      <c r="K442">
        <f>VLOOKUP(PREVIOS!H442,CICLO!A:B,2,FALSE)</f>
        <v>52</v>
      </c>
      <c r="L442">
        <f>VLOOKUP(PREVIOS!I442,PLAN!A:B,2,FALSE)</f>
        <v>6</v>
      </c>
    </row>
    <row r="443" spans="1:12" x14ac:dyDescent="0.25">
      <c r="A443" t="str">
        <f t="shared" si="6"/>
        <v>A709M285C1</v>
      </c>
      <c r="C443">
        <v>442</v>
      </c>
      <c r="D443">
        <f>VLOOKUP(PREVIOS!C443,ALUMNOS!A:B,2,FALSE)</f>
        <v>709</v>
      </c>
      <c r="E443">
        <f>VLOOKUP(PREVIOS!E443&amp;'TABLA PREVIOS'!J443,MATERIAS!A:H,7,FALSE)</f>
        <v>285</v>
      </c>
      <c r="F443">
        <f>VLOOKUP(PREVIOS!G443,CONDICION!A:B,2,FALSE)</f>
        <v>1</v>
      </c>
      <c r="G443">
        <f>IF(PREVIOS!AG443=1,1,VLOOKUP(PREVIOS!AG443,CALIFICACION!A:C,3,FALSE))</f>
        <v>1</v>
      </c>
      <c r="H443" s="1" t="s">
        <v>534</v>
      </c>
      <c r="I443" s="1" t="s">
        <v>534</v>
      </c>
      <c r="J443">
        <f>VLOOKUP(PREVIOS!F443&amp;VLOOKUP(PREVIOS!I443,PLAN!A:B,2,FALSE),CURSO!A:D,4,FALSE)</f>
        <v>22</v>
      </c>
      <c r="K443">
        <f>VLOOKUP(PREVIOS!H443,CICLO!A:B,2,FALSE)</f>
        <v>53</v>
      </c>
      <c r="L443">
        <f>VLOOKUP(PREVIOS!I443,PLAN!A:B,2,FALSE)</f>
        <v>6</v>
      </c>
    </row>
    <row r="444" spans="1:12" x14ac:dyDescent="0.25">
      <c r="A444" t="str">
        <f t="shared" si="6"/>
        <v>A709M284C1</v>
      </c>
      <c r="C444">
        <v>443</v>
      </c>
      <c r="D444">
        <f>VLOOKUP(PREVIOS!C444,ALUMNOS!A:B,2,FALSE)</f>
        <v>709</v>
      </c>
      <c r="E444">
        <f>VLOOKUP(PREVIOS!E444&amp;'TABLA PREVIOS'!J444,MATERIAS!A:H,7,FALSE)</f>
        <v>284</v>
      </c>
      <c r="F444">
        <f>VLOOKUP(PREVIOS!G444,CONDICION!A:B,2,FALSE)</f>
        <v>1</v>
      </c>
      <c r="G444">
        <f>IF(PREVIOS!AG444=1,1,VLOOKUP(PREVIOS!AG444,CALIFICACION!A:C,3,FALSE))</f>
        <v>1</v>
      </c>
      <c r="H444" s="1" t="s">
        <v>534</v>
      </c>
      <c r="I444" s="1" t="s">
        <v>534</v>
      </c>
      <c r="J444">
        <f>VLOOKUP(PREVIOS!F444&amp;VLOOKUP(PREVIOS!I444,PLAN!A:B,2,FALSE),CURSO!A:D,4,FALSE)</f>
        <v>22</v>
      </c>
      <c r="K444">
        <f>VLOOKUP(PREVIOS!H444,CICLO!A:B,2,FALSE)</f>
        <v>53</v>
      </c>
      <c r="L444">
        <f>VLOOKUP(PREVIOS!I444,PLAN!A:B,2,FALSE)</f>
        <v>6</v>
      </c>
    </row>
    <row r="445" spans="1:12" x14ac:dyDescent="0.25">
      <c r="A445" t="str">
        <f t="shared" si="6"/>
        <v>A709M287C1</v>
      </c>
      <c r="C445">
        <v>444</v>
      </c>
      <c r="D445">
        <f>VLOOKUP(PREVIOS!C445,ALUMNOS!A:B,2,FALSE)</f>
        <v>709</v>
      </c>
      <c r="E445">
        <f>VLOOKUP(PREVIOS!E445&amp;'TABLA PREVIOS'!J445,MATERIAS!A:H,7,FALSE)</f>
        <v>287</v>
      </c>
      <c r="F445">
        <f>VLOOKUP(PREVIOS!G445,CONDICION!A:B,2,FALSE)</f>
        <v>1</v>
      </c>
      <c r="G445">
        <f>IF(PREVIOS!AG445=1,1,VLOOKUP(PREVIOS!AG445,CALIFICACION!A:C,3,FALSE))</f>
        <v>1</v>
      </c>
      <c r="H445" s="1" t="s">
        <v>534</v>
      </c>
      <c r="I445" s="1" t="s">
        <v>534</v>
      </c>
      <c r="J445">
        <f>VLOOKUP(PREVIOS!F445&amp;VLOOKUP(PREVIOS!I445,PLAN!A:B,2,FALSE),CURSO!A:D,4,FALSE)</f>
        <v>22</v>
      </c>
      <c r="K445">
        <f>VLOOKUP(PREVIOS!H445,CICLO!A:B,2,FALSE)</f>
        <v>53</v>
      </c>
      <c r="L445">
        <f>VLOOKUP(PREVIOS!I445,PLAN!A:B,2,FALSE)</f>
        <v>6</v>
      </c>
    </row>
    <row r="446" spans="1:12" x14ac:dyDescent="0.25">
      <c r="A446" t="str">
        <f t="shared" si="6"/>
        <v>A709M286C1</v>
      </c>
      <c r="C446">
        <v>445</v>
      </c>
      <c r="D446">
        <f>VLOOKUP(PREVIOS!C446,ALUMNOS!A:B,2,FALSE)</f>
        <v>709</v>
      </c>
      <c r="E446">
        <f>VLOOKUP(PREVIOS!E446&amp;'TABLA PREVIOS'!J446,MATERIAS!A:H,7,FALSE)</f>
        <v>286</v>
      </c>
      <c r="F446">
        <f>VLOOKUP(PREVIOS!G446,CONDICION!A:B,2,FALSE)</f>
        <v>1</v>
      </c>
      <c r="G446">
        <f>IF(PREVIOS!AG446=1,1,VLOOKUP(PREVIOS!AG446,CALIFICACION!A:C,3,FALSE))</f>
        <v>1</v>
      </c>
      <c r="H446" s="1" t="s">
        <v>534</v>
      </c>
      <c r="I446" s="1" t="s">
        <v>534</v>
      </c>
      <c r="J446">
        <f>VLOOKUP(PREVIOS!F446&amp;VLOOKUP(PREVIOS!I446,PLAN!A:B,2,FALSE),CURSO!A:D,4,FALSE)</f>
        <v>22</v>
      </c>
      <c r="K446">
        <f>VLOOKUP(PREVIOS!H446,CICLO!A:B,2,FALSE)</f>
        <v>53</v>
      </c>
      <c r="L446">
        <f>VLOOKUP(PREVIOS!I446,PLAN!A:B,2,FALSE)</f>
        <v>6</v>
      </c>
    </row>
    <row r="447" spans="1:12" x14ac:dyDescent="0.25">
      <c r="A447" t="str">
        <f t="shared" si="6"/>
        <v>A709M292C1</v>
      </c>
      <c r="C447">
        <v>446</v>
      </c>
      <c r="D447">
        <f>VLOOKUP(PREVIOS!C447,ALUMNOS!A:B,2,FALSE)</f>
        <v>709</v>
      </c>
      <c r="E447">
        <f>VLOOKUP(PREVIOS!E447&amp;'TABLA PREVIOS'!J447,MATERIAS!A:H,7,FALSE)</f>
        <v>292</v>
      </c>
      <c r="F447">
        <f>VLOOKUP(PREVIOS!G447,CONDICION!A:B,2,FALSE)</f>
        <v>1</v>
      </c>
      <c r="G447">
        <f>IF(PREVIOS!AG447=1,1,VLOOKUP(PREVIOS!AG447,CALIFICACION!A:C,3,FALSE))</f>
        <v>1</v>
      </c>
      <c r="H447" s="1" t="s">
        <v>534</v>
      </c>
      <c r="I447" s="1" t="s">
        <v>534</v>
      </c>
      <c r="J447">
        <f>VLOOKUP(PREVIOS!F447&amp;VLOOKUP(PREVIOS!I447,PLAN!A:B,2,FALSE),CURSO!A:D,4,FALSE)</f>
        <v>22</v>
      </c>
      <c r="K447">
        <f>VLOOKUP(PREVIOS!H447,CICLO!A:B,2,FALSE)</f>
        <v>53</v>
      </c>
      <c r="L447">
        <f>VLOOKUP(PREVIOS!I447,PLAN!A:B,2,FALSE)</f>
        <v>6</v>
      </c>
    </row>
    <row r="448" spans="1:12" x14ac:dyDescent="0.25">
      <c r="A448" t="str">
        <f t="shared" si="6"/>
        <v>A709M291C1</v>
      </c>
      <c r="C448">
        <v>447</v>
      </c>
      <c r="D448">
        <f>VLOOKUP(PREVIOS!C448,ALUMNOS!A:B,2,FALSE)</f>
        <v>709</v>
      </c>
      <c r="E448">
        <f>VLOOKUP(PREVIOS!E448&amp;'TABLA PREVIOS'!J448,MATERIAS!A:H,7,FALSE)</f>
        <v>291</v>
      </c>
      <c r="F448">
        <f>VLOOKUP(PREVIOS!G448,CONDICION!A:B,2,FALSE)</f>
        <v>1</v>
      </c>
      <c r="G448">
        <f>IF(PREVIOS!AG448=1,1,VLOOKUP(PREVIOS!AG448,CALIFICACION!A:C,3,FALSE))</f>
        <v>1</v>
      </c>
      <c r="H448" s="1" t="s">
        <v>534</v>
      </c>
      <c r="I448" s="1" t="s">
        <v>534</v>
      </c>
      <c r="J448">
        <f>VLOOKUP(PREVIOS!F448&amp;VLOOKUP(PREVIOS!I448,PLAN!A:B,2,FALSE),CURSO!A:D,4,FALSE)</f>
        <v>22</v>
      </c>
      <c r="K448">
        <f>VLOOKUP(PREVIOS!H448,CICLO!A:B,2,FALSE)</f>
        <v>53</v>
      </c>
      <c r="L448">
        <f>VLOOKUP(PREVIOS!I448,PLAN!A:B,2,FALSE)</f>
        <v>6</v>
      </c>
    </row>
    <row r="449" spans="1:12" x14ac:dyDescent="0.25">
      <c r="A449" t="str">
        <f t="shared" si="6"/>
        <v>A709M279C1</v>
      </c>
      <c r="C449">
        <v>448</v>
      </c>
      <c r="D449">
        <f>VLOOKUP(PREVIOS!C449,ALUMNOS!A:B,2,FALSE)</f>
        <v>709</v>
      </c>
      <c r="E449">
        <f>VLOOKUP(PREVIOS!E449&amp;'TABLA PREVIOS'!J449,MATERIAS!A:H,7,FALSE)</f>
        <v>279</v>
      </c>
      <c r="F449">
        <f>VLOOKUP(PREVIOS!G449,CONDICION!A:B,2,FALSE)</f>
        <v>1</v>
      </c>
      <c r="G449">
        <f>IF(PREVIOS!AG449=1,1,VLOOKUP(PREVIOS!AG449,CALIFICACION!A:C,3,FALSE))</f>
        <v>1</v>
      </c>
      <c r="H449" s="1" t="s">
        <v>534</v>
      </c>
      <c r="I449" s="1" t="s">
        <v>534</v>
      </c>
      <c r="J449">
        <f>VLOOKUP(PREVIOS!F449&amp;VLOOKUP(PREVIOS!I449,PLAN!A:B,2,FALSE),CURSO!A:D,4,FALSE)</f>
        <v>22</v>
      </c>
      <c r="K449">
        <f>VLOOKUP(PREVIOS!H449,CICLO!A:B,2,FALSE)</f>
        <v>53</v>
      </c>
      <c r="L449">
        <f>VLOOKUP(PREVIOS!I449,PLAN!A:B,2,FALSE)</f>
        <v>6</v>
      </c>
    </row>
    <row r="450" spans="1:12" x14ac:dyDescent="0.25">
      <c r="A450" t="str">
        <f t="shared" si="6"/>
        <v>A709M280C1</v>
      </c>
      <c r="C450">
        <v>449</v>
      </c>
      <c r="D450">
        <f>VLOOKUP(PREVIOS!C450,ALUMNOS!A:B,2,FALSE)</f>
        <v>709</v>
      </c>
      <c r="E450">
        <f>VLOOKUP(PREVIOS!E450&amp;'TABLA PREVIOS'!J450,MATERIAS!A:H,7,FALSE)</f>
        <v>280</v>
      </c>
      <c r="F450">
        <f>VLOOKUP(PREVIOS!G450,CONDICION!A:B,2,FALSE)</f>
        <v>1</v>
      </c>
      <c r="G450">
        <f>IF(PREVIOS!AG450=1,1,VLOOKUP(PREVIOS!AG450,CALIFICACION!A:C,3,FALSE))</f>
        <v>1</v>
      </c>
      <c r="H450" s="1" t="s">
        <v>534</v>
      </c>
      <c r="I450" s="1" t="s">
        <v>534</v>
      </c>
      <c r="J450">
        <f>VLOOKUP(PREVIOS!F450&amp;VLOOKUP(PREVIOS!I450,PLAN!A:B,2,FALSE),CURSO!A:D,4,FALSE)</f>
        <v>22</v>
      </c>
      <c r="K450">
        <f>VLOOKUP(PREVIOS!H450,CICLO!A:B,2,FALSE)</f>
        <v>53</v>
      </c>
      <c r="L450">
        <f>VLOOKUP(PREVIOS!I450,PLAN!A:B,2,FALSE)</f>
        <v>6</v>
      </c>
    </row>
    <row r="451" spans="1:12" x14ac:dyDescent="0.25">
      <c r="A451" t="str">
        <f t="shared" ref="A451:A514" si="7">"A"&amp;D451&amp;"M"&amp;E451&amp;"C"&amp;F451</f>
        <v>A709M281C1</v>
      </c>
      <c r="C451">
        <v>450</v>
      </c>
      <c r="D451">
        <f>VLOOKUP(PREVIOS!C451,ALUMNOS!A:B,2,FALSE)</f>
        <v>709</v>
      </c>
      <c r="E451">
        <f>VLOOKUP(PREVIOS!E451&amp;'TABLA PREVIOS'!J451,MATERIAS!A:H,7,FALSE)</f>
        <v>281</v>
      </c>
      <c r="F451">
        <f>VLOOKUP(PREVIOS!G451,CONDICION!A:B,2,FALSE)</f>
        <v>1</v>
      </c>
      <c r="G451">
        <f>IF(PREVIOS!AG451=1,1,VLOOKUP(PREVIOS!AG451,CALIFICACION!A:C,3,FALSE))</f>
        <v>1</v>
      </c>
      <c r="H451" s="1" t="s">
        <v>534</v>
      </c>
      <c r="I451" s="1" t="s">
        <v>534</v>
      </c>
      <c r="J451">
        <f>VLOOKUP(PREVIOS!F451&amp;VLOOKUP(PREVIOS!I451,PLAN!A:B,2,FALSE),CURSO!A:D,4,FALSE)</f>
        <v>22</v>
      </c>
      <c r="K451">
        <f>VLOOKUP(PREVIOS!H451,CICLO!A:B,2,FALSE)</f>
        <v>53</v>
      </c>
      <c r="L451">
        <f>VLOOKUP(PREVIOS!I451,PLAN!A:B,2,FALSE)</f>
        <v>6</v>
      </c>
    </row>
    <row r="452" spans="1:12" x14ac:dyDescent="0.25">
      <c r="A452" t="str">
        <f t="shared" si="7"/>
        <v>A709M288C1</v>
      </c>
      <c r="C452">
        <v>451</v>
      </c>
      <c r="D452">
        <f>VLOOKUP(PREVIOS!C452,ALUMNOS!A:B,2,FALSE)</f>
        <v>709</v>
      </c>
      <c r="E452">
        <f>VLOOKUP(PREVIOS!E452&amp;'TABLA PREVIOS'!J452,MATERIAS!A:H,7,FALSE)</f>
        <v>288</v>
      </c>
      <c r="F452">
        <f>VLOOKUP(PREVIOS!G452,CONDICION!A:B,2,FALSE)</f>
        <v>1</v>
      </c>
      <c r="G452">
        <f>IF(PREVIOS!AG452=1,1,VLOOKUP(PREVIOS!AG452,CALIFICACION!A:C,3,FALSE))</f>
        <v>1</v>
      </c>
      <c r="H452" s="1" t="s">
        <v>534</v>
      </c>
      <c r="I452" s="1" t="s">
        <v>534</v>
      </c>
      <c r="J452">
        <f>VLOOKUP(PREVIOS!F452&amp;VLOOKUP(PREVIOS!I452,PLAN!A:B,2,FALSE),CURSO!A:D,4,FALSE)</f>
        <v>22</v>
      </c>
      <c r="K452">
        <f>VLOOKUP(PREVIOS!H452,CICLO!A:B,2,FALSE)</f>
        <v>53</v>
      </c>
      <c r="L452">
        <f>VLOOKUP(PREVIOS!I452,PLAN!A:B,2,FALSE)</f>
        <v>6</v>
      </c>
    </row>
    <row r="453" spans="1:12" x14ac:dyDescent="0.25">
      <c r="A453" t="str">
        <f t="shared" si="7"/>
        <v>A709M290C1</v>
      </c>
      <c r="C453">
        <v>452</v>
      </c>
      <c r="D453">
        <f>VLOOKUP(PREVIOS!C453,ALUMNOS!A:B,2,FALSE)</f>
        <v>709</v>
      </c>
      <c r="E453">
        <f>VLOOKUP(PREVIOS!E453&amp;'TABLA PREVIOS'!J453,MATERIAS!A:H,7,FALSE)</f>
        <v>290</v>
      </c>
      <c r="F453">
        <f>VLOOKUP(PREVIOS!G453,CONDICION!A:B,2,FALSE)</f>
        <v>1</v>
      </c>
      <c r="G453">
        <f>IF(PREVIOS!AG453=1,1,VLOOKUP(PREVIOS!AG453,CALIFICACION!A:C,3,FALSE))</f>
        <v>1</v>
      </c>
      <c r="H453" s="1" t="s">
        <v>534</v>
      </c>
      <c r="I453" s="1" t="s">
        <v>534</v>
      </c>
      <c r="J453">
        <f>VLOOKUP(PREVIOS!F453&amp;VLOOKUP(PREVIOS!I453,PLAN!A:B,2,FALSE),CURSO!A:D,4,FALSE)</f>
        <v>22</v>
      </c>
      <c r="K453">
        <f>VLOOKUP(PREVIOS!H453,CICLO!A:B,2,FALSE)</f>
        <v>53</v>
      </c>
      <c r="L453">
        <f>VLOOKUP(PREVIOS!I453,PLAN!A:B,2,FALSE)</f>
        <v>6</v>
      </c>
    </row>
    <row r="454" spans="1:12" x14ac:dyDescent="0.25">
      <c r="A454" t="str">
        <f t="shared" si="7"/>
        <v>A221M281C1</v>
      </c>
      <c r="C454">
        <v>453</v>
      </c>
      <c r="D454">
        <f>VLOOKUP(PREVIOS!C454,ALUMNOS!A:B,2,FALSE)</f>
        <v>221</v>
      </c>
      <c r="E454">
        <f>VLOOKUP(PREVIOS!E454&amp;'TABLA PREVIOS'!J454,MATERIAS!A:H,7,FALSE)</f>
        <v>281</v>
      </c>
      <c r="F454">
        <f>VLOOKUP(PREVIOS!G454,CONDICION!A:B,2,FALSE)</f>
        <v>1</v>
      </c>
      <c r="G454">
        <f>IF(PREVIOS!AG454=1,1,VLOOKUP(PREVIOS!AG454,CALIFICACION!A:C,3,FALSE))</f>
        <v>1</v>
      </c>
      <c r="H454" s="1" t="s">
        <v>534</v>
      </c>
      <c r="I454" s="1" t="s">
        <v>534</v>
      </c>
      <c r="J454">
        <f>VLOOKUP(PREVIOS!F454&amp;VLOOKUP(PREVIOS!I454,PLAN!A:B,2,FALSE),CURSO!A:D,4,FALSE)</f>
        <v>22</v>
      </c>
      <c r="K454">
        <f>VLOOKUP(PREVIOS!H454,CICLO!A:B,2,FALSE)</f>
        <v>53</v>
      </c>
      <c r="L454">
        <f>VLOOKUP(PREVIOS!I454,PLAN!A:B,2,FALSE)</f>
        <v>6</v>
      </c>
    </row>
    <row r="455" spans="1:12" x14ac:dyDescent="0.25">
      <c r="A455" t="str">
        <f t="shared" si="7"/>
        <v>A221M290C1</v>
      </c>
      <c r="C455">
        <v>454</v>
      </c>
      <c r="D455">
        <f>VLOOKUP(PREVIOS!C455,ALUMNOS!A:B,2,FALSE)</f>
        <v>221</v>
      </c>
      <c r="E455">
        <f>VLOOKUP(PREVIOS!E455&amp;'TABLA PREVIOS'!J455,MATERIAS!A:H,7,FALSE)</f>
        <v>290</v>
      </c>
      <c r="F455">
        <f>VLOOKUP(PREVIOS!G455,CONDICION!A:B,2,FALSE)</f>
        <v>1</v>
      </c>
      <c r="G455">
        <f>IF(PREVIOS!AG455=1,1,VLOOKUP(PREVIOS!AG455,CALIFICACION!A:C,3,FALSE))</f>
        <v>1</v>
      </c>
      <c r="H455" s="1" t="s">
        <v>534</v>
      </c>
      <c r="I455" s="1" t="s">
        <v>534</v>
      </c>
      <c r="J455">
        <f>VLOOKUP(PREVIOS!F455&amp;VLOOKUP(PREVIOS!I455,PLAN!A:B,2,FALSE),CURSO!A:D,4,FALSE)</f>
        <v>22</v>
      </c>
      <c r="K455">
        <f>VLOOKUP(PREVIOS!H455,CICLO!A:B,2,FALSE)</f>
        <v>53</v>
      </c>
      <c r="L455">
        <f>VLOOKUP(PREVIOS!I455,PLAN!A:B,2,FALSE)</f>
        <v>6</v>
      </c>
    </row>
    <row r="456" spans="1:12" x14ac:dyDescent="0.25">
      <c r="A456" t="str">
        <f t="shared" si="7"/>
        <v>A239M282C1</v>
      </c>
      <c r="C456">
        <v>455</v>
      </c>
      <c r="D456">
        <f>VLOOKUP(PREVIOS!C456,ALUMNOS!A:B,2,FALSE)</f>
        <v>239</v>
      </c>
      <c r="E456">
        <f>VLOOKUP(PREVIOS!E456&amp;'TABLA PREVIOS'!J456,MATERIAS!A:H,7,FALSE)</f>
        <v>282</v>
      </c>
      <c r="F456">
        <f>VLOOKUP(PREVIOS!G456,CONDICION!A:B,2,FALSE)</f>
        <v>1</v>
      </c>
      <c r="G456">
        <f>IF(PREVIOS!AG456=1,1,VLOOKUP(PREVIOS!AG456,CALIFICACION!A:C,3,FALSE))</f>
        <v>1</v>
      </c>
      <c r="H456" s="1" t="s">
        <v>534</v>
      </c>
      <c r="I456" s="1" t="s">
        <v>534</v>
      </c>
      <c r="J456">
        <f>VLOOKUP(PREVIOS!F456&amp;VLOOKUP(PREVIOS!I456,PLAN!A:B,2,FALSE),CURSO!A:D,4,FALSE)</f>
        <v>22</v>
      </c>
      <c r="K456">
        <f>VLOOKUP(PREVIOS!H456,CICLO!A:B,2,FALSE)</f>
        <v>53</v>
      </c>
      <c r="L456">
        <f>VLOOKUP(PREVIOS!I456,PLAN!A:B,2,FALSE)</f>
        <v>6</v>
      </c>
    </row>
    <row r="457" spans="1:12" x14ac:dyDescent="0.25">
      <c r="A457" t="str">
        <f t="shared" si="7"/>
        <v>A239M290C1</v>
      </c>
      <c r="C457">
        <v>456</v>
      </c>
      <c r="D457">
        <f>VLOOKUP(PREVIOS!C457,ALUMNOS!A:B,2,FALSE)</f>
        <v>239</v>
      </c>
      <c r="E457">
        <f>VLOOKUP(PREVIOS!E457&amp;'TABLA PREVIOS'!J457,MATERIAS!A:H,7,FALSE)</f>
        <v>290</v>
      </c>
      <c r="F457">
        <f>VLOOKUP(PREVIOS!G457,CONDICION!A:B,2,FALSE)</f>
        <v>1</v>
      </c>
      <c r="G457">
        <f>IF(PREVIOS!AG457=1,1,VLOOKUP(PREVIOS!AG457,CALIFICACION!A:C,3,FALSE))</f>
        <v>1</v>
      </c>
      <c r="H457" s="1" t="s">
        <v>534</v>
      </c>
      <c r="I457" s="1" t="s">
        <v>534</v>
      </c>
      <c r="J457">
        <f>VLOOKUP(PREVIOS!F457&amp;VLOOKUP(PREVIOS!I457,PLAN!A:B,2,FALSE),CURSO!A:D,4,FALSE)</f>
        <v>22</v>
      </c>
      <c r="K457">
        <f>VLOOKUP(PREVIOS!H457,CICLO!A:B,2,FALSE)</f>
        <v>53</v>
      </c>
      <c r="L457">
        <f>VLOOKUP(PREVIOS!I457,PLAN!A:B,2,FALSE)</f>
        <v>6</v>
      </c>
    </row>
    <row r="458" spans="1:12" x14ac:dyDescent="0.25">
      <c r="A458" t="str">
        <f t="shared" si="7"/>
        <v>A253M259C1</v>
      </c>
      <c r="C458">
        <v>457</v>
      </c>
      <c r="D458">
        <f>VLOOKUP(PREVIOS!C458,ALUMNOS!A:B,2,FALSE)</f>
        <v>253</v>
      </c>
      <c r="E458">
        <f>VLOOKUP(PREVIOS!E458&amp;'TABLA PREVIOS'!J458,MATERIAS!A:H,7,FALSE)</f>
        <v>259</v>
      </c>
      <c r="F458">
        <f>VLOOKUP(PREVIOS!G458,CONDICION!A:B,2,FALSE)</f>
        <v>1</v>
      </c>
      <c r="G458">
        <f>IF(PREVIOS!AG458=1,1,VLOOKUP(PREVIOS!AG458,CALIFICACION!A:C,3,FALSE))</f>
        <v>1</v>
      </c>
      <c r="H458" s="1" t="s">
        <v>534</v>
      </c>
      <c r="I458" s="1" t="s">
        <v>534</v>
      </c>
      <c r="J458">
        <f>VLOOKUP(PREVIOS!F458&amp;VLOOKUP(PREVIOS!I458,PLAN!A:B,2,FALSE),CURSO!A:D,4,FALSE)</f>
        <v>20</v>
      </c>
      <c r="K458">
        <f>VLOOKUP(PREVIOS!H458,CICLO!A:B,2,FALSE)</f>
        <v>51</v>
      </c>
      <c r="L458">
        <f>VLOOKUP(PREVIOS!I458,PLAN!A:B,2,FALSE)</f>
        <v>6</v>
      </c>
    </row>
    <row r="459" spans="1:12" x14ac:dyDescent="0.25">
      <c r="A459" t="str">
        <f t="shared" si="7"/>
        <v>A253M273C1</v>
      </c>
      <c r="C459">
        <v>458</v>
      </c>
      <c r="D459">
        <f>VLOOKUP(PREVIOS!C459,ALUMNOS!A:B,2,FALSE)</f>
        <v>253</v>
      </c>
      <c r="E459">
        <f>VLOOKUP(PREVIOS!E459&amp;'TABLA PREVIOS'!J459,MATERIAS!A:H,7,FALSE)</f>
        <v>273</v>
      </c>
      <c r="F459">
        <f>VLOOKUP(PREVIOS!G459,CONDICION!A:B,2,FALSE)</f>
        <v>1</v>
      </c>
      <c r="G459">
        <f>IF(PREVIOS!AG459=1,1,VLOOKUP(PREVIOS!AG459,CALIFICACION!A:C,3,FALSE))</f>
        <v>1</v>
      </c>
      <c r="H459" s="1" t="s">
        <v>534</v>
      </c>
      <c r="I459" s="1" t="s">
        <v>534</v>
      </c>
      <c r="J459">
        <f>VLOOKUP(PREVIOS!F459&amp;VLOOKUP(PREVIOS!I459,PLAN!A:B,2,FALSE),CURSO!A:D,4,FALSE)</f>
        <v>21</v>
      </c>
      <c r="K459">
        <f>VLOOKUP(PREVIOS!H459,CICLO!A:B,2,FALSE)</f>
        <v>52</v>
      </c>
      <c r="L459">
        <f>VLOOKUP(PREVIOS!I459,PLAN!A:B,2,FALSE)</f>
        <v>6</v>
      </c>
    </row>
    <row r="460" spans="1:12" x14ac:dyDescent="0.25">
      <c r="A460" t="str">
        <f t="shared" si="7"/>
        <v>A253M282C1</v>
      </c>
      <c r="C460">
        <v>459</v>
      </c>
      <c r="D460">
        <f>VLOOKUP(PREVIOS!C460,ALUMNOS!A:B,2,FALSE)</f>
        <v>253</v>
      </c>
      <c r="E460">
        <f>VLOOKUP(PREVIOS!E460&amp;'TABLA PREVIOS'!J460,MATERIAS!A:H,7,FALSE)</f>
        <v>282</v>
      </c>
      <c r="F460">
        <f>VLOOKUP(PREVIOS!G460,CONDICION!A:B,2,FALSE)</f>
        <v>1</v>
      </c>
      <c r="G460">
        <f>IF(PREVIOS!AG460=1,1,VLOOKUP(PREVIOS!AG460,CALIFICACION!A:C,3,FALSE))</f>
        <v>1</v>
      </c>
      <c r="H460" s="1" t="s">
        <v>534</v>
      </c>
      <c r="I460" s="1" t="s">
        <v>534</v>
      </c>
      <c r="J460">
        <f>VLOOKUP(PREVIOS!F460&amp;VLOOKUP(PREVIOS!I460,PLAN!A:B,2,FALSE),CURSO!A:D,4,FALSE)</f>
        <v>22</v>
      </c>
      <c r="K460">
        <f>VLOOKUP(PREVIOS!H460,CICLO!A:B,2,FALSE)</f>
        <v>53</v>
      </c>
      <c r="L460">
        <f>VLOOKUP(PREVIOS!I460,PLAN!A:B,2,FALSE)</f>
        <v>6</v>
      </c>
    </row>
    <row r="461" spans="1:12" x14ac:dyDescent="0.25">
      <c r="A461" t="str">
        <f t="shared" si="7"/>
        <v>A253M290C1</v>
      </c>
      <c r="C461">
        <v>460</v>
      </c>
      <c r="D461">
        <f>VLOOKUP(PREVIOS!C461,ALUMNOS!A:B,2,FALSE)</f>
        <v>253</v>
      </c>
      <c r="E461">
        <f>VLOOKUP(PREVIOS!E461&amp;'TABLA PREVIOS'!J461,MATERIAS!A:H,7,FALSE)</f>
        <v>290</v>
      </c>
      <c r="F461">
        <f>VLOOKUP(PREVIOS!G461,CONDICION!A:B,2,FALSE)</f>
        <v>1</v>
      </c>
      <c r="G461">
        <f>IF(PREVIOS!AG461=1,1,VLOOKUP(PREVIOS!AG461,CALIFICACION!A:C,3,FALSE))</f>
        <v>1</v>
      </c>
      <c r="H461" s="1" t="s">
        <v>534</v>
      </c>
      <c r="I461" s="1" t="s">
        <v>534</v>
      </c>
      <c r="J461">
        <f>VLOOKUP(PREVIOS!F461&amp;VLOOKUP(PREVIOS!I461,PLAN!A:B,2,FALSE),CURSO!A:D,4,FALSE)</f>
        <v>22</v>
      </c>
      <c r="K461">
        <f>VLOOKUP(PREVIOS!H461,CICLO!A:B,2,FALSE)</f>
        <v>53</v>
      </c>
      <c r="L461">
        <f>VLOOKUP(PREVIOS!I461,PLAN!A:B,2,FALSE)</f>
        <v>6</v>
      </c>
    </row>
    <row r="462" spans="1:12" x14ac:dyDescent="0.25">
      <c r="A462" t="str">
        <f t="shared" si="7"/>
        <v>A256M273C1</v>
      </c>
      <c r="C462">
        <v>461</v>
      </c>
      <c r="D462">
        <f>VLOOKUP(PREVIOS!C462,ALUMNOS!A:B,2,FALSE)</f>
        <v>256</v>
      </c>
      <c r="E462">
        <f>VLOOKUP(PREVIOS!E462&amp;'TABLA PREVIOS'!J462,MATERIAS!A:H,7,FALSE)</f>
        <v>273</v>
      </c>
      <c r="F462">
        <f>VLOOKUP(PREVIOS!G462,CONDICION!A:B,2,FALSE)</f>
        <v>1</v>
      </c>
      <c r="G462">
        <f>IF(PREVIOS!AG462=1,1,VLOOKUP(PREVIOS!AG462,CALIFICACION!A:C,3,FALSE))</f>
        <v>1</v>
      </c>
      <c r="H462" s="1" t="s">
        <v>534</v>
      </c>
      <c r="I462" s="1" t="s">
        <v>534</v>
      </c>
      <c r="J462">
        <f>VLOOKUP(PREVIOS!F462&amp;VLOOKUP(PREVIOS!I462,PLAN!A:B,2,FALSE),CURSO!A:D,4,FALSE)</f>
        <v>21</v>
      </c>
      <c r="K462">
        <f>VLOOKUP(PREVIOS!H462,CICLO!A:B,2,FALSE)</f>
        <v>52</v>
      </c>
      <c r="L462">
        <f>VLOOKUP(PREVIOS!I462,PLAN!A:B,2,FALSE)</f>
        <v>6</v>
      </c>
    </row>
    <row r="463" spans="1:12" x14ac:dyDescent="0.25">
      <c r="A463" t="str">
        <f t="shared" si="7"/>
        <v>A256M285C1</v>
      </c>
      <c r="C463">
        <v>462</v>
      </c>
      <c r="D463">
        <f>VLOOKUP(PREVIOS!C463,ALUMNOS!A:B,2,FALSE)</f>
        <v>256</v>
      </c>
      <c r="E463">
        <f>VLOOKUP(PREVIOS!E463&amp;'TABLA PREVIOS'!J463,MATERIAS!A:H,7,FALSE)</f>
        <v>285</v>
      </c>
      <c r="F463">
        <f>VLOOKUP(PREVIOS!G463,CONDICION!A:B,2,FALSE)</f>
        <v>1</v>
      </c>
      <c r="G463">
        <f>IF(PREVIOS!AG463=1,1,VLOOKUP(PREVIOS!AG463,CALIFICACION!A:C,3,FALSE))</f>
        <v>1</v>
      </c>
      <c r="H463" s="1" t="s">
        <v>534</v>
      </c>
      <c r="I463" s="1" t="s">
        <v>534</v>
      </c>
      <c r="J463">
        <f>VLOOKUP(PREVIOS!F463&amp;VLOOKUP(PREVIOS!I463,PLAN!A:B,2,FALSE),CURSO!A:D,4,FALSE)</f>
        <v>22</v>
      </c>
      <c r="K463">
        <f>VLOOKUP(PREVIOS!H463,CICLO!A:B,2,FALSE)</f>
        <v>53</v>
      </c>
      <c r="L463">
        <f>VLOOKUP(PREVIOS!I463,PLAN!A:B,2,FALSE)</f>
        <v>6</v>
      </c>
    </row>
    <row r="464" spans="1:12" x14ac:dyDescent="0.25">
      <c r="A464" t="str">
        <f t="shared" si="7"/>
        <v>A256M284C1</v>
      </c>
      <c r="C464">
        <v>463</v>
      </c>
      <c r="D464">
        <f>VLOOKUP(PREVIOS!C464,ALUMNOS!A:B,2,FALSE)</f>
        <v>256</v>
      </c>
      <c r="E464">
        <f>VLOOKUP(PREVIOS!E464&amp;'TABLA PREVIOS'!J464,MATERIAS!A:H,7,FALSE)</f>
        <v>284</v>
      </c>
      <c r="F464">
        <f>VLOOKUP(PREVIOS!G464,CONDICION!A:B,2,FALSE)</f>
        <v>1</v>
      </c>
      <c r="G464">
        <f>IF(PREVIOS!AG464=1,1,VLOOKUP(PREVIOS!AG464,CALIFICACION!A:C,3,FALSE))</f>
        <v>1</v>
      </c>
      <c r="H464" s="1" t="s">
        <v>534</v>
      </c>
      <c r="I464" s="1" t="s">
        <v>534</v>
      </c>
      <c r="J464">
        <f>VLOOKUP(PREVIOS!F464&amp;VLOOKUP(PREVIOS!I464,PLAN!A:B,2,FALSE),CURSO!A:D,4,FALSE)</f>
        <v>22</v>
      </c>
      <c r="K464">
        <f>VLOOKUP(PREVIOS!H464,CICLO!A:B,2,FALSE)</f>
        <v>53</v>
      </c>
      <c r="L464">
        <f>VLOOKUP(PREVIOS!I464,PLAN!A:B,2,FALSE)</f>
        <v>6</v>
      </c>
    </row>
    <row r="465" spans="1:12" x14ac:dyDescent="0.25">
      <c r="A465" t="str">
        <f t="shared" si="7"/>
        <v>A256M287C1</v>
      </c>
      <c r="C465">
        <v>464</v>
      </c>
      <c r="D465">
        <f>VLOOKUP(PREVIOS!C465,ALUMNOS!A:B,2,FALSE)</f>
        <v>256</v>
      </c>
      <c r="E465">
        <f>VLOOKUP(PREVIOS!E465&amp;'TABLA PREVIOS'!J465,MATERIAS!A:H,7,FALSE)</f>
        <v>287</v>
      </c>
      <c r="F465">
        <f>VLOOKUP(PREVIOS!G465,CONDICION!A:B,2,FALSE)</f>
        <v>1</v>
      </c>
      <c r="G465">
        <f>IF(PREVIOS!AG465=1,1,VLOOKUP(PREVIOS!AG465,CALIFICACION!A:C,3,FALSE))</f>
        <v>1</v>
      </c>
      <c r="H465" s="1" t="s">
        <v>534</v>
      </c>
      <c r="I465" s="1" t="s">
        <v>534</v>
      </c>
      <c r="J465">
        <f>VLOOKUP(PREVIOS!F465&amp;VLOOKUP(PREVIOS!I465,PLAN!A:B,2,FALSE),CURSO!A:D,4,FALSE)</f>
        <v>22</v>
      </c>
      <c r="K465">
        <f>VLOOKUP(PREVIOS!H465,CICLO!A:B,2,FALSE)</f>
        <v>53</v>
      </c>
      <c r="L465">
        <f>VLOOKUP(PREVIOS!I465,PLAN!A:B,2,FALSE)</f>
        <v>6</v>
      </c>
    </row>
    <row r="466" spans="1:12" x14ac:dyDescent="0.25">
      <c r="A466" t="str">
        <f t="shared" si="7"/>
        <v>A256M286C1</v>
      </c>
      <c r="C466">
        <v>465</v>
      </c>
      <c r="D466">
        <f>VLOOKUP(PREVIOS!C466,ALUMNOS!A:B,2,FALSE)</f>
        <v>256</v>
      </c>
      <c r="E466">
        <f>VLOOKUP(PREVIOS!E466&amp;'TABLA PREVIOS'!J466,MATERIAS!A:H,7,FALSE)</f>
        <v>286</v>
      </c>
      <c r="F466">
        <f>VLOOKUP(PREVIOS!G466,CONDICION!A:B,2,FALSE)</f>
        <v>1</v>
      </c>
      <c r="G466">
        <f>IF(PREVIOS!AG466=1,1,VLOOKUP(PREVIOS!AG466,CALIFICACION!A:C,3,FALSE))</f>
        <v>1</v>
      </c>
      <c r="H466" s="1" t="s">
        <v>534</v>
      </c>
      <c r="I466" s="1" t="s">
        <v>534</v>
      </c>
      <c r="J466">
        <f>VLOOKUP(PREVIOS!F466&amp;VLOOKUP(PREVIOS!I466,PLAN!A:B,2,FALSE),CURSO!A:D,4,FALSE)</f>
        <v>22</v>
      </c>
      <c r="K466">
        <f>VLOOKUP(PREVIOS!H466,CICLO!A:B,2,FALSE)</f>
        <v>53</v>
      </c>
      <c r="L466">
        <f>VLOOKUP(PREVIOS!I466,PLAN!A:B,2,FALSE)</f>
        <v>6</v>
      </c>
    </row>
    <row r="467" spans="1:12" x14ac:dyDescent="0.25">
      <c r="A467" t="str">
        <f t="shared" si="7"/>
        <v>A256M282C1</v>
      </c>
      <c r="C467">
        <v>466</v>
      </c>
      <c r="D467">
        <f>VLOOKUP(PREVIOS!C467,ALUMNOS!A:B,2,FALSE)</f>
        <v>256</v>
      </c>
      <c r="E467">
        <f>VLOOKUP(PREVIOS!E467&amp;'TABLA PREVIOS'!J467,MATERIAS!A:H,7,FALSE)</f>
        <v>282</v>
      </c>
      <c r="F467">
        <f>VLOOKUP(PREVIOS!G467,CONDICION!A:B,2,FALSE)</f>
        <v>1</v>
      </c>
      <c r="G467">
        <f>IF(PREVIOS!AG467=1,1,VLOOKUP(PREVIOS!AG467,CALIFICACION!A:C,3,FALSE))</f>
        <v>1</v>
      </c>
      <c r="H467" s="1" t="s">
        <v>534</v>
      </c>
      <c r="I467" s="1" t="s">
        <v>534</v>
      </c>
      <c r="J467">
        <f>VLOOKUP(PREVIOS!F467&amp;VLOOKUP(PREVIOS!I467,PLAN!A:B,2,FALSE),CURSO!A:D,4,FALSE)</f>
        <v>22</v>
      </c>
      <c r="K467">
        <f>VLOOKUP(PREVIOS!H467,CICLO!A:B,2,FALSE)</f>
        <v>53</v>
      </c>
      <c r="L467">
        <f>VLOOKUP(PREVIOS!I467,PLAN!A:B,2,FALSE)</f>
        <v>6</v>
      </c>
    </row>
    <row r="468" spans="1:12" x14ac:dyDescent="0.25">
      <c r="A468" t="str">
        <f t="shared" si="7"/>
        <v>A256M279C1</v>
      </c>
      <c r="C468">
        <v>467</v>
      </c>
      <c r="D468">
        <f>VLOOKUP(PREVIOS!C468,ALUMNOS!A:B,2,FALSE)</f>
        <v>256</v>
      </c>
      <c r="E468">
        <f>VLOOKUP(PREVIOS!E468&amp;'TABLA PREVIOS'!J468,MATERIAS!A:H,7,FALSE)</f>
        <v>279</v>
      </c>
      <c r="F468">
        <f>VLOOKUP(PREVIOS!G468,CONDICION!A:B,2,FALSE)</f>
        <v>1</v>
      </c>
      <c r="G468">
        <f>IF(PREVIOS!AG468=1,1,VLOOKUP(PREVIOS!AG468,CALIFICACION!A:C,3,FALSE))</f>
        <v>1</v>
      </c>
      <c r="H468" s="1" t="s">
        <v>534</v>
      </c>
      <c r="I468" s="1" t="s">
        <v>534</v>
      </c>
      <c r="J468">
        <f>VLOOKUP(PREVIOS!F468&amp;VLOOKUP(PREVIOS!I468,PLAN!A:B,2,FALSE),CURSO!A:D,4,FALSE)</f>
        <v>22</v>
      </c>
      <c r="K468">
        <f>VLOOKUP(PREVIOS!H468,CICLO!A:B,2,FALSE)</f>
        <v>53</v>
      </c>
      <c r="L468">
        <f>VLOOKUP(PREVIOS!I468,PLAN!A:B,2,FALSE)</f>
        <v>6</v>
      </c>
    </row>
    <row r="469" spans="1:12" x14ac:dyDescent="0.25">
      <c r="A469" t="str">
        <f t="shared" si="7"/>
        <v>A256M280C1</v>
      </c>
      <c r="C469">
        <v>468</v>
      </c>
      <c r="D469">
        <f>VLOOKUP(PREVIOS!C469,ALUMNOS!A:B,2,FALSE)</f>
        <v>256</v>
      </c>
      <c r="E469">
        <f>VLOOKUP(PREVIOS!E469&amp;'TABLA PREVIOS'!J469,MATERIAS!A:H,7,FALSE)</f>
        <v>280</v>
      </c>
      <c r="F469">
        <f>VLOOKUP(PREVIOS!G469,CONDICION!A:B,2,FALSE)</f>
        <v>1</v>
      </c>
      <c r="G469">
        <f>IF(PREVIOS!AG469=1,1,VLOOKUP(PREVIOS!AG469,CALIFICACION!A:C,3,FALSE))</f>
        <v>1</v>
      </c>
      <c r="H469" s="1" t="s">
        <v>534</v>
      </c>
      <c r="I469" s="1" t="s">
        <v>534</v>
      </c>
      <c r="J469">
        <f>VLOOKUP(PREVIOS!F469&amp;VLOOKUP(PREVIOS!I469,PLAN!A:B,2,FALSE),CURSO!A:D,4,FALSE)</f>
        <v>22</v>
      </c>
      <c r="K469">
        <f>VLOOKUP(PREVIOS!H469,CICLO!A:B,2,FALSE)</f>
        <v>53</v>
      </c>
      <c r="L469">
        <f>VLOOKUP(PREVIOS!I469,PLAN!A:B,2,FALSE)</f>
        <v>6</v>
      </c>
    </row>
    <row r="470" spans="1:12" x14ac:dyDescent="0.25">
      <c r="A470" t="str">
        <f t="shared" si="7"/>
        <v>A256M281C1</v>
      </c>
      <c r="C470">
        <v>469</v>
      </c>
      <c r="D470">
        <f>VLOOKUP(PREVIOS!C470,ALUMNOS!A:B,2,FALSE)</f>
        <v>256</v>
      </c>
      <c r="E470">
        <f>VLOOKUP(PREVIOS!E470&amp;'TABLA PREVIOS'!J470,MATERIAS!A:H,7,FALSE)</f>
        <v>281</v>
      </c>
      <c r="F470">
        <f>VLOOKUP(PREVIOS!G470,CONDICION!A:B,2,FALSE)</f>
        <v>1</v>
      </c>
      <c r="G470">
        <f>IF(PREVIOS!AG470=1,1,VLOOKUP(PREVIOS!AG470,CALIFICACION!A:C,3,FALSE))</f>
        <v>1</v>
      </c>
      <c r="H470" s="1" t="s">
        <v>534</v>
      </c>
      <c r="I470" s="1" t="s">
        <v>534</v>
      </c>
      <c r="J470">
        <f>VLOOKUP(PREVIOS!F470&amp;VLOOKUP(PREVIOS!I470,PLAN!A:B,2,FALSE),CURSO!A:D,4,FALSE)</f>
        <v>22</v>
      </c>
      <c r="K470">
        <f>VLOOKUP(PREVIOS!H470,CICLO!A:B,2,FALSE)</f>
        <v>53</v>
      </c>
      <c r="L470">
        <f>VLOOKUP(PREVIOS!I470,PLAN!A:B,2,FALSE)</f>
        <v>6</v>
      </c>
    </row>
    <row r="471" spans="1:12" x14ac:dyDescent="0.25">
      <c r="A471" t="str">
        <f t="shared" si="7"/>
        <v>A256M288C1</v>
      </c>
      <c r="C471">
        <v>470</v>
      </c>
      <c r="D471">
        <f>VLOOKUP(PREVIOS!C471,ALUMNOS!A:B,2,FALSE)</f>
        <v>256</v>
      </c>
      <c r="E471">
        <f>VLOOKUP(PREVIOS!E471&amp;'TABLA PREVIOS'!J471,MATERIAS!A:H,7,FALSE)</f>
        <v>288</v>
      </c>
      <c r="F471">
        <f>VLOOKUP(PREVIOS!G471,CONDICION!A:B,2,FALSE)</f>
        <v>1</v>
      </c>
      <c r="G471">
        <f>IF(PREVIOS!AG471=1,1,VLOOKUP(PREVIOS!AG471,CALIFICACION!A:C,3,FALSE))</f>
        <v>1</v>
      </c>
      <c r="H471" s="1" t="s">
        <v>534</v>
      </c>
      <c r="I471" s="1" t="s">
        <v>534</v>
      </c>
      <c r="J471">
        <f>VLOOKUP(PREVIOS!F471&amp;VLOOKUP(PREVIOS!I471,PLAN!A:B,2,FALSE),CURSO!A:D,4,FALSE)</f>
        <v>22</v>
      </c>
      <c r="K471">
        <f>VLOOKUP(PREVIOS!H471,CICLO!A:B,2,FALSE)</f>
        <v>53</v>
      </c>
      <c r="L471">
        <f>VLOOKUP(PREVIOS!I471,PLAN!A:B,2,FALSE)</f>
        <v>6</v>
      </c>
    </row>
    <row r="472" spans="1:12" x14ac:dyDescent="0.25">
      <c r="A472" t="str">
        <f t="shared" si="7"/>
        <v>A256M290C1</v>
      </c>
      <c r="C472">
        <v>471</v>
      </c>
      <c r="D472">
        <f>VLOOKUP(PREVIOS!C472,ALUMNOS!A:B,2,FALSE)</f>
        <v>256</v>
      </c>
      <c r="E472">
        <f>VLOOKUP(PREVIOS!E472&amp;'TABLA PREVIOS'!J472,MATERIAS!A:H,7,FALSE)</f>
        <v>290</v>
      </c>
      <c r="F472">
        <f>VLOOKUP(PREVIOS!G472,CONDICION!A:B,2,FALSE)</f>
        <v>1</v>
      </c>
      <c r="G472">
        <f>IF(PREVIOS!AG472=1,1,VLOOKUP(PREVIOS!AG472,CALIFICACION!A:C,3,FALSE))</f>
        <v>1</v>
      </c>
      <c r="H472" s="1" t="s">
        <v>534</v>
      </c>
      <c r="I472" s="1" t="s">
        <v>534</v>
      </c>
      <c r="J472">
        <f>VLOOKUP(PREVIOS!F472&amp;VLOOKUP(PREVIOS!I472,PLAN!A:B,2,FALSE),CURSO!A:D,4,FALSE)</f>
        <v>22</v>
      </c>
      <c r="K472">
        <f>VLOOKUP(PREVIOS!H472,CICLO!A:B,2,FALSE)</f>
        <v>53</v>
      </c>
      <c r="L472">
        <f>VLOOKUP(PREVIOS!I472,PLAN!A:B,2,FALSE)</f>
        <v>6</v>
      </c>
    </row>
    <row r="473" spans="1:12" x14ac:dyDescent="0.25">
      <c r="A473" t="str">
        <f t="shared" si="7"/>
        <v>A576M254C1</v>
      </c>
      <c r="C473">
        <v>472</v>
      </c>
      <c r="D473">
        <f>VLOOKUP(PREVIOS!C473,ALUMNOS!A:B,2,FALSE)</f>
        <v>576</v>
      </c>
      <c r="E473">
        <f>VLOOKUP(PREVIOS!E473&amp;'TABLA PREVIOS'!J473,MATERIAS!A:H,7,FALSE)</f>
        <v>254</v>
      </c>
      <c r="F473">
        <f>VLOOKUP(PREVIOS!G473,CONDICION!A:B,2,FALSE)</f>
        <v>1</v>
      </c>
      <c r="G473">
        <f>IF(PREVIOS!AG473=1,1,VLOOKUP(PREVIOS!AG473,CALIFICACION!A:C,3,FALSE))</f>
        <v>1</v>
      </c>
      <c r="H473" s="1" t="s">
        <v>534</v>
      </c>
      <c r="I473" s="1" t="s">
        <v>534</v>
      </c>
      <c r="J473">
        <f>VLOOKUP(PREVIOS!F473&amp;VLOOKUP(PREVIOS!I473,PLAN!A:B,2,FALSE),CURSO!A:D,4,FALSE)</f>
        <v>20</v>
      </c>
      <c r="K473">
        <f>VLOOKUP(PREVIOS!H473,CICLO!A:B,2,FALSE)</f>
        <v>51</v>
      </c>
      <c r="L473">
        <f>VLOOKUP(PREVIOS!I473,PLAN!A:B,2,FALSE)</f>
        <v>6</v>
      </c>
    </row>
    <row r="474" spans="1:12" x14ac:dyDescent="0.25">
      <c r="A474" t="str">
        <f t="shared" si="7"/>
        <v>A576M274C1</v>
      </c>
      <c r="C474">
        <v>473</v>
      </c>
      <c r="D474">
        <f>VLOOKUP(PREVIOS!C474,ALUMNOS!A:B,2,FALSE)</f>
        <v>576</v>
      </c>
      <c r="E474">
        <f>VLOOKUP(PREVIOS!E474&amp;'TABLA PREVIOS'!J474,MATERIAS!A:H,7,FALSE)</f>
        <v>274</v>
      </c>
      <c r="F474">
        <f>VLOOKUP(PREVIOS!G474,CONDICION!A:B,2,FALSE)</f>
        <v>1</v>
      </c>
      <c r="G474">
        <f>IF(PREVIOS!AG474=1,1,VLOOKUP(PREVIOS!AG474,CALIFICACION!A:C,3,FALSE))</f>
        <v>1</v>
      </c>
      <c r="H474" s="1" t="s">
        <v>534</v>
      </c>
      <c r="I474" s="1" t="s">
        <v>534</v>
      </c>
      <c r="J474">
        <f>VLOOKUP(PREVIOS!F474&amp;VLOOKUP(PREVIOS!I474,PLAN!A:B,2,FALSE),CURSO!A:D,4,FALSE)</f>
        <v>21</v>
      </c>
      <c r="K474">
        <f>VLOOKUP(PREVIOS!H474,CICLO!A:B,2,FALSE)</f>
        <v>52</v>
      </c>
      <c r="L474">
        <f>VLOOKUP(PREVIOS!I474,PLAN!A:B,2,FALSE)</f>
        <v>6</v>
      </c>
    </row>
    <row r="475" spans="1:12" x14ac:dyDescent="0.25">
      <c r="A475" t="str">
        <f t="shared" si="7"/>
        <v>A576M268C1</v>
      </c>
      <c r="C475">
        <v>474</v>
      </c>
      <c r="D475">
        <f>VLOOKUP(PREVIOS!C475,ALUMNOS!A:B,2,FALSE)</f>
        <v>576</v>
      </c>
      <c r="E475">
        <f>VLOOKUP(PREVIOS!E475&amp;'TABLA PREVIOS'!J475,MATERIAS!A:H,7,FALSE)</f>
        <v>268</v>
      </c>
      <c r="F475">
        <f>VLOOKUP(PREVIOS!G475,CONDICION!A:B,2,FALSE)</f>
        <v>1</v>
      </c>
      <c r="G475">
        <f>IF(PREVIOS!AG475=1,1,VLOOKUP(PREVIOS!AG475,CALIFICACION!A:C,3,FALSE))</f>
        <v>1</v>
      </c>
      <c r="H475" s="1" t="s">
        <v>534</v>
      </c>
      <c r="I475" s="1" t="s">
        <v>534</v>
      </c>
      <c r="J475">
        <f>VLOOKUP(PREVIOS!F475&amp;VLOOKUP(PREVIOS!I475,PLAN!A:B,2,FALSE),CURSO!A:D,4,FALSE)</f>
        <v>21</v>
      </c>
      <c r="K475">
        <f>VLOOKUP(PREVIOS!H475,CICLO!A:B,2,FALSE)</f>
        <v>52</v>
      </c>
      <c r="L475">
        <f>VLOOKUP(PREVIOS!I475,PLAN!A:B,2,FALSE)</f>
        <v>6</v>
      </c>
    </row>
    <row r="476" spans="1:12" x14ac:dyDescent="0.25">
      <c r="A476" t="str">
        <f t="shared" si="7"/>
        <v>A576M284C1</v>
      </c>
      <c r="C476">
        <v>475</v>
      </c>
      <c r="D476">
        <f>VLOOKUP(PREVIOS!C476,ALUMNOS!A:B,2,FALSE)</f>
        <v>576</v>
      </c>
      <c r="E476">
        <f>VLOOKUP(PREVIOS!E476&amp;'TABLA PREVIOS'!J476,MATERIAS!A:H,7,FALSE)</f>
        <v>284</v>
      </c>
      <c r="F476">
        <f>VLOOKUP(PREVIOS!G476,CONDICION!A:B,2,FALSE)</f>
        <v>1</v>
      </c>
      <c r="G476">
        <f>IF(PREVIOS!AG476=1,1,VLOOKUP(PREVIOS!AG476,CALIFICACION!A:C,3,FALSE))</f>
        <v>1</v>
      </c>
      <c r="H476" s="1" t="s">
        <v>534</v>
      </c>
      <c r="I476" s="1" t="s">
        <v>534</v>
      </c>
      <c r="J476">
        <f>VLOOKUP(PREVIOS!F476&amp;VLOOKUP(PREVIOS!I476,PLAN!A:B,2,FALSE),CURSO!A:D,4,FALSE)</f>
        <v>22</v>
      </c>
      <c r="K476">
        <f>VLOOKUP(PREVIOS!H476,CICLO!A:B,2,FALSE)</f>
        <v>53</v>
      </c>
      <c r="L476">
        <f>VLOOKUP(PREVIOS!I476,PLAN!A:B,2,FALSE)</f>
        <v>6</v>
      </c>
    </row>
    <row r="477" spans="1:12" x14ac:dyDescent="0.25">
      <c r="A477" t="str">
        <f t="shared" si="7"/>
        <v>A576M287C1</v>
      </c>
      <c r="C477">
        <v>476</v>
      </c>
      <c r="D477">
        <f>VLOOKUP(PREVIOS!C477,ALUMNOS!A:B,2,FALSE)</f>
        <v>576</v>
      </c>
      <c r="E477">
        <f>VLOOKUP(PREVIOS!E477&amp;'TABLA PREVIOS'!J477,MATERIAS!A:H,7,FALSE)</f>
        <v>287</v>
      </c>
      <c r="F477">
        <f>VLOOKUP(PREVIOS!G477,CONDICION!A:B,2,FALSE)</f>
        <v>1</v>
      </c>
      <c r="G477">
        <f>IF(PREVIOS!AG477=1,1,VLOOKUP(PREVIOS!AG477,CALIFICACION!A:C,3,FALSE))</f>
        <v>1</v>
      </c>
      <c r="H477" s="1" t="s">
        <v>534</v>
      </c>
      <c r="I477" s="1" t="s">
        <v>534</v>
      </c>
      <c r="J477">
        <f>VLOOKUP(PREVIOS!F477&amp;VLOOKUP(PREVIOS!I477,PLAN!A:B,2,FALSE),CURSO!A:D,4,FALSE)</f>
        <v>22</v>
      </c>
      <c r="K477">
        <f>VLOOKUP(PREVIOS!H477,CICLO!A:B,2,FALSE)</f>
        <v>53</v>
      </c>
      <c r="L477">
        <f>VLOOKUP(PREVIOS!I477,PLAN!A:B,2,FALSE)</f>
        <v>6</v>
      </c>
    </row>
    <row r="478" spans="1:12" x14ac:dyDescent="0.25">
      <c r="A478" t="str">
        <f t="shared" si="7"/>
        <v>A576M286C1</v>
      </c>
      <c r="C478">
        <v>477</v>
      </c>
      <c r="D478">
        <f>VLOOKUP(PREVIOS!C478,ALUMNOS!A:B,2,FALSE)</f>
        <v>576</v>
      </c>
      <c r="E478">
        <f>VLOOKUP(PREVIOS!E478&amp;'TABLA PREVIOS'!J478,MATERIAS!A:H,7,FALSE)</f>
        <v>286</v>
      </c>
      <c r="F478">
        <f>VLOOKUP(PREVIOS!G478,CONDICION!A:B,2,FALSE)</f>
        <v>1</v>
      </c>
      <c r="G478">
        <f>IF(PREVIOS!AG478=1,1,VLOOKUP(PREVIOS!AG478,CALIFICACION!A:C,3,FALSE))</f>
        <v>1</v>
      </c>
      <c r="H478" s="1" t="s">
        <v>534</v>
      </c>
      <c r="I478" s="1" t="s">
        <v>534</v>
      </c>
      <c r="J478">
        <f>VLOOKUP(PREVIOS!F478&amp;VLOOKUP(PREVIOS!I478,PLAN!A:B,2,FALSE),CURSO!A:D,4,FALSE)</f>
        <v>22</v>
      </c>
      <c r="K478">
        <f>VLOOKUP(PREVIOS!H478,CICLO!A:B,2,FALSE)</f>
        <v>53</v>
      </c>
      <c r="L478">
        <f>VLOOKUP(PREVIOS!I478,PLAN!A:B,2,FALSE)</f>
        <v>6</v>
      </c>
    </row>
    <row r="479" spans="1:12" x14ac:dyDescent="0.25">
      <c r="A479" t="str">
        <f t="shared" si="7"/>
        <v>A576M292C1</v>
      </c>
      <c r="C479">
        <v>478</v>
      </c>
      <c r="D479">
        <f>VLOOKUP(PREVIOS!C479,ALUMNOS!A:B,2,FALSE)</f>
        <v>576</v>
      </c>
      <c r="E479">
        <f>VLOOKUP(PREVIOS!E479&amp;'TABLA PREVIOS'!J479,MATERIAS!A:H,7,FALSE)</f>
        <v>292</v>
      </c>
      <c r="F479">
        <f>VLOOKUP(PREVIOS!G479,CONDICION!A:B,2,FALSE)</f>
        <v>1</v>
      </c>
      <c r="G479">
        <f>IF(PREVIOS!AG479=1,1,VLOOKUP(PREVIOS!AG479,CALIFICACION!A:C,3,FALSE))</f>
        <v>1</v>
      </c>
      <c r="H479" s="1" t="s">
        <v>534</v>
      </c>
      <c r="I479" s="1" t="s">
        <v>534</v>
      </c>
      <c r="J479">
        <f>VLOOKUP(PREVIOS!F479&amp;VLOOKUP(PREVIOS!I479,PLAN!A:B,2,FALSE),CURSO!A:D,4,FALSE)</f>
        <v>22</v>
      </c>
      <c r="K479">
        <f>VLOOKUP(PREVIOS!H479,CICLO!A:B,2,FALSE)</f>
        <v>53</v>
      </c>
      <c r="L479">
        <f>VLOOKUP(PREVIOS!I479,PLAN!A:B,2,FALSE)</f>
        <v>6</v>
      </c>
    </row>
    <row r="480" spans="1:12" x14ac:dyDescent="0.25">
      <c r="A480" t="str">
        <f t="shared" si="7"/>
        <v>A576M282C1</v>
      </c>
      <c r="C480">
        <v>479</v>
      </c>
      <c r="D480">
        <f>VLOOKUP(PREVIOS!C480,ALUMNOS!A:B,2,FALSE)</f>
        <v>576</v>
      </c>
      <c r="E480">
        <f>VLOOKUP(PREVIOS!E480&amp;'TABLA PREVIOS'!J480,MATERIAS!A:H,7,FALSE)</f>
        <v>282</v>
      </c>
      <c r="F480">
        <f>VLOOKUP(PREVIOS!G480,CONDICION!A:B,2,FALSE)</f>
        <v>1</v>
      </c>
      <c r="G480">
        <f>IF(PREVIOS!AG480=1,1,VLOOKUP(PREVIOS!AG480,CALIFICACION!A:C,3,FALSE))</f>
        <v>1</v>
      </c>
      <c r="H480" s="1" t="s">
        <v>534</v>
      </c>
      <c r="I480" s="1" t="s">
        <v>534</v>
      </c>
      <c r="J480">
        <f>VLOOKUP(PREVIOS!F480&amp;VLOOKUP(PREVIOS!I480,PLAN!A:B,2,FALSE),CURSO!A:D,4,FALSE)</f>
        <v>22</v>
      </c>
      <c r="K480">
        <f>VLOOKUP(PREVIOS!H480,CICLO!A:B,2,FALSE)</f>
        <v>53</v>
      </c>
      <c r="L480">
        <f>VLOOKUP(PREVIOS!I480,PLAN!A:B,2,FALSE)</f>
        <v>6</v>
      </c>
    </row>
    <row r="481" spans="1:12" x14ac:dyDescent="0.25">
      <c r="A481" t="str">
        <f t="shared" si="7"/>
        <v>A576M279C1</v>
      </c>
      <c r="C481">
        <v>480</v>
      </c>
      <c r="D481">
        <f>VLOOKUP(PREVIOS!C481,ALUMNOS!A:B,2,FALSE)</f>
        <v>576</v>
      </c>
      <c r="E481">
        <f>VLOOKUP(PREVIOS!E481&amp;'TABLA PREVIOS'!J481,MATERIAS!A:H,7,FALSE)</f>
        <v>279</v>
      </c>
      <c r="F481">
        <f>VLOOKUP(PREVIOS!G481,CONDICION!A:B,2,FALSE)</f>
        <v>1</v>
      </c>
      <c r="G481">
        <f>IF(PREVIOS!AG481=1,1,VLOOKUP(PREVIOS!AG481,CALIFICACION!A:C,3,FALSE))</f>
        <v>1</v>
      </c>
      <c r="H481" s="1" t="s">
        <v>534</v>
      </c>
      <c r="I481" s="1" t="s">
        <v>534</v>
      </c>
      <c r="J481">
        <f>VLOOKUP(PREVIOS!F481&amp;VLOOKUP(PREVIOS!I481,PLAN!A:B,2,FALSE),CURSO!A:D,4,FALSE)</f>
        <v>22</v>
      </c>
      <c r="K481">
        <f>VLOOKUP(PREVIOS!H481,CICLO!A:B,2,FALSE)</f>
        <v>53</v>
      </c>
      <c r="L481">
        <f>VLOOKUP(PREVIOS!I481,PLAN!A:B,2,FALSE)</f>
        <v>6</v>
      </c>
    </row>
    <row r="482" spans="1:12" x14ac:dyDescent="0.25">
      <c r="A482" t="str">
        <f t="shared" si="7"/>
        <v>A576M280C1</v>
      </c>
      <c r="C482">
        <v>481</v>
      </c>
      <c r="D482">
        <f>VLOOKUP(PREVIOS!C482,ALUMNOS!A:B,2,FALSE)</f>
        <v>576</v>
      </c>
      <c r="E482">
        <f>VLOOKUP(PREVIOS!E482&amp;'TABLA PREVIOS'!J482,MATERIAS!A:H,7,FALSE)</f>
        <v>280</v>
      </c>
      <c r="F482">
        <f>VLOOKUP(PREVIOS!G482,CONDICION!A:B,2,FALSE)</f>
        <v>1</v>
      </c>
      <c r="G482">
        <f>IF(PREVIOS!AG482=1,1,VLOOKUP(PREVIOS!AG482,CALIFICACION!A:C,3,FALSE))</f>
        <v>1</v>
      </c>
      <c r="H482" s="1" t="s">
        <v>534</v>
      </c>
      <c r="I482" s="1" t="s">
        <v>534</v>
      </c>
      <c r="J482">
        <f>VLOOKUP(PREVIOS!F482&amp;VLOOKUP(PREVIOS!I482,PLAN!A:B,2,FALSE),CURSO!A:D,4,FALSE)</f>
        <v>22</v>
      </c>
      <c r="K482">
        <f>VLOOKUP(PREVIOS!H482,CICLO!A:B,2,FALSE)</f>
        <v>53</v>
      </c>
      <c r="L482">
        <f>VLOOKUP(PREVIOS!I482,PLAN!A:B,2,FALSE)</f>
        <v>6</v>
      </c>
    </row>
    <row r="483" spans="1:12" x14ac:dyDescent="0.25">
      <c r="A483" t="str">
        <f t="shared" si="7"/>
        <v>A576M288C1</v>
      </c>
      <c r="C483">
        <v>482</v>
      </c>
      <c r="D483">
        <f>VLOOKUP(PREVIOS!C483,ALUMNOS!A:B,2,FALSE)</f>
        <v>576</v>
      </c>
      <c r="E483">
        <f>VLOOKUP(PREVIOS!E483&amp;'TABLA PREVIOS'!J483,MATERIAS!A:H,7,FALSE)</f>
        <v>288</v>
      </c>
      <c r="F483">
        <f>VLOOKUP(PREVIOS!G483,CONDICION!A:B,2,FALSE)</f>
        <v>1</v>
      </c>
      <c r="G483">
        <f>IF(PREVIOS!AG483=1,1,VLOOKUP(PREVIOS!AG483,CALIFICACION!A:C,3,FALSE))</f>
        <v>1</v>
      </c>
      <c r="H483" s="1" t="s">
        <v>534</v>
      </c>
      <c r="I483" s="1" t="s">
        <v>534</v>
      </c>
      <c r="J483">
        <f>VLOOKUP(PREVIOS!F483&amp;VLOOKUP(PREVIOS!I483,PLAN!A:B,2,FALSE),CURSO!A:D,4,FALSE)</f>
        <v>22</v>
      </c>
      <c r="K483">
        <f>VLOOKUP(PREVIOS!H483,CICLO!A:B,2,FALSE)</f>
        <v>53</v>
      </c>
      <c r="L483">
        <f>VLOOKUP(PREVIOS!I483,PLAN!A:B,2,FALSE)</f>
        <v>6</v>
      </c>
    </row>
    <row r="484" spans="1:12" x14ac:dyDescent="0.25">
      <c r="A484" t="str">
        <f t="shared" si="7"/>
        <v>A576M290C1</v>
      </c>
      <c r="C484">
        <v>483</v>
      </c>
      <c r="D484">
        <f>VLOOKUP(PREVIOS!C484,ALUMNOS!A:B,2,FALSE)</f>
        <v>576</v>
      </c>
      <c r="E484">
        <f>VLOOKUP(PREVIOS!E484&amp;'TABLA PREVIOS'!J484,MATERIAS!A:H,7,FALSE)</f>
        <v>290</v>
      </c>
      <c r="F484">
        <f>VLOOKUP(PREVIOS!G484,CONDICION!A:B,2,FALSE)</f>
        <v>1</v>
      </c>
      <c r="G484">
        <f>IF(PREVIOS!AG484=1,1,VLOOKUP(PREVIOS!AG484,CALIFICACION!A:C,3,FALSE))</f>
        <v>1</v>
      </c>
      <c r="H484" s="1" t="s">
        <v>534</v>
      </c>
      <c r="I484" s="1" t="s">
        <v>534</v>
      </c>
      <c r="J484">
        <f>VLOOKUP(PREVIOS!F484&amp;VLOOKUP(PREVIOS!I484,PLAN!A:B,2,FALSE),CURSO!A:D,4,FALSE)</f>
        <v>22</v>
      </c>
      <c r="K484">
        <f>VLOOKUP(PREVIOS!H484,CICLO!A:B,2,FALSE)</f>
        <v>53</v>
      </c>
      <c r="L484">
        <f>VLOOKUP(PREVIOS!I484,PLAN!A:B,2,FALSE)</f>
        <v>6</v>
      </c>
    </row>
    <row r="485" spans="1:12" x14ac:dyDescent="0.25">
      <c r="A485" t="str">
        <f t="shared" si="7"/>
        <v>A606M243C1</v>
      </c>
      <c r="C485">
        <v>484</v>
      </c>
      <c r="D485">
        <f>VLOOKUP(PREVIOS!C485,ALUMNOS!A:B,2,FALSE)</f>
        <v>606</v>
      </c>
      <c r="E485">
        <f>VLOOKUP(PREVIOS!E485&amp;'TABLA PREVIOS'!J485,MATERIAS!A:H,7,FALSE)</f>
        <v>243</v>
      </c>
      <c r="F485">
        <f>VLOOKUP(PREVIOS!G485,CONDICION!A:B,2,FALSE)</f>
        <v>1</v>
      </c>
      <c r="G485">
        <f>IF(PREVIOS!AG485=1,1,VLOOKUP(PREVIOS!AG485,CALIFICACION!A:C,3,FALSE))</f>
        <v>1</v>
      </c>
      <c r="H485" s="1" t="s">
        <v>534</v>
      </c>
      <c r="I485" s="1" t="s">
        <v>534</v>
      </c>
      <c r="J485">
        <f>VLOOKUP(PREVIOS!F485&amp;VLOOKUP(PREVIOS!I485,PLAN!A:B,2,FALSE),CURSO!A:D,4,FALSE)</f>
        <v>19</v>
      </c>
      <c r="K485">
        <f>VLOOKUP(PREVIOS!H485,CICLO!A:B,2,FALSE)</f>
        <v>50</v>
      </c>
      <c r="L485">
        <f>VLOOKUP(PREVIOS!I485,PLAN!A:B,2,FALSE)</f>
        <v>5</v>
      </c>
    </row>
    <row r="486" spans="1:12" x14ac:dyDescent="0.25">
      <c r="A486" t="str">
        <f t="shared" si="7"/>
        <v>A606M285C1</v>
      </c>
      <c r="C486">
        <v>485</v>
      </c>
      <c r="D486">
        <f>VLOOKUP(PREVIOS!C486,ALUMNOS!A:B,2,FALSE)</f>
        <v>606</v>
      </c>
      <c r="E486">
        <f>VLOOKUP(PREVIOS!E486&amp;'TABLA PREVIOS'!J486,MATERIAS!A:H,7,FALSE)</f>
        <v>285</v>
      </c>
      <c r="F486">
        <f>VLOOKUP(PREVIOS!G486,CONDICION!A:B,2,FALSE)</f>
        <v>1</v>
      </c>
      <c r="G486">
        <f>IF(PREVIOS!AG486=1,1,VLOOKUP(PREVIOS!AG486,CALIFICACION!A:C,3,FALSE))</f>
        <v>1</v>
      </c>
      <c r="H486" s="1" t="s">
        <v>534</v>
      </c>
      <c r="I486" s="1" t="s">
        <v>534</v>
      </c>
      <c r="J486">
        <f>VLOOKUP(PREVIOS!F486&amp;VLOOKUP(PREVIOS!I486,PLAN!A:B,2,FALSE),CURSO!A:D,4,FALSE)</f>
        <v>22</v>
      </c>
      <c r="K486">
        <f>VLOOKUP(PREVIOS!H486,CICLO!A:B,2,FALSE)</f>
        <v>53</v>
      </c>
      <c r="L486">
        <f>VLOOKUP(PREVIOS!I486,PLAN!A:B,2,FALSE)</f>
        <v>6</v>
      </c>
    </row>
    <row r="487" spans="1:12" x14ac:dyDescent="0.25">
      <c r="A487" t="str">
        <f t="shared" si="7"/>
        <v>A606M284C1</v>
      </c>
      <c r="C487">
        <v>486</v>
      </c>
      <c r="D487">
        <f>VLOOKUP(PREVIOS!C487,ALUMNOS!A:B,2,FALSE)</f>
        <v>606</v>
      </c>
      <c r="E487">
        <f>VLOOKUP(PREVIOS!E487&amp;'TABLA PREVIOS'!J487,MATERIAS!A:H,7,FALSE)</f>
        <v>284</v>
      </c>
      <c r="F487">
        <f>VLOOKUP(PREVIOS!G487,CONDICION!A:B,2,FALSE)</f>
        <v>1</v>
      </c>
      <c r="G487">
        <f>IF(PREVIOS!AG487=1,1,VLOOKUP(PREVIOS!AG487,CALIFICACION!A:C,3,FALSE))</f>
        <v>1</v>
      </c>
      <c r="H487" s="1" t="s">
        <v>534</v>
      </c>
      <c r="I487" s="1" t="s">
        <v>534</v>
      </c>
      <c r="J487">
        <f>VLOOKUP(PREVIOS!F487&amp;VLOOKUP(PREVIOS!I487,PLAN!A:B,2,FALSE),CURSO!A:D,4,FALSE)</f>
        <v>22</v>
      </c>
      <c r="K487">
        <f>VLOOKUP(PREVIOS!H487,CICLO!A:B,2,FALSE)</f>
        <v>53</v>
      </c>
      <c r="L487">
        <f>VLOOKUP(PREVIOS!I487,PLAN!A:B,2,FALSE)</f>
        <v>6</v>
      </c>
    </row>
    <row r="488" spans="1:12" x14ac:dyDescent="0.25">
      <c r="A488" t="str">
        <f t="shared" si="7"/>
        <v>A606M287C1</v>
      </c>
      <c r="C488">
        <v>487</v>
      </c>
      <c r="D488">
        <f>VLOOKUP(PREVIOS!C488,ALUMNOS!A:B,2,FALSE)</f>
        <v>606</v>
      </c>
      <c r="E488">
        <f>VLOOKUP(PREVIOS!E488&amp;'TABLA PREVIOS'!J488,MATERIAS!A:H,7,FALSE)</f>
        <v>287</v>
      </c>
      <c r="F488">
        <f>VLOOKUP(PREVIOS!G488,CONDICION!A:B,2,FALSE)</f>
        <v>1</v>
      </c>
      <c r="G488">
        <f>IF(PREVIOS!AG488=1,1,VLOOKUP(PREVIOS!AG488,CALIFICACION!A:C,3,FALSE))</f>
        <v>1</v>
      </c>
      <c r="H488" s="1" t="s">
        <v>534</v>
      </c>
      <c r="I488" s="1" t="s">
        <v>534</v>
      </c>
      <c r="J488">
        <f>VLOOKUP(PREVIOS!F488&amp;VLOOKUP(PREVIOS!I488,PLAN!A:B,2,FALSE),CURSO!A:D,4,FALSE)</f>
        <v>22</v>
      </c>
      <c r="K488">
        <f>VLOOKUP(PREVIOS!H488,CICLO!A:B,2,FALSE)</f>
        <v>53</v>
      </c>
      <c r="L488">
        <f>VLOOKUP(PREVIOS!I488,PLAN!A:B,2,FALSE)</f>
        <v>6</v>
      </c>
    </row>
    <row r="489" spans="1:12" x14ac:dyDescent="0.25">
      <c r="A489" t="str">
        <f t="shared" si="7"/>
        <v>A606M286C1</v>
      </c>
      <c r="C489">
        <v>488</v>
      </c>
      <c r="D489">
        <f>VLOOKUP(PREVIOS!C489,ALUMNOS!A:B,2,FALSE)</f>
        <v>606</v>
      </c>
      <c r="E489">
        <f>VLOOKUP(PREVIOS!E489&amp;'TABLA PREVIOS'!J489,MATERIAS!A:H,7,FALSE)</f>
        <v>286</v>
      </c>
      <c r="F489">
        <f>VLOOKUP(PREVIOS!G489,CONDICION!A:B,2,FALSE)</f>
        <v>1</v>
      </c>
      <c r="G489">
        <f>IF(PREVIOS!AG489=1,1,VLOOKUP(PREVIOS!AG489,CALIFICACION!A:C,3,FALSE))</f>
        <v>1</v>
      </c>
      <c r="H489" s="1" t="s">
        <v>534</v>
      </c>
      <c r="I489" s="1" t="s">
        <v>534</v>
      </c>
      <c r="J489">
        <f>VLOOKUP(PREVIOS!F489&amp;VLOOKUP(PREVIOS!I489,PLAN!A:B,2,FALSE),CURSO!A:D,4,FALSE)</f>
        <v>22</v>
      </c>
      <c r="K489">
        <f>VLOOKUP(PREVIOS!H489,CICLO!A:B,2,FALSE)</f>
        <v>53</v>
      </c>
      <c r="L489">
        <f>VLOOKUP(PREVIOS!I489,PLAN!A:B,2,FALSE)</f>
        <v>6</v>
      </c>
    </row>
    <row r="490" spans="1:12" x14ac:dyDescent="0.25">
      <c r="A490" t="str">
        <f t="shared" si="7"/>
        <v>A606M292C1</v>
      </c>
      <c r="C490">
        <v>489</v>
      </c>
      <c r="D490">
        <f>VLOOKUP(PREVIOS!C490,ALUMNOS!A:B,2,FALSE)</f>
        <v>606</v>
      </c>
      <c r="E490">
        <f>VLOOKUP(PREVIOS!E490&amp;'TABLA PREVIOS'!J490,MATERIAS!A:H,7,FALSE)</f>
        <v>292</v>
      </c>
      <c r="F490">
        <f>VLOOKUP(PREVIOS!G490,CONDICION!A:B,2,FALSE)</f>
        <v>1</v>
      </c>
      <c r="G490">
        <f>IF(PREVIOS!AG490=1,1,VLOOKUP(PREVIOS!AG490,CALIFICACION!A:C,3,FALSE))</f>
        <v>1</v>
      </c>
      <c r="H490" s="1" t="s">
        <v>534</v>
      </c>
      <c r="I490" s="1" t="s">
        <v>534</v>
      </c>
      <c r="J490">
        <f>VLOOKUP(PREVIOS!F490&amp;VLOOKUP(PREVIOS!I490,PLAN!A:B,2,FALSE),CURSO!A:D,4,FALSE)</f>
        <v>22</v>
      </c>
      <c r="K490">
        <f>VLOOKUP(PREVIOS!H490,CICLO!A:B,2,FALSE)</f>
        <v>53</v>
      </c>
      <c r="L490">
        <f>VLOOKUP(PREVIOS!I490,PLAN!A:B,2,FALSE)</f>
        <v>6</v>
      </c>
    </row>
    <row r="491" spans="1:12" x14ac:dyDescent="0.25">
      <c r="A491" t="str">
        <f t="shared" si="7"/>
        <v>A606M291C1</v>
      </c>
      <c r="C491">
        <v>490</v>
      </c>
      <c r="D491">
        <f>VLOOKUP(PREVIOS!C491,ALUMNOS!A:B,2,FALSE)</f>
        <v>606</v>
      </c>
      <c r="E491">
        <f>VLOOKUP(PREVIOS!E491&amp;'TABLA PREVIOS'!J491,MATERIAS!A:H,7,FALSE)</f>
        <v>291</v>
      </c>
      <c r="F491">
        <f>VLOOKUP(PREVIOS!G491,CONDICION!A:B,2,FALSE)</f>
        <v>1</v>
      </c>
      <c r="G491">
        <f>IF(PREVIOS!AG491=1,1,VLOOKUP(PREVIOS!AG491,CALIFICACION!A:C,3,FALSE))</f>
        <v>1</v>
      </c>
      <c r="H491" s="1" t="s">
        <v>534</v>
      </c>
      <c r="I491" s="1" t="s">
        <v>534</v>
      </c>
      <c r="J491">
        <f>VLOOKUP(PREVIOS!F491&amp;VLOOKUP(PREVIOS!I491,PLAN!A:B,2,FALSE),CURSO!A:D,4,FALSE)</f>
        <v>22</v>
      </c>
      <c r="K491">
        <f>VLOOKUP(PREVIOS!H491,CICLO!A:B,2,FALSE)</f>
        <v>53</v>
      </c>
      <c r="L491">
        <f>VLOOKUP(PREVIOS!I491,PLAN!A:B,2,FALSE)</f>
        <v>6</v>
      </c>
    </row>
    <row r="492" spans="1:12" x14ac:dyDescent="0.25">
      <c r="A492" t="str">
        <f t="shared" si="7"/>
        <v>A606M282C1</v>
      </c>
      <c r="C492">
        <v>491</v>
      </c>
      <c r="D492">
        <f>VLOOKUP(PREVIOS!C492,ALUMNOS!A:B,2,FALSE)</f>
        <v>606</v>
      </c>
      <c r="E492">
        <f>VLOOKUP(PREVIOS!E492&amp;'TABLA PREVIOS'!J492,MATERIAS!A:H,7,FALSE)</f>
        <v>282</v>
      </c>
      <c r="F492">
        <f>VLOOKUP(PREVIOS!G492,CONDICION!A:B,2,FALSE)</f>
        <v>1</v>
      </c>
      <c r="G492">
        <f>IF(PREVIOS!AG492=1,1,VLOOKUP(PREVIOS!AG492,CALIFICACION!A:C,3,FALSE))</f>
        <v>1</v>
      </c>
      <c r="H492" s="1" t="s">
        <v>534</v>
      </c>
      <c r="I492" s="1" t="s">
        <v>534</v>
      </c>
      <c r="J492">
        <f>VLOOKUP(PREVIOS!F492&amp;VLOOKUP(PREVIOS!I492,PLAN!A:B,2,FALSE),CURSO!A:D,4,FALSE)</f>
        <v>22</v>
      </c>
      <c r="K492">
        <f>VLOOKUP(PREVIOS!H492,CICLO!A:B,2,FALSE)</f>
        <v>53</v>
      </c>
      <c r="L492">
        <f>VLOOKUP(PREVIOS!I492,PLAN!A:B,2,FALSE)</f>
        <v>6</v>
      </c>
    </row>
    <row r="493" spans="1:12" x14ac:dyDescent="0.25">
      <c r="A493" t="str">
        <f t="shared" si="7"/>
        <v>A606M279C1</v>
      </c>
      <c r="C493">
        <v>492</v>
      </c>
      <c r="D493">
        <f>VLOOKUP(PREVIOS!C493,ALUMNOS!A:B,2,FALSE)</f>
        <v>606</v>
      </c>
      <c r="E493">
        <f>VLOOKUP(PREVIOS!E493&amp;'TABLA PREVIOS'!J493,MATERIAS!A:H,7,FALSE)</f>
        <v>279</v>
      </c>
      <c r="F493">
        <f>VLOOKUP(PREVIOS!G493,CONDICION!A:B,2,FALSE)</f>
        <v>1</v>
      </c>
      <c r="G493">
        <f>IF(PREVIOS!AG493=1,1,VLOOKUP(PREVIOS!AG493,CALIFICACION!A:C,3,FALSE))</f>
        <v>1</v>
      </c>
      <c r="H493" s="1" t="s">
        <v>534</v>
      </c>
      <c r="I493" s="1" t="s">
        <v>534</v>
      </c>
      <c r="J493">
        <f>VLOOKUP(PREVIOS!F493&amp;VLOOKUP(PREVIOS!I493,PLAN!A:B,2,FALSE),CURSO!A:D,4,FALSE)</f>
        <v>22</v>
      </c>
      <c r="K493">
        <f>VLOOKUP(PREVIOS!H493,CICLO!A:B,2,FALSE)</f>
        <v>53</v>
      </c>
      <c r="L493">
        <f>VLOOKUP(PREVIOS!I493,PLAN!A:B,2,FALSE)</f>
        <v>6</v>
      </c>
    </row>
    <row r="494" spans="1:12" x14ac:dyDescent="0.25">
      <c r="A494" t="str">
        <f t="shared" si="7"/>
        <v>A606M280C1</v>
      </c>
      <c r="C494">
        <v>493</v>
      </c>
      <c r="D494">
        <f>VLOOKUP(PREVIOS!C494,ALUMNOS!A:B,2,FALSE)</f>
        <v>606</v>
      </c>
      <c r="E494">
        <f>VLOOKUP(PREVIOS!E494&amp;'TABLA PREVIOS'!J494,MATERIAS!A:H,7,FALSE)</f>
        <v>280</v>
      </c>
      <c r="F494">
        <f>VLOOKUP(PREVIOS!G494,CONDICION!A:B,2,FALSE)</f>
        <v>1</v>
      </c>
      <c r="G494">
        <f>IF(PREVIOS!AG494=1,1,VLOOKUP(PREVIOS!AG494,CALIFICACION!A:C,3,FALSE))</f>
        <v>1</v>
      </c>
      <c r="H494" s="1" t="s">
        <v>534</v>
      </c>
      <c r="I494" s="1" t="s">
        <v>534</v>
      </c>
      <c r="J494">
        <f>VLOOKUP(PREVIOS!F494&amp;VLOOKUP(PREVIOS!I494,PLAN!A:B,2,FALSE),CURSO!A:D,4,FALSE)</f>
        <v>22</v>
      </c>
      <c r="K494">
        <f>VLOOKUP(PREVIOS!H494,CICLO!A:B,2,FALSE)</f>
        <v>53</v>
      </c>
      <c r="L494">
        <f>VLOOKUP(PREVIOS!I494,PLAN!A:B,2,FALSE)</f>
        <v>6</v>
      </c>
    </row>
    <row r="495" spans="1:12" x14ac:dyDescent="0.25">
      <c r="A495" t="str">
        <f t="shared" si="7"/>
        <v>A606M281C1</v>
      </c>
      <c r="C495">
        <v>494</v>
      </c>
      <c r="D495">
        <f>VLOOKUP(PREVIOS!C495,ALUMNOS!A:B,2,FALSE)</f>
        <v>606</v>
      </c>
      <c r="E495">
        <f>VLOOKUP(PREVIOS!E495&amp;'TABLA PREVIOS'!J495,MATERIAS!A:H,7,FALSE)</f>
        <v>281</v>
      </c>
      <c r="F495">
        <f>VLOOKUP(PREVIOS!G495,CONDICION!A:B,2,FALSE)</f>
        <v>1</v>
      </c>
      <c r="G495">
        <f>IF(PREVIOS!AG495=1,1,VLOOKUP(PREVIOS!AG495,CALIFICACION!A:C,3,FALSE))</f>
        <v>1</v>
      </c>
      <c r="H495" s="1" t="s">
        <v>534</v>
      </c>
      <c r="I495" s="1" t="s">
        <v>534</v>
      </c>
      <c r="J495">
        <f>VLOOKUP(PREVIOS!F495&amp;VLOOKUP(PREVIOS!I495,PLAN!A:B,2,FALSE),CURSO!A:D,4,FALSE)</f>
        <v>22</v>
      </c>
      <c r="K495">
        <f>VLOOKUP(PREVIOS!H495,CICLO!A:B,2,FALSE)</f>
        <v>53</v>
      </c>
      <c r="L495">
        <f>VLOOKUP(PREVIOS!I495,PLAN!A:B,2,FALSE)</f>
        <v>6</v>
      </c>
    </row>
    <row r="496" spans="1:12" x14ac:dyDescent="0.25">
      <c r="A496" t="str">
        <f t="shared" si="7"/>
        <v>A606M288C1</v>
      </c>
      <c r="C496">
        <v>495</v>
      </c>
      <c r="D496">
        <f>VLOOKUP(PREVIOS!C496,ALUMNOS!A:B,2,FALSE)</f>
        <v>606</v>
      </c>
      <c r="E496">
        <f>VLOOKUP(PREVIOS!E496&amp;'TABLA PREVIOS'!J496,MATERIAS!A:H,7,FALSE)</f>
        <v>288</v>
      </c>
      <c r="F496">
        <f>VLOOKUP(PREVIOS!G496,CONDICION!A:B,2,FALSE)</f>
        <v>1</v>
      </c>
      <c r="G496">
        <f>IF(PREVIOS!AG496=1,1,VLOOKUP(PREVIOS!AG496,CALIFICACION!A:C,3,FALSE))</f>
        <v>1</v>
      </c>
      <c r="H496" s="1" t="s">
        <v>534</v>
      </c>
      <c r="I496" s="1" t="s">
        <v>534</v>
      </c>
      <c r="J496">
        <f>VLOOKUP(PREVIOS!F496&amp;VLOOKUP(PREVIOS!I496,PLAN!A:B,2,FALSE),CURSO!A:D,4,FALSE)</f>
        <v>22</v>
      </c>
      <c r="K496">
        <f>VLOOKUP(PREVIOS!H496,CICLO!A:B,2,FALSE)</f>
        <v>53</v>
      </c>
      <c r="L496">
        <f>VLOOKUP(PREVIOS!I496,PLAN!A:B,2,FALSE)</f>
        <v>6</v>
      </c>
    </row>
    <row r="497" spans="1:12" x14ac:dyDescent="0.25">
      <c r="A497" t="str">
        <f t="shared" si="7"/>
        <v>A606M290C1</v>
      </c>
      <c r="C497">
        <v>496</v>
      </c>
      <c r="D497">
        <f>VLOOKUP(PREVIOS!C497,ALUMNOS!A:B,2,FALSE)</f>
        <v>606</v>
      </c>
      <c r="E497">
        <f>VLOOKUP(PREVIOS!E497&amp;'TABLA PREVIOS'!J497,MATERIAS!A:H,7,FALSE)</f>
        <v>290</v>
      </c>
      <c r="F497">
        <f>VLOOKUP(PREVIOS!G497,CONDICION!A:B,2,FALSE)</f>
        <v>1</v>
      </c>
      <c r="G497">
        <f>IF(PREVIOS!AG497=1,1,VLOOKUP(PREVIOS!AG497,CALIFICACION!A:C,3,FALSE))</f>
        <v>1</v>
      </c>
      <c r="H497" s="1" t="s">
        <v>534</v>
      </c>
      <c r="I497" s="1" t="s">
        <v>534</v>
      </c>
      <c r="J497">
        <f>VLOOKUP(PREVIOS!F497&amp;VLOOKUP(PREVIOS!I497,PLAN!A:B,2,FALSE),CURSO!A:D,4,FALSE)</f>
        <v>22</v>
      </c>
      <c r="K497">
        <f>VLOOKUP(PREVIOS!H497,CICLO!A:B,2,FALSE)</f>
        <v>53</v>
      </c>
      <c r="L497">
        <f>VLOOKUP(PREVIOS!I497,PLAN!A:B,2,FALSE)</f>
        <v>6</v>
      </c>
    </row>
    <row r="498" spans="1:12" x14ac:dyDescent="0.25">
      <c r="A498" t="str">
        <f t="shared" si="7"/>
        <v>A627M285C1</v>
      </c>
      <c r="C498">
        <v>497</v>
      </c>
      <c r="D498">
        <f>VLOOKUP(PREVIOS!C498,ALUMNOS!A:B,2,FALSE)</f>
        <v>627</v>
      </c>
      <c r="E498">
        <f>VLOOKUP(PREVIOS!E498&amp;'TABLA PREVIOS'!J498,MATERIAS!A:H,7,FALSE)</f>
        <v>285</v>
      </c>
      <c r="F498">
        <f>VLOOKUP(PREVIOS!G498,CONDICION!A:B,2,FALSE)</f>
        <v>1</v>
      </c>
      <c r="G498">
        <f>IF(PREVIOS!AG498=1,1,VLOOKUP(PREVIOS!AG498,CALIFICACION!A:C,3,FALSE))</f>
        <v>1</v>
      </c>
      <c r="H498" s="1" t="s">
        <v>534</v>
      </c>
      <c r="I498" s="1" t="s">
        <v>534</v>
      </c>
      <c r="J498">
        <f>VLOOKUP(PREVIOS!F498&amp;VLOOKUP(PREVIOS!I498,PLAN!A:B,2,FALSE),CURSO!A:D,4,FALSE)</f>
        <v>22</v>
      </c>
      <c r="K498">
        <f>VLOOKUP(PREVIOS!H498,CICLO!A:B,2,FALSE)</f>
        <v>53</v>
      </c>
      <c r="L498">
        <f>VLOOKUP(PREVIOS!I498,PLAN!A:B,2,FALSE)</f>
        <v>6</v>
      </c>
    </row>
    <row r="499" spans="1:12" x14ac:dyDescent="0.25">
      <c r="A499" t="str">
        <f t="shared" si="7"/>
        <v>A627M286C1</v>
      </c>
      <c r="C499">
        <v>498</v>
      </c>
      <c r="D499">
        <f>VLOOKUP(PREVIOS!C499,ALUMNOS!A:B,2,FALSE)</f>
        <v>627</v>
      </c>
      <c r="E499">
        <f>VLOOKUP(PREVIOS!E499&amp;'TABLA PREVIOS'!J499,MATERIAS!A:H,7,FALSE)</f>
        <v>286</v>
      </c>
      <c r="F499">
        <f>VLOOKUP(PREVIOS!G499,CONDICION!A:B,2,FALSE)</f>
        <v>1</v>
      </c>
      <c r="G499">
        <f>IF(PREVIOS!AG499=1,1,VLOOKUP(PREVIOS!AG499,CALIFICACION!A:C,3,FALSE))</f>
        <v>1</v>
      </c>
      <c r="H499" s="1" t="s">
        <v>534</v>
      </c>
      <c r="I499" s="1" t="s">
        <v>534</v>
      </c>
      <c r="J499">
        <f>VLOOKUP(PREVIOS!F499&amp;VLOOKUP(PREVIOS!I499,PLAN!A:B,2,FALSE),CURSO!A:D,4,FALSE)</f>
        <v>22</v>
      </c>
      <c r="K499">
        <f>VLOOKUP(PREVIOS!H499,CICLO!A:B,2,FALSE)</f>
        <v>53</v>
      </c>
      <c r="L499">
        <f>VLOOKUP(PREVIOS!I499,PLAN!A:B,2,FALSE)</f>
        <v>6</v>
      </c>
    </row>
    <row r="500" spans="1:12" x14ac:dyDescent="0.25">
      <c r="A500" t="str">
        <f t="shared" si="7"/>
        <v>A627M280C1</v>
      </c>
      <c r="C500">
        <v>499</v>
      </c>
      <c r="D500">
        <f>VLOOKUP(PREVIOS!C500,ALUMNOS!A:B,2,FALSE)</f>
        <v>627</v>
      </c>
      <c r="E500">
        <f>VLOOKUP(PREVIOS!E500&amp;'TABLA PREVIOS'!J500,MATERIAS!A:H,7,FALSE)</f>
        <v>280</v>
      </c>
      <c r="F500">
        <f>VLOOKUP(PREVIOS!G500,CONDICION!A:B,2,FALSE)</f>
        <v>1</v>
      </c>
      <c r="G500">
        <f>IF(PREVIOS!AG500=1,1,VLOOKUP(PREVIOS!AG500,CALIFICACION!A:C,3,FALSE))</f>
        <v>1</v>
      </c>
      <c r="H500" s="1" t="s">
        <v>534</v>
      </c>
      <c r="I500" s="1" t="s">
        <v>534</v>
      </c>
      <c r="J500">
        <f>VLOOKUP(PREVIOS!F500&amp;VLOOKUP(PREVIOS!I500,PLAN!A:B,2,FALSE),CURSO!A:D,4,FALSE)</f>
        <v>22</v>
      </c>
      <c r="K500">
        <f>VLOOKUP(PREVIOS!H500,CICLO!A:B,2,FALSE)</f>
        <v>53</v>
      </c>
      <c r="L500">
        <f>VLOOKUP(PREVIOS!I500,PLAN!A:B,2,FALSE)</f>
        <v>6</v>
      </c>
    </row>
    <row r="501" spans="1:12" x14ac:dyDescent="0.25">
      <c r="A501" t="str">
        <f t="shared" si="7"/>
        <v>A627M281C1</v>
      </c>
      <c r="C501">
        <v>500</v>
      </c>
      <c r="D501">
        <f>VLOOKUP(PREVIOS!C501,ALUMNOS!A:B,2,FALSE)</f>
        <v>627</v>
      </c>
      <c r="E501">
        <f>VLOOKUP(PREVIOS!E501&amp;'TABLA PREVIOS'!J501,MATERIAS!A:H,7,FALSE)</f>
        <v>281</v>
      </c>
      <c r="F501">
        <f>VLOOKUP(PREVIOS!G501,CONDICION!A:B,2,FALSE)</f>
        <v>1</v>
      </c>
      <c r="G501">
        <f>IF(PREVIOS!AG501=1,1,VLOOKUP(PREVIOS!AG501,CALIFICACION!A:C,3,FALSE))</f>
        <v>1</v>
      </c>
      <c r="H501" s="1" t="s">
        <v>534</v>
      </c>
      <c r="I501" s="1" t="s">
        <v>534</v>
      </c>
      <c r="J501">
        <f>VLOOKUP(PREVIOS!F501&amp;VLOOKUP(PREVIOS!I501,PLAN!A:B,2,FALSE),CURSO!A:D,4,FALSE)</f>
        <v>22</v>
      </c>
      <c r="K501">
        <f>VLOOKUP(PREVIOS!H501,CICLO!A:B,2,FALSE)</f>
        <v>53</v>
      </c>
      <c r="L501">
        <f>VLOOKUP(PREVIOS!I501,PLAN!A:B,2,FALSE)</f>
        <v>6</v>
      </c>
    </row>
    <row r="502" spans="1:12" x14ac:dyDescent="0.25">
      <c r="A502" t="str">
        <f t="shared" si="7"/>
        <v>A627M290C1</v>
      </c>
      <c r="C502">
        <v>501</v>
      </c>
      <c r="D502">
        <f>VLOOKUP(PREVIOS!C502,ALUMNOS!A:B,2,FALSE)</f>
        <v>627</v>
      </c>
      <c r="E502">
        <f>VLOOKUP(PREVIOS!E502&amp;'TABLA PREVIOS'!J502,MATERIAS!A:H,7,FALSE)</f>
        <v>290</v>
      </c>
      <c r="F502">
        <f>VLOOKUP(PREVIOS!G502,CONDICION!A:B,2,FALSE)</f>
        <v>1</v>
      </c>
      <c r="G502">
        <f>IF(PREVIOS!AG502=1,1,VLOOKUP(PREVIOS!AG502,CALIFICACION!A:C,3,FALSE))</f>
        <v>1</v>
      </c>
      <c r="H502" s="1" t="s">
        <v>534</v>
      </c>
      <c r="I502" s="1" t="s">
        <v>534</v>
      </c>
      <c r="J502">
        <f>VLOOKUP(PREVIOS!F502&amp;VLOOKUP(PREVIOS!I502,PLAN!A:B,2,FALSE),CURSO!A:D,4,FALSE)</f>
        <v>22</v>
      </c>
      <c r="K502">
        <f>VLOOKUP(PREVIOS!H502,CICLO!A:B,2,FALSE)</f>
        <v>53</v>
      </c>
      <c r="L502">
        <f>VLOOKUP(PREVIOS!I502,PLAN!A:B,2,FALSE)</f>
        <v>6</v>
      </c>
    </row>
    <row r="503" spans="1:12" x14ac:dyDescent="0.25">
      <c r="A503" t="str">
        <f t="shared" si="7"/>
        <v>A637M265C1</v>
      </c>
      <c r="C503">
        <v>502</v>
      </c>
      <c r="D503">
        <f>VLOOKUP(PREVIOS!C503,ALUMNOS!A:B,2,FALSE)</f>
        <v>637</v>
      </c>
      <c r="E503">
        <f>VLOOKUP(PREVIOS!E503&amp;'TABLA PREVIOS'!J503,MATERIAS!A:H,7,FALSE)</f>
        <v>265</v>
      </c>
      <c r="F503">
        <f>VLOOKUP(PREVIOS!G503,CONDICION!A:B,2,FALSE)</f>
        <v>1</v>
      </c>
      <c r="G503">
        <f>IF(PREVIOS!AG503=1,1,VLOOKUP(PREVIOS!AG503,CALIFICACION!A:C,3,FALSE))</f>
        <v>1</v>
      </c>
      <c r="H503" s="1" t="s">
        <v>534</v>
      </c>
      <c r="I503" s="1" t="s">
        <v>534</v>
      </c>
      <c r="J503">
        <f>VLOOKUP(PREVIOS!F503&amp;VLOOKUP(PREVIOS!I503,PLAN!A:B,2,FALSE),CURSO!A:D,4,FALSE)</f>
        <v>21</v>
      </c>
      <c r="K503">
        <f>VLOOKUP(PREVIOS!H503,CICLO!A:B,2,FALSE)</f>
        <v>52</v>
      </c>
      <c r="L503">
        <f>VLOOKUP(PREVIOS!I503,PLAN!A:B,2,FALSE)</f>
        <v>6</v>
      </c>
    </row>
    <row r="504" spans="1:12" x14ac:dyDescent="0.25">
      <c r="A504" t="str">
        <f t="shared" si="7"/>
        <v>A637M285C1</v>
      </c>
      <c r="C504">
        <v>503</v>
      </c>
      <c r="D504">
        <f>VLOOKUP(PREVIOS!C504,ALUMNOS!A:B,2,FALSE)</f>
        <v>637</v>
      </c>
      <c r="E504">
        <f>VLOOKUP(PREVIOS!E504&amp;'TABLA PREVIOS'!J504,MATERIAS!A:H,7,FALSE)</f>
        <v>285</v>
      </c>
      <c r="F504">
        <f>VLOOKUP(PREVIOS!G504,CONDICION!A:B,2,FALSE)</f>
        <v>1</v>
      </c>
      <c r="G504">
        <f>IF(PREVIOS!AG504=1,1,VLOOKUP(PREVIOS!AG504,CALIFICACION!A:C,3,FALSE))</f>
        <v>1</v>
      </c>
      <c r="H504" s="1" t="s">
        <v>534</v>
      </c>
      <c r="I504" s="1" t="s">
        <v>534</v>
      </c>
      <c r="J504">
        <f>VLOOKUP(PREVIOS!F504&amp;VLOOKUP(PREVIOS!I504,PLAN!A:B,2,FALSE),CURSO!A:D,4,FALSE)</f>
        <v>22</v>
      </c>
      <c r="K504">
        <f>VLOOKUP(PREVIOS!H504,CICLO!A:B,2,FALSE)</f>
        <v>53</v>
      </c>
      <c r="L504">
        <f>VLOOKUP(PREVIOS!I504,PLAN!A:B,2,FALSE)</f>
        <v>6</v>
      </c>
    </row>
    <row r="505" spans="1:12" x14ac:dyDescent="0.25">
      <c r="A505" t="str">
        <f t="shared" si="7"/>
        <v>A637M289C1</v>
      </c>
      <c r="C505">
        <v>504</v>
      </c>
      <c r="D505">
        <f>VLOOKUP(PREVIOS!C505,ALUMNOS!A:B,2,FALSE)</f>
        <v>637</v>
      </c>
      <c r="E505">
        <f>VLOOKUP(PREVIOS!E505&amp;'TABLA PREVIOS'!J505,MATERIAS!A:H,7,FALSE)</f>
        <v>289</v>
      </c>
      <c r="F505">
        <f>VLOOKUP(PREVIOS!G505,CONDICION!A:B,2,FALSE)</f>
        <v>1</v>
      </c>
      <c r="G505">
        <f>IF(PREVIOS!AG505=1,1,VLOOKUP(PREVIOS!AG505,CALIFICACION!A:C,3,FALSE))</f>
        <v>1</v>
      </c>
      <c r="H505" s="1" t="s">
        <v>534</v>
      </c>
      <c r="I505" s="1" t="s">
        <v>534</v>
      </c>
      <c r="J505">
        <f>VLOOKUP(PREVIOS!F505&amp;VLOOKUP(PREVIOS!I505,PLAN!A:B,2,FALSE),CURSO!A:D,4,FALSE)</f>
        <v>22</v>
      </c>
      <c r="K505">
        <f>VLOOKUP(PREVIOS!H505,CICLO!A:B,2,FALSE)</f>
        <v>53</v>
      </c>
      <c r="L505">
        <f>VLOOKUP(PREVIOS!I505,PLAN!A:B,2,FALSE)</f>
        <v>6</v>
      </c>
    </row>
    <row r="506" spans="1:12" x14ac:dyDescent="0.25">
      <c r="A506" t="str">
        <f t="shared" si="7"/>
        <v>A637M284C1</v>
      </c>
      <c r="C506">
        <v>505</v>
      </c>
      <c r="D506">
        <f>VLOOKUP(PREVIOS!C506,ALUMNOS!A:B,2,FALSE)</f>
        <v>637</v>
      </c>
      <c r="E506">
        <f>VLOOKUP(PREVIOS!E506&amp;'TABLA PREVIOS'!J506,MATERIAS!A:H,7,FALSE)</f>
        <v>284</v>
      </c>
      <c r="F506">
        <f>VLOOKUP(PREVIOS!G506,CONDICION!A:B,2,FALSE)</f>
        <v>1</v>
      </c>
      <c r="G506">
        <f>IF(PREVIOS!AG506=1,1,VLOOKUP(PREVIOS!AG506,CALIFICACION!A:C,3,FALSE))</f>
        <v>1</v>
      </c>
      <c r="H506" s="1" t="s">
        <v>534</v>
      </c>
      <c r="I506" s="1" t="s">
        <v>534</v>
      </c>
      <c r="J506">
        <f>VLOOKUP(PREVIOS!F506&amp;VLOOKUP(PREVIOS!I506,PLAN!A:B,2,FALSE),CURSO!A:D,4,FALSE)</f>
        <v>22</v>
      </c>
      <c r="K506">
        <f>VLOOKUP(PREVIOS!H506,CICLO!A:B,2,FALSE)</f>
        <v>53</v>
      </c>
      <c r="L506">
        <f>VLOOKUP(PREVIOS!I506,PLAN!A:B,2,FALSE)</f>
        <v>6</v>
      </c>
    </row>
    <row r="507" spans="1:12" x14ac:dyDescent="0.25">
      <c r="A507" t="str">
        <f t="shared" si="7"/>
        <v>A637M287C1</v>
      </c>
      <c r="C507">
        <v>506</v>
      </c>
      <c r="D507">
        <f>VLOOKUP(PREVIOS!C507,ALUMNOS!A:B,2,FALSE)</f>
        <v>637</v>
      </c>
      <c r="E507">
        <f>VLOOKUP(PREVIOS!E507&amp;'TABLA PREVIOS'!J507,MATERIAS!A:H,7,FALSE)</f>
        <v>287</v>
      </c>
      <c r="F507">
        <f>VLOOKUP(PREVIOS!G507,CONDICION!A:B,2,FALSE)</f>
        <v>1</v>
      </c>
      <c r="G507">
        <f>IF(PREVIOS!AG507=1,1,VLOOKUP(PREVIOS!AG507,CALIFICACION!A:C,3,FALSE))</f>
        <v>1</v>
      </c>
      <c r="H507" s="1" t="s">
        <v>534</v>
      </c>
      <c r="I507" s="1" t="s">
        <v>534</v>
      </c>
      <c r="J507">
        <f>VLOOKUP(PREVIOS!F507&amp;VLOOKUP(PREVIOS!I507,PLAN!A:B,2,FALSE),CURSO!A:D,4,FALSE)</f>
        <v>22</v>
      </c>
      <c r="K507">
        <f>VLOOKUP(PREVIOS!H507,CICLO!A:B,2,FALSE)</f>
        <v>53</v>
      </c>
      <c r="L507">
        <f>VLOOKUP(PREVIOS!I507,PLAN!A:B,2,FALSE)</f>
        <v>6</v>
      </c>
    </row>
    <row r="508" spans="1:12" x14ac:dyDescent="0.25">
      <c r="A508" t="str">
        <f t="shared" si="7"/>
        <v>A637M286C1</v>
      </c>
      <c r="C508">
        <v>507</v>
      </c>
      <c r="D508">
        <f>VLOOKUP(PREVIOS!C508,ALUMNOS!A:B,2,FALSE)</f>
        <v>637</v>
      </c>
      <c r="E508">
        <f>VLOOKUP(PREVIOS!E508&amp;'TABLA PREVIOS'!J508,MATERIAS!A:H,7,FALSE)</f>
        <v>286</v>
      </c>
      <c r="F508">
        <f>VLOOKUP(PREVIOS!G508,CONDICION!A:B,2,FALSE)</f>
        <v>1</v>
      </c>
      <c r="G508">
        <f>IF(PREVIOS!AG508=1,1,VLOOKUP(PREVIOS!AG508,CALIFICACION!A:C,3,FALSE))</f>
        <v>1</v>
      </c>
      <c r="H508" s="1" t="s">
        <v>534</v>
      </c>
      <c r="I508" s="1" t="s">
        <v>534</v>
      </c>
      <c r="J508">
        <f>VLOOKUP(PREVIOS!F508&amp;VLOOKUP(PREVIOS!I508,PLAN!A:B,2,FALSE),CURSO!A:D,4,FALSE)</f>
        <v>22</v>
      </c>
      <c r="K508">
        <f>VLOOKUP(PREVIOS!H508,CICLO!A:B,2,FALSE)</f>
        <v>53</v>
      </c>
      <c r="L508">
        <f>VLOOKUP(PREVIOS!I508,PLAN!A:B,2,FALSE)</f>
        <v>6</v>
      </c>
    </row>
    <row r="509" spans="1:12" x14ac:dyDescent="0.25">
      <c r="A509" t="str">
        <f t="shared" si="7"/>
        <v>A637M292C1</v>
      </c>
      <c r="C509">
        <v>508</v>
      </c>
      <c r="D509">
        <f>VLOOKUP(PREVIOS!C509,ALUMNOS!A:B,2,FALSE)</f>
        <v>637</v>
      </c>
      <c r="E509">
        <f>VLOOKUP(PREVIOS!E509&amp;'TABLA PREVIOS'!J509,MATERIAS!A:H,7,FALSE)</f>
        <v>292</v>
      </c>
      <c r="F509">
        <f>VLOOKUP(PREVIOS!G509,CONDICION!A:B,2,FALSE)</f>
        <v>1</v>
      </c>
      <c r="G509">
        <f>IF(PREVIOS!AG509=1,1,VLOOKUP(PREVIOS!AG509,CALIFICACION!A:C,3,FALSE))</f>
        <v>1</v>
      </c>
      <c r="H509" s="1" t="s">
        <v>534</v>
      </c>
      <c r="I509" s="1" t="s">
        <v>534</v>
      </c>
      <c r="J509">
        <f>VLOOKUP(PREVIOS!F509&amp;VLOOKUP(PREVIOS!I509,PLAN!A:B,2,FALSE),CURSO!A:D,4,FALSE)</f>
        <v>22</v>
      </c>
      <c r="K509">
        <f>VLOOKUP(PREVIOS!H509,CICLO!A:B,2,FALSE)</f>
        <v>53</v>
      </c>
      <c r="L509">
        <f>VLOOKUP(PREVIOS!I509,PLAN!A:B,2,FALSE)</f>
        <v>6</v>
      </c>
    </row>
    <row r="510" spans="1:12" x14ac:dyDescent="0.25">
      <c r="A510" t="str">
        <f t="shared" si="7"/>
        <v>A637M291C1</v>
      </c>
      <c r="C510">
        <v>509</v>
      </c>
      <c r="D510">
        <f>VLOOKUP(PREVIOS!C510,ALUMNOS!A:B,2,FALSE)</f>
        <v>637</v>
      </c>
      <c r="E510">
        <f>VLOOKUP(PREVIOS!E510&amp;'TABLA PREVIOS'!J510,MATERIAS!A:H,7,FALSE)</f>
        <v>291</v>
      </c>
      <c r="F510">
        <f>VLOOKUP(PREVIOS!G510,CONDICION!A:B,2,FALSE)</f>
        <v>1</v>
      </c>
      <c r="G510">
        <f>IF(PREVIOS!AG510=1,1,VLOOKUP(PREVIOS!AG510,CALIFICACION!A:C,3,FALSE))</f>
        <v>1</v>
      </c>
      <c r="H510" s="1" t="s">
        <v>534</v>
      </c>
      <c r="I510" s="1" t="s">
        <v>534</v>
      </c>
      <c r="J510">
        <f>VLOOKUP(PREVIOS!F510&amp;VLOOKUP(PREVIOS!I510,PLAN!A:B,2,FALSE),CURSO!A:D,4,FALSE)</f>
        <v>22</v>
      </c>
      <c r="K510">
        <f>VLOOKUP(PREVIOS!H510,CICLO!A:B,2,FALSE)</f>
        <v>53</v>
      </c>
      <c r="L510">
        <f>VLOOKUP(PREVIOS!I510,PLAN!A:B,2,FALSE)</f>
        <v>6</v>
      </c>
    </row>
    <row r="511" spans="1:12" x14ac:dyDescent="0.25">
      <c r="A511" t="str">
        <f t="shared" si="7"/>
        <v>A637M282C1</v>
      </c>
      <c r="C511">
        <v>510</v>
      </c>
      <c r="D511">
        <f>VLOOKUP(PREVIOS!C511,ALUMNOS!A:B,2,FALSE)</f>
        <v>637</v>
      </c>
      <c r="E511">
        <f>VLOOKUP(PREVIOS!E511&amp;'TABLA PREVIOS'!J511,MATERIAS!A:H,7,FALSE)</f>
        <v>282</v>
      </c>
      <c r="F511">
        <f>VLOOKUP(PREVIOS!G511,CONDICION!A:B,2,FALSE)</f>
        <v>1</v>
      </c>
      <c r="G511">
        <f>IF(PREVIOS!AG511=1,1,VLOOKUP(PREVIOS!AG511,CALIFICACION!A:C,3,FALSE))</f>
        <v>1</v>
      </c>
      <c r="H511" s="1" t="s">
        <v>534</v>
      </c>
      <c r="I511" s="1" t="s">
        <v>534</v>
      </c>
      <c r="J511">
        <f>VLOOKUP(PREVIOS!F511&amp;VLOOKUP(PREVIOS!I511,PLAN!A:B,2,FALSE),CURSO!A:D,4,FALSE)</f>
        <v>22</v>
      </c>
      <c r="K511">
        <f>VLOOKUP(PREVIOS!H511,CICLO!A:B,2,FALSE)</f>
        <v>53</v>
      </c>
      <c r="L511">
        <f>VLOOKUP(PREVIOS!I511,PLAN!A:B,2,FALSE)</f>
        <v>6</v>
      </c>
    </row>
    <row r="512" spans="1:12" x14ac:dyDescent="0.25">
      <c r="A512" t="str">
        <f t="shared" si="7"/>
        <v>A637M279C1</v>
      </c>
      <c r="C512">
        <v>511</v>
      </c>
      <c r="D512">
        <f>VLOOKUP(PREVIOS!C512,ALUMNOS!A:B,2,FALSE)</f>
        <v>637</v>
      </c>
      <c r="E512">
        <f>VLOOKUP(PREVIOS!E512&amp;'TABLA PREVIOS'!J512,MATERIAS!A:H,7,FALSE)</f>
        <v>279</v>
      </c>
      <c r="F512">
        <f>VLOOKUP(PREVIOS!G512,CONDICION!A:B,2,FALSE)</f>
        <v>1</v>
      </c>
      <c r="G512">
        <f>IF(PREVIOS!AG512=1,1,VLOOKUP(PREVIOS!AG512,CALIFICACION!A:C,3,FALSE))</f>
        <v>1</v>
      </c>
      <c r="H512" s="1" t="s">
        <v>534</v>
      </c>
      <c r="I512" s="1" t="s">
        <v>534</v>
      </c>
      <c r="J512">
        <f>VLOOKUP(PREVIOS!F512&amp;VLOOKUP(PREVIOS!I512,PLAN!A:B,2,FALSE),CURSO!A:D,4,FALSE)</f>
        <v>22</v>
      </c>
      <c r="K512">
        <f>VLOOKUP(PREVIOS!H512,CICLO!A:B,2,FALSE)</f>
        <v>53</v>
      </c>
      <c r="L512">
        <f>VLOOKUP(PREVIOS!I512,PLAN!A:B,2,FALSE)</f>
        <v>6</v>
      </c>
    </row>
    <row r="513" spans="1:12" x14ac:dyDescent="0.25">
      <c r="A513" t="str">
        <f t="shared" si="7"/>
        <v>A637M281C1</v>
      </c>
      <c r="C513">
        <v>512</v>
      </c>
      <c r="D513">
        <f>VLOOKUP(PREVIOS!C513,ALUMNOS!A:B,2,FALSE)</f>
        <v>637</v>
      </c>
      <c r="E513">
        <f>VLOOKUP(PREVIOS!E513&amp;'TABLA PREVIOS'!J513,MATERIAS!A:H,7,FALSE)</f>
        <v>281</v>
      </c>
      <c r="F513">
        <f>VLOOKUP(PREVIOS!G513,CONDICION!A:B,2,FALSE)</f>
        <v>1</v>
      </c>
      <c r="G513">
        <f>IF(PREVIOS!AG513=1,1,VLOOKUP(PREVIOS!AG513,CALIFICACION!A:C,3,FALSE))</f>
        <v>1</v>
      </c>
      <c r="H513" s="1" t="s">
        <v>534</v>
      </c>
      <c r="I513" s="1" t="s">
        <v>534</v>
      </c>
      <c r="J513">
        <f>VLOOKUP(PREVIOS!F513&amp;VLOOKUP(PREVIOS!I513,PLAN!A:B,2,FALSE),CURSO!A:D,4,FALSE)</f>
        <v>22</v>
      </c>
      <c r="K513">
        <f>VLOOKUP(PREVIOS!H513,CICLO!A:B,2,FALSE)</f>
        <v>53</v>
      </c>
      <c r="L513">
        <f>VLOOKUP(PREVIOS!I513,PLAN!A:B,2,FALSE)</f>
        <v>6</v>
      </c>
    </row>
    <row r="514" spans="1:12" x14ac:dyDescent="0.25">
      <c r="A514" t="str">
        <f t="shared" si="7"/>
        <v>A637M290C1</v>
      </c>
      <c r="C514">
        <v>513</v>
      </c>
      <c r="D514">
        <f>VLOOKUP(PREVIOS!C514,ALUMNOS!A:B,2,FALSE)</f>
        <v>637</v>
      </c>
      <c r="E514">
        <f>VLOOKUP(PREVIOS!E514&amp;'TABLA PREVIOS'!J514,MATERIAS!A:H,7,FALSE)</f>
        <v>290</v>
      </c>
      <c r="F514">
        <f>VLOOKUP(PREVIOS!G514,CONDICION!A:B,2,FALSE)</f>
        <v>1</v>
      </c>
      <c r="G514">
        <f>IF(PREVIOS!AG514=1,1,VLOOKUP(PREVIOS!AG514,CALIFICACION!A:C,3,FALSE))</f>
        <v>1</v>
      </c>
      <c r="H514" s="1" t="s">
        <v>534</v>
      </c>
      <c r="I514" s="1" t="s">
        <v>534</v>
      </c>
      <c r="J514">
        <f>VLOOKUP(PREVIOS!F514&amp;VLOOKUP(PREVIOS!I514,PLAN!A:B,2,FALSE),CURSO!A:D,4,FALSE)</f>
        <v>22</v>
      </c>
      <c r="K514">
        <f>VLOOKUP(PREVIOS!H514,CICLO!A:B,2,FALSE)</f>
        <v>53</v>
      </c>
      <c r="L514">
        <f>VLOOKUP(PREVIOS!I514,PLAN!A:B,2,FALSE)</f>
        <v>6</v>
      </c>
    </row>
    <row r="515" spans="1:12" x14ac:dyDescent="0.25">
      <c r="A515" t="str">
        <f t="shared" ref="A515:A578" si="8">"A"&amp;D515&amp;"M"&amp;E515&amp;"C"&amp;F515</f>
        <v>A701M279C1</v>
      </c>
      <c r="C515">
        <v>514</v>
      </c>
      <c r="D515">
        <f>VLOOKUP(PREVIOS!C515,ALUMNOS!A:B,2,FALSE)</f>
        <v>701</v>
      </c>
      <c r="E515">
        <f>VLOOKUP(PREVIOS!E515&amp;'TABLA PREVIOS'!J515,MATERIAS!A:H,7,FALSE)</f>
        <v>279</v>
      </c>
      <c r="F515">
        <f>VLOOKUP(PREVIOS!G515,CONDICION!A:B,2,FALSE)</f>
        <v>1</v>
      </c>
      <c r="G515">
        <f>IF(PREVIOS!AG515=1,1,VLOOKUP(PREVIOS!AG515,CALIFICACION!A:C,3,FALSE))</f>
        <v>1</v>
      </c>
      <c r="H515" s="1" t="s">
        <v>534</v>
      </c>
      <c r="I515" s="1" t="s">
        <v>534</v>
      </c>
      <c r="J515">
        <f>VLOOKUP(PREVIOS!F515&amp;VLOOKUP(PREVIOS!I515,PLAN!A:B,2,FALSE),CURSO!A:D,4,FALSE)</f>
        <v>22</v>
      </c>
      <c r="K515">
        <f>VLOOKUP(PREVIOS!H515,CICLO!A:B,2,FALSE)</f>
        <v>53</v>
      </c>
      <c r="L515">
        <f>VLOOKUP(PREVIOS!I515,PLAN!A:B,2,FALSE)</f>
        <v>6</v>
      </c>
    </row>
    <row r="516" spans="1:12" x14ac:dyDescent="0.25">
      <c r="A516" t="str">
        <f t="shared" si="8"/>
        <v>A769M289C1</v>
      </c>
      <c r="C516">
        <v>515</v>
      </c>
      <c r="D516">
        <f>VLOOKUP(PREVIOS!C516,ALUMNOS!A:B,2,FALSE)</f>
        <v>769</v>
      </c>
      <c r="E516">
        <f>VLOOKUP(PREVIOS!E516&amp;'TABLA PREVIOS'!J516,MATERIAS!A:H,7,FALSE)</f>
        <v>289</v>
      </c>
      <c r="F516">
        <f>VLOOKUP(PREVIOS!G516,CONDICION!A:B,2,FALSE)</f>
        <v>1</v>
      </c>
      <c r="G516">
        <f>IF(PREVIOS!AG516=1,1,VLOOKUP(PREVIOS!AG516,CALIFICACION!A:C,3,FALSE))</f>
        <v>1</v>
      </c>
      <c r="H516" s="1" t="s">
        <v>534</v>
      </c>
      <c r="I516" s="1" t="s">
        <v>534</v>
      </c>
      <c r="J516">
        <f>VLOOKUP(PREVIOS!F516&amp;VLOOKUP(PREVIOS!I516,PLAN!A:B,2,FALSE),CURSO!A:D,4,FALSE)</f>
        <v>22</v>
      </c>
      <c r="K516">
        <f>VLOOKUP(PREVIOS!H516,CICLO!A:B,2,FALSE)</f>
        <v>53</v>
      </c>
      <c r="L516">
        <f>VLOOKUP(PREVIOS!I516,PLAN!A:B,2,FALSE)</f>
        <v>6</v>
      </c>
    </row>
    <row r="517" spans="1:12" x14ac:dyDescent="0.25">
      <c r="A517" t="str">
        <f t="shared" si="8"/>
        <v>A769M287C1</v>
      </c>
      <c r="C517">
        <v>516</v>
      </c>
      <c r="D517">
        <f>VLOOKUP(PREVIOS!C517,ALUMNOS!A:B,2,FALSE)</f>
        <v>769</v>
      </c>
      <c r="E517">
        <f>VLOOKUP(PREVIOS!E517&amp;'TABLA PREVIOS'!J517,MATERIAS!A:H,7,FALSE)</f>
        <v>287</v>
      </c>
      <c r="F517">
        <f>VLOOKUP(PREVIOS!G517,CONDICION!A:B,2,FALSE)</f>
        <v>1</v>
      </c>
      <c r="G517">
        <f>IF(PREVIOS!AG517=1,1,VLOOKUP(PREVIOS!AG517,CALIFICACION!A:C,3,FALSE))</f>
        <v>1</v>
      </c>
      <c r="H517" s="1" t="s">
        <v>534</v>
      </c>
      <c r="I517" s="1" t="s">
        <v>534</v>
      </c>
      <c r="J517">
        <f>VLOOKUP(PREVIOS!F517&amp;VLOOKUP(PREVIOS!I517,PLAN!A:B,2,FALSE),CURSO!A:D,4,FALSE)</f>
        <v>22</v>
      </c>
      <c r="K517">
        <f>VLOOKUP(PREVIOS!H517,CICLO!A:B,2,FALSE)</f>
        <v>53</v>
      </c>
      <c r="L517">
        <f>VLOOKUP(PREVIOS!I517,PLAN!A:B,2,FALSE)</f>
        <v>6</v>
      </c>
    </row>
    <row r="518" spans="1:12" x14ac:dyDescent="0.25">
      <c r="A518" t="str">
        <f t="shared" si="8"/>
        <v>A769M286C1</v>
      </c>
      <c r="C518">
        <v>517</v>
      </c>
      <c r="D518">
        <f>VLOOKUP(PREVIOS!C518,ALUMNOS!A:B,2,FALSE)</f>
        <v>769</v>
      </c>
      <c r="E518">
        <f>VLOOKUP(PREVIOS!E518&amp;'TABLA PREVIOS'!J518,MATERIAS!A:H,7,FALSE)</f>
        <v>286</v>
      </c>
      <c r="F518">
        <f>VLOOKUP(PREVIOS!G518,CONDICION!A:B,2,FALSE)</f>
        <v>1</v>
      </c>
      <c r="G518">
        <f>IF(PREVIOS!AG518=1,1,VLOOKUP(PREVIOS!AG518,CALIFICACION!A:C,3,FALSE))</f>
        <v>1</v>
      </c>
      <c r="H518" s="1" t="s">
        <v>534</v>
      </c>
      <c r="I518" s="1" t="s">
        <v>534</v>
      </c>
      <c r="J518">
        <f>VLOOKUP(PREVIOS!F518&amp;VLOOKUP(PREVIOS!I518,PLAN!A:B,2,FALSE),CURSO!A:D,4,FALSE)</f>
        <v>22</v>
      </c>
      <c r="K518">
        <f>VLOOKUP(PREVIOS!H518,CICLO!A:B,2,FALSE)</f>
        <v>53</v>
      </c>
      <c r="L518">
        <f>VLOOKUP(PREVIOS!I518,PLAN!A:B,2,FALSE)</f>
        <v>6</v>
      </c>
    </row>
    <row r="519" spans="1:12" x14ac:dyDescent="0.25">
      <c r="A519" t="str">
        <f t="shared" si="8"/>
        <v>A769M292C1</v>
      </c>
      <c r="C519">
        <v>518</v>
      </c>
      <c r="D519">
        <f>VLOOKUP(PREVIOS!C519,ALUMNOS!A:B,2,FALSE)</f>
        <v>769</v>
      </c>
      <c r="E519">
        <f>VLOOKUP(PREVIOS!E519&amp;'TABLA PREVIOS'!J519,MATERIAS!A:H,7,FALSE)</f>
        <v>292</v>
      </c>
      <c r="F519">
        <f>VLOOKUP(PREVIOS!G519,CONDICION!A:B,2,FALSE)</f>
        <v>1</v>
      </c>
      <c r="G519">
        <f>IF(PREVIOS!AG519=1,1,VLOOKUP(PREVIOS!AG519,CALIFICACION!A:C,3,FALSE))</f>
        <v>1</v>
      </c>
      <c r="H519" s="1" t="s">
        <v>534</v>
      </c>
      <c r="I519" s="1" t="s">
        <v>534</v>
      </c>
      <c r="J519">
        <f>VLOOKUP(PREVIOS!F519&amp;VLOOKUP(PREVIOS!I519,PLAN!A:B,2,FALSE),CURSO!A:D,4,FALSE)</f>
        <v>22</v>
      </c>
      <c r="K519">
        <f>VLOOKUP(PREVIOS!H519,CICLO!A:B,2,FALSE)</f>
        <v>53</v>
      </c>
      <c r="L519">
        <f>VLOOKUP(PREVIOS!I519,PLAN!A:B,2,FALSE)</f>
        <v>6</v>
      </c>
    </row>
    <row r="520" spans="1:12" x14ac:dyDescent="0.25">
      <c r="A520" t="str">
        <f t="shared" si="8"/>
        <v>A769M279C1</v>
      </c>
      <c r="C520">
        <v>519</v>
      </c>
      <c r="D520">
        <f>VLOOKUP(PREVIOS!C520,ALUMNOS!A:B,2,FALSE)</f>
        <v>769</v>
      </c>
      <c r="E520">
        <f>VLOOKUP(PREVIOS!E520&amp;'TABLA PREVIOS'!J520,MATERIAS!A:H,7,FALSE)</f>
        <v>279</v>
      </c>
      <c r="F520">
        <f>VLOOKUP(PREVIOS!G520,CONDICION!A:B,2,FALSE)</f>
        <v>1</v>
      </c>
      <c r="G520">
        <f>IF(PREVIOS!AG520=1,1,VLOOKUP(PREVIOS!AG520,CALIFICACION!A:C,3,FALSE))</f>
        <v>1</v>
      </c>
      <c r="H520" s="1" t="s">
        <v>534</v>
      </c>
      <c r="I520" s="1" t="s">
        <v>534</v>
      </c>
      <c r="J520">
        <f>VLOOKUP(PREVIOS!F520&amp;VLOOKUP(PREVIOS!I520,PLAN!A:B,2,FALSE),CURSO!A:D,4,FALSE)</f>
        <v>22</v>
      </c>
      <c r="K520">
        <f>VLOOKUP(PREVIOS!H520,CICLO!A:B,2,FALSE)</f>
        <v>53</v>
      </c>
      <c r="L520">
        <f>VLOOKUP(PREVIOS!I520,PLAN!A:B,2,FALSE)</f>
        <v>6</v>
      </c>
    </row>
    <row r="521" spans="1:12" x14ac:dyDescent="0.25">
      <c r="A521" t="str">
        <f t="shared" si="8"/>
        <v>A769M280C1</v>
      </c>
      <c r="C521">
        <v>520</v>
      </c>
      <c r="D521">
        <f>VLOOKUP(PREVIOS!C521,ALUMNOS!A:B,2,FALSE)</f>
        <v>769</v>
      </c>
      <c r="E521">
        <f>VLOOKUP(PREVIOS!E521&amp;'TABLA PREVIOS'!J521,MATERIAS!A:H,7,FALSE)</f>
        <v>280</v>
      </c>
      <c r="F521">
        <f>VLOOKUP(PREVIOS!G521,CONDICION!A:B,2,FALSE)</f>
        <v>1</v>
      </c>
      <c r="G521">
        <f>IF(PREVIOS!AG521=1,1,VLOOKUP(PREVIOS!AG521,CALIFICACION!A:C,3,FALSE))</f>
        <v>1</v>
      </c>
      <c r="H521" s="1" t="s">
        <v>534</v>
      </c>
      <c r="I521" s="1" t="s">
        <v>534</v>
      </c>
      <c r="J521">
        <f>VLOOKUP(PREVIOS!F521&amp;VLOOKUP(PREVIOS!I521,PLAN!A:B,2,FALSE),CURSO!A:D,4,FALSE)</f>
        <v>22</v>
      </c>
      <c r="K521">
        <f>VLOOKUP(PREVIOS!H521,CICLO!A:B,2,FALSE)</f>
        <v>53</v>
      </c>
      <c r="L521">
        <f>VLOOKUP(PREVIOS!I521,PLAN!A:B,2,FALSE)</f>
        <v>6</v>
      </c>
    </row>
    <row r="522" spans="1:12" x14ac:dyDescent="0.25">
      <c r="A522" t="str">
        <f t="shared" si="8"/>
        <v>A769M281C1</v>
      </c>
      <c r="C522">
        <v>521</v>
      </c>
      <c r="D522">
        <f>VLOOKUP(PREVIOS!C522,ALUMNOS!A:B,2,FALSE)</f>
        <v>769</v>
      </c>
      <c r="E522">
        <f>VLOOKUP(PREVIOS!E522&amp;'TABLA PREVIOS'!J522,MATERIAS!A:H,7,FALSE)</f>
        <v>281</v>
      </c>
      <c r="F522">
        <f>VLOOKUP(PREVIOS!G522,CONDICION!A:B,2,FALSE)</f>
        <v>1</v>
      </c>
      <c r="G522">
        <f>IF(PREVIOS!AG522=1,1,VLOOKUP(PREVIOS!AG522,CALIFICACION!A:C,3,FALSE))</f>
        <v>1</v>
      </c>
      <c r="H522" s="1" t="s">
        <v>534</v>
      </c>
      <c r="I522" s="1" t="s">
        <v>534</v>
      </c>
      <c r="J522">
        <f>VLOOKUP(PREVIOS!F522&amp;VLOOKUP(PREVIOS!I522,PLAN!A:B,2,FALSE),CURSO!A:D,4,FALSE)</f>
        <v>22</v>
      </c>
      <c r="K522">
        <f>VLOOKUP(PREVIOS!H522,CICLO!A:B,2,FALSE)</f>
        <v>53</v>
      </c>
      <c r="L522">
        <f>VLOOKUP(PREVIOS!I522,PLAN!A:B,2,FALSE)</f>
        <v>6</v>
      </c>
    </row>
    <row r="523" spans="1:12" x14ac:dyDescent="0.25">
      <c r="A523" t="str">
        <f t="shared" si="8"/>
        <v>A11M264C1</v>
      </c>
      <c r="C523">
        <v>522</v>
      </c>
      <c r="D523">
        <f>VLOOKUP(PREVIOS!C523,ALUMNOS!A:B,2,FALSE)</f>
        <v>11</v>
      </c>
      <c r="E523">
        <f>VLOOKUP(PREVIOS!E523&amp;'TABLA PREVIOS'!J523,MATERIAS!A:H,7,FALSE)</f>
        <v>264</v>
      </c>
      <c r="F523">
        <f>VLOOKUP(PREVIOS!G523,CONDICION!A:B,2,FALSE)</f>
        <v>1</v>
      </c>
      <c r="G523">
        <f>IF(PREVIOS!AG523=1,1,VLOOKUP(PREVIOS!AG523,CALIFICACION!A:C,3,FALSE))</f>
        <v>1</v>
      </c>
      <c r="H523" s="1" t="s">
        <v>534</v>
      </c>
      <c r="I523" s="1" t="s">
        <v>534</v>
      </c>
      <c r="J523">
        <f>VLOOKUP(PREVIOS!F523&amp;VLOOKUP(PREVIOS!I523,PLAN!A:B,2,FALSE),CURSO!A:D,4,FALSE)</f>
        <v>21</v>
      </c>
      <c r="K523">
        <f>VLOOKUP(PREVIOS!H523,CICLO!A:B,2,FALSE)</f>
        <v>52</v>
      </c>
      <c r="L523">
        <f>VLOOKUP(PREVIOS!I523,PLAN!A:B,2,FALSE)</f>
        <v>6</v>
      </c>
    </row>
    <row r="524" spans="1:12" x14ac:dyDescent="0.25">
      <c r="A524" t="str">
        <f t="shared" si="8"/>
        <v>A11M282C1</v>
      </c>
      <c r="C524">
        <v>523</v>
      </c>
      <c r="D524">
        <f>VLOOKUP(PREVIOS!C524,ALUMNOS!A:B,2,FALSE)</f>
        <v>11</v>
      </c>
      <c r="E524">
        <f>VLOOKUP(PREVIOS!E524&amp;'TABLA PREVIOS'!J524,MATERIAS!A:H,7,FALSE)</f>
        <v>282</v>
      </c>
      <c r="F524">
        <f>VLOOKUP(PREVIOS!G524,CONDICION!A:B,2,FALSE)</f>
        <v>1</v>
      </c>
      <c r="G524">
        <f>IF(PREVIOS!AG524=1,1,VLOOKUP(PREVIOS!AG524,CALIFICACION!A:C,3,FALSE))</f>
        <v>1</v>
      </c>
      <c r="H524" s="1" t="s">
        <v>534</v>
      </c>
      <c r="I524" s="1" t="s">
        <v>534</v>
      </c>
      <c r="J524">
        <f>VLOOKUP(PREVIOS!F524&amp;VLOOKUP(PREVIOS!I524,PLAN!A:B,2,FALSE),CURSO!A:D,4,FALSE)</f>
        <v>22</v>
      </c>
      <c r="K524">
        <f>VLOOKUP(PREVIOS!H524,CICLO!A:B,2,FALSE)</f>
        <v>53</v>
      </c>
      <c r="L524">
        <f>VLOOKUP(PREVIOS!I524,PLAN!A:B,2,FALSE)</f>
        <v>6</v>
      </c>
    </row>
    <row r="525" spans="1:12" x14ac:dyDescent="0.25">
      <c r="A525" t="str">
        <f t="shared" si="8"/>
        <v>A11M279C1</v>
      </c>
      <c r="C525">
        <v>524</v>
      </c>
      <c r="D525">
        <f>VLOOKUP(PREVIOS!C525,ALUMNOS!A:B,2,FALSE)</f>
        <v>11</v>
      </c>
      <c r="E525">
        <f>VLOOKUP(PREVIOS!E525&amp;'TABLA PREVIOS'!J525,MATERIAS!A:H,7,FALSE)</f>
        <v>279</v>
      </c>
      <c r="F525">
        <f>VLOOKUP(PREVIOS!G525,CONDICION!A:B,2,FALSE)</f>
        <v>1</v>
      </c>
      <c r="G525">
        <f>IF(PREVIOS!AG525=1,1,VLOOKUP(PREVIOS!AG525,CALIFICACION!A:C,3,FALSE))</f>
        <v>1</v>
      </c>
      <c r="H525" s="1" t="s">
        <v>534</v>
      </c>
      <c r="I525" s="1" t="s">
        <v>534</v>
      </c>
      <c r="J525">
        <f>VLOOKUP(PREVIOS!F525&amp;VLOOKUP(PREVIOS!I525,PLAN!A:B,2,FALSE),CURSO!A:D,4,FALSE)</f>
        <v>22</v>
      </c>
      <c r="K525">
        <f>VLOOKUP(PREVIOS!H525,CICLO!A:B,2,FALSE)</f>
        <v>53</v>
      </c>
      <c r="L525">
        <f>VLOOKUP(PREVIOS!I525,PLAN!A:B,2,FALSE)</f>
        <v>6</v>
      </c>
    </row>
    <row r="526" spans="1:12" x14ac:dyDescent="0.25">
      <c r="A526" t="str">
        <f t="shared" si="8"/>
        <v>A11M280C1</v>
      </c>
      <c r="C526">
        <v>525</v>
      </c>
      <c r="D526">
        <f>VLOOKUP(PREVIOS!C526,ALUMNOS!A:B,2,FALSE)</f>
        <v>11</v>
      </c>
      <c r="E526">
        <f>VLOOKUP(PREVIOS!E526&amp;'TABLA PREVIOS'!J526,MATERIAS!A:H,7,FALSE)</f>
        <v>280</v>
      </c>
      <c r="F526">
        <f>VLOOKUP(PREVIOS!G526,CONDICION!A:B,2,FALSE)</f>
        <v>1</v>
      </c>
      <c r="G526">
        <f>IF(PREVIOS!AG526=1,1,VLOOKUP(PREVIOS!AG526,CALIFICACION!A:C,3,FALSE))</f>
        <v>1</v>
      </c>
      <c r="H526" s="1" t="s">
        <v>534</v>
      </c>
      <c r="I526" s="1" t="s">
        <v>534</v>
      </c>
      <c r="J526">
        <f>VLOOKUP(PREVIOS!F526&amp;VLOOKUP(PREVIOS!I526,PLAN!A:B,2,FALSE),CURSO!A:D,4,FALSE)</f>
        <v>22</v>
      </c>
      <c r="K526">
        <f>VLOOKUP(PREVIOS!H526,CICLO!A:B,2,FALSE)</f>
        <v>53</v>
      </c>
      <c r="L526">
        <f>VLOOKUP(PREVIOS!I526,PLAN!A:B,2,FALSE)</f>
        <v>6</v>
      </c>
    </row>
    <row r="527" spans="1:12" x14ac:dyDescent="0.25">
      <c r="A527" t="str">
        <f t="shared" si="8"/>
        <v>A20M285C1</v>
      </c>
      <c r="C527">
        <v>526</v>
      </c>
      <c r="D527">
        <f>VLOOKUP(PREVIOS!C527,ALUMNOS!A:B,2,FALSE)</f>
        <v>20</v>
      </c>
      <c r="E527">
        <f>VLOOKUP(PREVIOS!E527&amp;'TABLA PREVIOS'!J527,MATERIAS!A:H,7,FALSE)</f>
        <v>285</v>
      </c>
      <c r="F527">
        <f>VLOOKUP(PREVIOS!G527,CONDICION!A:B,2,FALSE)</f>
        <v>1</v>
      </c>
      <c r="G527">
        <f>IF(PREVIOS!AG527=1,1,VLOOKUP(PREVIOS!AG527,CALIFICACION!A:C,3,FALSE))</f>
        <v>1</v>
      </c>
      <c r="H527" s="1" t="s">
        <v>534</v>
      </c>
      <c r="I527" s="1" t="s">
        <v>534</v>
      </c>
      <c r="J527">
        <f>VLOOKUP(PREVIOS!F527&amp;VLOOKUP(PREVIOS!I527,PLAN!A:B,2,FALSE),CURSO!A:D,4,FALSE)</f>
        <v>22</v>
      </c>
      <c r="K527">
        <f>VLOOKUP(PREVIOS!H527,CICLO!A:B,2,FALSE)</f>
        <v>53</v>
      </c>
      <c r="L527">
        <f>VLOOKUP(PREVIOS!I527,PLAN!A:B,2,FALSE)</f>
        <v>6</v>
      </c>
    </row>
    <row r="528" spans="1:12" x14ac:dyDescent="0.25">
      <c r="A528" t="str">
        <f t="shared" si="8"/>
        <v>A20M289C1</v>
      </c>
      <c r="C528">
        <v>527</v>
      </c>
      <c r="D528">
        <f>VLOOKUP(PREVIOS!C528,ALUMNOS!A:B,2,FALSE)</f>
        <v>20</v>
      </c>
      <c r="E528">
        <f>VLOOKUP(PREVIOS!E528&amp;'TABLA PREVIOS'!J528,MATERIAS!A:H,7,FALSE)</f>
        <v>289</v>
      </c>
      <c r="F528">
        <f>VLOOKUP(PREVIOS!G528,CONDICION!A:B,2,FALSE)</f>
        <v>1</v>
      </c>
      <c r="G528">
        <f>IF(PREVIOS!AG528=1,1,VLOOKUP(PREVIOS!AG528,CALIFICACION!A:C,3,FALSE))</f>
        <v>1</v>
      </c>
      <c r="H528" s="1" t="s">
        <v>534</v>
      </c>
      <c r="I528" s="1" t="s">
        <v>534</v>
      </c>
      <c r="J528">
        <f>VLOOKUP(PREVIOS!F528&amp;VLOOKUP(PREVIOS!I528,PLAN!A:B,2,FALSE),CURSO!A:D,4,FALSE)</f>
        <v>22</v>
      </c>
      <c r="K528">
        <f>VLOOKUP(PREVIOS!H528,CICLO!A:B,2,FALSE)</f>
        <v>53</v>
      </c>
      <c r="L528">
        <f>VLOOKUP(PREVIOS!I528,PLAN!A:B,2,FALSE)</f>
        <v>6</v>
      </c>
    </row>
    <row r="529" spans="1:12" x14ac:dyDescent="0.25">
      <c r="A529" t="str">
        <f t="shared" si="8"/>
        <v>A20M286C1</v>
      </c>
      <c r="C529">
        <v>528</v>
      </c>
      <c r="D529">
        <f>VLOOKUP(PREVIOS!C529,ALUMNOS!A:B,2,FALSE)</f>
        <v>20</v>
      </c>
      <c r="E529">
        <f>VLOOKUP(PREVIOS!E529&amp;'TABLA PREVIOS'!J529,MATERIAS!A:H,7,FALSE)</f>
        <v>286</v>
      </c>
      <c r="F529">
        <f>VLOOKUP(PREVIOS!G529,CONDICION!A:B,2,FALSE)</f>
        <v>1</v>
      </c>
      <c r="G529">
        <f>IF(PREVIOS!AG529=1,1,VLOOKUP(PREVIOS!AG529,CALIFICACION!A:C,3,FALSE))</f>
        <v>1</v>
      </c>
      <c r="H529" s="1" t="s">
        <v>534</v>
      </c>
      <c r="I529" s="1" t="s">
        <v>534</v>
      </c>
      <c r="J529">
        <f>VLOOKUP(PREVIOS!F529&amp;VLOOKUP(PREVIOS!I529,PLAN!A:B,2,FALSE),CURSO!A:D,4,FALSE)</f>
        <v>22</v>
      </c>
      <c r="K529">
        <f>VLOOKUP(PREVIOS!H529,CICLO!A:B,2,FALSE)</f>
        <v>53</v>
      </c>
      <c r="L529">
        <f>VLOOKUP(PREVIOS!I529,PLAN!A:B,2,FALSE)</f>
        <v>6</v>
      </c>
    </row>
    <row r="530" spans="1:12" x14ac:dyDescent="0.25">
      <c r="A530" t="str">
        <f t="shared" si="8"/>
        <v>A20M280C1</v>
      </c>
      <c r="C530">
        <v>529</v>
      </c>
      <c r="D530">
        <f>VLOOKUP(PREVIOS!C530,ALUMNOS!A:B,2,FALSE)</f>
        <v>20</v>
      </c>
      <c r="E530">
        <f>VLOOKUP(PREVIOS!E530&amp;'TABLA PREVIOS'!J530,MATERIAS!A:H,7,FALSE)</f>
        <v>280</v>
      </c>
      <c r="F530">
        <f>VLOOKUP(PREVIOS!G530,CONDICION!A:B,2,FALSE)</f>
        <v>1</v>
      </c>
      <c r="G530">
        <f>IF(PREVIOS!AG530=1,1,VLOOKUP(PREVIOS!AG530,CALIFICACION!A:C,3,FALSE))</f>
        <v>1</v>
      </c>
      <c r="H530" s="1" t="s">
        <v>534</v>
      </c>
      <c r="I530" s="1" t="s">
        <v>534</v>
      </c>
      <c r="J530">
        <f>VLOOKUP(PREVIOS!F530&amp;VLOOKUP(PREVIOS!I530,PLAN!A:B,2,FALSE),CURSO!A:D,4,FALSE)</f>
        <v>22</v>
      </c>
      <c r="K530">
        <f>VLOOKUP(PREVIOS!H530,CICLO!A:B,2,FALSE)</f>
        <v>53</v>
      </c>
      <c r="L530">
        <f>VLOOKUP(PREVIOS!I530,PLAN!A:B,2,FALSE)</f>
        <v>6</v>
      </c>
    </row>
    <row r="531" spans="1:12" x14ac:dyDescent="0.25">
      <c r="A531" t="str">
        <f t="shared" si="8"/>
        <v>A20M290C1</v>
      </c>
      <c r="C531">
        <v>530</v>
      </c>
      <c r="D531">
        <f>VLOOKUP(PREVIOS!C531,ALUMNOS!A:B,2,FALSE)</f>
        <v>20</v>
      </c>
      <c r="E531">
        <f>VLOOKUP(PREVIOS!E531&amp;'TABLA PREVIOS'!J531,MATERIAS!A:H,7,FALSE)</f>
        <v>290</v>
      </c>
      <c r="F531">
        <f>VLOOKUP(PREVIOS!G531,CONDICION!A:B,2,FALSE)</f>
        <v>1</v>
      </c>
      <c r="G531">
        <f>IF(PREVIOS!AG531=1,1,VLOOKUP(PREVIOS!AG531,CALIFICACION!A:C,3,FALSE))</f>
        <v>1</v>
      </c>
      <c r="H531" s="1" t="s">
        <v>534</v>
      </c>
      <c r="I531" s="1" t="s">
        <v>534</v>
      </c>
      <c r="J531">
        <f>VLOOKUP(PREVIOS!F531&amp;VLOOKUP(PREVIOS!I531,PLAN!A:B,2,FALSE),CURSO!A:D,4,FALSE)</f>
        <v>22</v>
      </c>
      <c r="K531">
        <f>VLOOKUP(PREVIOS!H531,CICLO!A:B,2,FALSE)</f>
        <v>53</v>
      </c>
      <c r="L531">
        <f>VLOOKUP(PREVIOS!I531,PLAN!A:B,2,FALSE)</f>
        <v>6</v>
      </c>
    </row>
    <row r="532" spans="1:12" x14ac:dyDescent="0.25">
      <c r="A532" t="str">
        <f t="shared" si="8"/>
        <v>A46M229C1</v>
      </c>
      <c r="C532">
        <v>531</v>
      </c>
      <c r="D532">
        <f>VLOOKUP(PREVIOS!C532,ALUMNOS!A:B,2,FALSE)</f>
        <v>46</v>
      </c>
      <c r="E532">
        <f>VLOOKUP(PREVIOS!E532&amp;'TABLA PREVIOS'!J532,MATERIAS!A:H,7,FALSE)</f>
        <v>229</v>
      </c>
      <c r="F532">
        <f>VLOOKUP(PREVIOS!G532,CONDICION!A:B,2,FALSE)</f>
        <v>1</v>
      </c>
      <c r="G532">
        <f>IF(PREVIOS!AG532=1,1,VLOOKUP(PREVIOS!AG532,CALIFICACION!A:C,3,FALSE))</f>
        <v>1</v>
      </c>
      <c r="H532" s="1" t="s">
        <v>534</v>
      </c>
      <c r="I532" s="1" t="s">
        <v>534</v>
      </c>
      <c r="J532">
        <f>VLOOKUP(PREVIOS!F532&amp;VLOOKUP(PREVIOS!I532,PLAN!A:B,2,FALSE),CURSO!A:D,4,FALSE)</f>
        <v>18</v>
      </c>
      <c r="K532">
        <f>VLOOKUP(PREVIOS!H532,CICLO!A:B,2,FALSE)</f>
        <v>49</v>
      </c>
      <c r="L532">
        <f>VLOOKUP(PREVIOS!I532,PLAN!A:B,2,FALSE)</f>
        <v>5</v>
      </c>
    </row>
    <row r="533" spans="1:12" x14ac:dyDescent="0.25">
      <c r="A533" t="str">
        <f t="shared" si="8"/>
        <v>A46M268C1</v>
      </c>
      <c r="C533">
        <v>532</v>
      </c>
      <c r="D533">
        <f>VLOOKUP(PREVIOS!C533,ALUMNOS!A:B,2,FALSE)</f>
        <v>46</v>
      </c>
      <c r="E533">
        <f>VLOOKUP(PREVIOS!E533&amp;'TABLA PREVIOS'!J533,MATERIAS!A:H,7,FALSE)</f>
        <v>268</v>
      </c>
      <c r="F533">
        <f>VLOOKUP(PREVIOS!G533,CONDICION!A:B,2,FALSE)</f>
        <v>1</v>
      </c>
      <c r="G533">
        <f>IF(PREVIOS!AG533=1,1,VLOOKUP(PREVIOS!AG533,CALIFICACION!A:C,3,FALSE))</f>
        <v>1</v>
      </c>
      <c r="H533" s="1" t="s">
        <v>534</v>
      </c>
      <c r="I533" s="1" t="s">
        <v>534</v>
      </c>
      <c r="J533">
        <f>VLOOKUP(PREVIOS!F533&amp;VLOOKUP(PREVIOS!I533,PLAN!A:B,2,FALSE),CURSO!A:D,4,FALSE)</f>
        <v>21</v>
      </c>
      <c r="K533">
        <f>VLOOKUP(PREVIOS!H533,CICLO!A:B,2,FALSE)</f>
        <v>52</v>
      </c>
      <c r="L533">
        <f>VLOOKUP(PREVIOS!I533,PLAN!A:B,2,FALSE)</f>
        <v>6</v>
      </c>
    </row>
    <row r="534" spans="1:12" x14ac:dyDescent="0.25">
      <c r="A534" t="str">
        <f t="shared" si="8"/>
        <v>A46M265C1</v>
      </c>
      <c r="C534">
        <v>533</v>
      </c>
      <c r="D534">
        <f>VLOOKUP(PREVIOS!C534,ALUMNOS!A:B,2,FALSE)</f>
        <v>46</v>
      </c>
      <c r="E534">
        <f>VLOOKUP(PREVIOS!E534&amp;'TABLA PREVIOS'!J534,MATERIAS!A:H,7,FALSE)</f>
        <v>265</v>
      </c>
      <c r="F534">
        <f>VLOOKUP(PREVIOS!G534,CONDICION!A:B,2,FALSE)</f>
        <v>1</v>
      </c>
      <c r="G534">
        <f>IF(PREVIOS!AG534=1,1,VLOOKUP(PREVIOS!AG534,CALIFICACION!A:C,3,FALSE))</f>
        <v>1</v>
      </c>
      <c r="H534" s="1" t="s">
        <v>534</v>
      </c>
      <c r="I534" s="1" t="s">
        <v>534</v>
      </c>
      <c r="J534">
        <f>VLOOKUP(PREVIOS!F534&amp;VLOOKUP(PREVIOS!I534,PLAN!A:B,2,FALSE),CURSO!A:D,4,FALSE)</f>
        <v>21</v>
      </c>
      <c r="K534">
        <f>VLOOKUP(PREVIOS!H534,CICLO!A:B,2,FALSE)</f>
        <v>52</v>
      </c>
      <c r="L534">
        <f>VLOOKUP(PREVIOS!I534,PLAN!A:B,2,FALSE)</f>
        <v>6</v>
      </c>
    </row>
    <row r="535" spans="1:12" x14ac:dyDescent="0.25">
      <c r="A535" t="str">
        <f t="shared" si="8"/>
        <v>A46M285C1</v>
      </c>
      <c r="C535">
        <v>534</v>
      </c>
      <c r="D535">
        <f>VLOOKUP(PREVIOS!C535,ALUMNOS!A:B,2,FALSE)</f>
        <v>46</v>
      </c>
      <c r="E535">
        <f>VLOOKUP(PREVIOS!E535&amp;'TABLA PREVIOS'!J535,MATERIAS!A:H,7,FALSE)</f>
        <v>285</v>
      </c>
      <c r="F535">
        <f>VLOOKUP(PREVIOS!G535,CONDICION!A:B,2,FALSE)</f>
        <v>1</v>
      </c>
      <c r="G535">
        <f>IF(PREVIOS!AG535=1,1,VLOOKUP(PREVIOS!AG535,CALIFICACION!A:C,3,FALSE))</f>
        <v>1</v>
      </c>
      <c r="H535" s="1" t="s">
        <v>534</v>
      </c>
      <c r="I535" s="1" t="s">
        <v>534</v>
      </c>
      <c r="J535">
        <f>VLOOKUP(PREVIOS!F535&amp;VLOOKUP(PREVIOS!I535,PLAN!A:B,2,FALSE),CURSO!A:D,4,FALSE)</f>
        <v>22</v>
      </c>
      <c r="K535">
        <f>VLOOKUP(PREVIOS!H535,CICLO!A:B,2,FALSE)</f>
        <v>53</v>
      </c>
      <c r="L535">
        <f>VLOOKUP(PREVIOS!I535,PLAN!A:B,2,FALSE)</f>
        <v>6</v>
      </c>
    </row>
    <row r="536" spans="1:12" x14ac:dyDescent="0.25">
      <c r="A536" t="str">
        <f t="shared" si="8"/>
        <v>A46M284C1</v>
      </c>
      <c r="C536">
        <v>535</v>
      </c>
      <c r="D536">
        <f>VLOOKUP(PREVIOS!C536,ALUMNOS!A:B,2,FALSE)</f>
        <v>46</v>
      </c>
      <c r="E536">
        <f>VLOOKUP(PREVIOS!E536&amp;'TABLA PREVIOS'!J536,MATERIAS!A:H,7,FALSE)</f>
        <v>284</v>
      </c>
      <c r="F536">
        <f>VLOOKUP(PREVIOS!G536,CONDICION!A:B,2,FALSE)</f>
        <v>1</v>
      </c>
      <c r="G536">
        <f>IF(PREVIOS!AG536=1,1,VLOOKUP(PREVIOS!AG536,CALIFICACION!A:C,3,FALSE))</f>
        <v>1</v>
      </c>
      <c r="H536" s="1" t="s">
        <v>534</v>
      </c>
      <c r="I536" s="1" t="s">
        <v>534</v>
      </c>
      <c r="J536">
        <f>VLOOKUP(PREVIOS!F536&amp;VLOOKUP(PREVIOS!I536,PLAN!A:B,2,FALSE),CURSO!A:D,4,FALSE)</f>
        <v>22</v>
      </c>
      <c r="K536">
        <f>VLOOKUP(PREVIOS!H536,CICLO!A:B,2,FALSE)</f>
        <v>53</v>
      </c>
      <c r="L536">
        <f>VLOOKUP(PREVIOS!I536,PLAN!A:B,2,FALSE)</f>
        <v>6</v>
      </c>
    </row>
    <row r="537" spans="1:12" x14ac:dyDescent="0.25">
      <c r="A537" t="str">
        <f t="shared" si="8"/>
        <v>A46M287C1</v>
      </c>
      <c r="C537">
        <v>536</v>
      </c>
      <c r="D537">
        <f>VLOOKUP(PREVIOS!C537,ALUMNOS!A:B,2,FALSE)</f>
        <v>46</v>
      </c>
      <c r="E537">
        <f>VLOOKUP(PREVIOS!E537&amp;'TABLA PREVIOS'!J537,MATERIAS!A:H,7,FALSE)</f>
        <v>287</v>
      </c>
      <c r="F537">
        <f>VLOOKUP(PREVIOS!G537,CONDICION!A:B,2,FALSE)</f>
        <v>1</v>
      </c>
      <c r="G537">
        <f>IF(PREVIOS!AG537=1,1,VLOOKUP(PREVIOS!AG537,CALIFICACION!A:C,3,FALSE))</f>
        <v>1</v>
      </c>
      <c r="H537" s="1" t="s">
        <v>534</v>
      </c>
      <c r="I537" s="1" t="s">
        <v>534</v>
      </c>
      <c r="J537">
        <f>VLOOKUP(PREVIOS!F537&amp;VLOOKUP(PREVIOS!I537,PLAN!A:B,2,FALSE),CURSO!A:D,4,FALSE)</f>
        <v>22</v>
      </c>
      <c r="K537">
        <f>VLOOKUP(PREVIOS!H537,CICLO!A:B,2,FALSE)</f>
        <v>53</v>
      </c>
      <c r="L537">
        <f>VLOOKUP(PREVIOS!I537,PLAN!A:B,2,FALSE)</f>
        <v>6</v>
      </c>
    </row>
    <row r="538" spans="1:12" x14ac:dyDescent="0.25">
      <c r="A538" t="str">
        <f t="shared" si="8"/>
        <v>A46M286C1</v>
      </c>
      <c r="C538">
        <v>537</v>
      </c>
      <c r="D538">
        <f>VLOOKUP(PREVIOS!C538,ALUMNOS!A:B,2,FALSE)</f>
        <v>46</v>
      </c>
      <c r="E538">
        <f>VLOOKUP(PREVIOS!E538&amp;'TABLA PREVIOS'!J538,MATERIAS!A:H,7,FALSE)</f>
        <v>286</v>
      </c>
      <c r="F538">
        <f>VLOOKUP(PREVIOS!G538,CONDICION!A:B,2,FALSE)</f>
        <v>1</v>
      </c>
      <c r="G538">
        <f>IF(PREVIOS!AG538=1,1,VLOOKUP(PREVIOS!AG538,CALIFICACION!A:C,3,FALSE))</f>
        <v>1</v>
      </c>
      <c r="H538" s="1" t="s">
        <v>534</v>
      </c>
      <c r="I538" s="1" t="s">
        <v>534</v>
      </c>
      <c r="J538">
        <f>VLOOKUP(PREVIOS!F538&amp;VLOOKUP(PREVIOS!I538,PLAN!A:B,2,FALSE),CURSO!A:D,4,FALSE)</f>
        <v>22</v>
      </c>
      <c r="K538">
        <f>VLOOKUP(PREVIOS!H538,CICLO!A:B,2,FALSE)</f>
        <v>53</v>
      </c>
      <c r="L538">
        <f>VLOOKUP(PREVIOS!I538,PLAN!A:B,2,FALSE)</f>
        <v>6</v>
      </c>
    </row>
    <row r="539" spans="1:12" x14ac:dyDescent="0.25">
      <c r="A539" t="str">
        <f t="shared" si="8"/>
        <v>A46M292C1</v>
      </c>
      <c r="C539">
        <v>538</v>
      </c>
      <c r="D539">
        <f>VLOOKUP(PREVIOS!C539,ALUMNOS!A:B,2,FALSE)</f>
        <v>46</v>
      </c>
      <c r="E539">
        <f>VLOOKUP(PREVIOS!E539&amp;'TABLA PREVIOS'!J539,MATERIAS!A:H,7,FALSE)</f>
        <v>292</v>
      </c>
      <c r="F539">
        <f>VLOOKUP(PREVIOS!G539,CONDICION!A:B,2,FALSE)</f>
        <v>1</v>
      </c>
      <c r="G539">
        <f>IF(PREVIOS!AG539=1,1,VLOOKUP(PREVIOS!AG539,CALIFICACION!A:C,3,FALSE))</f>
        <v>1</v>
      </c>
      <c r="H539" s="1" t="s">
        <v>534</v>
      </c>
      <c r="I539" s="1" t="s">
        <v>534</v>
      </c>
      <c r="J539">
        <f>VLOOKUP(PREVIOS!F539&amp;VLOOKUP(PREVIOS!I539,PLAN!A:B,2,FALSE),CURSO!A:D,4,FALSE)</f>
        <v>22</v>
      </c>
      <c r="K539">
        <f>VLOOKUP(PREVIOS!H539,CICLO!A:B,2,FALSE)</f>
        <v>53</v>
      </c>
      <c r="L539">
        <f>VLOOKUP(PREVIOS!I539,PLAN!A:B,2,FALSE)</f>
        <v>6</v>
      </c>
    </row>
    <row r="540" spans="1:12" x14ac:dyDescent="0.25">
      <c r="A540" t="str">
        <f t="shared" si="8"/>
        <v>A46M291C1</v>
      </c>
      <c r="C540">
        <v>539</v>
      </c>
      <c r="D540">
        <f>VLOOKUP(PREVIOS!C540,ALUMNOS!A:B,2,FALSE)</f>
        <v>46</v>
      </c>
      <c r="E540">
        <f>VLOOKUP(PREVIOS!E540&amp;'TABLA PREVIOS'!J540,MATERIAS!A:H,7,FALSE)</f>
        <v>291</v>
      </c>
      <c r="F540">
        <f>VLOOKUP(PREVIOS!G540,CONDICION!A:B,2,FALSE)</f>
        <v>1</v>
      </c>
      <c r="G540">
        <f>IF(PREVIOS!AG540=1,1,VLOOKUP(PREVIOS!AG540,CALIFICACION!A:C,3,FALSE))</f>
        <v>1</v>
      </c>
      <c r="H540" s="1" t="s">
        <v>534</v>
      </c>
      <c r="I540" s="1" t="s">
        <v>534</v>
      </c>
      <c r="J540">
        <f>VLOOKUP(PREVIOS!F540&amp;VLOOKUP(PREVIOS!I540,PLAN!A:B,2,FALSE),CURSO!A:D,4,FALSE)</f>
        <v>22</v>
      </c>
      <c r="K540">
        <f>VLOOKUP(PREVIOS!H540,CICLO!A:B,2,FALSE)</f>
        <v>53</v>
      </c>
      <c r="L540">
        <f>VLOOKUP(PREVIOS!I540,PLAN!A:B,2,FALSE)</f>
        <v>6</v>
      </c>
    </row>
    <row r="541" spans="1:12" x14ac:dyDescent="0.25">
      <c r="A541" t="str">
        <f t="shared" si="8"/>
        <v>A46M282C1</v>
      </c>
      <c r="C541">
        <v>540</v>
      </c>
      <c r="D541">
        <f>VLOOKUP(PREVIOS!C541,ALUMNOS!A:B,2,FALSE)</f>
        <v>46</v>
      </c>
      <c r="E541">
        <f>VLOOKUP(PREVIOS!E541&amp;'TABLA PREVIOS'!J541,MATERIAS!A:H,7,FALSE)</f>
        <v>282</v>
      </c>
      <c r="F541">
        <f>VLOOKUP(PREVIOS!G541,CONDICION!A:B,2,FALSE)</f>
        <v>1</v>
      </c>
      <c r="G541">
        <f>IF(PREVIOS!AG541=1,1,VLOOKUP(PREVIOS!AG541,CALIFICACION!A:C,3,FALSE))</f>
        <v>1</v>
      </c>
      <c r="H541" s="1" t="s">
        <v>534</v>
      </c>
      <c r="I541" s="1" t="s">
        <v>534</v>
      </c>
      <c r="J541">
        <f>VLOOKUP(PREVIOS!F541&amp;VLOOKUP(PREVIOS!I541,PLAN!A:B,2,FALSE),CURSO!A:D,4,FALSE)</f>
        <v>22</v>
      </c>
      <c r="K541">
        <f>VLOOKUP(PREVIOS!H541,CICLO!A:B,2,FALSE)</f>
        <v>53</v>
      </c>
      <c r="L541">
        <f>VLOOKUP(PREVIOS!I541,PLAN!A:B,2,FALSE)</f>
        <v>6</v>
      </c>
    </row>
    <row r="542" spans="1:12" x14ac:dyDescent="0.25">
      <c r="A542" t="str">
        <f t="shared" si="8"/>
        <v>A46M279C1</v>
      </c>
      <c r="C542">
        <v>541</v>
      </c>
      <c r="D542">
        <f>VLOOKUP(PREVIOS!C542,ALUMNOS!A:B,2,FALSE)</f>
        <v>46</v>
      </c>
      <c r="E542">
        <f>VLOOKUP(PREVIOS!E542&amp;'TABLA PREVIOS'!J542,MATERIAS!A:H,7,FALSE)</f>
        <v>279</v>
      </c>
      <c r="F542">
        <f>VLOOKUP(PREVIOS!G542,CONDICION!A:B,2,FALSE)</f>
        <v>1</v>
      </c>
      <c r="G542">
        <f>IF(PREVIOS!AG542=1,1,VLOOKUP(PREVIOS!AG542,CALIFICACION!A:C,3,FALSE))</f>
        <v>1</v>
      </c>
      <c r="H542" s="1" t="s">
        <v>534</v>
      </c>
      <c r="I542" s="1" t="s">
        <v>534</v>
      </c>
      <c r="J542">
        <f>VLOOKUP(PREVIOS!F542&amp;VLOOKUP(PREVIOS!I542,PLAN!A:B,2,FALSE),CURSO!A:D,4,FALSE)</f>
        <v>22</v>
      </c>
      <c r="K542">
        <f>VLOOKUP(PREVIOS!H542,CICLO!A:B,2,FALSE)</f>
        <v>53</v>
      </c>
      <c r="L542">
        <f>VLOOKUP(PREVIOS!I542,PLAN!A:B,2,FALSE)</f>
        <v>6</v>
      </c>
    </row>
    <row r="543" spans="1:12" x14ac:dyDescent="0.25">
      <c r="A543" t="str">
        <f t="shared" si="8"/>
        <v>A46M280C1</v>
      </c>
      <c r="C543">
        <v>542</v>
      </c>
      <c r="D543">
        <f>VLOOKUP(PREVIOS!C543,ALUMNOS!A:B,2,FALSE)</f>
        <v>46</v>
      </c>
      <c r="E543">
        <f>VLOOKUP(PREVIOS!E543&amp;'TABLA PREVIOS'!J543,MATERIAS!A:H,7,FALSE)</f>
        <v>280</v>
      </c>
      <c r="F543">
        <f>VLOOKUP(PREVIOS!G543,CONDICION!A:B,2,FALSE)</f>
        <v>1</v>
      </c>
      <c r="G543">
        <f>IF(PREVIOS!AG543=1,1,VLOOKUP(PREVIOS!AG543,CALIFICACION!A:C,3,FALSE))</f>
        <v>1</v>
      </c>
      <c r="H543" s="1" t="s">
        <v>534</v>
      </c>
      <c r="I543" s="1" t="s">
        <v>534</v>
      </c>
      <c r="J543">
        <f>VLOOKUP(PREVIOS!F543&amp;VLOOKUP(PREVIOS!I543,PLAN!A:B,2,FALSE),CURSO!A:D,4,FALSE)</f>
        <v>22</v>
      </c>
      <c r="K543">
        <f>VLOOKUP(PREVIOS!H543,CICLO!A:B,2,FALSE)</f>
        <v>53</v>
      </c>
      <c r="L543">
        <f>VLOOKUP(PREVIOS!I543,PLAN!A:B,2,FALSE)</f>
        <v>6</v>
      </c>
    </row>
    <row r="544" spans="1:12" x14ac:dyDescent="0.25">
      <c r="A544" t="str">
        <f t="shared" si="8"/>
        <v>A46M281C1</v>
      </c>
      <c r="C544">
        <v>543</v>
      </c>
      <c r="D544">
        <f>VLOOKUP(PREVIOS!C544,ALUMNOS!A:B,2,FALSE)</f>
        <v>46</v>
      </c>
      <c r="E544">
        <f>VLOOKUP(PREVIOS!E544&amp;'TABLA PREVIOS'!J544,MATERIAS!A:H,7,FALSE)</f>
        <v>281</v>
      </c>
      <c r="F544">
        <f>VLOOKUP(PREVIOS!G544,CONDICION!A:B,2,FALSE)</f>
        <v>1</v>
      </c>
      <c r="G544">
        <f>IF(PREVIOS!AG544=1,1,VLOOKUP(PREVIOS!AG544,CALIFICACION!A:C,3,FALSE))</f>
        <v>1</v>
      </c>
      <c r="H544" s="1" t="s">
        <v>534</v>
      </c>
      <c r="I544" s="1" t="s">
        <v>534</v>
      </c>
      <c r="J544">
        <f>VLOOKUP(PREVIOS!F544&amp;VLOOKUP(PREVIOS!I544,PLAN!A:B,2,FALSE),CURSO!A:D,4,FALSE)</f>
        <v>22</v>
      </c>
      <c r="K544">
        <f>VLOOKUP(PREVIOS!H544,CICLO!A:B,2,FALSE)</f>
        <v>53</v>
      </c>
      <c r="L544">
        <f>VLOOKUP(PREVIOS!I544,PLAN!A:B,2,FALSE)</f>
        <v>6</v>
      </c>
    </row>
    <row r="545" spans="1:12" x14ac:dyDescent="0.25">
      <c r="A545" t="str">
        <f t="shared" si="8"/>
        <v>A46M288C1</v>
      </c>
      <c r="C545">
        <v>544</v>
      </c>
      <c r="D545">
        <f>VLOOKUP(PREVIOS!C545,ALUMNOS!A:B,2,FALSE)</f>
        <v>46</v>
      </c>
      <c r="E545">
        <f>VLOOKUP(PREVIOS!E545&amp;'TABLA PREVIOS'!J545,MATERIAS!A:H,7,FALSE)</f>
        <v>288</v>
      </c>
      <c r="F545">
        <f>VLOOKUP(PREVIOS!G545,CONDICION!A:B,2,FALSE)</f>
        <v>1</v>
      </c>
      <c r="G545">
        <f>IF(PREVIOS!AG545=1,1,VLOOKUP(PREVIOS!AG545,CALIFICACION!A:C,3,FALSE))</f>
        <v>1</v>
      </c>
      <c r="H545" s="1" t="s">
        <v>534</v>
      </c>
      <c r="I545" s="1" t="s">
        <v>534</v>
      </c>
      <c r="J545">
        <f>VLOOKUP(PREVIOS!F545&amp;VLOOKUP(PREVIOS!I545,PLAN!A:B,2,FALSE),CURSO!A:D,4,FALSE)</f>
        <v>22</v>
      </c>
      <c r="K545">
        <f>VLOOKUP(PREVIOS!H545,CICLO!A:B,2,FALSE)</f>
        <v>53</v>
      </c>
      <c r="L545">
        <f>VLOOKUP(PREVIOS!I545,PLAN!A:B,2,FALSE)</f>
        <v>6</v>
      </c>
    </row>
    <row r="546" spans="1:12" x14ac:dyDescent="0.25">
      <c r="A546" t="str">
        <f t="shared" si="8"/>
        <v>A46M290C1</v>
      </c>
      <c r="C546">
        <v>545</v>
      </c>
      <c r="D546">
        <f>VLOOKUP(PREVIOS!C546,ALUMNOS!A:B,2,FALSE)</f>
        <v>46</v>
      </c>
      <c r="E546">
        <f>VLOOKUP(PREVIOS!E546&amp;'TABLA PREVIOS'!J546,MATERIAS!A:H,7,FALSE)</f>
        <v>290</v>
      </c>
      <c r="F546">
        <f>VLOOKUP(PREVIOS!G546,CONDICION!A:B,2,FALSE)</f>
        <v>1</v>
      </c>
      <c r="G546">
        <f>IF(PREVIOS!AG546=1,1,VLOOKUP(PREVIOS!AG546,CALIFICACION!A:C,3,FALSE))</f>
        <v>1</v>
      </c>
      <c r="H546" s="1" t="s">
        <v>534</v>
      </c>
      <c r="I546" s="1" t="s">
        <v>534</v>
      </c>
      <c r="J546">
        <f>VLOOKUP(PREVIOS!F546&amp;VLOOKUP(PREVIOS!I546,PLAN!A:B,2,FALSE),CURSO!A:D,4,FALSE)</f>
        <v>22</v>
      </c>
      <c r="K546">
        <f>VLOOKUP(PREVIOS!H546,CICLO!A:B,2,FALSE)</f>
        <v>53</v>
      </c>
      <c r="L546">
        <f>VLOOKUP(PREVIOS!I546,PLAN!A:B,2,FALSE)</f>
        <v>6</v>
      </c>
    </row>
    <row r="547" spans="1:12" x14ac:dyDescent="0.25">
      <c r="A547" t="str">
        <f t="shared" si="8"/>
        <v>A67M265C1</v>
      </c>
      <c r="C547">
        <v>546</v>
      </c>
      <c r="D547">
        <f>VLOOKUP(PREVIOS!C547,ALUMNOS!A:B,2,FALSE)</f>
        <v>67</v>
      </c>
      <c r="E547">
        <f>VLOOKUP(PREVIOS!E547&amp;'TABLA PREVIOS'!J547,MATERIAS!A:H,7,FALSE)</f>
        <v>265</v>
      </c>
      <c r="F547">
        <f>VLOOKUP(PREVIOS!G547,CONDICION!A:B,2,FALSE)</f>
        <v>1</v>
      </c>
      <c r="G547">
        <f>IF(PREVIOS!AG547=1,1,VLOOKUP(PREVIOS!AG547,CALIFICACION!A:C,3,FALSE))</f>
        <v>1</v>
      </c>
      <c r="H547" s="1" t="s">
        <v>534</v>
      </c>
      <c r="I547" s="1" t="s">
        <v>534</v>
      </c>
      <c r="J547">
        <f>VLOOKUP(PREVIOS!F547&amp;VLOOKUP(PREVIOS!I547,PLAN!A:B,2,FALSE),CURSO!A:D,4,FALSE)</f>
        <v>21</v>
      </c>
      <c r="K547">
        <f>VLOOKUP(PREVIOS!H547,CICLO!A:B,2,FALSE)</f>
        <v>52</v>
      </c>
      <c r="L547">
        <f>VLOOKUP(PREVIOS!I547,PLAN!A:B,2,FALSE)</f>
        <v>6</v>
      </c>
    </row>
    <row r="548" spans="1:12" x14ac:dyDescent="0.25">
      <c r="A548" t="str">
        <f t="shared" si="8"/>
        <v>A67M285C1</v>
      </c>
      <c r="C548">
        <v>547</v>
      </c>
      <c r="D548">
        <f>VLOOKUP(PREVIOS!C548,ALUMNOS!A:B,2,FALSE)</f>
        <v>67</v>
      </c>
      <c r="E548">
        <f>VLOOKUP(PREVIOS!E548&amp;'TABLA PREVIOS'!J548,MATERIAS!A:H,7,FALSE)</f>
        <v>285</v>
      </c>
      <c r="F548">
        <f>VLOOKUP(PREVIOS!G548,CONDICION!A:B,2,FALSE)</f>
        <v>1</v>
      </c>
      <c r="G548">
        <f>IF(PREVIOS!AG548=1,1,VLOOKUP(PREVIOS!AG548,CALIFICACION!A:C,3,FALSE))</f>
        <v>1</v>
      </c>
      <c r="H548" s="1" t="s">
        <v>534</v>
      </c>
      <c r="I548" s="1" t="s">
        <v>534</v>
      </c>
      <c r="J548">
        <f>VLOOKUP(PREVIOS!F548&amp;VLOOKUP(PREVIOS!I548,PLAN!A:B,2,FALSE),CURSO!A:D,4,FALSE)</f>
        <v>22</v>
      </c>
      <c r="K548">
        <f>VLOOKUP(PREVIOS!H548,CICLO!A:B,2,FALSE)</f>
        <v>53</v>
      </c>
      <c r="L548">
        <f>VLOOKUP(PREVIOS!I548,PLAN!A:B,2,FALSE)</f>
        <v>6</v>
      </c>
    </row>
    <row r="549" spans="1:12" x14ac:dyDescent="0.25">
      <c r="A549" t="str">
        <f t="shared" si="8"/>
        <v>A67M286C1</v>
      </c>
      <c r="C549">
        <v>548</v>
      </c>
      <c r="D549">
        <f>VLOOKUP(PREVIOS!C549,ALUMNOS!A:B,2,FALSE)</f>
        <v>67</v>
      </c>
      <c r="E549">
        <f>VLOOKUP(PREVIOS!E549&amp;'TABLA PREVIOS'!J549,MATERIAS!A:H,7,FALSE)</f>
        <v>286</v>
      </c>
      <c r="F549">
        <f>VLOOKUP(PREVIOS!G549,CONDICION!A:B,2,FALSE)</f>
        <v>1</v>
      </c>
      <c r="G549">
        <f>IF(PREVIOS!AG549=1,1,VLOOKUP(PREVIOS!AG549,CALIFICACION!A:C,3,FALSE))</f>
        <v>1</v>
      </c>
      <c r="H549" s="1" t="s">
        <v>534</v>
      </c>
      <c r="I549" s="1" t="s">
        <v>534</v>
      </c>
      <c r="J549">
        <f>VLOOKUP(PREVIOS!F549&amp;VLOOKUP(PREVIOS!I549,PLAN!A:B,2,FALSE),CURSO!A:D,4,FALSE)</f>
        <v>22</v>
      </c>
      <c r="K549">
        <f>VLOOKUP(PREVIOS!H549,CICLO!A:B,2,FALSE)</f>
        <v>53</v>
      </c>
      <c r="L549">
        <f>VLOOKUP(PREVIOS!I549,PLAN!A:B,2,FALSE)</f>
        <v>6</v>
      </c>
    </row>
    <row r="550" spans="1:12" x14ac:dyDescent="0.25">
      <c r="A550" t="str">
        <f t="shared" si="8"/>
        <v>A67M282C1</v>
      </c>
      <c r="C550">
        <v>549</v>
      </c>
      <c r="D550">
        <f>VLOOKUP(PREVIOS!C550,ALUMNOS!A:B,2,FALSE)</f>
        <v>67</v>
      </c>
      <c r="E550">
        <f>VLOOKUP(PREVIOS!E550&amp;'TABLA PREVIOS'!J550,MATERIAS!A:H,7,FALSE)</f>
        <v>282</v>
      </c>
      <c r="F550">
        <f>VLOOKUP(PREVIOS!G550,CONDICION!A:B,2,FALSE)</f>
        <v>1</v>
      </c>
      <c r="G550">
        <f>IF(PREVIOS!AG550=1,1,VLOOKUP(PREVIOS!AG550,CALIFICACION!A:C,3,FALSE))</f>
        <v>1</v>
      </c>
      <c r="H550" s="1" t="s">
        <v>534</v>
      </c>
      <c r="I550" s="1" t="s">
        <v>534</v>
      </c>
      <c r="J550">
        <f>VLOOKUP(PREVIOS!F550&amp;VLOOKUP(PREVIOS!I550,PLAN!A:B,2,FALSE),CURSO!A:D,4,FALSE)</f>
        <v>22</v>
      </c>
      <c r="K550">
        <f>VLOOKUP(PREVIOS!H550,CICLO!A:B,2,FALSE)</f>
        <v>53</v>
      </c>
      <c r="L550">
        <f>VLOOKUP(PREVIOS!I550,PLAN!A:B,2,FALSE)</f>
        <v>6</v>
      </c>
    </row>
    <row r="551" spans="1:12" x14ac:dyDescent="0.25">
      <c r="A551" t="str">
        <f t="shared" si="8"/>
        <v>A67M280C1</v>
      </c>
      <c r="C551">
        <v>550</v>
      </c>
      <c r="D551">
        <f>VLOOKUP(PREVIOS!C551,ALUMNOS!A:B,2,FALSE)</f>
        <v>67</v>
      </c>
      <c r="E551">
        <f>VLOOKUP(PREVIOS!E551&amp;'TABLA PREVIOS'!J551,MATERIAS!A:H,7,FALSE)</f>
        <v>280</v>
      </c>
      <c r="F551">
        <f>VLOOKUP(PREVIOS!G551,CONDICION!A:B,2,FALSE)</f>
        <v>1</v>
      </c>
      <c r="G551">
        <f>IF(PREVIOS!AG551=1,1,VLOOKUP(PREVIOS!AG551,CALIFICACION!A:C,3,FALSE))</f>
        <v>1</v>
      </c>
      <c r="H551" s="1" t="s">
        <v>534</v>
      </c>
      <c r="I551" s="1" t="s">
        <v>534</v>
      </c>
      <c r="J551">
        <f>VLOOKUP(PREVIOS!F551&amp;VLOOKUP(PREVIOS!I551,PLAN!A:B,2,FALSE),CURSO!A:D,4,FALSE)</f>
        <v>22</v>
      </c>
      <c r="K551">
        <f>VLOOKUP(PREVIOS!H551,CICLO!A:B,2,FALSE)</f>
        <v>53</v>
      </c>
      <c r="L551">
        <f>VLOOKUP(PREVIOS!I551,PLAN!A:B,2,FALSE)</f>
        <v>6</v>
      </c>
    </row>
    <row r="552" spans="1:12" x14ac:dyDescent="0.25">
      <c r="A552" t="str">
        <f t="shared" si="8"/>
        <v>A67M288C1</v>
      </c>
      <c r="C552">
        <v>551</v>
      </c>
      <c r="D552">
        <f>VLOOKUP(PREVIOS!C552,ALUMNOS!A:B,2,FALSE)</f>
        <v>67</v>
      </c>
      <c r="E552">
        <f>VLOOKUP(PREVIOS!E552&amp;'TABLA PREVIOS'!J552,MATERIAS!A:H,7,FALSE)</f>
        <v>288</v>
      </c>
      <c r="F552">
        <f>VLOOKUP(PREVIOS!G552,CONDICION!A:B,2,FALSE)</f>
        <v>1</v>
      </c>
      <c r="G552">
        <f>IF(PREVIOS!AG552=1,1,VLOOKUP(PREVIOS!AG552,CALIFICACION!A:C,3,FALSE))</f>
        <v>1</v>
      </c>
      <c r="H552" s="1" t="s">
        <v>534</v>
      </c>
      <c r="I552" s="1" t="s">
        <v>534</v>
      </c>
      <c r="J552">
        <f>VLOOKUP(PREVIOS!F552&amp;VLOOKUP(PREVIOS!I552,PLAN!A:B,2,FALSE),CURSO!A:D,4,FALSE)</f>
        <v>22</v>
      </c>
      <c r="K552">
        <f>VLOOKUP(PREVIOS!H552,CICLO!A:B,2,FALSE)</f>
        <v>53</v>
      </c>
      <c r="L552">
        <f>VLOOKUP(PREVIOS!I552,PLAN!A:B,2,FALSE)</f>
        <v>6</v>
      </c>
    </row>
    <row r="553" spans="1:12" x14ac:dyDescent="0.25">
      <c r="A553" t="str">
        <f t="shared" si="8"/>
        <v>A67M290C1</v>
      </c>
      <c r="C553">
        <v>552</v>
      </c>
      <c r="D553">
        <f>VLOOKUP(PREVIOS!C553,ALUMNOS!A:B,2,FALSE)</f>
        <v>67</v>
      </c>
      <c r="E553">
        <f>VLOOKUP(PREVIOS!E553&amp;'TABLA PREVIOS'!J553,MATERIAS!A:H,7,FALSE)</f>
        <v>290</v>
      </c>
      <c r="F553">
        <f>VLOOKUP(PREVIOS!G553,CONDICION!A:B,2,FALSE)</f>
        <v>1</v>
      </c>
      <c r="G553">
        <f>IF(PREVIOS!AG553=1,1,VLOOKUP(PREVIOS!AG553,CALIFICACION!A:C,3,FALSE))</f>
        <v>1</v>
      </c>
      <c r="H553" s="1" t="s">
        <v>534</v>
      </c>
      <c r="I553" s="1" t="s">
        <v>534</v>
      </c>
      <c r="J553">
        <f>VLOOKUP(PREVIOS!F553&amp;VLOOKUP(PREVIOS!I553,PLAN!A:B,2,FALSE),CURSO!A:D,4,FALSE)</f>
        <v>22</v>
      </c>
      <c r="K553">
        <f>VLOOKUP(PREVIOS!H553,CICLO!A:B,2,FALSE)</f>
        <v>53</v>
      </c>
      <c r="L553">
        <f>VLOOKUP(PREVIOS!I553,PLAN!A:B,2,FALSE)</f>
        <v>6</v>
      </c>
    </row>
    <row r="554" spans="1:12" x14ac:dyDescent="0.25">
      <c r="A554" t="str">
        <f t="shared" si="8"/>
        <v>A99M255C1</v>
      </c>
      <c r="C554">
        <v>553</v>
      </c>
      <c r="D554">
        <f>VLOOKUP(PREVIOS!C554,ALUMNOS!A:B,2,FALSE)</f>
        <v>99</v>
      </c>
      <c r="E554">
        <f>VLOOKUP(PREVIOS!E554&amp;'TABLA PREVIOS'!J554,MATERIAS!A:H,7,FALSE)</f>
        <v>255</v>
      </c>
      <c r="F554">
        <f>VLOOKUP(PREVIOS!G554,CONDICION!A:B,2,FALSE)</f>
        <v>1</v>
      </c>
      <c r="G554">
        <f>IF(PREVIOS!AG554=1,1,VLOOKUP(PREVIOS!AG554,CALIFICACION!A:C,3,FALSE))</f>
        <v>1</v>
      </c>
      <c r="H554" s="1" t="s">
        <v>534</v>
      </c>
      <c r="I554" s="1" t="s">
        <v>534</v>
      </c>
      <c r="J554">
        <f>VLOOKUP(PREVIOS!F554&amp;VLOOKUP(PREVIOS!I554,PLAN!A:B,2,FALSE),CURSO!A:D,4,FALSE)</f>
        <v>20</v>
      </c>
      <c r="K554">
        <f>VLOOKUP(PREVIOS!H554,CICLO!A:B,2,FALSE)</f>
        <v>51</v>
      </c>
      <c r="L554">
        <f>VLOOKUP(PREVIOS!I554,PLAN!A:B,2,FALSE)</f>
        <v>6</v>
      </c>
    </row>
    <row r="555" spans="1:12" x14ac:dyDescent="0.25">
      <c r="A555" t="str">
        <f t="shared" si="8"/>
        <v>A99M251C1</v>
      </c>
      <c r="C555">
        <v>554</v>
      </c>
      <c r="D555">
        <f>VLOOKUP(PREVIOS!C555,ALUMNOS!A:B,2,FALSE)</f>
        <v>99</v>
      </c>
      <c r="E555">
        <f>VLOOKUP(PREVIOS!E555&amp;'TABLA PREVIOS'!J555,MATERIAS!A:H,7,FALSE)</f>
        <v>251</v>
      </c>
      <c r="F555">
        <f>VLOOKUP(PREVIOS!G555,CONDICION!A:B,2,FALSE)</f>
        <v>1</v>
      </c>
      <c r="G555">
        <f>IF(PREVIOS!AG555=1,1,VLOOKUP(PREVIOS!AG555,CALIFICACION!A:C,3,FALSE))</f>
        <v>1</v>
      </c>
      <c r="H555" s="1" t="s">
        <v>534</v>
      </c>
      <c r="I555" s="1" t="s">
        <v>534</v>
      </c>
      <c r="J555">
        <f>VLOOKUP(PREVIOS!F555&amp;VLOOKUP(PREVIOS!I555,PLAN!A:B,2,FALSE),CURSO!A:D,4,FALSE)</f>
        <v>20</v>
      </c>
      <c r="K555">
        <f>VLOOKUP(PREVIOS!H555,CICLO!A:B,2,FALSE)</f>
        <v>51</v>
      </c>
      <c r="L555">
        <f>VLOOKUP(PREVIOS!I555,PLAN!A:B,2,FALSE)</f>
        <v>6</v>
      </c>
    </row>
    <row r="556" spans="1:12" x14ac:dyDescent="0.25">
      <c r="A556" t="str">
        <f t="shared" si="8"/>
        <v>A99M259C1</v>
      </c>
      <c r="C556">
        <v>555</v>
      </c>
      <c r="D556">
        <f>VLOOKUP(PREVIOS!C556,ALUMNOS!A:B,2,FALSE)</f>
        <v>99</v>
      </c>
      <c r="E556">
        <f>VLOOKUP(PREVIOS!E556&amp;'TABLA PREVIOS'!J556,MATERIAS!A:H,7,FALSE)</f>
        <v>259</v>
      </c>
      <c r="F556">
        <f>VLOOKUP(PREVIOS!G556,CONDICION!A:B,2,FALSE)</f>
        <v>1</v>
      </c>
      <c r="G556">
        <f>IF(PREVIOS!AG556=1,1,VLOOKUP(PREVIOS!AG556,CALIFICACION!A:C,3,FALSE))</f>
        <v>1</v>
      </c>
      <c r="H556" s="1" t="s">
        <v>534</v>
      </c>
      <c r="I556" s="1" t="s">
        <v>534</v>
      </c>
      <c r="J556">
        <f>VLOOKUP(PREVIOS!F556&amp;VLOOKUP(PREVIOS!I556,PLAN!A:B,2,FALSE),CURSO!A:D,4,FALSE)</f>
        <v>20</v>
      </c>
      <c r="K556">
        <f>VLOOKUP(PREVIOS!H556,CICLO!A:B,2,FALSE)</f>
        <v>51</v>
      </c>
      <c r="L556">
        <f>VLOOKUP(PREVIOS!I556,PLAN!A:B,2,FALSE)</f>
        <v>6</v>
      </c>
    </row>
    <row r="557" spans="1:12" x14ac:dyDescent="0.25">
      <c r="A557" t="str">
        <f t="shared" si="8"/>
        <v>A99M285C1</v>
      </c>
      <c r="C557">
        <v>556</v>
      </c>
      <c r="D557">
        <f>VLOOKUP(PREVIOS!C557,ALUMNOS!A:B,2,FALSE)</f>
        <v>99</v>
      </c>
      <c r="E557">
        <f>VLOOKUP(PREVIOS!E557&amp;'TABLA PREVIOS'!J557,MATERIAS!A:H,7,FALSE)</f>
        <v>285</v>
      </c>
      <c r="F557">
        <f>VLOOKUP(PREVIOS!G557,CONDICION!A:B,2,FALSE)</f>
        <v>1</v>
      </c>
      <c r="G557">
        <f>IF(PREVIOS!AG557=1,1,VLOOKUP(PREVIOS!AG557,CALIFICACION!A:C,3,FALSE))</f>
        <v>1</v>
      </c>
      <c r="H557" s="1" t="s">
        <v>534</v>
      </c>
      <c r="I557" s="1" t="s">
        <v>534</v>
      </c>
      <c r="J557">
        <f>VLOOKUP(PREVIOS!F557&amp;VLOOKUP(PREVIOS!I557,PLAN!A:B,2,FALSE),CURSO!A:D,4,FALSE)</f>
        <v>22</v>
      </c>
      <c r="K557">
        <f>VLOOKUP(PREVIOS!H557,CICLO!A:B,2,FALSE)</f>
        <v>53</v>
      </c>
      <c r="L557">
        <f>VLOOKUP(PREVIOS!I557,PLAN!A:B,2,FALSE)</f>
        <v>6</v>
      </c>
    </row>
    <row r="558" spans="1:12" x14ac:dyDescent="0.25">
      <c r="A558" t="str">
        <f t="shared" si="8"/>
        <v>A99M284C1</v>
      </c>
      <c r="C558">
        <v>557</v>
      </c>
      <c r="D558">
        <f>VLOOKUP(PREVIOS!C558,ALUMNOS!A:B,2,FALSE)</f>
        <v>99</v>
      </c>
      <c r="E558">
        <f>VLOOKUP(PREVIOS!E558&amp;'TABLA PREVIOS'!J558,MATERIAS!A:H,7,FALSE)</f>
        <v>284</v>
      </c>
      <c r="F558">
        <f>VLOOKUP(PREVIOS!G558,CONDICION!A:B,2,FALSE)</f>
        <v>1</v>
      </c>
      <c r="G558">
        <f>IF(PREVIOS!AG558=1,1,VLOOKUP(PREVIOS!AG558,CALIFICACION!A:C,3,FALSE))</f>
        <v>1</v>
      </c>
      <c r="H558" s="1" t="s">
        <v>534</v>
      </c>
      <c r="I558" s="1" t="s">
        <v>534</v>
      </c>
      <c r="J558">
        <f>VLOOKUP(PREVIOS!F558&amp;VLOOKUP(PREVIOS!I558,PLAN!A:B,2,FALSE),CURSO!A:D,4,FALSE)</f>
        <v>22</v>
      </c>
      <c r="K558">
        <f>VLOOKUP(PREVIOS!H558,CICLO!A:B,2,FALSE)</f>
        <v>53</v>
      </c>
      <c r="L558">
        <f>VLOOKUP(PREVIOS!I558,PLAN!A:B,2,FALSE)</f>
        <v>6</v>
      </c>
    </row>
    <row r="559" spans="1:12" x14ac:dyDescent="0.25">
      <c r="A559" t="str">
        <f t="shared" si="8"/>
        <v>A99M287C1</v>
      </c>
      <c r="C559">
        <v>558</v>
      </c>
      <c r="D559">
        <f>VLOOKUP(PREVIOS!C559,ALUMNOS!A:B,2,FALSE)</f>
        <v>99</v>
      </c>
      <c r="E559">
        <f>VLOOKUP(PREVIOS!E559&amp;'TABLA PREVIOS'!J559,MATERIAS!A:H,7,FALSE)</f>
        <v>287</v>
      </c>
      <c r="F559">
        <f>VLOOKUP(PREVIOS!G559,CONDICION!A:B,2,FALSE)</f>
        <v>1</v>
      </c>
      <c r="G559">
        <f>IF(PREVIOS!AG559=1,1,VLOOKUP(PREVIOS!AG559,CALIFICACION!A:C,3,FALSE))</f>
        <v>1</v>
      </c>
      <c r="H559" s="1" t="s">
        <v>534</v>
      </c>
      <c r="I559" s="1" t="s">
        <v>534</v>
      </c>
      <c r="J559">
        <f>VLOOKUP(PREVIOS!F559&amp;VLOOKUP(PREVIOS!I559,PLAN!A:B,2,FALSE),CURSO!A:D,4,FALSE)</f>
        <v>22</v>
      </c>
      <c r="K559">
        <f>VLOOKUP(PREVIOS!H559,CICLO!A:B,2,FALSE)</f>
        <v>53</v>
      </c>
      <c r="L559">
        <f>VLOOKUP(PREVIOS!I559,PLAN!A:B,2,FALSE)</f>
        <v>6</v>
      </c>
    </row>
    <row r="560" spans="1:12" x14ac:dyDescent="0.25">
      <c r="A560" t="str">
        <f t="shared" si="8"/>
        <v>A99M278C1</v>
      </c>
      <c r="C560">
        <v>559</v>
      </c>
      <c r="D560">
        <f>VLOOKUP(PREVIOS!C560,ALUMNOS!A:B,2,FALSE)</f>
        <v>99</v>
      </c>
      <c r="E560">
        <f>VLOOKUP(PREVIOS!E560&amp;'TABLA PREVIOS'!J560,MATERIAS!A:H,7,FALSE)</f>
        <v>278</v>
      </c>
      <c r="F560">
        <f>VLOOKUP(PREVIOS!G560,CONDICION!A:B,2,FALSE)</f>
        <v>1</v>
      </c>
      <c r="G560">
        <f>IF(PREVIOS!AG560=1,1,VLOOKUP(PREVIOS!AG560,CALIFICACION!A:C,3,FALSE))</f>
        <v>1</v>
      </c>
      <c r="H560" s="1" t="s">
        <v>534</v>
      </c>
      <c r="I560" s="1" t="s">
        <v>534</v>
      </c>
      <c r="J560">
        <f>VLOOKUP(PREVIOS!F560&amp;VLOOKUP(PREVIOS!I560,PLAN!A:B,2,FALSE),CURSO!A:D,4,FALSE)</f>
        <v>22</v>
      </c>
      <c r="K560">
        <f>VLOOKUP(PREVIOS!H560,CICLO!A:B,2,FALSE)</f>
        <v>53</v>
      </c>
      <c r="L560">
        <f>VLOOKUP(PREVIOS!I560,PLAN!A:B,2,FALSE)</f>
        <v>6</v>
      </c>
    </row>
    <row r="561" spans="1:12" x14ac:dyDescent="0.25">
      <c r="A561" t="str">
        <f t="shared" si="8"/>
        <v>A99M292C1</v>
      </c>
      <c r="C561">
        <v>560</v>
      </c>
      <c r="D561">
        <f>VLOOKUP(PREVIOS!C561,ALUMNOS!A:B,2,FALSE)</f>
        <v>99</v>
      </c>
      <c r="E561">
        <f>VLOOKUP(PREVIOS!E561&amp;'TABLA PREVIOS'!J561,MATERIAS!A:H,7,FALSE)</f>
        <v>292</v>
      </c>
      <c r="F561">
        <f>VLOOKUP(PREVIOS!G561,CONDICION!A:B,2,FALSE)</f>
        <v>1</v>
      </c>
      <c r="G561">
        <f>IF(PREVIOS!AG561=1,1,VLOOKUP(PREVIOS!AG561,CALIFICACION!A:C,3,FALSE))</f>
        <v>1</v>
      </c>
      <c r="H561" s="1" t="s">
        <v>534</v>
      </c>
      <c r="I561" s="1" t="s">
        <v>534</v>
      </c>
      <c r="J561">
        <f>VLOOKUP(PREVIOS!F561&amp;VLOOKUP(PREVIOS!I561,PLAN!A:B,2,FALSE),CURSO!A:D,4,FALSE)</f>
        <v>22</v>
      </c>
      <c r="K561">
        <f>VLOOKUP(PREVIOS!H561,CICLO!A:B,2,FALSE)</f>
        <v>53</v>
      </c>
      <c r="L561">
        <f>VLOOKUP(PREVIOS!I561,PLAN!A:B,2,FALSE)</f>
        <v>6</v>
      </c>
    </row>
    <row r="562" spans="1:12" x14ac:dyDescent="0.25">
      <c r="A562" t="str">
        <f t="shared" si="8"/>
        <v>A99M291C1</v>
      </c>
      <c r="C562">
        <v>561</v>
      </c>
      <c r="D562">
        <f>VLOOKUP(PREVIOS!C562,ALUMNOS!A:B,2,FALSE)</f>
        <v>99</v>
      </c>
      <c r="E562">
        <f>VLOOKUP(PREVIOS!E562&amp;'TABLA PREVIOS'!J562,MATERIAS!A:H,7,FALSE)</f>
        <v>291</v>
      </c>
      <c r="F562">
        <f>VLOOKUP(PREVIOS!G562,CONDICION!A:B,2,FALSE)</f>
        <v>1</v>
      </c>
      <c r="G562">
        <f>IF(PREVIOS!AG562=1,1,VLOOKUP(PREVIOS!AG562,CALIFICACION!A:C,3,FALSE))</f>
        <v>1</v>
      </c>
      <c r="H562" s="1" t="s">
        <v>534</v>
      </c>
      <c r="I562" s="1" t="s">
        <v>534</v>
      </c>
      <c r="J562">
        <f>VLOOKUP(PREVIOS!F562&amp;VLOOKUP(PREVIOS!I562,PLAN!A:B,2,FALSE),CURSO!A:D,4,FALSE)</f>
        <v>22</v>
      </c>
      <c r="K562">
        <f>VLOOKUP(PREVIOS!H562,CICLO!A:B,2,FALSE)</f>
        <v>53</v>
      </c>
      <c r="L562">
        <f>VLOOKUP(PREVIOS!I562,PLAN!A:B,2,FALSE)</f>
        <v>6</v>
      </c>
    </row>
    <row r="563" spans="1:12" x14ac:dyDescent="0.25">
      <c r="A563" t="str">
        <f t="shared" si="8"/>
        <v>A99M282C1</v>
      </c>
      <c r="C563">
        <v>562</v>
      </c>
      <c r="D563">
        <f>VLOOKUP(PREVIOS!C563,ALUMNOS!A:B,2,FALSE)</f>
        <v>99</v>
      </c>
      <c r="E563">
        <f>VLOOKUP(PREVIOS!E563&amp;'TABLA PREVIOS'!J563,MATERIAS!A:H,7,FALSE)</f>
        <v>282</v>
      </c>
      <c r="F563">
        <f>VLOOKUP(PREVIOS!G563,CONDICION!A:B,2,FALSE)</f>
        <v>1</v>
      </c>
      <c r="G563">
        <f>IF(PREVIOS!AG563=1,1,VLOOKUP(PREVIOS!AG563,CALIFICACION!A:C,3,FALSE))</f>
        <v>1</v>
      </c>
      <c r="H563" s="1" t="s">
        <v>534</v>
      </c>
      <c r="I563" s="1" t="s">
        <v>534</v>
      </c>
      <c r="J563">
        <f>VLOOKUP(PREVIOS!F563&amp;VLOOKUP(PREVIOS!I563,PLAN!A:B,2,FALSE),CURSO!A:D,4,FALSE)</f>
        <v>22</v>
      </c>
      <c r="K563">
        <f>VLOOKUP(PREVIOS!H563,CICLO!A:B,2,FALSE)</f>
        <v>53</v>
      </c>
      <c r="L563">
        <f>VLOOKUP(PREVIOS!I563,PLAN!A:B,2,FALSE)</f>
        <v>6</v>
      </c>
    </row>
    <row r="564" spans="1:12" x14ac:dyDescent="0.25">
      <c r="A564" t="str">
        <f t="shared" si="8"/>
        <v>A99M279C1</v>
      </c>
      <c r="C564">
        <v>563</v>
      </c>
      <c r="D564">
        <f>VLOOKUP(PREVIOS!C564,ALUMNOS!A:B,2,FALSE)</f>
        <v>99</v>
      </c>
      <c r="E564">
        <f>VLOOKUP(PREVIOS!E564&amp;'TABLA PREVIOS'!J564,MATERIAS!A:H,7,FALSE)</f>
        <v>279</v>
      </c>
      <c r="F564">
        <f>VLOOKUP(PREVIOS!G564,CONDICION!A:B,2,FALSE)</f>
        <v>1</v>
      </c>
      <c r="G564">
        <f>IF(PREVIOS!AG564=1,1,VLOOKUP(PREVIOS!AG564,CALIFICACION!A:C,3,FALSE))</f>
        <v>1</v>
      </c>
      <c r="H564" s="1" t="s">
        <v>534</v>
      </c>
      <c r="I564" s="1" t="s">
        <v>534</v>
      </c>
      <c r="J564">
        <f>VLOOKUP(PREVIOS!F564&amp;VLOOKUP(PREVIOS!I564,PLAN!A:B,2,FALSE),CURSO!A:D,4,FALSE)</f>
        <v>22</v>
      </c>
      <c r="K564">
        <f>VLOOKUP(PREVIOS!H564,CICLO!A:B,2,FALSE)</f>
        <v>53</v>
      </c>
      <c r="L564">
        <f>VLOOKUP(PREVIOS!I564,PLAN!A:B,2,FALSE)</f>
        <v>6</v>
      </c>
    </row>
    <row r="565" spans="1:12" x14ac:dyDescent="0.25">
      <c r="A565" t="str">
        <f t="shared" si="8"/>
        <v>A99M280C1</v>
      </c>
      <c r="C565">
        <v>564</v>
      </c>
      <c r="D565">
        <f>VLOOKUP(PREVIOS!C565,ALUMNOS!A:B,2,FALSE)</f>
        <v>99</v>
      </c>
      <c r="E565">
        <f>VLOOKUP(PREVIOS!E565&amp;'TABLA PREVIOS'!J565,MATERIAS!A:H,7,FALSE)</f>
        <v>280</v>
      </c>
      <c r="F565">
        <f>VLOOKUP(PREVIOS!G565,CONDICION!A:B,2,FALSE)</f>
        <v>1</v>
      </c>
      <c r="G565">
        <f>IF(PREVIOS!AG565=1,1,VLOOKUP(PREVIOS!AG565,CALIFICACION!A:C,3,FALSE))</f>
        <v>1</v>
      </c>
      <c r="H565" s="1" t="s">
        <v>534</v>
      </c>
      <c r="I565" s="1" t="s">
        <v>534</v>
      </c>
      <c r="J565">
        <f>VLOOKUP(PREVIOS!F565&amp;VLOOKUP(PREVIOS!I565,PLAN!A:B,2,FALSE),CURSO!A:D,4,FALSE)</f>
        <v>22</v>
      </c>
      <c r="K565">
        <f>VLOOKUP(PREVIOS!H565,CICLO!A:B,2,FALSE)</f>
        <v>53</v>
      </c>
      <c r="L565">
        <f>VLOOKUP(PREVIOS!I565,PLAN!A:B,2,FALSE)</f>
        <v>6</v>
      </c>
    </row>
    <row r="566" spans="1:12" x14ac:dyDescent="0.25">
      <c r="A566" t="str">
        <f t="shared" si="8"/>
        <v>A99M281C1</v>
      </c>
      <c r="C566">
        <v>565</v>
      </c>
      <c r="D566">
        <f>VLOOKUP(PREVIOS!C566,ALUMNOS!A:B,2,FALSE)</f>
        <v>99</v>
      </c>
      <c r="E566">
        <f>VLOOKUP(PREVIOS!E566&amp;'TABLA PREVIOS'!J566,MATERIAS!A:H,7,FALSE)</f>
        <v>281</v>
      </c>
      <c r="F566">
        <f>VLOOKUP(PREVIOS!G566,CONDICION!A:B,2,FALSE)</f>
        <v>1</v>
      </c>
      <c r="G566">
        <f>IF(PREVIOS!AG566=1,1,VLOOKUP(PREVIOS!AG566,CALIFICACION!A:C,3,FALSE))</f>
        <v>1</v>
      </c>
      <c r="H566" s="1" t="s">
        <v>534</v>
      </c>
      <c r="I566" s="1" t="s">
        <v>534</v>
      </c>
      <c r="J566">
        <f>VLOOKUP(PREVIOS!F566&amp;VLOOKUP(PREVIOS!I566,PLAN!A:B,2,FALSE),CURSO!A:D,4,FALSE)</f>
        <v>22</v>
      </c>
      <c r="K566">
        <f>VLOOKUP(PREVIOS!H566,CICLO!A:B,2,FALSE)</f>
        <v>53</v>
      </c>
      <c r="L566">
        <f>VLOOKUP(PREVIOS!I566,PLAN!A:B,2,FALSE)</f>
        <v>6</v>
      </c>
    </row>
    <row r="567" spans="1:12" x14ac:dyDescent="0.25">
      <c r="A567" t="str">
        <f t="shared" si="8"/>
        <v>A99M288C1</v>
      </c>
      <c r="C567">
        <v>566</v>
      </c>
      <c r="D567">
        <f>VLOOKUP(PREVIOS!C567,ALUMNOS!A:B,2,FALSE)</f>
        <v>99</v>
      </c>
      <c r="E567">
        <f>VLOOKUP(PREVIOS!E567&amp;'TABLA PREVIOS'!J567,MATERIAS!A:H,7,FALSE)</f>
        <v>288</v>
      </c>
      <c r="F567">
        <f>VLOOKUP(PREVIOS!G567,CONDICION!A:B,2,FALSE)</f>
        <v>1</v>
      </c>
      <c r="G567">
        <f>IF(PREVIOS!AG567=1,1,VLOOKUP(PREVIOS!AG567,CALIFICACION!A:C,3,FALSE))</f>
        <v>1</v>
      </c>
      <c r="H567" s="1" t="s">
        <v>534</v>
      </c>
      <c r="I567" s="1" t="s">
        <v>534</v>
      </c>
      <c r="J567">
        <f>VLOOKUP(PREVIOS!F567&amp;VLOOKUP(PREVIOS!I567,PLAN!A:B,2,FALSE),CURSO!A:D,4,FALSE)</f>
        <v>22</v>
      </c>
      <c r="K567">
        <f>VLOOKUP(PREVIOS!H567,CICLO!A:B,2,FALSE)</f>
        <v>53</v>
      </c>
      <c r="L567">
        <f>VLOOKUP(PREVIOS!I567,PLAN!A:B,2,FALSE)</f>
        <v>6</v>
      </c>
    </row>
    <row r="568" spans="1:12" x14ac:dyDescent="0.25">
      <c r="A568" t="str">
        <f t="shared" si="8"/>
        <v>A99M290C1</v>
      </c>
      <c r="C568">
        <v>567</v>
      </c>
      <c r="D568">
        <f>VLOOKUP(PREVIOS!C568,ALUMNOS!A:B,2,FALSE)</f>
        <v>99</v>
      </c>
      <c r="E568">
        <f>VLOOKUP(PREVIOS!E568&amp;'TABLA PREVIOS'!J568,MATERIAS!A:H,7,FALSE)</f>
        <v>290</v>
      </c>
      <c r="F568">
        <f>VLOOKUP(PREVIOS!G568,CONDICION!A:B,2,FALSE)</f>
        <v>1</v>
      </c>
      <c r="G568">
        <f>IF(PREVIOS!AG568=1,1,VLOOKUP(PREVIOS!AG568,CALIFICACION!A:C,3,FALSE))</f>
        <v>1</v>
      </c>
      <c r="H568" s="1" t="s">
        <v>534</v>
      </c>
      <c r="I568" s="1" t="s">
        <v>534</v>
      </c>
      <c r="J568">
        <f>VLOOKUP(PREVIOS!F568&amp;VLOOKUP(PREVIOS!I568,PLAN!A:B,2,FALSE),CURSO!A:D,4,FALSE)</f>
        <v>22</v>
      </c>
      <c r="K568">
        <f>VLOOKUP(PREVIOS!H568,CICLO!A:B,2,FALSE)</f>
        <v>53</v>
      </c>
      <c r="L568">
        <f>VLOOKUP(PREVIOS!I568,PLAN!A:B,2,FALSE)</f>
        <v>6</v>
      </c>
    </row>
    <row r="569" spans="1:12" x14ac:dyDescent="0.25">
      <c r="A569" t="str">
        <f t="shared" si="8"/>
        <v>A145M252C1</v>
      </c>
      <c r="C569">
        <v>568</v>
      </c>
      <c r="D569">
        <f>VLOOKUP(PREVIOS!C569,ALUMNOS!A:B,2,FALSE)</f>
        <v>145</v>
      </c>
      <c r="E569">
        <f>VLOOKUP(PREVIOS!E569&amp;'TABLA PREVIOS'!J569,MATERIAS!A:H,7,FALSE)</f>
        <v>252</v>
      </c>
      <c r="F569">
        <f>VLOOKUP(PREVIOS!G569,CONDICION!A:B,2,FALSE)</f>
        <v>1</v>
      </c>
      <c r="G569">
        <f>IF(PREVIOS!AG569=1,1,VLOOKUP(PREVIOS!AG569,CALIFICACION!A:C,3,FALSE))</f>
        <v>1</v>
      </c>
      <c r="H569" s="1" t="s">
        <v>534</v>
      </c>
      <c r="I569" s="1" t="s">
        <v>534</v>
      </c>
      <c r="J569">
        <f>VLOOKUP(PREVIOS!F569&amp;VLOOKUP(PREVIOS!I569,PLAN!A:B,2,FALSE),CURSO!A:D,4,FALSE)</f>
        <v>20</v>
      </c>
      <c r="K569">
        <f>VLOOKUP(PREVIOS!H569,CICLO!A:B,2,FALSE)</f>
        <v>51</v>
      </c>
      <c r="L569">
        <f>VLOOKUP(PREVIOS!I569,PLAN!A:B,2,FALSE)</f>
        <v>6</v>
      </c>
    </row>
    <row r="570" spans="1:12" x14ac:dyDescent="0.25">
      <c r="A570" t="str">
        <f t="shared" si="8"/>
        <v>A145M265C1</v>
      </c>
      <c r="C570">
        <v>569</v>
      </c>
      <c r="D570">
        <f>VLOOKUP(PREVIOS!C570,ALUMNOS!A:B,2,FALSE)</f>
        <v>145</v>
      </c>
      <c r="E570">
        <f>VLOOKUP(PREVIOS!E570&amp;'TABLA PREVIOS'!J570,MATERIAS!A:H,7,FALSE)</f>
        <v>265</v>
      </c>
      <c r="F570">
        <f>VLOOKUP(PREVIOS!G570,CONDICION!A:B,2,FALSE)</f>
        <v>1</v>
      </c>
      <c r="G570">
        <f>IF(PREVIOS!AG570=1,1,VLOOKUP(PREVIOS!AG570,CALIFICACION!A:C,3,FALSE))</f>
        <v>1</v>
      </c>
      <c r="H570" s="1" t="s">
        <v>534</v>
      </c>
      <c r="I570" s="1" t="s">
        <v>534</v>
      </c>
      <c r="J570">
        <f>VLOOKUP(PREVIOS!F570&amp;VLOOKUP(PREVIOS!I570,PLAN!A:B,2,FALSE),CURSO!A:D,4,FALSE)</f>
        <v>21</v>
      </c>
      <c r="K570">
        <f>VLOOKUP(PREVIOS!H570,CICLO!A:B,2,FALSE)</f>
        <v>52</v>
      </c>
      <c r="L570">
        <f>VLOOKUP(PREVIOS!I570,PLAN!A:B,2,FALSE)</f>
        <v>6</v>
      </c>
    </row>
    <row r="571" spans="1:12" x14ac:dyDescent="0.25">
      <c r="A571" t="str">
        <f t="shared" si="8"/>
        <v>A145M285C1</v>
      </c>
      <c r="C571">
        <v>570</v>
      </c>
      <c r="D571">
        <f>VLOOKUP(PREVIOS!C571,ALUMNOS!A:B,2,FALSE)</f>
        <v>145</v>
      </c>
      <c r="E571">
        <f>VLOOKUP(PREVIOS!E571&amp;'TABLA PREVIOS'!J571,MATERIAS!A:H,7,FALSE)</f>
        <v>285</v>
      </c>
      <c r="F571">
        <f>VLOOKUP(PREVIOS!G571,CONDICION!A:B,2,FALSE)</f>
        <v>1</v>
      </c>
      <c r="G571">
        <f>IF(PREVIOS!AG571=1,1,VLOOKUP(PREVIOS!AG571,CALIFICACION!A:C,3,FALSE))</f>
        <v>1</v>
      </c>
      <c r="H571" s="1" t="s">
        <v>534</v>
      </c>
      <c r="I571" s="1" t="s">
        <v>534</v>
      </c>
      <c r="J571">
        <f>VLOOKUP(PREVIOS!F571&amp;VLOOKUP(PREVIOS!I571,PLAN!A:B,2,FALSE),CURSO!A:D,4,FALSE)</f>
        <v>22</v>
      </c>
      <c r="K571">
        <f>VLOOKUP(PREVIOS!H571,CICLO!A:B,2,FALSE)</f>
        <v>53</v>
      </c>
      <c r="L571">
        <f>VLOOKUP(PREVIOS!I571,PLAN!A:B,2,FALSE)</f>
        <v>6</v>
      </c>
    </row>
    <row r="572" spans="1:12" x14ac:dyDescent="0.25">
      <c r="A572" t="str">
        <f t="shared" si="8"/>
        <v>A145M289C1</v>
      </c>
      <c r="C572">
        <v>571</v>
      </c>
      <c r="D572">
        <f>VLOOKUP(PREVIOS!C572,ALUMNOS!A:B,2,FALSE)</f>
        <v>145</v>
      </c>
      <c r="E572">
        <f>VLOOKUP(PREVIOS!E572&amp;'TABLA PREVIOS'!J572,MATERIAS!A:H,7,FALSE)</f>
        <v>289</v>
      </c>
      <c r="F572">
        <f>VLOOKUP(PREVIOS!G572,CONDICION!A:B,2,FALSE)</f>
        <v>1</v>
      </c>
      <c r="G572">
        <f>IF(PREVIOS!AG572=1,1,VLOOKUP(PREVIOS!AG572,CALIFICACION!A:C,3,FALSE))</f>
        <v>1</v>
      </c>
      <c r="H572" s="1" t="s">
        <v>534</v>
      </c>
      <c r="I572" s="1" t="s">
        <v>534</v>
      </c>
      <c r="J572">
        <f>VLOOKUP(PREVIOS!F572&amp;VLOOKUP(PREVIOS!I572,PLAN!A:B,2,FALSE),CURSO!A:D,4,FALSE)</f>
        <v>22</v>
      </c>
      <c r="K572">
        <f>VLOOKUP(PREVIOS!H572,CICLO!A:B,2,FALSE)</f>
        <v>53</v>
      </c>
      <c r="L572">
        <f>VLOOKUP(PREVIOS!I572,PLAN!A:B,2,FALSE)</f>
        <v>6</v>
      </c>
    </row>
    <row r="573" spans="1:12" x14ac:dyDescent="0.25">
      <c r="A573" t="str">
        <f t="shared" si="8"/>
        <v>A145M284C1</v>
      </c>
      <c r="C573">
        <v>572</v>
      </c>
      <c r="D573">
        <f>VLOOKUP(PREVIOS!C573,ALUMNOS!A:B,2,FALSE)</f>
        <v>145</v>
      </c>
      <c r="E573">
        <f>VLOOKUP(PREVIOS!E573&amp;'TABLA PREVIOS'!J573,MATERIAS!A:H,7,FALSE)</f>
        <v>284</v>
      </c>
      <c r="F573">
        <f>VLOOKUP(PREVIOS!G573,CONDICION!A:B,2,FALSE)</f>
        <v>1</v>
      </c>
      <c r="G573">
        <f>IF(PREVIOS!AG573=1,1,VLOOKUP(PREVIOS!AG573,CALIFICACION!A:C,3,FALSE))</f>
        <v>1</v>
      </c>
      <c r="H573" s="1" t="s">
        <v>534</v>
      </c>
      <c r="I573" s="1" t="s">
        <v>534</v>
      </c>
      <c r="J573">
        <f>VLOOKUP(PREVIOS!F573&amp;VLOOKUP(PREVIOS!I573,PLAN!A:B,2,FALSE),CURSO!A:D,4,FALSE)</f>
        <v>22</v>
      </c>
      <c r="K573">
        <f>VLOOKUP(PREVIOS!H573,CICLO!A:B,2,FALSE)</f>
        <v>53</v>
      </c>
      <c r="L573">
        <f>VLOOKUP(PREVIOS!I573,PLAN!A:B,2,FALSE)</f>
        <v>6</v>
      </c>
    </row>
    <row r="574" spans="1:12" x14ac:dyDescent="0.25">
      <c r="A574" t="str">
        <f t="shared" si="8"/>
        <v>A145M287C1</v>
      </c>
      <c r="C574">
        <v>573</v>
      </c>
      <c r="D574">
        <f>VLOOKUP(PREVIOS!C574,ALUMNOS!A:B,2,FALSE)</f>
        <v>145</v>
      </c>
      <c r="E574">
        <f>VLOOKUP(PREVIOS!E574&amp;'TABLA PREVIOS'!J574,MATERIAS!A:H,7,FALSE)</f>
        <v>287</v>
      </c>
      <c r="F574">
        <f>VLOOKUP(PREVIOS!G574,CONDICION!A:B,2,FALSE)</f>
        <v>1</v>
      </c>
      <c r="G574">
        <f>IF(PREVIOS!AG574=1,1,VLOOKUP(PREVIOS!AG574,CALIFICACION!A:C,3,FALSE))</f>
        <v>1</v>
      </c>
      <c r="H574" s="1" t="s">
        <v>534</v>
      </c>
      <c r="I574" s="1" t="s">
        <v>534</v>
      </c>
      <c r="J574">
        <f>VLOOKUP(PREVIOS!F574&amp;VLOOKUP(PREVIOS!I574,PLAN!A:B,2,FALSE),CURSO!A:D,4,FALSE)</f>
        <v>22</v>
      </c>
      <c r="K574">
        <f>VLOOKUP(PREVIOS!H574,CICLO!A:B,2,FALSE)</f>
        <v>53</v>
      </c>
      <c r="L574">
        <f>VLOOKUP(PREVIOS!I574,PLAN!A:B,2,FALSE)</f>
        <v>6</v>
      </c>
    </row>
    <row r="575" spans="1:12" x14ac:dyDescent="0.25">
      <c r="A575" t="str">
        <f t="shared" si="8"/>
        <v>A145M286C1</v>
      </c>
      <c r="C575">
        <v>574</v>
      </c>
      <c r="D575">
        <f>VLOOKUP(PREVIOS!C575,ALUMNOS!A:B,2,FALSE)</f>
        <v>145</v>
      </c>
      <c r="E575">
        <f>VLOOKUP(PREVIOS!E575&amp;'TABLA PREVIOS'!J575,MATERIAS!A:H,7,FALSE)</f>
        <v>286</v>
      </c>
      <c r="F575">
        <f>VLOOKUP(PREVIOS!G575,CONDICION!A:B,2,FALSE)</f>
        <v>1</v>
      </c>
      <c r="G575">
        <f>IF(PREVIOS!AG575=1,1,VLOOKUP(PREVIOS!AG575,CALIFICACION!A:C,3,FALSE))</f>
        <v>1</v>
      </c>
      <c r="H575" s="1" t="s">
        <v>534</v>
      </c>
      <c r="I575" s="1" t="s">
        <v>534</v>
      </c>
      <c r="J575">
        <f>VLOOKUP(PREVIOS!F575&amp;VLOOKUP(PREVIOS!I575,PLAN!A:B,2,FALSE),CURSO!A:D,4,FALSE)</f>
        <v>22</v>
      </c>
      <c r="K575">
        <f>VLOOKUP(PREVIOS!H575,CICLO!A:B,2,FALSE)</f>
        <v>53</v>
      </c>
      <c r="L575">
        <f>VLOOKUP(PREVIOS!I575,PLAN!A:B,2,FALSE)</f>
        <v>6</v>
      </c>
    </row>
    <row r="576" spans="1:12" x14ac:dyDescent="0.25">
      <c r="A576" t="str">
        <f t="shared" si="8"/>
        <v>A145M292C1</v>
      </c>
      <c r="C576">
        <v>575</v>
      </c>
      <c r="D576">
        <f>VLOOKUP(PREVIOS!C576,ALUMNOS!A:B,2,FALSE)</f>
        <v>145</v>
      </c>
      <c r="E576">
        <f>VLOOKUP(PREVIOS!E576&amp;'TABLA PREVIOS'!J576,MATERIAS!A:H,7,FALSE)</f>
        <v>292</v>
      </c>
      <c r="F576">
        <f>VLOOKUP(PREVIOS!G576,CONDICION!A:B,2,FALSE)</f>
        <v>1</v>
      </c>
      <c r="G576">
        <f>IF(PREVIOS!AG576=1,1,VLOOKUP(PREVIOS!AG576,CALIFICACION!A:C,3,FALSE))</f>
        <v>1</v>
      </c>
      <c r="H576" s="1" t="s">
        <v>534</v>
      </c>
      <c r="I576" s="1" t="s">
        <v>534</v>
      </c>
      <c r="J576">
        <f>VLOOKUP(PREVIOS!F576&amp;VLOOKUP(PREVIOS!I576,PLAN!A:B,2,FALSE),CURSO!A:D,4,FALSE)</f>
        <v>22</v>
      </c>
      <c r="K576">
        <f>VLOOKUP(PREVIOS!H576,CICLO!A:B,2,FALSE)</f>
        <v>53</v>
      </c>
      <c r="L576">
        <f>VLOOKUP(PREVIOS!I576,PLAN!A:B,2,FALSE)</f>
        <v>6</v>
      </c>
    </row>
    <row r="577" spans="1:12" x14ac:dyDescent="0.25">
      <c r="A577" t="str">
        <f t="shared" si="8"/>
        <v>A145M291C1</v>
      </c>
      <c r="C577">
        <v>576</v>
      </c>
      <c r="D577">
        <f>VLOOKUP(PREVIOS!C577,ALUMNOS!A:B,2,FALSE)</f>
        <v>145</v>
      </c>
      <c r="E577">
        <f>VLOOKUP(PREVIOS!E577&amp;'TABLA PREVIOS'!J577,MATERIAS!A:H,7,FALSE)</f>
        <v>291</v>
      </c>
      <c r="F577">
        <f>VLOOKUP(PREVIOS!G577,CONDICION!A:B,2,FALSE)</f>
        <v>1</v>
      </c>
      <c r="G577">
        <f>IF(PREVIOS!AG577=1,1,VLOOKUP(PREVIOS!AG577,CALIFICACION!A:C,3,FALSE))</f>
        <v>1</v>
      </c>
      <c r="H577" s="1" t="s">
        <v>534</v>
      </c>
      <c r="I577" s="1" t="s">
        <v>534</v>
      </c>
      <c r="J577">
        <f>VLOOKUP(PREVIOS!F577&amp;VLOOKUP(PREVIOS!I577,PLAN!A:B,2,FALSE),CURSO!A:D,4,FALSE)</f>
        <v>22</v>
      </c>
      <c r="K577">
        <f>VLOOKUP(PREVIOS!H577,CICLO!A:B,2,FALSE)</f>
        <v>53</v>
      </c>
      <c r="L577">
        <f>VLOOKUP(PREVIOS!I577,PLAN!A:B,2,FALSE)</f>
        <v>6</v>
      </c>
    </row>
    <row r="578" spans="1:12" x14ac:dyDescent="0.25">
      <c r="A578" t="str">
        <f t="shared" si="8"/>
        <v>A145M279C1</v>
      </c>
      <c r="C578">
        <v>577</v>
      </c>
      <c r="D578">
        <f>VLOOKUP(PREVIOS!C578,ALUMNOS!A:B,2,FALSE)</f>
        <v>145</v>
      </c>
      <c r="E578">
        <f>VLOOKUP(PREVIOS!E578&amp;'TABLA PREVIOS'!J578,MATERIAS!A:H,7,FALSE)</f>
        <v>279</v>
      </c>
      <c r="F578">
        <f>VLOOKUP(PREVIOS!G578,CONDICION!A:B,2,FALSE)</f>
        <v>1</v>
      </c>
      <c r="G578">
        <f>IF(PREVIOS!AG578=1,1,VLOOKUP(PREVIOS!AG578,CALIFICACION!A:C,3,FALSE))</f>
        <v>1</v>
      </c>
      <c r="H578" s="1" t="s">
        <v>534</v>
      </c>
      <c r="I578" s="1" t="s">
        <v>534</v>
      </c>
      <c r="J578">
        <f>VLOOKUP(PREVIOS!F578&amp;VLOOKUP(PREVIOS!I578,PLAN!A:B,2,FALSE),CURSO!A:D,4,FALSE)</f>
        <v>22</v>
      </c>
      <c r="K578">
        <f>VLOOKUP(PREVIOS!H578,CICLO!A:B,2,FALSE)</f>
        <v>53</v>
      </c>
      <c r="L578">
        <f>VLOOKUP(PREVIOS!I578,PLAN!A:B,2,FALSE)</f>
        <v>6</v>
      </c>
    </row>
    <row r="579" spans="1:12" x14ac:dyDescent="0.25">
      <c r="A579" t="str">
        <f t="shared" ref="A579:A642" si="9">"A"&amp;D579&amp;"M"&amp;E579&amp;"C"&amp;F579</f>
        <v>A145M280C1</v>
      </c>
      <c r="C579">
        <v>578</v>
      </c>
      <c r="D579">
        <f>VLOOKUP(PREVIOS!C579,ALUMNOS!A:B,2,FALSE)</f>
        <v>145</v>
      </c>
      <c r="E579">
        <f>VLOOKUP(PREVIOS!E579&amp;'TABLA PREVIOS'!J579,MATERIAS!A:H,7,FALSE)</f>
        <v>280</v>
      </c>
      <c r="F579">
        <f>VLOOKUP(PREVIOS!G579,CONDICION!A:B,2,FALSE)</f>
        <v>1</v>
      </c>
      <c r="G579">
        <f>IF(PREVIOS!AG579=1,1,VLOOKUP(PREVIOS!AG579,CALIFICACION!A:C,3,FALSE))</f>
        <v>1</v>
      </c>
      <c r="H579" s="1" t="s">
        <v>534</v>
      </c>
      <c r="I579" s="1" t="s">
        <v>534</v>
      </c>
      <c r="J579">
        <f>VLOOKUP(PREVIOS!F579&amp;VLOOKUP(PREVIOS!I579,PLAN!A:B,2,FALSE),CURSO!A:D,4,FALSE)</f>
        <v>22</v>
      </c>
      <c r="K579">
        <f>VLOOKUP(PREVIOS!H579,CICLO!A:B,2,FALSE)</f>
        <v>53</v>
      </c>
      <c r="L579">
        <f>VLOOKUP(PREVIOS!I579,PLAN!A:B,2,FALSE)</f>
        <v>6</v>
      </c>
    </row>
    <row r="580" spans="1:12" x14ac:dyDescent="0.25">
      <c r="A580" t="str">
        <f t="shared" si="9"/>
        <v>A145M281C1</v>
      </c>
      <c r="C580">
        <v>579</v>
      </c>
      <c r="D580">
        <f>VLOOKUP(PREVIOS!C580,ALUMNOS!A:B,2,FALSE)</f>
        <v>145</v>
      </c>
      <c r="E580">
        <f>VLOOKUP(PREVIOS!E580&amp;'TABLA PREVIOS'!J580,MATERIAS!A:H,7,FALSE)</f>
        <v>281</v>
      </c>
      <c r="F580">
        <f>VLOOKUP(PREVIOS!G580,CONDICION!A:B,2,FALSE)</f>
        <v>1</v>
      </c>
      <c r="G580">
        <f>IF(PREVIOS!AG580=1,1,VLOOKUP(PREVIOS!AG580,CALIFICACION!A:C,3,FALSE))</f>
        <v>1</v>
      </c>
      <c r="H580" s="1" t="s">
        <v>534</v>
      </c>
      <c r="I580" s="1" t="s">
        <v>534</v>
      </c>
      <c r="J580">
        <f>VLOOKUP(PREVIOS!F580&amp;VLOOKUP(PREVIOS!I580,PLAN!A:B,2,FALSE),CURSO!A:D,4,FALSE)</f>
        <v>22</v>
      </c>
      <c r="K580">
        <f>VLOOKUP(PREVIOS!H580,CICLO!A:B,2,FALSE)</f>
        <v>53</v>
      </c>
      <c r="L580">
        <f>VLOOKUP(PREVIOS!I580,PLAN!A:B,2,FALSE)</f>
        <v>6</v>
      </c>
    </row>
    <row r="581" spans="1:12" x14ac:dyDescent="0.25">
      <c r="A581" t="str">
        <f t="shared" si="9"/>
        <v>A145M290C1</v>
      </c>
      <c r="C581">
        <v>580</v>
      </c>
      <c r="D581">
        <f>VLOOKUP(PREVIOS!C581,ALUMNOS!A:B,2,FALSE)</f>
        <v>145</v>
      </c>
      <c r="E581">
        <f>VLOOKUP(PREVIOS!E581&amp;'TABLA PREVIOS'!J581,MATERIAS!A:H,7,FALSE)</f>
        <v>290</v>
      </c>
      <c r="F581">
        <f>VLOOKUP(PREVIOS!G581,CONDICION!A:B,2,FALSE)</f>
        <v>1</v>
      </c>
      <c r="G581">
        <f>IF(PREVIOS!AG581=1,1,VLOOKUP(PREVIOS!AG581,CALIFICACION!A:C,3,FALSE))</f>
        <v>1</v>
      </c>
      <c r="H581" s="1" t="s">
        <v>534</v>
      </c>
      <c r="I581" s="1" t="s">
        <v>534</v>
      </c>
      <c r="J581">
        <f>VLOOKUP(PREVIOS!F581&amp;VLOOKUP(PREVIOS!I581,PLAN!A:B,2,FALSE),CURSO!A:D,4,FALSE)</f>
        <v>22</v>
      </c>
      <c r="K581">
        <f>VLOOKUP(PREVIOS!H581,CICLO!A:B,2,FALSE)</f>
        <v>53</v>
      </c>
      <c r="L581">
        <f>VLOOKUP(PREVIOS!I581,PLAN!A:B,2,FALSE)</f>
        <v>6</v>
      </c>
    </row>
    <row r="582" spans="1:12" x14ac:dyDescent="0.25">
      <c r="A582" t="str">
        <f t="shared" si="9"/>
        <v>A152M288C1</v>
      </c>
      <c r="C582">
        <v>581</v>
      </c>
      <c r="D582">
        <f>VLOOKUP(PREVIOS!C582,ALUMNOS!A:B,2,FALSE)</f>
        <v>152</v>
      </c>
      <c r="E582">
        <f>VLOOKUP(PREVIOS!E582&amp;'TABLA PREVIOS'!J582,MATERIAS!A:H,7,FALSE)</f>
        <v>288</v>
      </c>
      <c r="F582">
        <f>VLOOKUP(PREVIOS!G582,CONDICION!A:B,2,FALSE)</f>
        <v>1</v>
      </c>
      <c r="G582">
        <f>IF(PREVIOS!AG582=1,1,VLOOKUP(PREVIOS!AG582,CALIFICACION!A:C,3,FALSE))</f>
        <v>1</v>
      </c>
      <c r="H582" s="1" t="s">
        <v>534</v>
      </c>
      <c r="I582" s="1" t="s">
        <v>534</v>
      </c>
      <c r="J582">
        <f>VLOOKUP(PREVIOS!F582&amp;VLOOKUP(PREVIOS!I582,PLAN!A:B,2,FALSE),CURSO!A:D,4,FALSE)</f>
        <v>22</v>
      </c>
      <c r="K582">
        <f>VLOOKUP(PREVIOS!H582,CICLO!A:B,2,FALSE)</f>
        <v>53</v>
      </c>
      <c r="L582">
        <f>VLOOKUP(PREVIOS!I582,PLAN!A:B,2,FALSE)</f>
        <v>6</v>
      </c>
    </row>
    <row r="583" spans="1:12" x14ac:dyDescent="0.25">
      <c r="A583" t="str">
        <f t="shared" si="9"/>
        <v>A184M275C1</v>
      </c>
      <c r="C583">
        <v>582</v>
      </c>
      <c r="D583">
        <f>VLOOKUP(PREVIOS!C583,ALUMNOS!A:B,2,FALSE)</f>
        <v>184</v>
      </c>
      <c r="E583">
        <f>VLOOKUP(PREVIOS!E583&amp;'TABLA PREVIOS'!J583,MATERIAS!A:H,7,FALSE)</f>
        <v>275</v>
      </c>
      <c r="F583">
        <f>VLOOKUP(PREVIOS!G583,CONDICION!A:B,2,FALSE)</f>
        <v>1</v>
      </c>
      <c r="G583">
        <f>IF(PREVIOS!AG583=1,1,VLOOKUP(PREVIOS!AG583,CALIFICACION!A:C,3,FALSE))</f>
        <v>1</v>
      </c>
      <c r="H583" s="1" t="s">
        <v>534</v>
      </c>
      <c r="I583" s="1" t="s">
        <v>534</v>
      </c>
      <c r="J583">
        <f>VLOOKUP(PREVIOS!F583&amp;VLOOKUP(PREVIOS!I583,PLAN!A:B,2,FALSE),CURSO!A:D,4,FALSE)</f>
        <v>21</v>
      </c>
      <c r="K583">
        <f>VLOOKUP(PREVIOS!H583,CICLO!A:B,2,FALSE)</f>
        <v>52</v>
      </c>
      <c r="L583">
        <f>VLOOKUP(PREVIOS!I583,PLAN!A:B,2,FALSE)</f>
        <v>6</v>
      </c>
    </row>
    <row r="584" spans="1:12" x14ac:dyDescent="0.25">
      <c r="A584" t="str">
        <f t="shared" si="9"/>
        <v>A184M265C1</v>
      </c>
      <c r="C584">
        <v>583</v>
      </c>
      <c r="D584">
        <f>VLOOKUP(PREVIOS!C584,ALUMNOS!A:B,2,FALSE)</f>
        <v>184</v>
      </c>
      <c r="E584">
        <f>VLOOKUP(PREVIOS!E584&amp;'TABLA PREVIOS'!J584,MATERIAS!A:H,7,FALSE)</f>
        <v>265</v>
      </c>
      <c r="F584">
        <f>VLOOKUP(PREVIOS!G584,CONDICION!A:B,2,FALSE)</f>
        <v>1</v>
      </c>
      <c r="G584">
        <f>IF(PREVIOS!AG584=1,1,VLOOKUP(PREVIOS!AG584,CALIFICACION!A:C,3,FALSE))</f>
        <v>1</v>
      </c>
      <c r="H584" s="1" t="s">
        <v>534</v>
      </c>
      <c r="I584" s="1" t="s">
        <v>534</v>
      </c>
      <c r="J584">
        <f>VLOOKUP(PREVIOS!F584&amp;VLOOKUP(PREVIOS!I584,PLAN!A:B,2,FALSE),CURSO!A:D,4,FALSE)</f>
        <v>21</v>
      </c>
      <c r="K584">
        <f>VLOOKUP(PREVIOS!H584,CICLO!A:B,2,FALSE)</f>
        <v>52</v>
      </c>
      <c r="L584">
        <f>VLOOKUP(PREVIOS!I584,PLAN!A:B,2,FALSE)</f>
        <v>6</v>
      </c>
    </row>
    <row r="585" spans="1:12" x14ac:dyDescent="0.25">
      <c r="A585" t="str">
        <f t="shared" si="9"/>
        <v>A184M285C1</v>
      </c>
      <c r="C585">
        <v>584</v>
      </c>
      <c r="D585">
        <f>VLOOKUP(PREVIOS!C585,ALUMNOS!A:B,2,FALSE)</f>
        <v>184</v>
      </c>
      <c r="E585">
        <f>VLOOKUP(PREVIOS!E585&amp;'TABLA PREVIOS'!J585,MATERIAS!A:H,7,FALSE)</f>
        <v>285</v>
      </c>
      <c r="F585">
        <f>VLOOKUP(PREVIOS!G585,CONDICION!A:B,2,FALSE)</f>
        <v>1</v>
      </c>
      <c r="G585">
        <f>IF(PREVIOS!AG585=1,1,VLOOKUP(PREVIOS!AG585,CALIFICACION!A:C,3,FALSE))</f>
        <v>1</v>
      </c>
      <c r="H585" s="1" t="s">
        <v>534</v>
      </c>
      <c r="I585" s="1" t="s">
        <v>534</v>
      </c>
      <c r="J585">
        <f>VLOOKUP(PREVIOS!F585&amp;VLOOKUP(PREVIOS!I585,PLAN!A:B,2,FALSE),CURSO!A:D,4,FALSE)</f>
        <v>22</v>
      </c>
      <c r="K585">
        <f>VLOOKUP(PREVIOS!H585,CICLO!A:B,2,FALSE)</f>
        <v>53</v>
      </c>
      <c r="L585">
        <f>VLOOKUP(PREVIOS!I585,PLAN!A:B,2,FALSE)</f>
        <v>6</v>
      </c>
    </row>
    <row r="586" spans="1:12" x14ac:dyDescent="0.25">
      <c r="A586" t="str">
        <f t="shared" si="9"/>
        <v>A184M289C1</v>
      </c>
      <c r="C586">
        <v>585</v>
      </c>
      <c r="D586">
        <f>VLOOKUP(PREVIOS!C586,ALUMNOS!A:B,2,FALSE)</f>
        <v>184</v>
      </c>
      <c r="E586">
        <f>VLOOKUP(PREVIOS!E586&amp;'TABLA PREVIOS'!J586,MATERIAS!A:H,7,FALSE)</f>
        <v>289</v>
      </c>
      <c r="F586">
        <f>VLOOKUP(PREVIOS!G586,CONDICION!A:B,2,FALSE)</f>
        <v>1</v>
      </c>
      <c r="G586">
        <f>IF(PREVIOS!AG586=1,1,VLOOKUP(PREVIOS!AG586,CALIFICACION!A:C,3,FALSE))</f>
        <v>1</v>
      </c>
      <c r="H586" s="1" t="s">
        <v>534</v>
      </c>
      <c r="I586" s="1" t="s">
        <v>534</v>
      </c>
      <c r="J586">
        <f>VLOOKUP(PREVIOS!F586&amp;VLOOKUP(PREVIOS!I586,PLAN!A:B,2,FALSE),CURSO!A:D,4,FALSE)</f>
        <v>22</v>
      </c>
      <c r="K586">
        <f>VLOOKUP(PREVIOS!H586,CICLO!A:B,2,FALSE)</f>
        <v>53</v>
      </c>
      <c r="L586">
        <f>VLOOKUP(PREVIOS!I586,PLAN!A:B,2,FALSE)</f>
        <v>6</v>
      </c>
    </row>
    <row r="587" spans="1:12" x14ac:dyDescent="0.25">
      <c r="A587" t="str">
        <f t="shared" si="9"/>
        <v>A184M284C1</v>
      </c>
      <c r="C587">
        <v>586</v>
      </c>
      <c r="D587">
        <f>VLOOKUP(PREVIOS!C587,ALUMNOS!A:B,2,FALSE)</f>
        <v>184</v>
      </c>
      <c r="E587">
        <f>VLOOKUP(PREVIOS!E587&amp;'TABLA PREVIOS'!J587,MATERIAS!A:H,7,FALSE)</f>
        <v>284</v>
      </c>
      <c r="F587">
        <f>VLOOKUP(PREVIOS!G587,CONDICION!A:B,2,FALSE)</f>
        <v>1</v>
      </c>
      <c r="G587">
        <f>IF(PREVIOS!AG587=1,1,VLOOKUP(PREVIOS!AG587,CALIFICACION!A:C,3,FALSE))</f>
        <v>1</v>
      </c>
      <c r="H587" s="1" t="s">
        <v>534</v>
      </c>
      <c r="I587" s="1" t="s">
        <v>534</v>
      </c>
      <c r="J587">
        <f>VLOOKUP(PREVIOS!F587&amp;VLOOKUP(PREVIOS!I587,PLAN!A:B,2,FALSE),CURSO!A:D,4,FALSE)</f>
        <v>22</v>
      </c>
      <c r="K587">
        <f>VLOOKUP(PREVIOS!H587,CICLO!A:B,2,FALSE)</f>
        <v>53</v>
      </c>
      <c r="L587">
        <f>VLOOKUP(PREVIOS!I587,PLAN!A:B,2,FALSE)</f>
        <v>6</v>
      </c>
    </row>
    <row r="588" spans="1:12" x14ac:dyDescent="0.25">
      <c r="A588" t="str">
        <f t="shared" si="9"/>
        <v>A184M287C1</v>
      </c>
      <c r="C588">
        <v>587</v>
      </c>
      <c r="D588">
        <f>VLOOKUP(PREVIOS!C588,ALUMNOS!A:B,2,FALSE)</f>
        <v>184</v>
      </c>
      <c r="E588">
        <f>VLOOKUP(PREVIOS!E588&amp;'TABLA PREVIOS'!J588,MATERIAS!A:H,7,FALSE)</f>
        <v>287</v>
      </c>
      <c r="F588">
        <f>VLOOKUP(PREVIOS!G588,CONDICION!A:B,2,FALSE)</f>
        <v>1</v>
      </c>
      <c r="G588">
        <f>IF(PREVIOS!AG588=1,1,VLOOKUP(PREVIOS!AG588,CALIFICACION!A:C,3,FALSE))</f>
        <v>1</v>
      </c>
      <c r="H588" s="1" t="s">
        <v>534</v>
      </c>
      <c r="I588" s="1" t="s">
        <v>534</v>
      </c>
      <c r="J588">
        <f>VLOOKUP(PREVIOS!F588&amp;VLOOKUP(PREVIOS!I588,PLAN!A:B,2,FALSE),CURSO!A:D,4,FALSE)</f>
        <v>22</v>
      </c>
      <c r="K588">
        <f>VLOOKUP(PREVIOS!H588,CICLO!A:B,2,FALSE)</f>
        <v>53</v>
      </c>
      <c r="L588">
        <f>VLOOKUP(PREVIOS!I588,PLAN!A:B,2,FALSE)</f>
        <v>6</v>
      </c>
    </row>
    <row r="589" spans="1:12" x14ac:dyDescent="0.25">
      <c r="A589" t="str">
        <f t="shared" si="9"/>
        <v>A184M286C1</v>
      </c>
      <c r="C589">
        <v>588</v>
      </c>
      <c r="D589">
        <f>VLOOKUP(PREVIOS!C589,ALUMNOS!A:B,2,FALSE)</f>
        <v>184</v>
      </c>
      <c r="E589">
        <f>VLOOKUP(PREVIOS!E589&amp;'TABLA PREVIOS'!J589,MATERIAS!A:H,7,FALSE)</f>
        <v>286</v>
      </c>
      <c r="F589">
        <f>VLOOKUP(PREVIOS!G589,CONDICION!A:B,2,FALSE)</f>
        <v>1</v>
      </c>
      <c r="G589">
        <f>IF(PREVIOS!AG589=1,1,VLOOKUP(PREVIOS!AG589,CALIFICACION!A:C,3,FALSE))</f>
        <v>1</v>
      </c>
      <c r="H589" s="1" t="s">
        <v>534</v>
      </c>
      <c r="I589" s="1" t="s">
        <v>534</v>
      </c>
      <c r="J589">
        <f>VLOOKUP(PREVIOS!F589&amp;VLOOKUP(PREVIOS!I589,PLAN!A:B,2,FALSE),CURSO!A:D,4,FALSE)</f>
        <v>22</v>
      </c>
      <c r="K589">
        <f>VLOOKUP(PREVIOS!H589,CICLO!A:B,2,FALSE)</f>
        <v>53</v>
      </c>
      <c r="L589">
        <f>VLOOKUP(PREVIOS!I589,PLAN!A:B,2,FALSE)</f>
        <v>6</v>
      </c>
    </row>
    <row r="590" spans="1:12" x14ac:dyDescent="0.25">
      <c r="A590" t="str">
        <f t="shared" si="9"/>
        <v>A184M278C1</v>
      </c>
      <c r="C590">
        <v>589</v>
      </c>
      <c r="D590">
        <f>VLOOKUP(PREVIOS!C590,ALUMNOS!A:B,2,FALSE)</f>
        <v>184</v>
      </c>
      <c r="E590">
        <f>VLOOKUP(PREVIOS!E590&amp;'TABLA PREVIOS'!J590,MATERIAS!A:H,7,FALSE)</f>
        <v>278</v>
      </c>
      <c r="F590">
        <f>VLOOKUP(PREVIOS!G590,CONDICION!A:B,2,FALSE)</f>
        <v>1</v>
      </c>
      <c r="G590">
        <f>IF(PREVIOS!AG590=1,1,VLOOKUP(PREVIOS!AG590,CALIFICACION!A:C,3,FALSE))</f>
        <v>1</v>
      </c>
      <c r="H590" s="1" t="s">
        <v>534</v>
      </c>
      <c r="I590" s="1" t="s">
        <v>534</v>
      </c>
      <c r="J590">
        <f>VLOOKUP(PREVIOS!F590&amp;VLOOKUP(PREVIOS!I590,PLAN!A:B,2,FALSE),CURSO!A:D,4,FALSE)</f>
        <v>22</v>
      </c>
      <c r="K590">
        <f>VLOOKUP(PREVIOS!H590,CICLO!A:B,2,FALSE)</f>
        <v>53</v>
      </c>
      <c r="L590">
        <f>VLOOKUP(PREVIOS!I590,PLAN!A:B,2,FALSE)</f>
        <v>6</v>
      </c>
    </row>
    <row r="591" spans="1:12" x14ac:dyDescent="0.25">
      <c r="A591" t="str">
        <f t="shared" si="9"/>
        <v>A184M292C1</v>
      </c>
      <c r="C591">
        <v>590</v>
      </c>
      <c r="D591">
        <f>VLOOKUP(PREVIOS!C591,ALUMNOS!A:B,2,FALSE)</f>
        <v>184</v>
      </c>
      <c r="E591">
        <f>VLOOKUP(PREVIOS!E591&amp;'TABLA PREVIOS'!J591,MATERIAS!A:H,7,FALSE)</f>
        <v>292</v>
      </c>
      <c r="F591">
        <f>VLOOKUP(PREVIOS!G591,CONDICION!A:B,2,FALSE)</f>
        <v>1</v>
      </c>
      <c r="G591">
        <f>IF(PREVIOS!AG591=1,1,VLOOKUP(PREVIOS!AG591,CALIFICACION!A:C,3,FALSE))</f>
        <v>1</v>
      </c>
      <c r="H591" s="1" t="s">
        <v>534</v>
      </c>
      <c r="I591" s="1" t="s">
        <v>534</v>
      </c>
      <c r="J591">
        <f>VLOOKUP(PREVIOS!F591&amp;VLOOKUP(PREVIOS!I591,PLAN!A:B,2,FALSE),CURSO!A:D,4,FALSE)</f>
        <v>22</v>
      </c>
      <c r="K591">
        <f>VLOOKUP(PREVIOS!H591,CICLO!A:B,2,FALSE)</f>
        <v>53</v>
      </c>
      <c r="L591">
        <f>VLOOKUP(PREVIOS!I591,PLAN!A:B,2,FALSE)</f>
        <v>6</v>
      </c>
    </row>
    <row r="592" spans="1:12" x14ac:dyDescent="0.25">
      <c r="A592" t="str">
        <f t="shared" si="9"/>
        <v>A184M291C1</v>
      </c>
      <c r="C592">
        <v>591</v>
      </c>
      <c r="D592">
        <f>VLOOKUP(PREVIOS!C592,ALUMNOS!A:B,2,FALSE)</f>
        <v>184</v>
      </c>
      <c r="E592">
        <f>VLOOKUP(PREVIOS!E592&amp;'TABLA PREVIOS'!J592,MATERIAS!A:H,7,FALSE)</f>
        <v>291</v>
      </c>
      <c r="F592">
        <f>VLOOKUP(PREVIOS!G592,CONDICION!A:B,2,FALSE)</f>
        <v>1</v>
      </c>
      <c r="G592">
        <f>IF(PREVIOS!AG592=1,1,VLOOKUP(PREVIOS!AG592,CALIFICACION!A:C,3,FALSE))</f>
        <v>1</v>
      </c>
      <c r="H592" s="1" t="s">
        <v>534</v>
      </c>
      <c r="I592" s="1" t="s">
        <v>534</v>
      </c>
      <c r="J592">
        <f>VLOOKUP(PREVIOS!F592&amp;VLOOKUP(PREVIOS!I592,PLAN!A:B,2,FALSE),CURSO!A:D,4,FALSE)</f>
        <v>22</v>
      </c>
      <c r="K592">
        <f>VLOOKUP(PREVIOS!H592,CICLO!A:B,2,FALSE)</f>
        <v>53</v>
      </c>
      <c r="L592">
        <f>VLOOKUP(PREVIOS!I592,PLAN!A:B,2,FALSE)</f>
        <v>6</v>
      </c>
    </row>
    <row r="593" spans="1:12" x14ac:dyDescent="0.25">
      <c r="A593" t="str">
        <f t="shared" si="9"/>
        <v>A184M282C1</v>
      </c>
      <c r="C593">
        <v>592</v>
      </c>
      <c r="D593">
        <f>VLOOKUP(PREVIOS!C593,ALUMNOS!A:B,2,FALSE)</f>
        <v>184</v>
      </c>
      <c r="E593">
        <f>VLOOKUP(PREVIOS!E593&amp;'TABLA PREVIOS'!J593,MATERIAS!A:H,7,FALSE)</f>
        <v>282</v>
      </c>
      <c r="F593">
        <f>VLOOKUP(PREVIOS!G593,CONDICION!A:B,2,FALSE)</f>
        <v>1</v>
      </c>
      <c r="G593">
        <f>IF(PREVIOS!AG593=1,1,VLOOKUP(PREVIOS!AG593,CALIFICACION!A:C,3,FALSE))</f>
        <v>1</v>
      </c>
      <c r="H593" s="1" t="s">
        <v>534</v>
      </c>
      <c r="I593" s="1" t="s">
        <v>534</v>
      </c>
      <c r="J593">
        <f>VLOOKUP(PREVIOS!F593&amp;VLOOKUP(PREVIOS!I593,PLAN!A:B,2,FALSE),CURSO!A:D,4,FALSE)</f>
        <v>22</v>
      </c>
      <c r="K593">
        <f>VLOOKUP(PREVIOS!H593,CICLO!A:B,2,FALSE)</f>
        <v>53</v>
      </c>
      <c r="L593">
        <f>VLOOKUP(PREVIOS!I593,PLAN!A:B,2,FALSE)</f>
        <v>6</v>
      </c>
    </row>
    <row r="594" spans="1:12" x14ac:dyDescent="0.25">
      <c r="A594" t="str">
        <f t="shared" si="9"/>
        <v>A184M279C1</v>
      </c>
      <c r="C594">
        <v>593</v>
      </c>
      <c r="D594">
        <f>VLOOKUP(PREVIOS!C594,ALUMNOS!A:B,2,FALSE)</f>
        <v>184</v>
      </c>
      <c r="E594">
        <f>VLOOKUP(PREVIOS!E594&amp;'TABLA PREVIOS'!J594,MATERIAS!A:H,7,FALSE)</f>
        <v>279</v>
      </c>
      <c r="F594">
        <f>VLOOKUP(PREVIOS!G594,CONDICION!A:B,2,FALSE)</f>
        <v>1</v>
      </c>
      <c r="G594">
        <f>IF(PREVIOS!AG594=1,1,VLOOKUP(PREVIOS!AG594,CALIFICACION!A:C,3,FALSE))</f>
        <v>1</v>
      </c>
      <c r="H594" s="1" t="s">
        <v>534</v>
      </c>
      <c r="I594" s="1" t="s">
        <v>534</v>
      </c>
      <c r="J594">
        <f>VLOOKUP(PREVIOS!F594&amp;VLOOKUP(PREVIOS!I594,PLAN!A:B,2,FALSE),CURSO!A:D,4,FALSE)</f>
        <v>22</v>
      </c>
      <c r="K594">
        <f>VLOOKUP(PREVIOS!H594,CICLO!A:B,2,FALSE)</f>
        <v>53</v>
      </c>
      <c r="L594">
        <f>VLOOKUP(PREVIOS!I594,PLAN!A:B,2,FALSE)</f>
        <v>6</v>
      </c>
    </row>
    <row r="595" spans="1:12" x14ac:dyDescent="0.25">
      <c r="A595" t="str">
        <f t="shared" si="9"/>
        <v>A184M280C1</v>
      </c>
      <c r="C595">
        <v>594</v>
      </c>
      <c r="D595">
        <f>VLOOKUP(PREVIOS!C595,ALUMNOS!A:B,2,FALSE)</f>
        <v>184</v>
      </c>
      <c r="E595">
        <f>VLOOKUP(PREVIOS!E595&amp;'TABLA PREVIOS'!J595,MATERIAS!A:H,7,FALSE)</f>
        <v>280</v>
      </c>
      <c r="F595">
        <f>VLOOKUP(PREVIOS!G595,CONDICION!A:B,2,FALSE)</f>
        <v>1</v>
      </c>
      <c r="G595">
        <f>IF(PREVIOS!AG595=1,1,VLOOKUP(PREVIOS!AG595,CALIFICACION!A:C,3,FALSE))</f>
        <v>1</v>
      </c>
      <c r="H595" s="1" t="s">
        <v>534</v>
      </c>
      <c r="I595" s="1" t="s">
        <v>534</v>
      </c>
      <c r="J595">
        <f>VLOOKUP(PREVIOS!F595&amp;VLOOKUP(PREVIOS!I595,PLAN!A:B,2,FALSE),CURSO!A:D,4,FALSE)</f>
        <v>22</v>
      </c>
      <c r="K595">
        <f>VLOOKUP(PREVIOS!H595,CICLO!A:B,2,FALSE)</f>
        <v>53</v>
      </c>
      <c r="L595">
        <f>VLOOKUP(PREVIOS!I595,PLAN!A:B,2,FALSE)</f>
        <v>6</v>
      </c>
    </row>
    <row r="596" spans="1:12" x14ac:dyDescent="0.25">
      <c r="A596" t="str">
        <f t="shared" si="9"/>
        <v>A184M281C1</v>
      </c>
      <c r="C596">
        <v>595</v>
      </c>
      <c r="D596">
        <f>VLOOKUP(PREVIOS!C596,ALUMNOS!A:B,2,FALSE)</f>
        <v>184</v>
      </c>
      <c r="E596">
        <f>VLOOKUP(PREVIOS!E596&amp;'TABLA PREVIOS'!J596,MATERIAS!A:H,7,FALSE)</f>
        <v>281</v>
      </c>
      <c r="F596">
        <f>VLOOKUP(PREVIOS!G596,CONDICION!A:B,2,FALSE)</f>
        <v>1</v>
      </c>
      <c r="G596">
        <f>IF(PREVIOS!AG596=1,1,VLOOKUP(PREVIOS!AG596,CALIFICACION!A:C,3,FALSE))</f>
        <v>1</v>
      </c>
      <c r="H596" s="1" t="s">
        <v>534</v>
      </c>
      <c r="I596" s="1" t="s">
        <v>534</v>
      </c>
      <c r="J596">
        <f>VLOOKUP(PREVIOS!F596&amp;VLOOKUP(PREVIOS!I596,PLAN!A:B,2,FALSE),CURSO!A:D,4,FALSE)</f>
        <v>22</v>
      </c>
      <c r="K596">
        <f>VLOOKUP(PREVIOS!H596,CICLO!A:B,2,FALSE)</f>
        <v>53</v>
      </c>
      <c r="L596">
        <f>VLOOKUP(PREVIOS!I596,PLAN!A:B,2,FALSE)</f>
        <v>6</v>
      </c>
    </row>
    <row r="597" spans="1:12" x14ac:dyDescent="0.25">
      <c r="A597" t="str">
        <f t="shared" si="9"/>
        <v>A184M290C1</v>
      </c>
      <c r="C597">
        <v>596</v>
      </c>
      <c r="D597">
        <f>VLOOKUP(PREVIOS!C597,ALUMNOS!A:B,2,FALSE)</f>
        <v>184</v>
      </c>
      <c r="E597">
        <f>VLOOKUP(PREVIOS!E597&amp;'TABLA PREVIOS'!J597,MATERIAS!A:H,7,FALSE)</f>
        <v>290</v>
      </c>
      <c r="F597">
        <f>VLOOKUP(PREVIOS!G597,CONDICION!A:B,2,FALSE)</f>
        <v>1</v>
      </c>
      <c r="G597">
        <f>IF(PREVIOS!AG597=1,1,VLOOKUP(PREVIOS!AG597,CALIFICACION!A:C,3,FALSE))</f>
        <v>1</v>
      </c>
      <c r="H597" s="1" t="s">
        <v>534</v>
      </c>
      <c r="I597" s="1" t="s">
        <v>534</v>
      </c>
      <c r="J597">
        <f>VLOOKUP(PREVIOS!F597&amp;VLOOKUP(PREVIOS!I597,PLAN!A:B,2,FALSE),CURSO!A:D,4,FALSE)</f>
        <v>22</v>
      </c>
      <c r="K597">
        <f>VLOOKUP(PREVIOS!H597,CICLO!A:B,2,FALSE)</f>
        <v>53</v>
      </c>
      <c r="L597">
        <f>VLOOKUP(PREVIOS!I597,PLAN!A:B,2,FALSE)</f>
        <v>6</v>
      </c>
    </row>
    <row r="598" spans="1:12" x14ac:dyDescent="0.25">
      <c r="A598" t="str">
        <f t="shared" si="9"/>
        <v>A259M285C1</v>
      </c>
      <c r="C598">
        <v>597</v>
      </c>
      <c r="D598">
        <f>VLOOKUP(PREVIOS!C598,ALUMNOS!A:B,2,FALSE)</f>
        <v>259</v>
      </c>
      <c r="E598">
        <f>VLOOKUP(PREVIOS!E598&amp;'TABLA PREVIOS'!J598,MATERIAS!A:H,7,FALSE)</f>
        <v>285</v>
      </c>
      <c r="F598">
        <f>VLOOKUP(PREVIOS!G598,CONDICION!A:B,2,FALSE)</f>
        <v>1</v>
      </c>
      <c r="G598">
        <f>IF(PREVIOS!AG598=1,1,VLOOKUP(PREVIOS!AG598,CALIFICACION!A:C,3,FALSE))</f>
        <v>1</v>
      </c>
      <c r="H598" s="1" t="s">
        <v>534</v>
      </c>
      <c r="I598" s="1" t="s">
        <v>534</v>
      </c>
      <c r="J598">
        <f>VLOOKUP(PREVIOS!F598&amp;VLOOKUP(PREVIOS!I598,PLAN!A:B,2,FALSE),CURSO!A:D,4,FALSE)</f>
        <v>22</v>
      </c>
      <c r="K598">
        <f>VLOOKUP(PREVIOS!H598,CICLO!A:B,2,FALSE)</f>
        <v>53</v>
      </c>
      <c r="L598">
        <f>VLOOKUP(PREVIOS!I598,PLAN!A:B,2,FALSE)</f>
        <v>6</v>
      </c>
    </row>
    <row r="599" spans="1:12" x14ac:dyDescent="0.25">
      <c r="A599" t="str">
        <f t="shared" si="9"/>
        <v>A259M289C1</v>
      </c>
      <c r="C599">
        <v>598</v>
      </c>
      <c r="D599">
        <f>VLOOKUP(PREVIOS!C599,ALUMNOS!A:B,2,FALSE)</f>
        <v>259</v>
      </c>
      <c r="E599">
        <f>VLOOKUP(PREVIOS!E599&amp;'TABLA PREVIOS'!J599,MATERIAS!A:H,7,FALSE)</f>
        <v>289</v>
      </c>
      <c r="F599">
        <f>VLOOKUP(PREVIOS!G599,CONDICION!A:B,2,FALSE)</f>
        <v>1</v>
      </c>
      <c r="G599">
        <f>IF(PREVIOS!AG599=1,1,VLOOKUP(PREVIOS!AG599,CALIFICACION!A:C,3,FALSE))</f>
        <v>1</v>
      </c>
      <c r="H599" s="1" t="s">
        <v>534</v>
      </c>
      <c r="I599" s="1" t="s">
        <v>534</v>
      </c>
      <c r="J599">
        <f>VLOOKUP(PREVIOS!F599&amp;VLOOKUP(PREVIOS!I599,PLAN!A:B,2,FALSE),CURSO!A:D,4,FALSE)</f>
        <v>22</v>
      </c>
      <c r="K599">
        <f>VLOOKUP(PREVIOS!H599,CICLO!A:B,2,FALSE)</f>
        <v>53</v>
      </c>
      <c r="L599">
        <f>VLOOKUP(PREVIOS!I599,PLAN!A:B,2,FALSE)</f>
        <v>6</v>
      </c>
    </row>
    <row r="600" spans="1:12" x14ac:dyDescent="0.25">
      <c r="A600" t="str">
        <f t="shared" si="9"/>
        <v>A259M284C1</v>
      </c>
      <c r="C600">
        <v>599</v>
      </c>
      <c r="D600">
        <f>VLOOKUP(PREVIOS!C600,ALUMNOS!A:B,2,FALSE)</f>
        <v>259</v>
      </c>
      <c r="E600">
        <f>VLOOKUP(PREVIOS!E600&amp;'TABLA PREVIOS'!J600,MATERIAS!A:H,7,FALSE)</f>
        <v>284</v>
      </c>
      <c r="F600">
        <f>VLOOKUP(PREVIOS!G600,CONDICION!A:B,2,FALSE)</f>
        <v>1</v>
      </c>
      <c r="G600">
        <f>IF(PREVIOS!AG600=1,1,VLOOKUP(PREVIOS!AG600,CALIFICACION!A:C,3,FALSE))</f>
        <v>1</v>
      </c>
      <c r="H600" s="1" t="s">
        <v>534</v>
      </c>
      <c r="I600" s="1" t="s">
        <v>534</v>
      </c>
      <c r="J600">
        <f>VLOOKUP(PREVIOS!F600&amp;VLOOKUP(PREVIOS!I600,PLAN!A:B,2,FALSE),CURSO!A:D,4,FALSE)</f>
        <v>22</v>
      </c>
      <c r="K600">
        <f>VLOOKUP(PREVIOS!H600,CICLO!A:B,2,FALSE)</f>
        <v>53</v>
      </c>
      <c r="L600">
        <f>VLOOKUP(PREVIOS!I600,PLAN!A:B,2,FALSE)</f>
        <v>6</v>
      </c>
    </row>
    <row r="601" spans="1:12" x14ac:dyDescent="0.25">
      <c r="A601" t="str">
        <f t="shared" si="9"/>
        <v>A259M287C1</v>
      </c>
      <c r="C601">
        <v>600</v>
      </c>
      <c r="D601">
        <f>VLOOKUP(PREVIOS!C601,ALUMNOS!A:B,2,FALSE)</f>
        <v>259</v>
      </c>
      <c r="E601">
        <f>VLOOKUP(PREVIOS!E601&amp;'TABLA PREVIOS'!J601,MATERIAS!A:H,7,FALSE)</f>
        <v>287</v>
      </c>
      <c r="F601">
        <f>VLOOKUP(PREVIOS!G601,CONDICION!A:B,2,FALSE)</f>
        <v>1</v>
      </c>
      <c r="G601">
        <f>IF(PREVIOS!AG601=1,1,VLOOKUP(PREVIOS!AG601,CALIFICACION!A:C,3,FALSE))</f>
        <v>1</v>
      </c>
      <c r="H601" s="1" t="s">
        <v>534</v>
      </c>
      <c r="I601" s="1" t="s">
        <v>534</v>
      </c>
      <c r="J601">
        <f>VLOOKUP(PREVIOS!F601&amp;VLOOKUP(PREVIOS!I601,PLAN!A:B,2,FALSE),CURSO!A:D,4,FALSE)</f>
        <v>22</v>
      </c>
      <c r="K601">
        <f>VLOOKUP(PREVIOS!H601,CICLO!A:B,2,FALSE)</f>
        <v>53</v>
      </c>
      <c r="L601">
        <f>VLOOKUP(PREVIOS!I601,PLAN!A:B,2,FALSE)</f>
        <v>6</v>
      </c>
    </row>
    <row r="602" spans="1:12" x14ac:dyDescent="0.25">
      <c r="A602" t="str">
        <f t="shared" si="9"/>
        <v>A259M286C1</v>
      </c>
      <c r="C602">
        <v>601</v>
      </c>
      <c r="D602">
        <f>VLOOKUP(PREVIOS!C602,ALUMNOS!A:B,2,FALSE)</f>
        <v>259</v>
      </c>
      <c r="E602">
        <f>VLOOKUP(PREVIOS!E602&amp;'TABLA PREVIOS'!J602,MATERIAS!A:H,7,FALSE)</f>
        <v>286</v>
      </c>
      <c r="F602">
        <f>VLOOKUP(PREVIOS!G602,CONDICION!A:B,2,FALSE)</f>
        <v>1</v>
      </c>
      <c r="G602">
        <f>IF(PREVIOS!AG602=1,1,VLOOKUP(PREVIOS!AG602,CALIFICACION!A:C,3,FALSE))</f>
        <v>1</v>
      </c>
      <c r="H602" s="1" t="s">
        <v>534</v>
      </c>
      <c r="I602" s="1" t="s">
        <v>534</v>
      </c>
      <c r="J602">
        <f>VLOOKUP(PREVIOS!F602&amp;VLOOKUP(PREVIOS!I602,PLAN!A:B,2,FALSE),CURSO!A:D,4,FALSE)</f>
        <v>22</v>
      </c>
      <c r="K602">
        <f>VLOOKUP(PREVIOS!H602,CICLO!A:B,2,FALSE)</f>
        <v>53</v>
      </c>
      <c r="L602">
        <f>VLOOKUP(PREVIOS!I602,PLAN!A:B,2,FALSE)</f>
        <v>6</v>
      </c>
    </row>
    <row r="603" spans="1:12" x14ac:dyDescent="0.25">
      <c r="A603" t="str">
        <f t="shared" si="9"/>
        <v>A259M292C1</v>
      </c>
      <c r="C603">
        <v>602</v>
      </c>
      <c r="D603">
        <f>VLOOKUP(PREVIOS!C603,ALUMNOS!A:B,2,FALSE)</f>
        <v>259</v>
      </c>
      <c r="E603">
        <f>VLOOKUP(PREVIOS!E603&amp;'TABLA PREVIOS'!J603,MATERIAS!A:H,7,FALSE)</f>
        <v>292</v>
      </c>
      <c r="F603">
        <f>VLOOKUP(PREVIOS!G603,CONDICION!A:B,2,FALSE)</f>
        <v>1</v>
      </c>
      <c r="G603">
        <f>IF(PREVIOS!AG603=1,1,VLOOKUP(PREVIOS!AG603,CALIFICACION!A:C,3,FALSE))</f>
        <v>1</v>
      </c>
      <c r="H603" s="1" t="s">
        <v>534</v>
      </c>
      <c r="I603" s="1" t="s">
        <v>534</v>
      </c>
      <c r="J603">
        <f>VLOOKUP(PREVIOS!F603&amp;VLOOKUP(PREVIOS!I603,PLAN!A:B,2,FALSE),CURSO!A:D,4,FALSE)</f>
        <v>22</v>
      </c>
      <c r="K603">
        <f>VLOOKUP(PREVIOS!H603,CICLO!A:B,2,FALSE)</f>
        <v>53</v>
      </c>
      <c r="L603">
        <f>VLOOKUP(PREVIOS!I603,PLAN!A:B,2,FALSE)</f>
        <v>6</v>
      </c>
    </row>
    <row r="604" spans="1:12" x14ac:dyDescent="0.25">
      <c r="A604" t="str">
        <f t="shared" si="9"/>
        <v>A259M291C1</v>
      </c>
      <c r="C604">
        <v>603</v>
      </c>
      <c r="D604">
        <f>VLOOKUP(PREVIOS!C604,ALUMNOS!A:B,2,FALSE)</f>
        <v>259</v>
      </c>
      <c r="E604">
        <f>VLOOKUP(PREVIOS!E604&amp;'TABLA PREVIOS'!J604,MATERIAS!A:H,7,FALSE)</f>
        <v>291</v>
      </c>
      <c r="F604">
        <f>VLOOKUP(PREVIOS!G604,CONDICION!A:B,2,FALSE)</f>
        <v>1</v>
      </c>
      <c r="G604">
        <f>IF(PREVIOS!AG604=1,1,VLOOKUP(PREVIOS!AG604,CALIFICACION!A:C,3,FALSE))</f>
        <v>1</v>
      </c>
      <c r="H604" s="1" t="s">
        <v>534</v>
      </c>
      <c r="I604" s="1" t="s">
        <v>534</v>
      </c>
      <c r="J604">
        <f>VLOOKUP(PREVIOS!F604&amp;VLOOKUP(PREVIOS!I604,PLAN!A:B,2,FALSE),CURSO!A:D,4,FALSE)</f>
        <v>22</v>
      </c>
      <c r="K604">
        <f>VLOOKUP(PREVIOS!H604,CICLO!A:B,2,FALSE)</f>
        <v>53</v>
      </c>
      <c r="L604">
        <f>VLOOKUP(PREVIOS!I604,PLAN!A:B,2,FALSE)</f>
        <v>6</v>
      </c>
    </row>
    <row r="605" spans="1:12" x14ac:dyDescent="0.25">
      <c r="A605" t="str">
        <f t="shared" si="9"/>
        <v>A259M279C1</v>
      </c>
      <c r="C605">
        <v>604</v>
      </c>
      <c r="D605">
        <f>VLOOKUP(PREVIOS!C605,ALUMNOS!A:B,2,FALSE)</f>
        <v>259</v>
      </c>
      <c r="E605">
        <f>VLOOKUP(PREVIOS!E605&amp;'TABLA PREVIOS'!J605,MATERIAS!A:H,7,FALSE)</f>
        <v>279</v>
      </c>
      <c r="F605">
        <f>VLOOKUP(PREVIOS!G605,CONDICION!A:B,2,FALSE)</f>
        <v>1</v>
      </c>
      <c r="G605">
        <f>IF(PREVIOS!AG605=1,1,VLOOKUP(PREVIOS!AG605,CALIFICACION!A:C,3,FALSE))</f>
        <v>1</v>
      </c>
      <c r="H605" s="1" t="s">
        <v>534</v>
      </c>
      <c r="I605" s="1" t="s">
        <v>534</v>
      </c>
      <c r="J605">
        <f>VLOOKUP(PREVIOS!F605&amp;VLOOKUP(PREVIOS!I605,PLAN!A:B,2,FALSE),CURSO!A:D,4,FALSE)</f>
        <v>22</v>
      </c>
      <c r="K605">
        <f>VLOOKUP(PREVIOS!H605,CICLO!A:B,2,FALSE)</f>
        <v>53</v>
      </c>
      <c r="L605">
        <f>VLOOKUP(PREVIOS!I605,PLAN!A:B,2,FALSE)</f>
        <v>6</v>
      </c>
    </row>
    <row r="606" spans="1:12" x14ac:dyDescent="0.25">
      <c r="A606" t="str">
        <f t="shared" si="9"/>
        <v>A259M280C1</v>
      </c>
      <c r="C606">
        <v>605</v>
      </c>
      <c r="D606">
        <f>VLOOKUP(PREVIOS!C606,ALUMNOS!A:B,2,FALSE)</f>
        <v>259</v>
      </c>
      <c r="E606">
        <f>VLOOKUP(PREVIOS!E606&amp;'TABLA PREVIOS'!J606,MATERIAS!A:H,7,FALSE)</f>
        <v>280</v>
      </c>
      <c r="F606">
        <f>VLOOKUP(PREVIOS!G606,CONDICION!A:B,2,FALSE)</f>
        <v>1</v>
      </c>
      <c r="G606">
        <f>IF(PREVIOS!AG606=1,1,VLOOKUP(PREVIOS!AG606,CALIFICACION!A:C,3,FALSE))</f>
        <v>1</v>
      </c>
      <c r="H606" s="1" t="s">
        <v>534</v>
      </c>
      <c r="I606" s="1" t="s">
        <v>534</v>
      </c>
      <c r="J606">
        <f>VLOOKUP(PREVIOS!F606&amp;VLOOKUP(PREVIOS!I606,PLAN!A:B,2,FALSE),CURSO!A:D,4,FALSE)</f>
        <v>22</v>
      </c>
      <c r="K606">
        <f>VLOOKUP(PREVIOS!H606,CICLO!A:B,2,FALSE)</f>
        <v>53</v>
      </c>
      <c r="L606">
        <f>VLOOKUP(PREVIOS!I606,PLAN!A:B,2,FALSE)</f>
        <v>6</v>
      </c>
    </row>
    <row r="607" spans="1:12" x14ac:dyDescent="0.25">
      <c r="A607" t="str">
        <f t="shared" si="9"/>
        <v>A259M281C1</v>
      </c>
      <c r="C607">
        <v>606</v>
      </c>
      <c r="D607">
        <f>VLOOKUP(PREVIOS!C607,ALUMNOS!A:B,2,FALSE)</f>
        <v>259</v>
      </c>
      <c r="E607">
        <f>VLOOKUP(PREVIOS!E607&amp;'TABLA PREVIOS'!J607,MATERIAS!A:H,7,FALSE)</f>
        <v>281</v>
      </c>
      <c r="F607">
        <f>VLOOKUP(PREVIOS!G607,CONDICION!A:B,2,FALSE)</f>
        <v>1</v>
      </c>
      <c r="G607">
        <f>IF(PREVIOS!AG607=1,1,VLOOKUP(PREVIOS!AG607,CALIFICACION!A:C,3,FALSE))</f>
        <v>1</v>
      </c>
      <c r="H607" s="1" t="s">
        <v>534</v>
      </c>
      <c r="I607" s="1" t="s">
        <v>534</v>
      </c>
      <c r="J607">
        <f>VLOOKUP(PREVIOS!F607&amp;VLOOKUP(PREVIOS!I607,PLAN!A:B,2,FALSE),CURSO!A:D,4,FALSE)</f>
        <v>22</v>
      </c>
      <c r="K607">
        <f>VLOOKUP(PREVIOS!H607,CICLO!A:B,2,FALSE)</f>
        <v>53</v>
      </c>
      <c r="L607">
        <f>VLOOKUP(PREVIOS!I607,PLAN!A:B,2,FALSE)</f>
        <v>6</v>
      </c>
    </row>
    <row r="608" spans="1:12" x14ac:dyDescent="0.25">
      <c r="A608" t="str">
        <f t="shared" si="9"/>
        <v>A259M290C1</v>
      </c>
      <c r="C608">
        <v>607</v>
      </c>
      <c r="D608">
        <f>VLOOKUP(PREVIOS!C608,ALUMNOS!A:B,2,FALSE)</f>
        <v>259</v>
      </c>
      <c r="E608">
        <f>VLOOKUP(PREVIOS!E608&amp;'TABLA PREVIOS'!J608,MATERIAS!A:H,7,FALSE)</f>
        <v>290</v>
      </c>
      <c r="F608">
        <f>VLOOKUP(PREVIOS!G608,CONDICION!A:B,2,FALSE)</f>
        <v>1</v>
      </c>
      <c r="G608">
        <f>IF(PREVIOS!AG608=1,1,VLOOKUP(PREVIOS!AG608,CALIFICACION!A:C,3,FALSE))</f>
        <v>1</v>
      </c>
      <c r="H608" s="1" t="s">
        <v>534</v>
      </c>
      <c r="I608" s="1" t="s">
        <v>534</v>
      </c>
      <c r="J608">
        <f>VLOOKUP(PREVIOS!F608&amp;VLOOKUP(PREVIOS!I608,PLAN!A:B,2,FALSE),CURSO!A:D,4,FALSE)</f>
        <v>22</v>
      </c>
      <c r="K608">
        <f>VLOOKUP(PREVIOS!H608,CICLO!A:B,2,FALSE)</f>
        <v>53</v>
      </c>
      <c r="L608">
        <f>VLOOKUP(PREVIOS!I608,PLAN!A:B,2,FALSE)</f>
        <v>6</v>
      </c>
    </row>
    <row r="609" spans="1:12" x14ac:dyDescent="0.25">
      <c r="A609" t="str">
        <f t="shared" si="9"/>
        <v>A304M266C1</v>
      </c>
      <c r="C609">
        <v>608</v>
      </c>
      <c r="D609">
        <f>VLOOKUP(PREVIOS!C609,ALUMNOS!A:B,2,FALSE)</f>
        <v>304</v>
      </c>
      <c r="E609">
        <f>VLOOKUP(PREVIOS!E609&amp;'TABLA PREVIOS'!J609,MATERIAS!A:H,7,FALSE)</f>
        <v>266</v>
      </c>
      <c r="F609">
        <f>VLOOKUP(PREVIOS!G609,CONDICION!A:B,2,FALSE)</f>
        <v>1</v>
      </c>
      <c r="G609">
        <f>IF(PREVIOS!AG609=1,1,VLOOKUP(PREVIOS!AG609,CALIFICACION!A:C,3,FALSE))</f>
        <v>1</v>
      </c>
      <c r="H609" s="1" t="s">
        <v>534</v>
      </c>
      <c r="I609" s="1" t="s">
        <v>534</v>
      </c>
      <c r="J609">
        <f>VLOOKUP(PREVIOS!F609&amp;VLOOKUP(PREVIOS!I609,PLAN!A:B,2,FALSE),CURSO!A:D,4,FALSE)</f>
        <v>21</v>
      </c>
      <c r="K609">
        <f>VLOOKUP(PREVIOS!H609,CICLO!A:B,2,FALSE)</f>
        <v>52</v>
      </c>
      <c r="L609">
        <f>VLOOKUP(PREVIOS!I609,PLAN!A:B,2,FALSE)</f>
        <v>6</v>
      </c>
    </row>
    <row r="610" spans="1:12" x14ac:dyDescent="0.25">
      <c r="A610" t="str">
        <f t="shared" si="9"/>
        <v>A304M269C1</v>
      </c>
      <c r="C610">
        <v>609</v>
      </c>
      <c r="D610">
        <f>VLOOKUP(PREVIOS!C610,ALUMNOS!A:B,2,FALSE)</f>
        <v>304</v>
      </c>
      <c r="E610">
        <f>VLOOKUP(PREVIOS!E610&amp;'TABLA PREVIOS'!J610,MATERIAS!A:H,7,FALSE)</f>
        <v>269</v>
      </c>
      <c r="F610">
        <f>VLOOKUP(PREVIOS!G610,CONDICION!A:B,2,FALSE)</f>
        <v>1</v>
      </c>
      <c r="G610">
        <f>IF(PREVIOS!AG610=1,1,VLOOKUP(PREVIOS!AG610,CALIFICACION!A:C,3,FALSE))</f>
        <v>1</v>
      </c>
      <c r="H610" s="1" t="s">
        <v>534</v>
      </c>
      <c r="I610" s="1" t="s">
        <v>534</v>
      </c>
      <c r="J610">
        <f>VLOOKUP(PREVIOS!F610&amp;VLOOKUP(PREVIOS!I610,PLAN!A:B,2,FALSE),CURSO!A:D,4,FALSE)</f>
        <v>21</v>
      </c>
      <c r="K610">
        <f>VLOOKUP(PREVIOS!H610,CICLO!A:B,2,FALSE)</f>
        <v>52</v>
      </c>
      <c r="L610">
        <f>VLOOKUP(PREVIOS!I610,PLAN!A:B,2,FALSE)</f>
        <v>6</v>
      </c>
    </row>
    <row r="611" spans="1:12" x14ac:dyDescent="0.25">
      <c r="A611" t="str">
        <f t="shared" si="9"/>
        <v>A304M265C1</v>
      </c>
      <c r="C611">
        <v>610</v>
      </c>
      <c r="D611">
        <f>VLOOKUP(PREVIOS!C611,ALUMNOS!A:B,2,FALSE)</f>
        <v>304</v>
      </c>
      <c r="E611">
        <f>VLOOKUP(PREVIOS!E611&amp;'TABLA PREVIOS'!J611,MATERIAS!A:H,7,FALSE)</f>
        <v>265</v>
      </c>
      <c r="F611">
        <f>VLOOKUP(PREVIOS!G611,CONDICION!A:B,2,FALSE)</f>
        <v>1</v>
      </c>
      <c r="G611">
        <f>IF(PREVIOS!AG611=1,1,VLOOKUP(PREVIOS!AG611,CALIFICACION!A:C,3,FALSE))</f>
        <v>1</v>
      </c>
      <c r="H611" s="1" t="s">
        <v>534</v>
      </c>
      <c r="I611" s="1" t="s">
        <v>534</v>
      </c>
      <c r="J611">
        <f>VLOOKUP(PREVIOS!F611&amp;VLOOKUP(PREVIOS!I611,PLAN!A:B,2,FALSE),CURSO!A:D,4,FALSE)</f>
        <v>21</v>
      </c>
      <c r="K611">
        <f>VLOOKUP(PREVIOS!H611,CICLO!A:B,2,FALSE)</f>
        <v>52</v>
      </c>
      <c r="L611">
        <f>VLOOKUP(PREVIOS!I611,PLAN!A:B,2,FALSE)</f>
        <v>6</v>
      </c>
    </row>
    <row r="612" spans="1:12" x14ac:dyDescent="0.25">
      <c r="A612" t="str">
        <f t="shared" si="9"/>
        <v>A304M285C1</v>
      </c>
      <c r="C612">
        <v>611</v>
      </c>
      <c r="D612">
        <f>VLOOKUP(PREVIOS!C612,ALUMNOS!A:B,2,FALSE)</f>
        <v>304</v>
      </c>
      <c r="E612">
        <f>VLOOKUP(PREVIOS!E612&amp;'TABLA PREVIOS'!J612,MATERIAS!A:H,7,FALSE)</f>
        <v>285</v>
      </c>
      <c r="F612">
        <f>VLOOKUP(PREVIOS!G612,CONDICION!A:B,2,FALSE)</f>
        <v>1</v>
      </c>
      <c r="G612">
        <f>IF(PREVIOS!AG612=1,1,VLOOKUP(PREVIOS!AG612,CALIFICACION!A:C,3,FALSE))</f>
        <v>1</v>
      </c>
      <c r="H612" s="1" t="s">
        <v>534</v>
      </c>
      <c r="I612" s="1" t="s">
        <v>534</v>
      </c>
      <c r="J612">
        <f>VLOOKUP(PREVIOS!F612&amp;VLOOKUP(PREVIOS!I612,PLAN!A:B,2,FALSE),CURSO!A:D,4,FALSE)</f>
        <v>22</v>
      </c>
      <c r="K612">
        <f>VLOOKUP(PREVIOS!H612,CICLO!A:B,2,FALSE)</f>
        <v>53</v>
      </c>
      <c r="L612">
        <f>VLOOKUP(PREVIOS!I612,PLAN!A:B,2,FALSE)</f>
        <v>6</v>
      </c>
    </row>
    <row r="613" spans="1:12" x14ac:dyDescent="0.25">
      <c r="A613" t="str">
        <f t="shared" si="9"/>
        <v>A304M284C1</v>
      </c>
      <c r="C613">
        <v>612</v>
      </c>
      <c r="D613">
        <f>VLOOKUP(PREVIOS!C613,ALUMNOS!A:B,2,FALSE)</f>
        <v>304</v>
      </c>
      <c r="E613">
        <f>VLOOKUP(PREVIOS!E613&amp;'TABLA PREVIOS'!J613,MATERIAS!A:H,7,FALSE)</f>
        <v>284</v>
      </c>
      <c r="F613">
        <f>VLOOKUP(PREVIOS!G613,CONDICION!A:B,2,FALSE)</f>
        <v>1</v>
      </c>
      <c r="G613">
        <f>IF(PREVIOS!AG613=1,1,VLOOKUP(PREVIOS!AG613,CALIFICACION!A:C,3,FALSE))</f>
        <v>1</v>
      </c>
      <c r="H613" s="1" t="s">
        <v>534</v>
      </c>
      <c r="I613" s="1" t="s">
        <v>534</v>
      </c>
      <c r="J613">
        <f>VLOOKUP(PREVIOS!F613&amp;VLOOKUP(PREVIOS!I613,PLAN!A:B,2,FALSE),CURSO!A:D,4,FALSE)</f>
        <v>22</v>
      </c>
      <c r="K613">
        <f>VLOOKUP(PREVIOS!H613,CICLO!A:B,2,FALSE)</f>
        <v>53</v>
      </c>
      <c r="L613">
        <f>VLOOKUP(PREVIOS!I613,PLAN!A:B,2,FALSE)</f>
        <v>6</v>
      </c>
    </row>
    <row r="614" spans="1:12" x14ac:dyDescent="0.25">
      <c r="A614" t="str">
        <f t="shared" si="9"/>
        <v>A304M287C1</v>
      </c>
      <c r="C614">
        <v>613</v>
      </c>
      <c r="D614">
        <f>VLOOKUP(PREVIOS!C614,ALUMNOS!A:B,2,FALSE)</f>
        <v>304</v>
      </c>
      <c r="E614">
        <f>VLOOKUP(PREVIOS!E614&amp;'TABLA PREVIOS'!J614,MATERIAS!A:H,7,FALSE)</f>
        <v>287</v>
      </c>
      <c r="F614">
        <f>VLOOKUP(PREVIOS!G614,CONDICION!A:B,2,FALSE)</f>
        <v>1</v>
      </c>
      <c r="G614">
        <f>IF(PREVIOS!AG614=1,1,VLOOKUP(PREVIOS!AG614,CALIFICACION!A:C,3,FALSE))</f>
        <v>1</v>
      </c>
      <c r="H614" s="1" t="s">
        <v>534</v>
      </c>
      <c r="I614" s="1" t="s">
        <v>534</v>
      </c>
      <c r="J614">
        <f>VLOOKUP(PREVIOS!F614&amp;VLOOKUP(PREVIOS!I614,PLAN!A:B,2,FALSE),CURSO!A:D,4,FALSE)</f>
        <v>22</v>
      </c>
      <c r="K614">
        <f>VLOOKUP(PREVIOS!H614,CICLO!A:B,2,FALSE)</f>
        <v>53</v>
      </c>
      <c r="L614">
        <f>VLOOKUP(PREVIOS!I614,PLAN!A:B,2,FALSE)</f>
        <v>6</v>
      </c>
    </row>
    <row r="615" spans="1:12" x14ac:dyDescent="0.25">
      <c r="A615" t="str">
        <f t="shared" si="9"/>
        <v>A304M286C1</v>
      </c>
      <c r="C615">
        <v>614</v>
      </c>
      <c r="D615">
        <f>VLOOKUP(PREVIOS!C615,ALUMNOS!A:B,2,FALSE)</f>
        <v>304</v>
      </c>
      <c r="E615">
        <f>VLOOKUP(PREVIOS!E615&amp;'TABLA PREVIOS'!J615,MATERIAS!A:H,7,FALSE)</f>
        <v>286</v>
      </c>
      <c r="F615">
        <f>VLOOKUP(PREVIOS!G615,CONDICION!A:B,2,FALSE)</f>
        <v>1</v>
      </c>
      <c r="G615">
        <f>IF(PREVIOS!AG615=1,1,VLOOKUP(PREVIOS!AG615,CALIFICACION!A:C,3,FALSE))</f>
        <v>1</v>
      </c>
      <c r="H615" s="1" t="s">
        <v>534</v>
      </c>
      <c r="I615" s="1" t="s">
        <v>534</v>
      </c>
      <c r="J615">
        <f>VLOOKUP(PREVIOS!F615&amp;VLOOKUP(PREVIOS!I615,PLAN!A:B,2,FALSE),CURSO!A:D,4,FALSE)</f>
        <v>22</v>
      </c>
      <c r="K615">
        <f>VLOOKUP(PREVIOS!H615,CICLO!A:B,2,FALSE)</f>
        <v>53</v>
      </c>
      <c r="L615">
        <f>VLOOKUP(PREVIOS!I615,PLAN!A:B,2,FALSE)</f>
        <v>6</v>
      </c>
    </row>
    <row r="616" spans="1:12" x14ac:dyDescent="0.25">
      <c r="A616" t="str">
        <f t="shared" si="9"/>
        <v>A304M278C1</v>
      </c>
      <c r="C616">
        <v>615</v>
      </c>
      <c r="D616">
        <f>VLOOKUP(PREVIOS!C616,ALUMNOS!A:B,2,FALSE)</f>
        <v>304</v>
      </c>
      <c r="E616">
        <f>VLOOKUP(PREVIOS!E616&amp;'TABLA PREVIOS'!J616,MATERIAS!A:H,7,FALSE)</f>
        <v>278</v>
      </c>
      <c r="F616">
        <f>VLOOKUP(PREVIOS!G616,CONDICION!A:B,2,FALSE)</f>
        <v>1</v>
      </c>
      <c r="G616">
        <f>IF(PREVIOS!AG616=1,1,VLOOKUP(PREVIOS!AG616,CALIFICACION!A:C,3,FALSE))</f>
        <v>1</v>
      </c>
      <c r="H616" s="1" t="s">
        <v>534</v>
      </c>
      <c r="I616" s="1" t="s">
        <v>534</v>
      </c>
      <c r="J616">
        <f>VLOOKUP(PREVIOS!F616&amp;VLOOKUP(PREVIOS!I616,PLAN!A:B,2,FALSE),CURSO!A:D,4,FALSE)</f>
        <v>22</v>
      </c>
      <c r="K616">
        <f>VLOOKUP(PREVIOS!H616,CICLO!A:B,2,FALSE)</f>
        <v>53</v>
      </c>
      <c r="L616">
        <f>VLOOKUP(PREVIOS!I616,PLAN!A:B,2,FALSE)</f>
        <v>6</v>
      </c>
    </row>
    <row r="617" spans="1:12" x14ac:dyDescent="0.25">
      <c r="A617" t="str">
        <f t="shared" si="9"/>
        <v>A304M292C1</v>
      </c>
      <c r="C617">
        <v>616</v>
      </c>
      <c r="D617">
        <f>VLOOKUP(PREVIOS!C617,ALUMNOS!A:B,2,FALSE)</f>
        <v>304</v>
      </c>
      <c r="E617">
        <f>VLOOKUP(PREVIOS!E617&amp;'TABLA PREVIOS'!J617,MATERIAS!A:H,7,FALSE)</f>
        <v>292</v>
      </c>
      <c r="F617">
        <f>VLOOKUP(PREVIOS!G617,CONDICION!A:B,2,FALSE)</f>
        <v>1</v>
      </c>
      <c r="G617">
        <f>IF(PREVIOS!AG617=1,1,VLOOKUP(PREVIOS!AG617,CALIFICACION!A:C,3,FALSE))</f>
        <v>1</v>
      </c>
      <c r="H617" s="1" t="s">
        <v>534</v>
      </c>
      <c r="I617" s="1" t="s">
        <v>534</v>
      </c>
      <c r="J617">
        <f>VLOOKUP(PREVIOS!F617&amp;VLOOKUP(PREVIOS!I617,PLAN!A:B,2,FALSE),CURSO!A:D,4,FALSE)</f>
        <v>22</v>
      </c>
      <c r="K617">
        <f>VLOOKUP(PREVIOS!H617,CICLO!A:B,2,FALSE)</f>
        <v>53</v>
      </c>
      <c r="L617">
        <f>VLOOKUP(PREVIOS!I617,PLAN!A:B,2,FALSE)</f>
        <v>6</v>
      </c>
    </row>
    <row r="618" spans="1:12" x14ac:dyDescent="0.25">
      <c r="A618" t="str">
        <f t="shared" si="9"/>
        <v>A304M291C1</v>
      </c>
      <c r="C618">
        <v>617</v>
      </c>
      <c r="D618">
        <f>VLOOKUP(PREVIOS!C618,ALUMNOS!A:B,2,FALSE)</f>
        <v>304</v>
      </c>
      <c r="E618">
        <f>VLOOKUP(PREVIOS!E618&amp;'TABLA PREVIOS'!J618,MATERIAS!A:H,7,FALSE)</f>
        <v>291</v>
      </c>
      <c r="F618">
        <f>VLOOKUP(PREVIOS!G618,CONDICION!A:B,2,FALSE)</f>
        <v>1</v>
      </c>
      <c r="G618">
        <f>IF(PREVIOS!AG618=1,1,VLOOKUP(PREVIOS!AG618,CALIFICACION!A:C,3,FALSE))</f>
        <v>1</v>
      </c>
      <c r="H618" s="1" t="s">
        <v>534</v>
      </c>
      <c r="I618" s="1" t="s">
        <v>534</v>
      </c>
      <c r="J618">
        <f>VLOOKUP(PREVIOS!F618&amp;VLOOKUP(PREVIOS!I618,PLAN!A:B,2,FALSE),CURSO!A:D,4,FALSE)</f>
        <v>22</v>
      </c>
      <c r="K618">
        <f>VLOOKUP(PREVIOS!H618,CICLO!A:B,2,FALSE)</f>
        <v>53</v>
      </c>
      <c r="L618">
        <f>VLOOKUP(PREVIOS!I618,PLAN!A:B,2,FALSE)</f>
        <v>6</v>
      </c>
    </row>
    <row r="619" spans="1:12" x14ac:dyDescent="0.25">
      <c r="A619" t="str">
        <f t="shared" si="9"/>
        <v>A304M282C1</v>
      </c>
      <c r="C619">
        <v>618</v>
      </c>
      <c r="D619">
        <f>VLOOKUP(PREVIOS!C619,ALUMNOS!A:B,2,FALSE)</f>
        <v>304</v>
      </c>
      <c r="E619">
        <f>VLOOKUP(PREVIOS!E619&amp;'TABLA PREVIOS'!J619,MATERIAS!A:H,7,FALSE)</f>
        <v>282</v>
      </c>
      <c r="F619">
        <f>VLOOKUP(PREVIOS!G619,CONDICION!A:B,2,FALSE)</f>
        <v>1</v>
      </c>
      <c r="G619">
        <f>IF(PREVIOS!AG619=1,1,VLOOKUP(PREVIOS!AG619,CALIFICACION!A:C,3,FALSE))</f>
        <v>1</v>
      </c>
      <c r="H619" s="1" t="s">
        <v>534</v>
      </c>
      <c r="I619" s="1" t="s">
        <v>534</v>
      </c>
      <c r="J619">
        <f>VLOOKUP(PREVIOS!F619&amp;VLOOKUP(PREVIOS!I619,PLAN!A:B,2,FALSE),CURSO!A:D,4,FALSE)</f>
        <v>22</v>
      </c>
      <c r="K619">
        <f>VLOOKUP(PREVIOS!H619,CICLO!A:B,2,FALSE)</f>
        <v>53</v>
      </c>
      <c r="L619">
        <f>VLOOKUP(PREVIOS!I619,PLAN!A:B,2,FALSE)</f>
        <v>6</v>
      </c>
    </row>
    <row r="620" spans="1:12" x14ac:dyDescent="0.25">
      <c r="A620" t="str">
        <f t="shared" si="9"/>
        <v>A304M279C1</v>
      </c>
      <c r="C620">
        <v>619</v>
      </c>
      <c r="D620">
        <f>VLOOKUP(PREVIOS!C620,ALUMNOS!A:B,2,FALSE)</f>
        <v>304</v>
      </c>
      <c r="E620">
        <f>VLOOKUP(PREVIOS!E620&amp;'TABLA PREVIOS'!J620,MATERIAS!A:H,7,FALSE)</f>
        <v>279</v>
      </c>
      <c r="F620">
        <f>VLOOKUP(PREVIOS!G620,CONDICION!A:B,2,FALSE)</f>
        <v>1</v>
      </c>
      <c r="G620">
        <f>IF(PREVIOS!AG620=1,1,VLOOKUP(PREVIOS!AG620,CALIFICACION!A:C,3,FALSE))</f>
        <v>1</v>
      </c>
      <c r="H620" s="1" t="s">
        <v>534</v>
      </c>
      <c r="I620" s="1" t="s">
        <v>534</v>
      </c>
      <c r="J620">
        <f>VLOOKUP(PREVIOS!F620&amp;VLOOKUP(PREVIOS!I620,PLAN!A:B,2,FALSE),CURSO!A:D,4,FALSE)</f>
        <v>22</v>
      </c>
      <c r="K620">
        <f>VLOOKUP(PREVIOS!H620,CICLO!A:B,2,FALSE)</f>
        <v>53</v>
      </c>
      <c r="L620">
        <f>VLOOKUP(PREVIOS!I620,PLAN!A:B,2,FALSE)</f>
        <v>6</v>
      </c>
    </row>
    <row r="621" spans="1:12" x14ac:dyDescent="0.25">
      <c r="A621" t="str">
        <f t="shared" si="9"/>
        <v>A304M280C1</v>
      </c>
      <c r="C621">
        <v>620</v>
      </c>
      <c r="D621">
        <f>VLOOKUP(PREVIOS!C621,ALUMNOS!A:B,2,FALSE)</f>
        <v>304</v>
      </c>
      <c r="E621">
        <f>VLOOKUP(PREVIOS!E621&amp;'TABLA PREVIOS'!J621,MATERIAS!A:H,7,FALSE)</f>
        <v>280</v>
      </c>
      <c r="F621">
        <f>VLOOKUP(PREVIOS!G621,CONDICION!A:B,2,FALSE)</f>
        <v>1</v>
      </c>
      <c r="G621">
        <f>IF(PREVIOS!AG621=1,1,VLOOKUP(PREVIOS!AG621,CALIFICACION!A:C,3,FALSE))</f>
        <v>1</v>
      </c>
      <c r="H621" s="1" t="s">
        <v>534</v>
      </c>
      <c r="I621" s="1" t="s">
        <v>534</v>
      </c>
      <c r="J621">
        <f>VLOOKUP(PREVIOS!F621&amp;VLOOKUP(PREVIOS!I621,PLAN!A:B,2,FALSE),CURSO!A:D,4,FALSE)</f>
        <v>22</v>
      </c>
      <c r="K621">
        <f>VLOOKUP(PREVIOS!H621,CICLO!A:B,2,FALSE)</f>
        <v>53</v>
      </c>
      <c r="L621">
        <f>VLOOKUP(PREVIOS!I621,PLAN!A:B,2,FALSE)</f>
        <v>6</v>
      </c>
    </row>
    <row r="622" spans="1:12" x14ac:dyDescent="0.25">
      <c r="A622" t="str">
        <f t="shared" si="9"/>
        <v>A304M281C1</v>
      </c>
      <c r="C622">
        <v>621</v>
      </c>
      <c r="D622">
        <f>VLOOKUP(PREVIOS!C622,ALUMNOS!A:B,2,FALSE)</f>
        <v>304</v>
      </c>
      <c r="E622">
        <f>VLOOKUP(PREVIOS!E622&amp;'TABLA PREVIOS'!J622,MATERIAS!A:H,7,FALSE)</f>
        <v>281</v>
      </c>
      <c r="F622">
        <f>VLOOKUP(PREVIOS!G622,CONDICION!A:B,2,FALSE)</f>
        <v>1</v>
      </c>
      <c r="G622">
        <f>IF(PREVIOS!AG622=1,1,VLOOKUP(PREVIOS!AG622,CALIFICACION!A:C,3,FALSE))</f>
        <v>1</v>
      </c>
      <c r="H622" s="1" t="s">
        <v>534</v>
      </c>
      <c r="I622" s="1" t="s">
        <v>534</v>
      </c>
      <c r="J622">
        <f>VLOOKUP(PREVIOS!F622&amp;VLOOKUP(PREVIOS!I622,PLAN!A:B,2,FALSE),CURSO!A:D,4,FALSE)</f>
        <v>22</v>
      </c>
      <c r="K622">
        <f>VLOOKUP(PREVIOS!H622,CICLO!A:B,2,FALSE)</f>
        <v>53</v>
      </c>
      <c r="L622">
        <f>VLOOKUP(PREVIOS!I622,PLAN!A:B,2,FALSE)</f>
        <v>6</v>
      </c>
    </row>
    <row r="623" spans="1:12" x14ac:dyDescent="0.25">
      <c r="A623" t="str">
        <f t="shared" si="9"/>
        <v>A304M288C1</v>
      </c>
      <c r="C623">
        <v>622</v>
      </c>
      <c r="D623">
        <f>VLOOKUP(PREVIOS!C623,ALUMNOS!A:B,2,FALSE)</f>
        <v>304</v>
      </c>
      <c r="E623">
        <f>VLOOKUP(PREVIOS!E623&amp;'TABLA PREVIOS'!J623,MATERIAS!A:H,7,FALSE)</f>
        <v>288</v>
      </c>
      <c r="F623">
        <f>VLOOKUP(PREVIOS!G623,CONDICION!A:B,2,FALSE)</f>
        <v>1</v>
      </c>
      <c r="G623">
        <f>IF(PREVIOS!AG623=1,1,VLOOKUP(PREVIOS!AG623,CALIFICACION!A:C,3,FALSE))</f>
        <v>1</v>
      </c>
      <c r="H623" s="1" t="s">
        <v>534</v>
      </c>
      <c r="I623" s="1" t="s">
        <v>534</v>
      </c>
      <c r="J623">
        <f>VLOOKUP(PREVIOS!F623&amp;VLOOKUP(PREVIOS!I623,PLAN!A:B,2,FALSE),CURSO!A:D,4,FALSE)</f>
        <v>22</v>
      </c>
      <c r="K623">
        <f>VLOOKUP(PREVIOS!H623,CICLO!A:B,2,FALSE)</f>
        <v>53</v>
      </c>
      <c r="L623">
        <f>VLOOKUP(PREVIOS!I623,PLAN!A:B,2,FALSE)</f>
        <v>6</v>
      </c>
    </row>
    <row r="624" spans="1:12" x14ac:dyDescent="0.25">
      <c r="A624" t="str">
        <f t="shared" si="9"/>
        <v>A304M290C1</v>
      </c>
      <c r="C624">
        <v>623</v>
      </c>
      <c r="D624">
        <f>VLOOKUP(PREVIOS!C624,ALUMNOS!A:B,2,FALSE)</f>
        <v>304</v>
      </c>
      <c r="E624">
        <f>VLOOKUP(PREVIOS!E624&amp;'TABLA PREVIOS'!J624,MATERIAS!A:H,7,FALSE)</f>
        <v>290</v>
      </c>
      <c r="F624">
        <f>VLOOKUP(PREVIOS!G624,CONDICION!A:B,2,FALSE)</f>
        <v>1</v>
      </c>
      <c r="G624">
        <f>IF(PREVIOS!AG624=1,1,VLOOKUP(PREVIOS!AG624,CALIFICACION!A:C,3,FALSE))</f>
        <v>1</v>
      </c>
      <c r="H624" s="1" t="s">
        <v>534</v>
      </c>
      <c r="I624" s="1" t="s">
        <v>534</v>
      </c>
      <c r="J624">
        <f>VLOOKUP(PREVIOS!F624&amp;VLOOKUP(PREVIOS!I624,PLAN!A:B,2,FALSE),CURSO!A:D,4,FALSE)</f>
        <v>22</v>
      </c>
      <c r="K624">
        <f>VLOOKUP(PREVIOS!H624,CICLO!A:B,2,FALSE)</f>
        <v>53</v>
      </c>
      <c r="L624">
        <f>VLOOKUP(PREVIOS!I624,PLAN!A:B,2,FALSE)</f>
        <v>6</v>
      </c>
    </row>
    <row r="625" spans="1:12" x14ac:dyDescent="0.25">
      <c r="A625" t="str">
        <f t="shared" si="9"/>
        <v>A775M269C1</v>
      </c>
      <c r="C625">
        <v>624</v>
      </c>
      <c r="D625">
        <f>VLOOKUP(PREVIOS!C625,ALUMNOS!A:B,2,FALSE)</f>
        <v>775</v>
      </c>
      <c r="E625">
        <f>VLOOKUP(PREVIOS!E625&amp;'TABLA PREVIOS'!J625,MATERIAS!A:H,7,FALSE)</f>
        <v>269</v>
      </c>
      <c r="F625">
        <f>VLOOKUP(PREVIOS!G625,CONDICION!A:B,2,FALSE)</f>
        <v>1</v>
      </c>
      <c r="G625">
        <f>IF(PREVIOS!AG625=1,1,VLOOKUP(PREVIOS!AG625,CALIFICACION!A:C,3,FALSE))</f>
        <v>1</v>
      </c>
      <c r="H625" s="1" t="s">
        <v>534</v>
      </c>
      <c r="I625" s="1" t="s">
        <v>534</v>
      </c>
      <c r="J625">
        <f>VLOOKUP(PREVIOS!F625&amp;VLOOKUP(PREVIOS!I625,PLAN!A:B,2,FALSE),CURSO!A:D,4,FALSE)</f>
        <v>21</v>
      </c>
      <c r="K625">
        <f>VLOOKUP(PREVIOS!H625,CICLO!A:B,2,FALSE)</f>
        <v>52</v>
      </c>
      <c r="L625">
        <f>VLOOKUP(PREVIOS!I625,PLAN!A:B,2,FALSE)</f>
        <v>6</v>
      </c>
    </row>
    <row r="626" spans="1:12" x14ac:dyDescent="0.25">
      <c r="A626" t="str">
        <f t="shared" si="9"/>
        <v>A775M265C1</v>
      </c>
      <c r="C626">
        <v>625</v>
      </c>
      <c r="D626">
        <f>VLOOKUP(PREVIOS!C626,ALUMNOS!A:B,2,FALSE)</f>
        <v>775</v>
      </c>
      <c r="E626">
        <f>VLOOKUP(PREVIOS!E626&amp;'TABLA PREVIOS'!J626,MATERIAS!A:H,7,FALSE)</f>
        <v>265</v>
      </c>
      <c r="F626">
        <f>VLOOKUP(PREVIOS!G626,CONDICION!A:B,2,FALSE)</f>
        <v>1</v>
      </c>
      <c r="G626">
        <f>IF(PREVIOS!AG626=1,1,VLOOKUP(PREVIOS!AG626,CALIFICACION!A:C,3,FALSE))</f>
        <v>1</v>
      </c>
      <c r="H626" s="1" t="s">
        <v>534</v>
      </c>
      <c r="I626" s="1" t="s">
        <v>534</v>
      </c>
      <c r="J626">
        <f>VLOOKUP(PREVIOS!F626&amp;VLOOKUP(PREVIOS!I626,PLAN!A:B,2,FALSE),CURSO!A:D,4,FALSE)</f>
        <v>21</v>
      </c>
      <c r="K626">
        <f>VLOOKUP(PREVIOS!H626,CICLO!A:B,2,FALSE)</f>
        <v>52</v>
      </c>
      <c r="L626">
        <f>VLOOKUP(PREVIOS!I626,PLAN!A:B,2,FALSE)</f>
        <v>6</v>
      </c>
    </row>
    <row r="627" spans="1:12" x14ac:dyDescent="0.25">
      <c r="A627" t="str">
        <f t="shared" si="9"/>
        <v>A775M285C1</v>
      </c>
      <c r="C627">
        <v>626</v>
      </c>
      <c r="D627">
        <f>VLOOKUP(PREVIOS!C627,ALUMNOS!A:B,2,FALSE)</f>
        <v>775</v>
      </c>
      <c r="E627">
        <f>VLOOKUP(PREVIOS!E627&amp;'TABLA PREVIOS'!J627,MATERIAS!A:H,7,FALSE)</f>
        <v>285</v>
      </c>
      <c r="F627">
        <f>VLOOKUP(PREVIOS!G627,CONDICION!A:B,2,FALSE)</f>
        <v>1</v>
      </c>
      <c r="G627">
        <f>IF(PREVIOS!AG627=1,1,VLOOKUP(PREVIOS!AG627,CALIFICACION!A:C,3,FALSE))</f>
        <v>1</v>
      </c>
      <c r="H627" s="1" t="s">
        <v>534</v>
      </c>
      <c r="I627" s="1" t="s">
        <v>534</v>
      </c>
      <c r="J627">
        <f>VLOOKUP(PREVIOS!F627&amp;VLOOKUP(PREVIOS!I627,PLAN!A:B,2,FALSE),CURSO!A:D,4,FALSE)</f>
        <v>22</v>
      </c>
      <c r="K627">
        <f>VLOOKUP(PREVIOS!H627,CICLO!A:B,2,FALSE)</f>
        <v>53</v>
      </c>
      <c r="L627">
        <f>VLOOKUP(PREVIOS!I627,PLAN!A:B,2,FALSE)</f>
        <v>6</v>
      </c>
    </row>
    <row r="628" spans="1:12" x14ac:dyDescent="0.25">
      <c r="A628" t="str">
        <f t="shared" si="9"/>
        <v>A775M289C1</v>
      </c>
      <c r="C628">
        <v>627</v>
      </c>
      <c r="D628">
        <f>VLOOKUP(PREVIOS!C628,ALUMNOS!A:B,2,FALSE)</f>
        <v>775</v>
      </c>
      <c r="E628">
        <f>VLOOKUP(PREVIOS!E628&amp;'TABLA PREVIOS'!J628,MATERIAS!A:H,7,FALSE)</f>
        <v>289</v>
      </c>
      <c r="F628">
        <f>VLOOKUP(PREVIOS!G628,CONDICION!A:B,2,FALSE)</f>
        <v>1</v>
      </c>
      <c r="G628">
        <f>IF(PREVIOS!AG628=1,1,VLOOKUP(PREVIOS!AG628,CALIFICACION!A:C,3,FALSE))</f>
        <v>1</v>
      </c>
      <c r="H628" s="1" t="s">
        <v>534</v>
      </c>
      <c r="I628" s="1" t="s">
        <v>534</v>
      </c>
      <c r="J628">
        <f>VLOOKUP(PREVIOS!F628&amp;VLOOKUP(PREVIOS!I628,PLAN!A:B,2,FALSE),CURSO!A:D,4,FALSE)</f>
        <v>22</v>
      </c>
      <c r="K628">
        <f>VLOOKUP(PREVIOS!H628,CICLO!A:B,2,FALSE)</f>
        <v>53</v>
      </c>
      <c r="L628">
        <f>VLOOKUP(PREVIOS!I628,PLAN!A:B,2,FALSE)</f>
        <v>6</v>
      </c>
    </row>
    <row r="629" spans="1:12" x14ac:dyDescent="0.25">
      <c r="A629" t="str">
        <f t="shared" si="9"/>
        <v>A775M284C1</v>
      </c>
      <c r="C629">
        <v>628</v>
      </c>
      <c r="D629">
        <f>VLOOKUP(PREVIOS!C629,ALUMNOS!A:B,2,FALSE)</f>
        <v>775</v>
      </c>
      <c r="E629">
        <f>VLOOKUP(PREVIOS!E629&amp;'TABLA PREVIOS'!J629,MATERIAS!A:H,7,FALSE)</f>
        <v>284</v>
      </c>
      <c r="F629">
        <f>VLOOKUP(PREVIOS!G629,CONDICION!A:B,2,FALSE)</f>
        <v>1</v>
      </c>
      <c r="G629">
        <f>IF(PREVIOS!AG629=1,1,VLOOKUP(PREVIOS!AG629,CALIFICACION!A:C,3,FALSE))</f>
        <v>1</v>
      </c>
      <c r="H629" s="1" t="s">
        <v>534</v>
      </c>
      <c r="I629" s="1" t="s">
        <v>534</v>
      </c>
      <c r="J629">
        <f>VLOOKUP(PREVIOS!F629&amp;VLOOKUP(PREVIOS!I629,PLAN!A:B,2,FALSE),CURSO!A:D,4,FALSE)</f>
        <v>22</v>
      </c>
      <c r="K629">
        <f>VLOOKUP(PREVIOS!H629,CICLO!A:B,2,FALSE)</f>
        <v>53</v>
      </c>
      <c r="L629">
        <f>VLOOKUP(PREVIOS!I629,PLAN!A:B,2,FALSE)</f>
        <v>6</v>
      </c>
    </row>
    <row r="630" spans="1:12" x14ac:dyDescent="0.25">
      <c r="A630" t="str">
        <f t="shared" si="9"/>
        <v>A775M287C1</v>
      </c>
      <c r="C630">
        <v>629</v>
      </c>
      <c r="D630">
        <f>VLOOKUP(PREVIOS!C630,ALUMNOS!A:B,2,FALSE)</f>
        <v>775</v>
      </c>
      <c r="E630">
        <f>VLOOKUP(PREVIOS!E630&amp;'TABLA PREVIOS'!J630,MATERIAS!A:H,7,FALSE)</f>
        <v>287</v>
      </c>
      <c r="F630">
        <f>VLOOKUP(PREVIOS!G630,CONDICION!A:B,2,FALSE)</f>
        <v>1</v>
      </c>
      <c r="G630">
        <f>IF(PREVIOS!AG630=1,1,VLOOKUP(PREVIOS!AG630,CALIFICACION!A:C,3,FALSE))</f>
        <v>1</v>
      </c>
      <c r="H630" s="1" t="s">
        <v>534</v>
      </c>
      <c r="I630" s="1" t="s">
        <v>534</v>
      </c>
      <c r="J630">
        <f>VLOOKUP(PREVIOS!F630&amp;VLOOKUP(PREVIOS!I630,PLAN!A:B,2,FALSE),CURSO!A:D,4,FALSE)</f>
        <v>22</v>
      </c>
      <c r="K630">
        <f>VLOOKUP(PREVIOS!H630,CICLO!A:B,2,FALSE)</f>
        <v>53</v>
      </c>
      <c r="L630">
        <f>VLOOKUP(PREVIOS!I630,PLAN!A:B,2,FALSE)</f>
        <v>6</v>
      </c>
    </row>
    <row r="631" spans="1:12" x14ac:dyDescent="0.25">
      <c r="A631" t="str">
        <f t="shared" si="9"/>
        <v>A775M286C1</v>
      </c>
      <c r="C631">
        <v>630</v>
      </c>
      <c r="D631">
        <f>VLOOKUP(PREVIOS!C631,ALUMNOS!A:B,2,FALSE)</f>
        <v>775</v>
      </c>
      <c r="E631">
        <f>VLOOKUP(PREVIOS!E631&amp;'TABLA PREVIOS'!J631,MATERIAS!A:H,7,FALSE)</f>
        <v>286</v>
      </c>
      <c r="F631">
        <f>VLOOKUP(PREVIOS!G631,CONDICION!A:B,2,FALSE)</f>
        <v>1</v>
      </c>
      <c r="G631">
        <f>IF(PREVIOS!AG631=1,1,VLOOKUP(PREVIOS!AG631,CALIFICACION!A:C,3,FALSE))</f>
        <v>1</v>
      </c>
      <c r="H631" s="1" t="s">
        <v>534</v>
      </c>
      <c r="I631" s="1" t="s">
        <v>534</v>
      </c>
      <c r="J631">
        <f>VLOOKUP(PREVIOS!F631&amp;VLOOKUP(PREVIOS!I631,PLAN!A:B,2,FALSE),CURSO!A:D,4,FALSE)</f>
        <v>22</v>
      </c>
      <c r="K631">
        <f>VLOOKUP(PREVIOS!H631,CICLO!A:B,2,FALSE)</f>
        <v>53</v>
      </c>
      <c r="L631">
        <f>VLOOKUP(PREVIOS!I631,PLAN!A:B,2,FALSE)</f>
        <v>6</v>
      </c>
    </row>
    <row r="632" spans="1:12" x14ac:dyDescent="0.25">
      <c r="A632" t="str">
        <f t="shared" si="9"/>
        <v>A775M278C1</v>
      </c>
      <c r="C632">
        <v>631</v>
      </c>
      <c r="D632">
        <f>VLOOKUP(PREVIOS!C632,ALUMNOS!A:B,2,FALSE)</f>
        <v>775</v>
      </c>
      <c r="E632">
        <f>VLOOKUP(PREVIOS!E632&amp;'TABLA PREVIOS'!J632,MATERIAS!A:H,7,FALSE)</f>
        <v>278</v>
      </c>
      <c r="F632">
        <f>VLOOKUP(PREVIOS!G632,CONDICION!A:B,2,FALSE)</f>
        <v>1</v>
      </c>
      <c r="G632">
        <f>IF(PREVIOS!AG632=1,1,VLOOKUP(PREVIOS!AG632,CALIFICACION!A:C,3,FALSE))</f>
        <v>1</v>
      </c>
      <c r="H632" s="1" t="s">
        <v>534</v>
      </c>
      <c r="I632" s="1" t="s">
        <v>534</v>
      </c>
      <c r="J632">
        <f>VLOOKUP(PREVIOS!F632&amp;VLOOKUP(PREVIOS!I632,PLAN!A:B,2,FALSE),CURSO!A:D,4,FALSE)</f>
        <v>22</v>
      </c>
      <c r="K632">
        <f>VLOOKUP(PREVIOS!H632,CICLO!A:B,2,FALSE)</f>
        <v>53</v>
      </c>
      <c r="L632">
        <f>VLOOKUP(PREVIOS!I632,PLAN!A:B,2,FALSE)</f>
        <v>6</v>
      </c>
    </row>
    <row r="633" spans="1:12" x14ac:dyDescent="0.25">
      <c r="A633" t="str">
        <f t="shared" si="9"/>
        <v>A775M292C1</v>
      </c>
      <c r="C633">
        <v>632</v>
      </c>
      <c r="D633">
        <f>VLOOKUP(PREVIOS!C633,ALUMNOS!A:B,2,FALSE)</f>
        <v>775</v>
      </c>
      <c r="E633">
        <f>VLOOKUP(PREVIOS!E633&amp;'TABLA PREVIOS'!J633,MATERIAS!A:H,7,FALSE)</f>
        <v>292</v>
      </c>
      <c r="F633">
        <f>VLOOKUP(PREVIOS!G633,CONDICION!A:B,2,FALSE)</f>
        <v>1</v>
      </c>
      <c r="G633">
        <f>IF(PREVIOS!AG633=1,1,VLOOKUP(PREVIOS!AG633,CALIFICACION!A:C,3,FALSE))</f>
        <v>1</v>
      </c>
      <c r="H633" s="1" t="s">
        <v>534</v>
      </c>
      <c r="I633" s="1" t="s">
        <v>534</v>
      </c>
      <c r="J633">
        <f>VLOOKUP(PREVIOS!F633&amp;VLOOKUP(PREVIOS!I633,PLAN!A:B,2,FALSE),CURSO!A:D,4,FALSE)</f>
        <v>22</v>
      </c>
      <c r="K633">
        <f>VLOOKUP(PREVIOS!H633,CICLO!A:B,2,FALSE)</f>
        <v>53</v>
      </c>
      <c r="L633">
        <f>VLOOKUP(PREVIOS!I633,PLAN!A:B,2,FALSE)</f>
        <v>6</v>
      </c>
    </row>
    <row r="634" spans="1:12" x14ac:dyDescent="0.25">
      <c r="A634" t="str">
        <f t="shared" si="9"/>
        <v>A775M291C1</v>
      </c>
      <c r="C634">
        <v>633</v>
      </c>
      <c r="D634">
        <f>VLOOKUP(PREVIOS!C634,ALUMNOS!A:B,2,FALSE)</f>
        <v>775</v>
      </c>
      <c r="E634">
        <f>VLOOKUP(PREVIOS!E634&amp;'TABLA PREVIOS'!J634,MATERIAS!A:H,7,FALSE)</f>
        <v>291</v>
      </c>
      <c r="F634">
        <f>VLOOKUP(PREVIOS!G634,CONDICION!A:B,2,FALSE)</f>
        <v>1</v>
      </c>
      <c r="G634">
        <f>IF(PREVIOS!AG634=1,1,VLOOKUP(PREVIOS!AG634,CALIFICACION!A:C,3,FALSE))</f>
        <v>1</v>
      </c>
      <c r="H634" s="1" t="s">
        <v>534</v>
      </c>
      <c r="I634" s="1" t="s">
        <v>534</v>
      </c>
      <c r="J634">
        <f>VLOOKUP(PREVIOS!F634&amp;VLOOKUP(PREVIOS!I634,PLAN!A:B,2,FALSE),CURSO!A:D,4,FALSE)</f>
        <v>22</v>
      </c>
      <c r="K634">
        <f>VLOOKUP(PREVIOS!H634,CICLO!A:B,2,FALSE)</f>
        <v>53</v>
      </c>
      <c r="L634">
        <f>VLOOKUP(PREVIOS!I634,PLAN!A:B,2,FALSE)</f>
        <v>6</v>
      </c>
    </row>
    <row r="635" spans="1:12" x14ac:dyDescent="0.25">
      <c r="A635" t="str">
        <f t="shared" si="9"/>
        <v>A775M282C1</v>
      </c>
      <c r="C635">
        <v>634</v>
      </c>
      <c r="D635">
        <f>VLOOKUP(PREVIOS!C635,ALUMNOS!A:B,2,FALSE)</f>
        <v>775</v>
      </c>
      <c r="E635">
        <f>VLOOKUP(PREVIOS!E635&amp;'TABLA PREVIOS'!J635,MATERIAS!A:H,7,FALSE)</f>
        <v>282</v>
      </c>
      <c r="F635">
        <f>VLOOKUP(PREVIOS!G635,CONDICION!A:B,2,FALSE)</f>
        <v>1</v>
      </c>
      <c r="G635">
        <f>IF(PREVIOS!AG635=1,1,VLOOKUP(PREVIOS!AG635,CALIFICACION!A:C,3,FALSE))</f>
        <v>1</v>
      </c>
      <c r="H635" s="1" t="s">
        <v>534</v>
      </c>
      <c r="I635" s="1" t="s">
        <v>534</v>
      </c>
      <c r="J635">
        <f>VLOOKUP(PREVIOS!F635&amp;VLOOKUP(PREVIOS!I635,PLAN!A:B,2,FALSE),CURSO!A:D,4,FALSE)</f>
        <v>22</v>
      </c>
      <c r="K635">
        <f>VLOOKUP(PREVIOS!H635,CICLO!A:B,2,FALSE)</f>
        <v>53</v>
      </c>
      <c r="L635">
        <f>VLOOKUP(PREVIOS!I635,PLAN!A:B,2,FALSE)</f>
        <v>6</v>
      </c>
    </row>
    <row r="636" spans="1:12" x14ac:dyDescent="0.25">
      <c r="A636" t="str">
        <f t="shared" si="9"/>
        <v>A775M279C1</v>
      </c>
      <c r="C636">
        <v>635</v>
      </c>
      <c r="D636">
        <f>VLOOKUP(PREVIOS!C636,ALUMNOS!A:B,2,FALSE)</f>
        <v>775</v>
      </c>
      <c r="E636">
        <f>VLOOKUP(PREVIOS!E636&amp;'TABLA PREVIOS'!J636,MATERIAS!A:H,7,FALSE)</f>
        <v>279</v>
      </c>
      <c r="F636">
        <f>VLOOKUP(PREVIOS!G636,CONDICION!A:B,2,FALSE)</f>
        <v>1</v>
      </c>
      <c r="G636">
        <f>IF(PREVIOS!AG636=1,1,VLOOKUP(PREVIOS!AG636,CALIFICACION!A:C,3,FALSE))</f>
        <v>1</v>
      </c>
      <c r="H636" s="1" t="s">
        <v>534</v>
      </c>
      <c r="I636" s="1" t="s">
        <v>534</v>
      </c>
      <c r="J636">
        <f>VLOOKUP(PREVIOS!F636&amp;VLOOKUP(PREVIOS!I636,PLAN!A:B,2,FALSE),CURSO!A:D,4,FALSE)</f>
        <v>22</v>
      </c>
      <c r="K636">
        <f>VLOOKUP(PREVIOS!H636,CICLO!A:B,2,FALSE)</f>
        <v>53</v>
      </c>
      <c r="L636">
        <f>VLOOKUP(PREVIOS!I636,PLAN!A:B,2,FALSE)</f>
        <v>6</v>
      </c>
    </row>
    <row r="637" spans="1:12" x14ac:dyDescent="0.25">
      <c r="A637" t="str">
        <f t="shared" si="9"/>
        <v>A775M280C1</v>
      </c>
      <c r="C637">
        <v>636</v>
      </c>
      <c r="D637">
        <f>VLOOKUP(PREVIOS!C637,ALUMNOS!A:B,2,FALSE)</f>
        <v>775</v>
      </c>
      <c r="E637">
        <f>VLOOKUP(PREVIOS!E637&amp;'TABLA PREVIOS'!J637,MATERIAS!A:H,7,FALSE)</f>
        <v>280</v>
      </c>
      <c r="F637">
        <f>VLOOKUP(PREVIOS!G637,CONDICION!A:B,2,FALSE)</f>
        <v>1</v>
      </c>
      <c r="G637">
        <f>IF(PREVIOS!AG637=1,1,VLOOKUP(PREVIOS!AG637,CALIFICACION!A:C,3,FALSE))</f>
        <v>1</v>
      </c>
      <c r="H637" s="1" t="s">
        <v>534</v>
      </c>
      <c r="I637" s="1" t="s">
        <v>534</v>
      </c>
      <c r="J637">
        <f>VLOOKUP(PREVIOS!F637&amp;VLOOKUP(PREVIOS!I637,PLAN!A:B,2,FALSE),CURSO!A:D,4,FALSE)</f>
        <v>22</v>
      </c>
      <c r="K637">
        <f>VLOOKUP(PREVIOS!H637,CICLO!A:B,2,FALSE)</f>
        <v>53</v>
      </c>
      <c r="L637">
        <f>VLOOKUP(PREVIOS!I637,PLAN!A:B,2,FALSE)</f>
        <v>6</v>
      </c>
    </row>
    <row r="638" spans="1:12" x14ac:dyDescent="0.25">
      <c r="A638" t="str">
        <f t="shared" si="9"/>
        <v>A775M281C1</v>
      </c>
      <c r="C638">
        <v>637</v>
      </c>
      <c r="D638">
        <f>VLOOKUP(PREVIOS!C638,ALUMNOS!A:B,2,FALSE)</f>
        <v>775</v>
      </c>
      <c r="E638">
        <f>VLOOKUP(PREVIOS!E638&amp;'TABLA PREVIOS'!J638,MATERIAS!A:H,7,FALSE)</f>
        <v>281</v>
      </c>
      <c r="F638">
        <f>VLOOKUP(PREVIOS!G638,CONDICION!A:B,2,FALSE)</f>
        <v>1</v>
      </c>
      <c r="G638">
        <f>IF(PREVIOS!AG638=1,1,VLOOKUP(PREVIOS!AG638,CALIFICACION!A:C,3,FALSE))</f>
        <v>1</v>
      </c>
      <c r="H638" s="1" t="s">
        <v>534</v>
      </c>
      <c r="I638" s="1" t="s">
        <v>534</v>
      </c>
      <c r="J638">
        <f>VLOOKUP(PREVIOS!F638&amp;VLOOKUP(PREVIOS!I638,PLAN!A:B,2,FALSE),CURSO!A:D,4,FALSE)</f>
        <v>22</v>
      </c>
      <c r="K638">
        <f>VLOOKUP(PREVIOS!H638,CICLO!A:B,2,FALSE)</f>
        <v>53</v>
      </c>
      <c r="L638">
        <f>VLOOKUP(PREVIOS!I638,PLAN!A:B,2,FALSE)</f>
        <v>6</v>
      </c>
    </row>
    <row r="639" spans="1:12" x14ac:dyDescent="0.25">
      <c r="A639" t="str">
        <f t="shared" si="9"/>
        <v>A775M290C1</v>
      </c>
      <c r="C639">
        <v>638</v>
      </c>
      <c r="D639">
        <f>VLOOKUP(PREVIOS!C639,ALUMNOS!A:B,2,FALSE)</f>
        <v>775</v>
      </c>
      <c r="E639">
        <f>VLOOKUP(PREVIOS!E639&amp;'TABLA PREVIOS'!J639,MATERIAS!A:H,7,FALSE)</f>
        <v>290</v>
      </c>
      <c r="F639">
        <f>VLOOKUP(PREVIOS!G639,CONDICION!A:B,2,FALSE)</f>
        <v>1</v>
      </c>
      <c r="G639">
        <f>IF(PREVIOS!AG639=1,1,VLOOKUP(PREVIOS!AG639,CALIFICACION!A:C,3,FALSE))</f>
        <v>1</v>
      </c>
      <c r="H639" s="1" t="s">
        <v>534</v>
      </c>
      <c r="I639" s="1" t="s">
        <v>534</v>
      </c>
      <c r="J639">
        <f>VLOOKUP(PREVIOS!F639&amp;VLOOKUP(PREVIOS!I639,PLAN!A:B,2,FALSE),CURSO!A:D,4,FALSE)</f>
        <v>22</v>
      </c>
      <c r="K639">
        <f>VLOOKUP(PREVIOS!H639,CICLO!A:B,2,FALSE)</f>
        <v>53</v>
      </c>
      <c r="L639">
        <f>VLOOKUP(PREVIOS!I639,PLAN!A:B,2,FALSE)</f>
        <v>6</v>
      </c>
    </row>
    <row r="640" spans="1:12" x14ac:dyDescent="0.25">
      <c r="A640" t="str">
        <f t="shared" si="9"/>
        <v>A13M285C1</v>
      </c>
      <c r="C640">
        <v>639</v>
      </c>
      <c r="D640">
        <f>VLOOKUP(PREVIOS!C640,ALUMNOS!A:B,2,FALSE)</f>
        <v>13</v>
      </c>
      <c r="E640">
        <f>VLOOKUP(PREVIOS!E640&amp;'TABLA PREVIOS'!J640,MATERIAS!A:H,7,FALSE)</f>
        <v>285</v>
      </c>
      <c r="F640">
        <f>VLOOKUP(PREVIOS!G640,CONDICION!A:B,2,FALSE)</f>
        <v>1</v>
      </c>
      <c r="G640">
        <f>IF(PREVIOS!AG640=1,1,VLOOKUP(PREVIOS!AG640,CALIFICACION!A:C,3,FALSE))</f>
        <v>1</v>
      </c>
      <c r="H640" s="1" t="s">
        <v>534</v>
      </c>
      <c r="I640" s="1" t="s">
        <v>534</v>
      </c>
      <c r="J640">
        <f>VLOOKUP(PREVIOS!F640&amp;VLOOKUP(PREVIOS!I640,PLAN!A:B,2,FALSE),CURSO!A:D,4,FALSE)</f>
        <v>22</v>
      </c>
      <c r="K640">
        <f>VLOOKUP(PREVIOS!H640,CICLO!A:B,2,FALSE)</f>
        <v>54</v>
      </c>
      <c r="L640">
        <f>VLOOKUP(PREVIOS!I640,PLAN!A:B,2,FALSE)</f>
        <v>6</v>
      </c>
    </row>
    <row r="641" spans="1:12" x14ac:dyDescent="0.25">
      <c r="A641" t="str">
        <f t="shared" si="9"/>
        <v>A13M289C1</v>
      </c>
      <c r="C641">
        <v>640</v>
      </c>
      <c r="D641">
        <f>VLOOKUP(PREVIOS!C641,ALUMNOS!A:B,2,FALSE)</f>
        <v>13</v>
      </c>
      <c r="E641">
        <f>VLOOKUP(PREVIOS!E641&amp;'TABLA PREVIOS'!J641,MATERIAS!A:H,7,FALSE)</f>
        <v>289</v>
      </c>
      <c r="F641">
        <f>VLOOKUP(PREVIOS!G641,CONDICION!A:B,2,FALSE)</f>
        <v>1</v>
      </c>
      <c r="G641">
        <f>IF(PREVIOS!AG641=1,1,VLOOKUP(PREVIOS!AG641,CALIFICACION!A:C,3,FALSE))</f>
        <v>1</v>
      </c>
      <c r="H641" s="1" t="s">
        <v>534</v>
      </c>
      <c r="I641" s="1" t="s">
        <v>534</v>
      </c>
      <c r="J641">
        <f>VLOOKUP(PREVIOS!F641&amp;VLOOKUP(PREVIOS!I641,PLAN!A:B,2,FALSE),CURSO!A:D,4,FALSE)</f>
        <v>22</v>
      </c>
      <c r="K641">
        <f>VLOOKUP(PREVIOS!H641,CICLO!A:B,2,FALSE)</f>
        <v>54</v>
      </c>
      <c r="L641">
        <f>VLOOKUP(PREVIOS!I641,PLAN!A:B,2,FALSE)</f>
        <v>6</v>
      </c>
    </row>
    <row r="642" spans="1:12" x14ac:dyDescent="0.25">
      <c r="A642" t="str">
        <f t="shared" si="9"/>
        <v>A13M287C1</v>
      </c>
      <c r="C642">
        <v>641</v>
      </c>
      <c r="D642">
        <f>VLOOKUP(PREVIOS!C642,ALUMNOS!A:B,2,FALSE)</f>
        <v>13</v>
      </c>
      <c r="E642">
        <f>VLOOKUP(PREVIOS!E642&amp;'TABLA PREVIOS'!J642,MATERIAS!A:H,7,FALSE)</f>
        <v>287</v>
      </c>
      <c r="F642">
        <f>VLOOKUP(PREVIOS!G642,CONDICION!A:B,2,FALSE)</f>
        <v>1</v>
      </c>
      <c r="G642">
        <f>IF(PREVIOS!AG642=1,1,VLOOKUP(PREVIOS!AG642,CALIFICACION!A:C,3,FALSE))</f>
        <v>1</v>
      </c>
      <c r="H642" s="1" t="s">
        <v>534</v>
      </c>
      <c r="I642" s="1" t="s">
        <v>534</v>
      </c>
      <c r="J642">
        <f>VLOOKUP(PREVIOS!F642&amp;VLOOKUP(PREVIOS!I642,PLAN!A:B,2,FALSE),CURSO!A:D,4,FALSE)</f>
        <v>22</v>
      </c>
      <c r="K642">
        <f>VLOOKUP(PREVIOS!H642,CICLO!A:B,2,FALSE)</f>
        <v>54</v>
      </c>
      <c r="L642">
        <f>VLOOKUP(PREVIOS!I642,PLAN!A:B,2,FALSE)</f>
        <v>6</v>
      </c>
    </row>
    <row r="643" spans="1:12" x14ac:dyDescent="0.25">
      <c r="A643" t="str">
        <f t="shared" ref="A643:A706" si="10">"A"&amp;D643&amp;"M"&amp;E643&amp;"C"&amp;F643</f>
        <v>A13M286C1</v>
      </c>
      <c r="C643">
        <v>642</v>
      </c>
      <c r="D643">
        <f>VLOOKUP(PREVIOS!C643,ALUMNOS!A:B,2,FALSE)</f>
        <v>13</v>
      </c>
      <c r="E643">
        <f>VLOOKUP(PREVIOS!E643&amp;'TABLA PREVIOS'!J643,MATERIAS!A:H,7,FALSE)</f>
        <v>286</v>
      </c>
      <c r="F643">
        <f>VLOOKUP(PREVIOS!G643,CONDICION!A:B,2,FALSE)</f>
        <v>1</v>
      </c>
      <c r="G643">
        <f>IF(PREVIOS!AG643=1,1,VLOOKUP(PREVIOS!AG643,CALIFICACION!A:C,3,FALSE))</f>
        <v>1</v>
      </c>
      <c r="H643" s="1" t="s">
        <v>534</v>
      </c>
      <c r="I643" s="1" t="s">
        <v>534</v>
      </c>
      <c r="J643">
        <f>VLOOKUP(PREVIOS!F643&amp;VLOOKUP(PREVIOS!I643,PLAN!A:B,2,FALSE),CURSO!A:D,4,FALSE)</f>
        <v>22</v>
      </c>
      <c r="K643">
        <f>VLOOKUP(PREVIOS!H643,CICLO!A:B,2,FALSE)</f>
        <v>54</v>
      </c>
      <c r="L643">
        <f>VLOOKUP(PREVIOS!I643,PLAN!A:B,2,FALSE)</f>
        <v>6</v>
      </c>
    </row>
    <row r="644" spans="1:12" x14ac:dyDescent="0.25">
      <c r="A644" t="str">
        <f t="shared" si="10"/>
        <v>A13M288C1</v>
      </c>
      <c r="C644">
        <v>643</v>
      </c>
      <c r="D644">
        <f>VLOOKUP(PREVIOS!C644,ALUMNOS!A:B,2,FALSE)</f>
        <v>13</v>
      </c>
      <c r="E644">
        <f>VLOOKUP(PREVIOS!E644&amp;'TABLA PREVIOS'!J644,MATERIAS!A:H,7,FALSE)</f>
        <v>288</v>
      </c>
      <c r="F644">
        <f>VLOOKUP(PREVIOS!G644,CONDICION!A:B,2,FALSE)</f>
        <v>1</v>
      </c>
      <c r="G644">
        <f>IF(PREVIOS!AG644=1,1,VLOOKUP(PREVIOS!AG644,CALIFICACION!A:C,3,FALSE))</f>
        <v>1</v>
      </c>
      <c r="H644" s="1" t="s">
        <v>534</v>
      </c>
      <c r="I644" s="1" t="s">
        <v>534</v>
      </c>
      <c r="J644">
        <f>VLOOKUP(PREVIOS!F644&amp;VLOOKUP(PREVIOS!I644,PLAN!A:B,2,FALSE),CURSO!A:D,4,FALSE)</f>
        <v>22</v>
      </c>
      <c r="K644">
        <f>VLOOKUP(PREVIOS!H644,CICLO!A:B,2,FALSE)</f>
        <v>54</v>
      </c>
      <c r="L644">
        <f>VLOOKUP(PREVIOS!I644,PLAN!A:B,2,FALSE)</f>
        <v>6</v>
      </c>
    </row>
    <row r="645" spans="1:12" x14ac:dyDescent="0.25">
      <c r="A645" t="str">
        <f t="shared" si="10"/>
        <v>A13M290C1</v>
      </c>
      <c r="C645">
        <v>644</v>
      </c>
      <c r="D645">
        <f>VLOOKUP(PREVIOS!C645,ALUMNOS!A:B,2,FALSE)</f>
        <v>13</v>
      </c>
      <c r="E645">
        <f>VLOOKUP(PREVIOS!E645&amp;'TABLA PREVIOS'!J645,MATERIAS!A:H,7,FALSE)</f>
        <v>290</v>
      </c>
      <c r="F645">
        <f>VLOOKUP(PREVIOS!G645,CONDICION!A:B,2,FALSE)</f>
        <v>1</v>
      </c>
      <c r="G645">
        <f>IF(PREVIOS!AG645=1,1,VLOOKUP(PREVIOS!AG645,CALIFICACION!A:C,3,FALSE))</f>
        <v>1</v>
      </c>
      <c r="H645" s="1" t="s">
        <v>534</v>
      </c>
      <c r="I645" s="1" t="s">
        <v>534</v>
      </c>
      <c r="J645">
        <f>VLOOKUP(PREVIOS!F645&amp;VLOOKUP(PREVIOS!I645,PLAN!A:B,2,FALSE),CURSO!A:D,4,FALSE)</f>
        <v>22</v>
      </c>
      <c r="K645">
        <f>VLOOKUP(PREVIOS!H645,CICLO!A:B,2,FALSE)</f>
        <v>54</v>
      </c>
      <c r="L645">
        <f>VLOOKUP(PREVIOS!I645,PLAN!A:B,2,FALSE)</f>
        <v>6</v>
      </c>
    </row>
    <row r="646" spans="1:12" x14ac:dyDescent="0.25">
      <c r="A646" t="str">
        <f t="shared" si="10"/>
        <v>A25M260C2</v>
      </c>
      <c r="C646">
        <v>645</v>
      </c>
      <c r="D646">
        <f>VLOOKUP(PREVIOS!C646,ALUMNOS!A:B,2,FALSE)</f>
        <v>25</v>
      </c>
      <c r="E646">
        <f>VLOOKUP(PREVIOS!E646&amp;'TABLA PREVIOS'!J646,MATERIAS!A:H,7,FALSE)</f>
        <v>260</v>
      </c>
      <c r="F646">
        <f>VLOOKUP(PREVIOS!G646,CONDICION!A:B,2,FALSE)</f>
        <v>2</v>
      </c>
      <c r="G646">
        <f>IF(PREVIOS!AG646=1,1,VLOOKUP(PREVIOS!AG646,CALIFICACION!A:C,3,FALSE))</f>
        <v>1</v>
      </c>
      <c r="H646" s="1" t="s">
        <v>534</v>
      </c>
      <c r="I646" s="1" t="s">
        <v>534</v>
      </c>
      <c r="J646">
        <f>VLOOKUP(PREVIOS!F646&amp;VLOOKUP(PREVIOS!I646,PLAN!A:B,2,FALSE),CURSO!A:D,4,FALSE)</f>
        <v>20</v>
      </c>
      <c r="K646">
        <f>VLOOKUP(PREVIOS!H646,CICLO!A:B,2,FALSE)</f>
        <v>52</v>
      </c>
      <c r="L646">
        <f>VLOOKUP(PREVIOS!I646,PLAN!A:B,2,FALSE)</f>
        <v>6</v>
      </c>
    </row>
    <row r="647" spans="1:12" x14ac:dyDescent="0.25">
      <c r="A647" t="str">
        <f t="shared" si="10"/>
        <v>A25M259C2</v>
      </c>
      <c r="C647">
        <v>646</v>
      </c>
      <c r="D647">
        <f>VLOOKUP(PREVIOS!C647,ALUMNOS!A:B,2,FALSE)</f>
        <v>25</v>
      </c>
      <c r="E647">
        <f>VLOOKUP(PREVIOS!E647&amp;'TABLA PREVIOS'!J647,MATERIAS!A:H,7,FALSE)</f>
        <v>259</v>
      </c>
      <c r="F647">
        <f>VLOOKUP(PREVIOS!G647,CONDICION!A:B,2,FALSE)</f>
        <v>2</v>
      </c>
      <c r="G647">
        <f>IF(PREVIOS!AG647=1,1,VLOOKUP(PREVIOS!AG647,CALIFICACION!A:C,3,FALSE))</f>
        <v>1</v>
      </c>
      <c r="H647" s="1" t="s">
        <v>534</v>
      </c>
      <c r="I647" s="1" t="s">
        <v>534</v>
      </c>
      <c r="J647">
        <f>VLOOKUP(PREVIOS!F647&amp;VLOOKUP(PREVIOS!I647,PLAN!A:B,2,FALSE),CURSO!A:D,4,FALSE)</f>
        <v>20</v>
      </c>
      <c r="K647">
        <f>VLOOKUP(PREVIOS!H647,CICLO!A:B,2,FALSE)</f>
        <v>52</v>
      </c>
      <c r="L647">
        <f>VLOOKUP(PREVIOS!I647,PLAN!A:B,2,FALSE)</f>
        <v>6</v>
      </c>
    </row>
    <row r="648" spans="1:12" x14ac:dyDescent="0.25">
      <c r="A648" t="str">
        <f t="shared" si="10"/>
        <v>A25M285C1</v>
      </c>
      <c r="C648">
        <v>647</v>
      </c>
      <c r="D648">
        <f>VLOOKUP(PREVIOS!C648,ALUMNOS!A:B,2,FALSE)</f>
        <v>25</v>
      </c>
      <c r="E648">
        <f>VLOOKUP(PREVIOS!E648&amp;'TABLA PREVIOS'!J648,MATERIAS!A:H,7,FALSE)</f>
        <v>285</v>
      </c>
      <c r="F648">
        <f>VLOOKUP(PREVIOS!G648,CONDICION!A:B,2,FALSE)</f>
        <v>1</v>
      </c>
      <c r="G648">
        <f>IF(PREVIOS!AG648=1,1,VLOOKUP(PREVIOS!AG648,CALIFICACION!A:C,3,FALSE))</f>
        <v>1</v>
      </c>
      <c r="H648" s="1" t="s">
        <v>534</v>
      </c>
      <c r="I648" s="1" t="s">
        <v>534</v>
      </c>
      <c r="J648">
        <f>VLOOKUP(PREVIOS!F648&amp;VLOOKUP(PREVIOS!I648,PLAN!A:B,2,FALSE),CURSO!A:D,4,FALSE)</f>
        <v>22</v>
      </c>
      <c r="K648">
        <f>VLOOKUP(PREVIOS!H648,CICLO!A:B,2,FALSE)</f>
        <v>54</v>
      </c>
      <c r="L648">
        <f>VLOOKUP(PREVIOS!I648,PLAN!A:B,2,FALSE)</f>
        <v>6</v>
      </c>
    </row>
    <row r="649" spans="1:12" x14ac:dyDescent="0.25">
      <c r="A649" t="str">
        <f t="shared" si="10"/>
        <v>A25M289C1</v>
      </c>
      <c r="C649">
        <v>648</v>
      </c>
      <c r="D649">
        <f>VLOOKUP(PREVIOS!C649,ALUMNOS!A:B,2,FALSE)</f>
        <v>25</v>
      </c>
      <c r="E649">
        <f>VLOOKUP(PREVIOS!E649&amp;'TABLA PREVIOS'!J649,MATERIAS!A:H,7,FALSE)</f>
        <v>289</v>
      </c>
      <c r="F649">
        <f>VLOOKUP(PREVIOS!G649,CONDICION!A:B,2,FALSE)</f>
        <v>1</v>
      </c>
      <c r="G649">
        <f>IF(PREVIOS!AG649=1,1,VLOOKUP(PREVIOS!AG649,CALIFICACION!A:C,3,FALSE))</f>
        <v>1</v>
      </c>
      <c r="H649" s="1" t="s">
        <v>534</v>
      </c>
      <c r="I649" s="1" t="s">
        <v>534</v>
      </c>
      <c r="J649">
        <f>VLOOKUP(PREVIOS!F649&amp;VLOOKUP(PREVIOS!I649,PLAN!A:B,2,FALSE),CURSO!A:D,4,FALSE)</f>
        <v>22</v>
      </c>
      <c r="K649">
        <f>VLOOKUP(PREVIOS!H649,CICLO!A:B,2,FALSE)</f>
        <v>54</v>
      </c>
      <c r="L649">
        <f>VLOOKUP(PREVIOS!I649,PLAN!A:B,2,FALSE)</f>
        <v>6</v>
      </c>
    </row>
    <row r="650" spans="1:12" x14ac:dyDescent="0.25">
      <c r="A650" t="str">
        <f t="shared" si="10"/>
        <v>A25M284C1</v>
      </c>
      <c r="C650">
        <v>649</v>
      </c>
      <c r="D650">
        <f>VLOOKUP(PREVIOS!C650,ALUMNOS!A:B,2,FALSE)</f>
        <v>25</v>
      </c>
      <c r="E650">
        <f>VLOOKUP(PREVIOS!E650&amp;'TABLA PREVIOS'!J650,MATERIAS!A:H,7,FALSE)</f>
        <v>284</v>
      </c>
      <c r="F650">
        <f>VLOOKUP(PREVIOS!G650,CONDICION!A:B,2,FALSE)</f>
        <v>1</v>
      </c>
      <c r="G650">
        <f>IF(PREVIOS!AG650=1,1,VLOOKUP(PREVIOS!AG650,CALIFICACION!A:C,3,FALSE))</f>
        <v>1</v>
      </c>
      <c r="H650" s="1" t="s">
        <v>534</v>
      </c>
      <c r="I650" s="1" t="s">
        <v>534</v>
      </c>
      <c r="J650">
        <f>VLOOKUP(PREVIOS!F650&amp;VLOOKUP(PREVIOS!I650,PLAN!A:B,2,FALSE),CURSO!A:D,4,FALSE)</f>
        <v>22</v>
      </c>
      <c r="K650">
        <f>VLOOKUP(PREVIOS!H650,CICLO!A:B,2,FALSE)</f>
        <v>54</v>
      </c>
      <c r="L650">
        <f>VLOOKUP(PREVIOS!I650,PLAN!A:B,2,FALSE)</f>
        <v>6</v>
      </c>
    </row>
    <row r="651" spans="1:12" x14ac:dyDescent="0.25">
      <c r="A651" t="str">
        <f t="shared" si="10"/>
        <v>A25M287C1</v>
      </c>
      <c r="C651">
        <v>650</v>
      </c>
      <c r="D651">
        <f>VLOOKUP(PREVIOS!C651,ALUMNOS!A:B,2,FALSE)</f>
        <v>25</v>
      </c>
      <c r="E651">
        <f>VLOOKUP(PREVIOS!E651&amp;'TABLA PREVIOS'!J651,MATERIAS!A:H,7,FALSE)</f>
        <v>287</v>
      </c>
      <c r="F651">
        <f>VLOOKUP(PREVIOS!G651,CONDICION!A:B,2,FALSE)</f>
        <v>1</v>
      </c>
      <c r="G651">
        <f>IF(PREVIOS!AG651=1,1,VLOOKUP(PREVIOS!AG651,CALIFICACION!A:C,3,FALSE))</f>
        <v>1</v>
      </c>
      <c r="H651" s="1" t="s">
        <v>534</v>
      </c>
      <c r="I651" s="1" t="s">
        <v>534</v>
      </c>
      <c r="J651">
        <f>VLOOKUP(PREVIOS!F651&amp;VLOOKUP(PREVIOS!I651,PLAN!A:B,2,FALSE),CURSO!A:D,4,FALSE)</f>
        <v>22</v>
      </c>
      <c r="K651">
        <f>VLOOKUP(PREVIOS!H651,CICLO!A:B,2,FALSE)</f>
        <v>54</v>
      </c>
      <c r="L651">
        <f>VLOOKUP(PREVIOS!I651,PLAN!A:B,2,FALSE)</f>
        <v>6</v>
      </c>
    </row>
    <row r="652" spans="1:12" x14ac:dyDescent="0.25">
      <c r="A652" t="str">
        <f t="shared" si="10"/>
        <v>A25M286C1</v>
      </c>
      <c r="C652">
        <v>651</v>
      </c>
      <c r="D652">
        <f>VLOOKUP(PREVIOS!C652,ALUMNOS!A:B,2,FALSE)</f>
        <v>25</v>
      </c>
      <c r="E652">
        <f>VLOOKUP(PREVIOS!E652&amp;'TABLA PREVIOS'!J652,MATERIAS!A:H,7,FALSE)</f>
        <v>286</v>
      </c>
      <c r="F652">
        <f>VLOOKUP(PREVIOS!G652,CONDICION!A:B,2,FALSE)</f>
        <v>1</v>
      </c>
      <c r="G652">
        <f>IF(PREVIOS!AG652=1,1,VLOOKUP(PREVIOS!AG652,CALIFICACION!A:C,3,FALSE))</f>
        <v>1</v>
      </c>
      <c r="H652" s="1" t="s">
        <v>534</v>
      </c>
      <c r="I652" s="1" t="s">
        <v>534</v>
      </c>
      <c r="J652">
        <f>VLOOKUP(PREVIOS!F652&amp;VLOOKUP(PREVIOS!I652,PLAN!A:B,2,FALSE),CURSO!A:D,4,FALSE)</f>
        <v>22</v>
      </c>
      <c r="K652">
        <f>VLOOKUP(PREVIOS!H652,CICLO!A:B,2,FALSE)</f>
        <v>54</v>
      </c>
      <c r="L652">
        <f>VLOOKUP(PREVIOS!I652,PLAN!A:B,2,FALSE)</f>
        <v>6</v>
      </c>
    </row>
    <row r="653" spans="1:12" x14ac:dyDescent="0.25">
      <c r="A653" t="str">
        <f t="shared" si="10"/>
        <v>A25M292C1</v>
      </c>
      <c r="C653">
        <v>652</v>
      </c>
      <c r="D653">
        <f>VLOOKUP(PREVIOS!C653,ALUMNOS!A:B,2,FALSE)</f>
        <v>25</v>
      </c>
      <c r="E653">
        <f>VLOOKUP(PREVIOS!E653&amp;'TABLA PREVIOS'!J653,MATERIAS!A:H,7,FALSE)</f>
        <v>292</v>
      </c>
      <c r="F653">
        <f>VLOOKUP(PREVIOS!G653,CONDICION!A:B,2,FALSE)</f>
        <v>1</v>
      </c>
      <c r="G653">
        <f>IF(PREVIOS!AG653=1,1,VLOOKUP(PREVIOS!AG653,CALIFICACION!A:C,3,FALSE))</f>
        <v>1</v>
      </c>
      <c r="H653" s="1" t="s">
        <v>534</v>
      </c>
      <c r="I653" s="1" t="s">
        <v>534</v>
      </c>
      <c r="J653">
        <f>VLOOKUP(PREVIOS!F653&amp;VLOOKUP(PREVIOS!I653,PLAN!A:B,2,FALSE),CURSO!A:D,4,FALSE)</f>
        <v>22</v>
      </c>
      <c r="K653">
        <f>VLOOKUP(PREVIOS!H653,CICLO!A:B,2,FALSE)</f>
        <v>54</v>
      </c>
      <c r="L653">
        <f>VLOOKUP(PREVIOS!I653,PLAN!A:B,2,FALSE)</f>
        <v>6</v>
      </c>
    </row>
    <row r="654" spans="1:12" x14ac:dyDescent="0.25">
      <c r="A654" t="str">
        <f t="shared" si="10"/>
        <v>A25M291C1</v>
      </c>
      <c r="C654">
        <v>653</v>
      </c>
      <c r="D654">
        <f>VLOOKUP(PREVIOS!C654,ALUMNOS!A:B,2,FALSE)</f>
        <v>25</v>
      </c>
      <c r="E654">
        <f>VLOOKUP(PREVIOS!E654&amp;'TABLA PREVIOS'!J654,MATERIAS!A:H,7,FALSE)</f>
        <v>291</v>
      </c>
      <c r="F654">
        <f>VLOOKUP(PREVIOS!G654,CONDICION!A:B,2,FALSE)</f>
        <v>1</v>
      </c>
      <c r="G654">
        <f>IF(PREVIOS!AG654=1,1,VLOOKUP(PREVIOS!AG654,CALIFICACION!A:C,3,FALSE))</f>
        <v>1</v>
      </c>
      <c r="H654" s="1" t="s">
        <v>534</v>
      </c>
      <c r="I654" s="1" t="s">
        <v>534</v>
      </c>
      <c r="J654">
        <f>VLOOKUP(PREVIOS!F654&amp;VLOOKUP(PREVIOS!I654,PLAN!A:B,2,FALSE),CURSO!A:D,4,FALSE)</f>
        <v>22</v>
      </c>
      <c r="K654">
        <f>VLOOKUP(PREVIOS!H654,CICLO!A:B,2,FALSE)</f>
        <v>54</v>
      </c>
      <c r="L654">
        <f>VLOOKUP(PREVIOS!I654,PLAN!A:B,2,FALSE)</f>
        <v>6</v>
      </c>
    </row>
    <row r="655" spans="1:12" x14ac:dyDescent="0.25">
      <c r="A655" t="str">
        <f t="shared" si="10"/>
        <v>A25M280C1</v>
      </c>
      <c r="C655">
        <v>654</v>
      </c>
      <c r="D655">
        <f>VLOOKUP(PREVIOS!C655,ALUMNOS!A:B,2,FALSE)</f>
        <v>25</v>
      </c>
      <c r="E655">
        <f>VLOOKUP(PREVIOS!E655&amp;'TABLA PREVIOS'!J655,MATERIAS!A:H,7,FALSE)</f>
        <v>280</v>
      </c>
      <c r="F655">
        <f>VLOOKUP(PREVIOS!G655,CONDICION!A:B,2,FALSE)</f>
        <v>1</v>
      </c>
      <c r="G655">
        <f>IF(PREVIOS!AG655=1,1,VLOOKUP(PREVIOS!AG655,CALIFICACION!A:C,3,FALSE))</f>
        <v>1</v>
      </c>
      <c r="H655" s="1" t="s">
        <v>534</v>
      </c>
      <c r="I655" s="1" t="s">
        <v>534</v>
      </c>
      <c r="J655">
        <f>VLOOKUP(PREVIOS!F655&amp;VLOOKUP(PREVIOS!I655,PLAN!A:B,2,FALSE),CURSO!A:D,4,FALSE)</f>
        <v>22</v>
      </c>
      <c r="K655">
        <f>VLOOKUP(PREVIOS!H655,CICLO!A:B,2,FALSE)</f>
        <v>54</v>
      </c>
      <c r="L655">
        <f>VLOOKUP(PREVIOS!I655,PLAN!A:B,2,FALSE)</f>
        <v>6</v>
      </c>
    </row>
    <row r="656" spans="1:12" x14ac:dyDescent="0.25">
      <c r="A656" t="str">
        <f t="shared" si="10"/>
        <v>A25M281C1</v>
      </c>
      <c r="C656">
        <v>655</v>
      </c>
      <c r="D656">
        <f>VLOOKUP(PREVIOS!C656,ALUMNOS!A:B,2,FALSE)</f>
        <v>25</v>
      </c>
      <c r="E656">
        <f>VLOOKUP(PREVIOS!E656&amp;'TABLA PREVIOS'!J656,MATERIAS!A:H,7,FALSE)</f>
        <v>281</v>
      </c>
      <c r="F656">
        <f>VLOOKUP(PREVIOS!G656,CONDICION!A:B,2,FALSE)</f>
        <v>1</v>
      </c>
      <c r="G656">
        <f>IF(PREVIOS!AG656=1,1,VLOOKUP(PREVIOS!AG656,CALIFICACION!A:C,3,FALSE))</f>
        <v>1</v>
      </c>
      <c r="H656" s="1" t="s">
        <v>534</v>
      </c>
      <c r="I656" s="1" t="s">
        <v>534</v>
      </c>
      <c r="J656">
        <f>VLOOKUP(PREVIOS!F656&amp;VLOOKUP(PREVIOS!I656,PLAN!A:B,2,FALSE),CURSO!A:D,4,FALSE)</f>
        <v>22</v>
      </c>
      <c r="K656">
        <f>VLOOKUP(PREVIOS!H656,CICLO!A:B,2,FALSE)</f>
        <v>54</v>
      </c>
      <c r="L656">
        <f>VLOOKUP(PREVIOS!I656,PLAN!A:B,2,FALSE)</f>
        <v>6</v>
      </c>
    </row>
    <row r="657" spans="1:12" x14ac:dyDescent="0.25">
      <c r="A657" t="str">
        <f t="shared" si="10"/>
        <v>A25M288C1</v>
      </c>
      <c r="C657">
        <v>656</v>
      </c>
      <c r="D657">
        <f>VLOOKUP(PREVIOS!C657,ALUMNOS!A:B,2,FALSE)</f>
        <v>25</v>
      </c>
      <c r="E657">
        <f>VLOOKUP(PREVIOS!E657&amp;'TABLA PREVIOS'!J657,MATERIAS!A:H,7,FALSE)</f>
        <v>288</v>
      </c>
      <c r="F657">
        <f>VLOOKUP(PREVIOS!G657,CONDICION!A:B,2,FALSE)</f>
        <v>1</v>
      </c>
      <c r="G657">
        <f>IF(PREVIOS!AG657=1,1,VLOOKUP(PREVIOS!AG657,CALIFICACION!A:C,3,FALSE))</f>
        <v>1</v>
      </c>
      <c r="H657" s="1" t="s">
        <v>534</v>
      </c>
      <c r="I657" s="1" t="s">
        <v>534</v>
      </c>
      <c r="J657">
        <f>VLOOKUP(PREVIOS!F657&amp;VLOOKUP(PREVIOS!I657,PLAN!A:B,2,FALSE),CURSO!A:D,4,FALSE)</f>
        <v>22</v>
      </c>
      <c r="K657">
        <f>VLOOKUP(PREVIOS!H657,CICLO!A:B,2,FALSE)</f>
        <v>54</v>
      </c>
      <c r="L657">
        <f>VLOOKUP(PREVIOS!I657,PLAN!A:B,2,FALSE)</f>
        <v>6</v>
      </c>
    </row>
    <row r="658" spans="1:12" x14ac:dyDescent="0.25">
      <c r="A658" t="str">
        <f t="shared" si="10"/>
        <v>A25M290C1</v>
      </c>
      <c r="C658">
        <v>657</v>
      </c>
      <c r="D658">
        <f>VLOOKUP(PREVIOS!C658,ALUMNOS!A:B,2,FALSE)</f>
        <v>25</v>
      </c>
      <c r="E658">
        <f>VLOOKUP(PREVIOS!E658&amp;'TABLA PREVIOS'!J658,MATERIAS!A:H,7,FALSE)</f>
        <v>290</v>
      </c>
      <c r="F658">
        <f>VLOOKUP(PREVIOS!G658,CONDICION!A:B,2,FALSE)</f>
        <v>1</v>
      </c>
      <c r="G658">
        <f>IF(PREVIOS!AG658=1,1,VLOOKUP(PREVIOS!AG658,CALIFICACION!A:C,3,FALSE))</f>
        <v>1</v>
      </c>
      <c r="H658" s="1" t="s">
        <v>534</v>
      </c>
      <c r="I658" s="1" t="s">
        <v>534</v>
      </c>
      <c r="J658">
        <f>VLOOKUP(PREVIOS!F658&amp;VLOOKUP(PREVIOS!I658,PLAN!A:B,2,FALSE),CURSO!A:D,4,FALSE)</f>
        <v>22</v>
      </c>
      <c r="K658">
        <f>VLOOKUP(PREVIOS!H658,CICLO!A:B,2,FALSE)</f>
        <v>54</v>
      </c>
      <c r="L658">
        <f>VLOOKUP(PREVIOS!I658,PLAN!A:B,2,FALSE)</f>
        <v>6</v>
      </c>
    </row>
    <row r="659" spans="1:12" x14ac:dyDescent="0.25">
      <c r="A659" t="str">
        <f t="shared" si="10"/>
        <v>A58M265C1</v>
      </c>
      <c r="C659">
        <v>658</v>
      </c>
      <c r="D659">
        <f>VLOOKUP(PREVIOS!C659,ALUMNOS!A:B,2,FALSE)</f>
        <v>58</v>
      </c>
      <c r="E659">
        <f>VLOOKUP(PREVIOS!E659&amp;'TABLA PREVIOS'!J659,MATERIAS!A:H,7,FALSE)</f>
        <v>265</v>
      </c>
      <c r="F659">
        <f>VLOOKUP(PREVIOS!G659,CONDICION!A:B,2,FALSE)</f>
        <v>1</v>
      </c>
      <c r="G659">
        <f>IF(PREVIOS!AG659=1,1,VLOOKUP(PREVIOS!AG659,CALIFICACION!A:C,3,FALSE))</f>
        <v>1</v>
      </c>
      <c r="H659" s="1" t="s">
        <v>534</v>
      </c>
      <c r="I659" s="1" t="s">
        <v>534</v>
      </c>
      <c r="J659">
        <f>VLOOKUP(PREVIOS!F659&amp;VLOOKUP(PREVIOS!I659,PLAN!A:B,2,FALSE),CURSO!A:D,4,FALSE)</f>
        <v>21</v>
      </c>
      <c r="K659">
        <f>VLOOKUP(PREVIOS!H659,CICLO!A:B,2,FALSE)</f>
        <v>53</v>
      </c>
      <c r="L659">
        <f>VLOOKUP(PREVIOS!I659,PLAN!A:B,2,FALSE)</f>
        <v>6</v>
      </c>
    </row>
    <row r="660" spans="1:12" x14ac:dyDescent="0.25">
      <c r="A660" t="str">
        <f t="shared" si="10"/>
        <v>A169M265C1</v>
      </c>
      <c r="C660">
        <v>659</v>
      </c>
      <c r="D660">
        <f>VLOOKUP(PREVIOS!C660,ALUMNOS!A:B,2,FALSE)</f>
        <v>169</v>
      </c>
      <c r="E660">
        <f>VLOOKUP(PREVIOS!E660&amp;'TABLA PREVIOS'!J660,MATERIAS!A:H,7,FALSE)</f>
        <v>265</v>
      </c>
      <c r="F660">
        <f>VLOOKUP(PREVIOS!G660,CONDICION!A:B,2,FALSE)</f>
        <v>1</v>
      </c>
      <c r="G660">
        <f>IF(PREVIOS!AG660=1,1,VLOOKUP(PREVIOS!AG660,CALIFICACION!A:C,3,FALSE))</f>
        <v>1</v>
      </c>
      <c r="H660" s="1" t="s">
        <v>534</v>
      </c>
      <c r="I660" s="1" t="s">
        <v>534</v>
      </c>
      <c r="J660">
        <f>VLOOKUP(PREVIOS!F660&amp;VLOOKUP(PREVIOS!I660,PLAN!A:B,2,FALSE),CURSO!A:D,4,FALSE)</f>
        <v>21</v>
      </c>
      <c r="K660">
        <f>VLOOKUP(PREVIOS!H660,CICLO!A:B,2,FALSE)</f>
        <v>53</v>
      </c>
      <c r="L660">
        <f>VLOOKUP(PREVIOS!I660,PLAN!A:B,2,FALSE)</f>
        <v>6</v>
      </c>
    </row>
    <row r="661" spans="1:12" x14ac:dyDescent="0.25">
      <c r="A661" t="str">
        <f t="shared" si="10"/>
        <v>A169M271C1</v>
      </c>
      <c r="C661">
        <v>660</v>
      </c>
      <c r="D661">
        <f>VLOOKUP(PREVIOS!C661,ALUMNOS!A:B,2,FALSE)</f>
        <v>169</v>
      </c>
      <c r="E661">
        <f>VLOOKUP(PREVIOS!E661&amp;'TABLA PREVIOS'!J661,MATERIAS!A:H,7,FALSE)</f>
        <v>271</v>
      </c>
      <c r="F661">
        <f>VLOOKUP(PREVIOS!G661,CONDICION!A:B,2,FALSE)</f>
        <v>1</v>
      </c>
      <c r="G661">
        <f>IF(PREVIOS!AG661=1,1,VLOOKUP(PREVIOS!AG661,CALIFICACION!A:C,3,FALSE))</f>
        <v>1</v>
      </c>
      <c r="H661" s="1" t="s">
        <v>534</v>
      </c>
      <c r="I661" s="1" t="s">
        <v>534</v>
      </c>
      <c r="J661">
        <f>VLOOKUP(PREVIOS!F661&amp;VLOOKUP(PREVIOS!I661,PLAN!A:B,2,FALSE),CURSO!A:D,4,FALSE)</f>
        <v>21</v>
      </c>
      <c r="K661">
        <f>VLOOKUP(PREVIOS!H661,CICLO!A:B,2,FALSE)</f>
        <v>53</v>
      </c>
      <c r="L661">
        <f>VLOOKUP(PREVIOS!I661,PLAN!A:B,2,FALSE)</f>
        <v>6</v>
      </c>
    </row>
    <row r="662" spans="1:12" x14ac:dyDescent="0.25">
      <c r="A662" t="str">
        <f t="shared" si="10"/>
        <v>A169M285C1</v>
      </c>
      <c r="C662">
        <v>661</v>
      </c>
      <c r="D662">
        <f>VLOOKUP(PREVIOS!C662,ALUMNOS!A:B,2,FALSE)</f>
        <v>169</v>
      </c>
      <c r="E662">
        <f>VLOOKUP(PREVIOS!E662&amp;'TABLA PREVIOS'!J662,MATERIAS!A:H,7,FALSE)</f>
        <v>285</v>
      </c>
      <c r="F662">
        <f>VLOOKUP(PREVIOS!G662,CONDICION!A:B,2,FALSE)</f>
        <v>1</v>
      </c>
      <c r="G662">
        <f>IF(PREVIOS!AG662=1,1,VLOOKUP(PREVIOS!AG662,CALIFICACION!A:C,3,FALSE))</f>
        <v>1</v>
      </c>
      <c r="H662" s="1" t="s">
        <v>534</v>
      </c>
      <c r="I662" s="1" t="s">
        <v>534</v>
      </c>
      <c r="J662">
        <f>VLOOKUP(PREVIOS!F662&amp;VLOOKUP(PREVIOS!I662,PLAN!A:B,2,FALSE),CURSO!A:D,4,FALSE)</f>
        <v>22</v>
      </c>
      <c r="K662">
        <f>VLOOKUP(PREVIOS!H662,CICLO!A:B,2,FALSE)</f>
        <v>54</v>
      </c>
      <c r="L662">
        <f>VLOOKUP(PREVIOS!I662,PLAN!A:B,2,FALSE)</f>
        <v>6</v>
      </c>
    </row>
    <row r="663" spans="1:12" x14ac:dyDescent="0.25">
      <c r="A663" t="str">
        <f t="shared" si="10"/>
        <v>A169M289C1</v>
      </c>
      <c r="C663">
        <v>662</v>
      </c>
      <c r="D663">
        <f>VLOOKUP(PREVIOS!C663,ALUMNOS!A:B,2,FALSE)</f>
        <v>169</v>
      </c>
      <c r="E663">
        <f>VLOOKUP(PREVIOS!E663&amp;'TABLA PREVIOS'!J663,MATERIAS!A:H,7,FALSE)</f>
        <v>289</v>
      </c>
      <c r="F663">
        <f>VLOOKUP(PREVIOS!G663,CONDICION!A:B,2,FALSE)</f>
        <v>1</v>
      </c>
      <c r="G663">
        <f>IF(PREVIOS!AG663=1,1,VLOOKUP(PREVIOS!AG663,CALIFICACION!A:C,3,FALSE))</f>
        <v>1</v>
      </c>
      <c r="H663" s="1" t="s">
        <v>534</v>
      </c>
      <c r="I663" s="1" t="s">
        <v>534</v>
      </c>
      <c r="J663">
        <f>VLOOKUP(PREVIOS!F663&amp;VLOOKUP(PREVIOS!I663,PLAN!A:B,2,FALSE),CURSO!A:D,4,FALSE)</f>
        <v>22</v>
      </c>
      <c r="K663">
        <f>VLOOKUP(PREVIOS!H663,CICLO!A:B,2,FALSE)</f>
        <v>54</v>
      </c>
      <c r="L663">
        <f>VLOOKUP(PREVIOS!I663,PLAN!A:B,2,FALSE)</f>
        <v>6</v>
      </c>
    </row>
    <row r="664" spans="1:12" x14ac:dyDescent="0.25">
      <c r="A664" t="str">
        <f t="shared" si="10"/>
        <v>A169M284C1</v>
      </c>
      <c r="C664">
        <v>663</v>
      </c>
      <c r="D664">
        <f>VLOOKUP(PREVIOS!C664,ALUMNOS!A:B,2,FALSE)</f>
        <v>169</v>
      </c>
      <c r="E664">
        <f>VLOOKUP(PREVIOS!E664&amp;'TABLA PREVIOS'!J664,MATERIAS!A:H,7,FALSE)</f>
        <v>284</v>
      </c>
      <c r="F664">
        <f>VLOOKUP(PREVIOS!G664,CONDICION!A:B,2,FALSE)</f>
        <v>1</v>
      </c>
      <c r="G664">
        <f>IF(PREVIOS!AG664=1,1,VLOOKUP(PREVIOS!AG664,CALIFICACION!A:C,3,FALSE))</f>
        <v>1</v>
      </c>
      <c r="H664" s="1" t="s">
        <v>534</v>
      </c>
      <c r="I664" s="1" t="s">
        <v>534</v>
      </c>
      <c r="J664">
        <f>VLOOKUP(PREVIOS!F664&amp;VLOOKUP(PREVIOS!I664,PLAN!A:B,2,FALSE),CURSO!A:D,4,FALSE)</f>
        <v>22</v>
      </c>
      <c r="K664">
        <f>VLOOKUP(PREVIOS!H664,CICLO!A:B,2,FALSE)</f>
        <v>54</v>
      </c>
      <c r="L664">
        <f>VLOOKUP(PREVIOS!I664,PLAN!A:B,2,FALSE)</f>
        <v>6</v>
      </c>
    </row>
    <row r="665" spans="1:12" x14ac:dyDescent="0.25">
      <c r="A665" t="str">
        <f t="shared" si="10"/>
        <v>A169M287C1</v>
      </c>
      <c r="C665">
        <v>664</v>
      </c>
      <c r="D665">
        <f>VLOOKUP(PREVIOS!C665,ALUMNOS!A:B,2,FALSE)</f>
        <v>169</v>
      </c>
      <c r="E665">
        <f>VLOOKUP(PREVIOS!E665&amp;'TABLA PREVIOS'!J665,MATERIAS!A:H,7,FALSE)</f>
        <v>287</v>
      </c>
      <c r="F665">
        <f>VLOOKUP(PREVIOS!G665,CONDICION!A:B,2,FALSE)</f>
        <v>1</v>
      </c>
      <c r="G665">
        <f>IF(PREVIOS!AG665=1,1,VLOOKUP(PREVIOS!AG665,CALIFICACION!A:C,3,FALSE))</f>
        <v>1</v>
      </c>
      <c r="H665" s="1" t="s">
        <v>534</v>
      </c>
      <c r="I665" s="1" t="s">
        <v>534</v>
      </c>
      <c r="J665">
        <f>VLOOKUP(PREVIOS!F665&amp;VLOOKUP(PREVIOS!I665,PLAN!A:B,2,FALSE),CURSO!A:D,4,FALSE)</f>
        <v>22</v>
      </c>
      <c r="K665">
        <f>VLOOKUP(PREVIOS!H665,CICLO!A:B,2,FALSE)</f>
        <v>54</v>
      </c>
      <c r="L665">
        <f>VLOOKUP(PREVIOS!I665,PLAN!A:B,2,FALSE)</f>
        <v>6</v>
      </c>
    </row>
    <row r="666" spans="1:12" x14ac:dyDescent="0.25">
      <c r="A666" t="str">
        <f t="shared" si="10"/>
        <v>A169M286C1</v>
      </c>
      <c r="C666">
        <v>665</v>
      </c>
      <c r="D666">
        <f>VLOOKUP(PREVIOS!C666,ALUMNOS!A:B,2,FALSE)</f>
        <v>169</v>
      </c>
      <c r="E666">
        <f>VLOOKUP(PREVIOS!E666&amp;'TABLA PREVIOS'!J666,MATERIAS!A:H,7,FALSE)</f>
        <v>286</v>
      </c>
      <c r="F666">
        <f>VLOOKUP(PREVIOS!G666,CONDICION!A:B,2,FALSE)</f>
        <v>1</v>
      </c>
      <c r="G666">
        <f>IF(PREVIOS!AG666=1,1,VLOOKUP(PREVIOS!AG666,CALIFICACION!A:C,3,FALSE))</f>
        <v>1</v>
      </c>
      <c r="H666" s="1" t="s">
        <v>534</v>
      </c>
      <c r="I666" s="1" t="s">
        <v>534</v>
      </c>
      <c r="J666">
        <f>VLOOKUP(PREVIOS!F666&amp;VLOOKUP(PREVIOS!I666,PLAN!A:B,2,FALSE),CURSO!A:D,4,FALSE)</f>
        <v>22</v>
      </c>
      <c r="K666">
        <f>VLOOKUP(PREVIOS!H666,CICLO!A:B,2,FALSE)</f>
        <v>54</v>
      </c>
      <c r="L666">
        <f>VLOOKUP(PREVIOS!I666,PLAN!A:B,2,FALSE)</f>
        <v>6</v>
      </c>
    </row>
    <row r="667" spans="1:12" x14ac:dyDescent="0.25">
      <c r="A667" t="str">
        <f t="shared" si="10"/>
        <v>A169M292C1</v>
      </c>
      <c r="C667">
        <v>666</v>
      </c>
      <c r="D667">
        <f>VLOOKUP(PREVIOS!C667,ALUMNOS!A:B,2,FALSE)</f>
        <v>169</v>
      </c>
      <c r="E667">
        <f>VLOOKUP(PREVIOS!E667&amp;'TABLA PREVIOS'!J667,MATERIAS!A:H,7,FALSE)</f>
        <v>292</v>
      </c>
      <c r="F667">
        <f>VLOOKUP(PREVIOS!G667,CONDICION!A:B,2,FALSE)</f>
        <v>1</v>
      </c>
      <c r="G667">
        <f>IF(PREVIOS!AG667=1,1,VLOOKUP(PREVIOS!AG667,CALIFICACION!A:C,3,FALSE))</f>
        <v>1</v>
      </c>
      <c r="H667" s="1" t="s">
        <v>534</v>
      </c>
      <c r="I667" s="1" t="s">
        <v>534</v>
      </c>
      <c r="J667">
        <f>VLOOKUP(PREVIOS!F667&amp;VLOOKUP(PREVIOS!I667,PLAN!A:B,2,FALSE),CURSO!A:D,4,FALSE)</f>
        <v>22</v>
      </c>
      <c r="K667">
        <f>VLOOKUP(PREVIOS!H667,CICLO!A:B,2,FALSE)</f>
        <v>54</v>
      </c>
      <c r="L667">
        <f>VLOOKUP(PREVIOS!I667,PLAN!A:B,2,FALSE)</f>
        <v>6</v>
      </c>
    </row>
    <row r="668" spans="1:12" x14ac:dyDescent="0.25">
      <c r="A668" t="str">
        <f t="shared" si="10"/>
        <v>A169M291C1</v>
      </c>
      <c r="C668">
        <v>667</v>
      </c>
      <c r="D668">
        <f>VLOOKUP(PREVIOS!C668,ALUMNOS!A:B,2,FALSE)</f>
        <v>169</v>
      </c>
      <c r="E668">
        <f>VLOOKUP(PREVIOS!E668&amp;'TABLA PREVIOS'!J668,MATERIAS!A:H,7,FALSE)</f>
        <v>291</v>
      </c>
      <c r="F668">
        <f>VLOOKUP(PREVIOS!G668,CONDICION!A:B,2,FALSE)</f>
        <v>1</v>
      </c>
      <c r="G668">
        <f>IF(PREVIOS!AG668=1,1,VLOOKUP(PREVIOS!AG668,CALIFICACION!A:C,3,FALSE))</f>
        <v>1</v>
      </c>
      <c r="H668" s="1" t="s">
        <v>534</v>
      </c>
      <c r="I668" s="1" t="s">
        <v>534</v>
      </c>
      <c r="J668">
        <f>VLOOKUP(PREVIOS!F668&amp;VLOOKUP(PREVIOS!I668,PLAN!A:B,2,FALSE),CURSO!A:D,4,FALSE)</f>
        <v>22</v>
      </c>
      <c r="K668">
        <f>VLOOKUP(PREVIOS!H668,CICLO!A:B,2,FALSE)</f>
        <v>54</v>
      </c>
      <c r="L668">
        <f>VLOOKUP(PREVIOS!I668,PLAN!A:B,2,FALSE)</f>
        <v>6</v>
      </c>
    </row>
    <row r="669" spans="1:12" x14ac:dyDescent="0.25">
      <c r="A669" t="str">
        <f t="shared" si="10"/>
        <v>A169M282C1</v>
      </c>
      <c r="C669">
        <v>668</v>
      </c>
      <c r="D669">
        <f>VLOOKUP(PREVIOS!C669,ALUMNOS!A:B,2,FALSE)</f>
        <v>169</v>
      </c>
      <c r="E669">
        <f>VLOOKUP(PREVIOS!E669&amp;'TABLA PREVIOS'!J669,MATERIAS!A:H,7,FALSE)</f>
        <v>282</v>
      </c>
      <c r="F669">
        <f>VLOOKUP(PREVIOS!G669,CONDICION!A:B,2,FALSE)</f>
        <v>1</v>
      </c>
      <c r="G669">
        <f>IF(PREVIOS!AG669=1,1,VLOOKUP(PREVIOS!AG669,CALIFICACION!A:C,3,FALSE))</f>
        <v>1</v>
      </c>
      <c r="H669" s="1" t="s">
        <v>534</v>
      </c>
      <c r="I669" s="1" t="s">
        <v>534</v>
      </c>
      <c r="J669">
        <f>VLOOKUP(PREVIOS!F669&amp;VLOOKUP(PREVIOS!I669,PLAN!A:B,2,FALSE),CURSO!A:D,4,FALSE)</f>
        <v>22</v>
      </c>
      <c r="K669">
        <f>VLOOKUP(PREVIOS!H669,CICLO!A:B,2,FALSE)</f>
        <v>54</v>
      </c>
      <c r="L669">
        <f>VLOOKUP(PREVIOS!I669,PLAN!A:B,2,FALSE)</f>
        <v>6</v>
      </c>
    </row>
    <row r="670" spans="1:12" x14ac:dyDescent="0.25">
      <c r="A670" t="str">
        <f t="shared" si="10"/>
        <v>A169M279C1</v>
      </c>
      <c r="C670">
        <v>669</v>
      </c>
      <c r="D670">
        <f>VLOOKUP(PREVIOS!C670,ALUMNOS!A:B,2,FALSE)</f>
        <v>169</v>
      </c>
      <c r="E670">
        <f>VLOOKUP(PREVIOS!E670&amp;'TABLA PREVIOS'!J670,MATERIAS!A:H,7,FALSE)</f>
        <v>279</v>
      </c>
      <c r="F670">
        <f>VLOOKUP(PREVIOS!G670,CONDICION!A:B,2,FALSE)</f>
        <v>1</v>
      </c>
      <c r="G670">
        <f>IF(PREVIOS!AG670=1,1,VLOOKUP(PREVIOS!AG670,CALIFICACION!A:C,3,FALSE))</f>
        <v>1</v>
      </c>
      <c r="H670" s="1" t="s">
        <v>534</v>
      </c>
      <c r="I670" s="1" t="s">
        <v>534</v>
      </c>
      <c r="J670">
        <f>VLOOKUP(PREVIOS!F670&amp;VLOOKUP(PREVIOS!I670,PLAN!A:B,2,FALSE),CURSO!A:D,4,FALSE)</f>
        <v>22</v>
      </c>
      <c r="K670">
        <f>VLOOKUP(PREVIOS!H670,CICLO!A:B,2,FALSE)</f>
        <v>54</v>
      </c>
      <c r="L670">
        <f>VLOOKUP(PREVIOS!I670,PLAN!A:B,2,FALSE)</f>
        <v>6</v>
      </c>
    </row>
    <row r="671" spans="1:12" x14ac:dyDescent="0.25">
      <c r="A671" t="str">
        <f t="shared" si="10"/>
        <v>A169M280C1</v>
      </c>
      <c r="C671">
        <v>670</v>
      </c>
      <c r="D671">
        <f>VLOOKUP(PREVIOS!C671,ALUMNOS!A:B,2,FALSE)</f>
        <v>169</v>
      </c>
      <c r="E671">
        <f>VLOOKUP(PREVIOS!E671&amp;'TABLA PREVIOS'!J671,MATERIAS!A:H,7,FALSE)</f>
        <v>280</v>
      </c>
      <c r="F671">
        <f>VLOOKUP(PREVIOS!G671,CONDICION!A:B,2,FALSE)</f>
        <v>1</v>
      </c>
      <c r="G671">
        <f>IF(PREVIOS!AG671=1,1,VLOOKUP(PREVIOS!AG671,CALIFICACION!A:C,3,FALSE))</f>
        <v>1</v>
      </c>
      <c r="H671" s="1" t="s">
        <v>534</v>
      </c>
      <c r="I671" s="1" t="s">
        <v>534</v>
      </c>
      <c r="J671">
        <f>VLOOKUP(PREVIOS!F671&amp;VLOOKUP(PREVIOS!I671,PLAN!A:B,2,FALSE),CURSO!A:D,4,FALSE)</f>
        <v>22</v>
      </c>
      <c r="K671">
        <f>VLOOKUP(PREVIOS!H671,CICLO!A:B,2,FALSE)</f>
        <v>54</v>
      </c>
      <c r="L671">
        <f>VLOOKUP(PREVIOS!I671,PLAN!A:B,2,FALSE)</f>
        <v>6</v>
      </c>
    </row>
    <row r="672" spans="1:12" x14ac:dyDescent="0.25">
      <c r="A672" t="str">
        <f t="shared" si="10"/>
        <v>A169M281C1</v>
      </c>
      <c r="C672">
        <v>671</v>
      </c>
      <c r="D672">
        <f>VLOOKUP(PREVIOS!C672,ALUMNOS!A:B,2,FALSE)</f>
        <v>169</v>
      </c>
      <c r="E672">
        <f>VLOOKUP(PREVIOS!E672&amp;'TABLA PREVIOS'!J672,MATERIAS!A:H,7,FALSE)</f>
        <v>281</v>
      </c>
      <c r="F672">
        <f>VLOOKUP(PREVIOS!G672,CONDICION!A:B,2,FALSE)</f>
        <v>1</v>
      </c>
      <c r="G672">
        <f>IF(PREVIOS!AG672=1,1,VLOOKUP(PREVIOS!AG672,CALIFICACION!A:C,3,FALSE))</f>
        <v>1</v>
      </c>
      <c r="H672" s="1" t="s">
        <v>534</v>
      </c>
      <c r="I672" s="1" t="s">
        <v>534</v>
      </c>
      <c r="J672">
        <f>VLOOKUP(PREVIOS!F672&amp;VLOOKUP(PREVIOS!I672,PLAN!A:B,2,FALSE),CURSO!A:D,4,FALSE)</f>
        <v>22</v>
      </c>
      <c r="K672">
        <f>VLOOKUP(PREVIOS!H672,CICLO!A:B,2,FALSE)</f>
        <v>54</v>
      </c>
      <c r="L672">
        <f>VLOOKUP(PREVIOS!I672,PLAN!A:B,2,FALSE)</f>
        <v>6</v>
      </c>
    </row>
    <row r="673" spans="1:12" x14ac:dyDescent="0.25">
      <c r="A673" t="str">
        <f t="shared" si="10"/>
        <v>A169M288C1</v>
      </c>
      <c r="C673">
        <v>672</v>
      </c>
      <c r="D673">
        <f>VLOOKUP(PREVIOS!C673,ALUMNOS!A:B,2,FALSE)</f>
        <v>169</v>
      </c>
      <c r="E673">
        <f>VLOOKUP(PREVIOS!E673&amp;'TABLA PREVIOS'!J673,MATERIAS!A:H,7,FALSE)</f>
        <v>288</v>
      </c>
      <c r="F673">
        <f>VLOOKUP(PREVIOS!G673,CONDICION!A:B,2,FALSE)</f>
        <v>1</v>
      </c>
      <c r="G673">
        <f>IF(PREVIOS!AG673=1,1,VLOOKUP(PREVIOS!AG673,CALIFICACION!A:C,3,FALSE))</f>
        <v>1</v>
      </c>
      <c r="H673" s="1" t="s">
        <v>534</v>
      </c>
      <c r="I673" s="1" t="s">
        <v>534</v>
      </c>
      <c r="J673">
        <f>VLOOKUP(PREVIOS!F673&amp;VLOOKUP(PREVIOS!I673,PLAN!A:B,2,FALSE),CURSO!A:D,4,FALSE)</f>
        <v>22</v>
      </c>
      <c r="K673">
        <f>VLOOKUP(PREVIOS!H673,CICLO!A:B,2,FALSE)</f>
        <v>54</v>
      </c>
      <c r="L673">
        <f>VLOOKUP(PREVIOS!I673,PLAN!A:B,2,FALSE)</f>
        <v>6</v>
      </c>
    </row>
    <row r="674" spans="1:12" x14ac:dyDescent="0.25">
      <c r="A674" t="str">
        <f t="shared" si="10"/>
        <v>A169M290C1</v>
      </c>
      <c r="C674">
        <v>673</v>
      </c>
      <c r="D674">
        <f>VLOOKUP(PREVIOS!C674,ALUMNOS!A:B,2,FALSE)</f>
        <v>169</v>
      </c>
      <c r="E674">
        <f>VLOOKUP(PREVIOS!E674&amp;'TABLA PREVIOS'!J674,MATERIAS!A:H,7,FALSE)</f>
        <v>290</v>
      </c>
      <c r="F674">
        <f>VLOOKUP(PREVIOS!G674,CONDICION!A:B,2,FALSE)</f>
        <v>1</v>
      </c>
      <c r="G674">
        <f>IF(PREVIOS!AG674=1,1,VLOOKUP(PREVIOS!AG674,CALIFICACION!A:C,3,FALSE))</f>
        <v>1</v>
      </c>
      <c r="H674" s="1" t="s">
        <v>534</v>
      </c>
      <c r="I674" s="1" t="s">
        <v>534</v>
      </c>
      <c r="J674">
        <f>VLOOKUP(PREVIOS!F674&amp;VLOOKUP(PREVIOS!I674,PLAN!A:B,2,FALSE),CURSO!A:D,4,FALSE)</f>
        <v>22</v>
      </c>
      <c r="K674">
        <f>VLOOKUP(PREVIOS!H674,CICLO!A:B,2,FALSE)</f>
        <v>54</v>
      </c>
      <c r="L674">
        <f>VLOOKUP(PREVIOS!I674,PLAN!A:B,2,FALSE)</f>
        <v>6</v>
      </c>
    </row>
    <row r="675" spans="1:12" x14ac:dyDescent="0.25">
      <c r="A675" t="str">
        <f t="shared" si="10"/>
        <v>A255M265C1</v>
      </c>
      <c r="C675">
        <v>674</v>
      </c>
      <c r="D675">
        <f>VLOOKUP(PREVIOS!C675,ALUMNOS!A:B,2,FALSE)</f>
        <v>255</v>
      </c>
      <c r="E675">
        <f>VLOOKUP(PREVIOS!E675&amp;'TABLA PREVIOS'!J675,MATERIAS!A:H,7,FALSE)</f>
        <v>265</v>
      </c>
      <c r="F675">
        <f>VLOOKUP(PREVIOS!G675,CONDICION!A:B,2,FALSE)</f>
        <v>1</v>
      </c>
      <c r="G675">
        <f>IF(PREVIOS!AG675=1,1,VLOOKUP(PREVIOS!AG675,CALIFICACION!A:C,3,FALSE))</f>
        <v>1</v>
      </c>
      <c r="H675" s="1" t="s">
        <v>534</v>
      </c>
      <c r="I675" s="1" t="s">
        <v>534</v>
      </c>
      <c r="J675">
        <f>VLOOKUP(PREVIOS!F675&amp;VLOOKUP(PREVIOS!I675,PLAN!A:B,2,FALSE),CURSO!A:D,4,FALSE)</f>
        <v>21</v>
      </c>
      <c r="K675">
        <f>VLOOKUP(PREVIOS!H675,CICLO!A:B,2,FALSE)</f>
        <v>53</v>
      </c>
      <c r="L675">
        <f>VLOOKUP(PREVIOS!I675,PLAN!A:B,2,FALSE)</f>
        <v>6</v>
      </c>
    </row>
    <row r="676" spans="1:12" x14ac:dyDescent="0.25">
      <c r="A676" t="str">
        <f t="shared" si="10"/>
        <v>A299M271C1</v>
      </c>
      <c r="C676">
        <v>675</v>
      </c>
      <c r="D676">
        <f>VLOOKUP(PREVIOS!C676,ALUMNOS!A:B,2,FALSE)</f>
        <v>299</v>
      </c>
      <c r="E676">
        <f>VLOOKUP(PREVIOS!E676&amp;'TABLA PREVIOS'!J676,MATERIAS!A:H,7,FALSE)</f>
        <v>271</v>
      </c>
      <c r="F676">
        <f>VLOOKUP(PREVIOS!G676,CONDICION!A:B,2,FALSE)</f>
        <v>1</v>
      </c>
      <c r="G676">
        <f>IF(PREVIOS!AG676=1,1,VLOOKUP(PREVIOS!AG676,CALIFICACION!A:C,3,FALSE))</f>
        <v>1</v>
      </c>
      <c r="H676" s="1" t="s">
        <v>534</v>
      </c>
      <c r="I676" s="1" t="s">
        <v>534</v>
      </c>
      <c r="J676">
        <f>VLOOKUP(PREVIOS!F676&amp;VLOOKUP(PREVIOS!I676,PLAN!A:B,2,FALSE),CURSO!A:D,4,FALSE)</f>
        <v>21</v>
      </c>
      <c r="K676">
        <f>VLOOKUP(PREVIOS!H676,CICLO!A:B,2,FALSE)</f>
        <v>53</v>
      </c>
      <c r="L676">
        <f>VLOOKUP(PREVIOS!I676,PLAN!A:B,2,FALSE)</f>
        <v>6</v>
      </c>
    </row>
    <row r="677" spans="1:12" x14ac:dyDescent="0.25">
      <c r="A677" t="str">
        <f t="shared" si="10"/>
        <v>A299M273C1</v>
      </c>
      <c r="C677">
        <v>676</v>
      </c>
      <c r="D677">
        <f>VLOOKUP(PREVIOS!C677,ALUMNOS!A:B,2,FALSE)</f>
        <v>299</v>
      </c>
      <c r="E677">
        <f>VLOOKUP(PREVIOS!E677&amp;'TABLA PREVIOS'!J677,MATERIAS!A:H,7,FALSE)</f>
        <v>273</v>
      </c>
      <c r="F677">
        <f>VLOOKUP(PREVIOS!G677,CONDICION!A:B,2,FALSE)</f>
        <v>1</v>
      </c>
      <c r="G677">
        <f>IF(PREVIOS!AG677=1,1,VLOOKUP(PREVIOS!AG677,CALIFICACION!A:C,3,FALSE))</f>
        <v>1</v>
      </c>
      <c r="H677" s="1" t="s">
        <v>534</v>
      </c>
      <c r="I677" s="1" t="s">
        <v>534</v>
      </c>
      <c r="J677">
        <f>VLOOKUP(PREVIOS!F677&amp;VLOOKUP(PREVIOS!I677,PLAN!A:B,2,FALSE),CURSO!A:D,4,FALSE)</f>
        <v>21</v>
      </c>
      <c r="K677">
        <f>VLOOKUP(PREVIOS!H677,CICLO!A:B,2,FALSE)</f>
        <v>53</v>
      </c>
      <c r="L677">
        <f>VLOOKUP(PREVIOS!I677,PLAN!A:B,2,FALSE)</f>
        <v>6</v>
      </c>
    </row>
    <row r="678" spans="1:12" x14ac:dyDescent="0.25">
      <c r="A678" t="str">
        <f t="shared" si="10"/>
        <v>A299M285C1</v>
      </c>
      <c r="C678">
        <v>677</v>
      </c>
      <c r="D678">
        <f>VLOOKUP(PREVIOS!C678,ALUMNOS!A:B,2,FALSE)</f>
        <v>299</v>
      </c>
      <c r="E678">
        <f>VLOOKUP(PREVIOS!E678&amp;'TABLA PREVIOS'!J678,MATERIAS!A:H,7,FALSE)</f>
        <v>285</v>
      </c>
      <c r="F678">
        <f>VLOOKUP(PREVIOS!G678,CONDICION!A:B,2,FALSE)</f>
        <v>1</v>
      </c>
      <c r="G678">
        <f>IF(PREVIOS!AG678=1,1,VLOOKUP(PREVIOS!AG678,CALIFICACION!A:C,3,FALSE))</f>
        <v>1</v>
      </c>
      <c r="H678" s="1" t="s">
        <v>534</v>
      </c>
      <c r="I678" s="1" t="s">
        <v>534</v>
      </c>
      <c r="J678">
        <f>VLOOKUP(PREVIOS!F678&amp;VLOOKUP(PREVIOS!I678,PLAN!A:B,2,FALSE),CURSO!A:D,4,FALSE)</f>
        <v>22</v>
      </c>
      <c r="K678">
        <f>VLOOKUP(PREVIOS!H678,CICLO!A:B,2,FALSE)</f>
        <v>54</v>
      </c>
      <c r="L678">
        <f>VLOOKUP(PREVIOS!I678,PLAN!A:B,2,FALSE)</f>
        <v>6</v>
      </c>
    </row>
    <row r="679" spans="1:12" x14ac:dyDescent="0.25">
      <c r="A679" t="str">
        <f t="shared" si="10"/>
        <v>A299M289C1</v>
      </c>
      <c r="C679">
        <v>678</v>
      </c>
      <c r="D679">
        <f>VLOOKUP(PREVIOS!C679,ALUMNOS!A:B,2,FALSE)</f>
        <v>299</v>
      </c>
      <c r="E679">
        <f>VLOOKUP(PREVIOS!E679&amp;'TABLA PREVIOS'!J679,MATERIAS!A:H,7,FALSE)</f>
        <v>289</v>
      </c>
      <c r="F679">
        <f>VLOOKUP(PREVIOS!G679,CONDICION!A:B,2,FALSE)</f>
        <v>1</v>
      </c>
      <c r="G679">
        <f>IF(PREVIOS!AG679=1,1,VLOOKUP(PREVIOS!AG679,CALIFICACION!A:C,3,FALSE))</f>
        <v>1</v>
      </c>
      <c r="H679" s="1" t="s">
        <v>534</v>
      </c>
      <c r="I679" s="1" t="s">
        <v>534</v>
      </c>
      <c r="J679">
        <f>VLOOKUP(PREVIOS!F679&amp;VLOOKUP(PREVIOS!I679,PLAN!A:B,2,FALSE),CURSO!A:D,4,FALSE)</f>
        <v>22</v>
      </c>
      <c r="K679">
        <f>VLOOKUP(PREVIOS!H679,CICLO!A:B,2,FALSE)</f>
        <v>54</v>
      </c>
      <c r="L679">
        <f>VLOOKUP(PREVIOS!I679,PLAN!A:B,2,FALSE)</f>
        <v>6</v>
      </c>
    </row>
    <row r="680" spans="1:12" x14ac:dyDescent="0.25">
      <c r="A680" t="str">
        <f t="shared" si="10"/>
        <v>A299M287C1</v>
      </c>
      <c r="C680">
        <v>679</v>
      </c>
      <c r="D680">
        <f>VLOOKUP(PREVIOS!C680,ALUMNOS!A:B,2,FALSE)</f>
        <v>299</v>
      </c>
      <c r="E680">
        <f>VLOOKUP(PREVIOS!E680&amp;'TABLA PREVIOS'!J680,MATERIAS!A:H,7,FALSE)</f>
        <v>287</v>
      </c>
      <c r="F680">
        <f>VLOOKUP(PREVIOS!G680,CONDICION!A:B,2,FALSE)</f>
        <v>1</v>
      </c>
      <c r="G680">
        <f>IF(PREVIOS!AG680=1,1,VLOOKUP(PREVIOS!AG680,CALIFICACION!A:C,3,FALSE))</f>
        <v>1</v>
      </c>
      <c r="H680" s="1" t="s">
        <v>534</v>
      </c>
      <c r="I680" s="1" t="s">
        <v>534</v>
      </c>
      <c r="J680">
        <f>VLOOKUP(PREVIOS!F680&amp;VLOOKUP(PREVIOS!I680,PLAN!A:B,2,FALSE),CURSO!A:D,4,FALSE)</f>
        <v>22</v>
      </c>
      <c r="K680">
        <f>VLOOKUP(PREVIOS!H680,CICLO!A:B,2,FALSE)</f>
        <v>54</v>
      </c>
      <c r="L680">
        <f>VLOOKUP(PREVIOS!I680,PLAN!A:B,2,FALSE)</f>
        <v>6</v>
      </c>
    </row>
    <row r="681" spans="1:12" x14ac:dyDescent="0.25">
      <c r="A681" t="str">
        <f t="shared" si="10"/>
        <v>A299M286C1</v>
      </c>
      <c r="C681">
        <v>680</v>
      </c>
      <c r="D681">
        <f>VLOOKUP(PREVIOS!C681,ALUMNOS!A:B,2,FALSE)</f>
        <v>299</v>
      </c>
      <c r="E681">
        <f>VLOOKUP(PREVIOS!E681&amp;'TABLA PREVIOS'!J681,MATERIAS!A:H,7,FALSE)</f>
        <v>286</v>
      </c>
      <c r="F681">
        <f>VLOOKUP(PREVIOS!G681,CONDICION!A:B,2,FALSE)</f>
        <v>1</v>
      </c>
      <c r="G681">
        <f>IF(PREVIOS!AG681=1,1,VLOOKUP(PREVIOS!AG681,CALIFICACION!A:C,3,FALSE))</f>
        <v>1</v>
      </c>
      <c r="H681" s="1" t="s">
        <v>534</v>
      </c>
      <c r="I681" s="1" t="s">
        <v>534</v>
      </c>
      <c r="J681">
        <f>VLOOKUP(PREVIOS!F681&amp;VLOOKUP(PREVIOS!I681,PLAN!A:B,2,FALSE),CURSO!A:D,4,FALSE)</f>
        <v>22</v>
      </c>
      <c r="K681">
        <f>VLOOKUP(PREVIOS!H681,CICLO!A:B,2,FALSE)</f>
        <v>54</v>
      </c>
      <c r="L681">
        <f>VLOOKUP(PREVIOS!I681,PLAN!A:B,2,FALSE)</f>
        <v>6</v>
      </c>
    </row>
    <row r="682" spans="1:12" x14ac:dyDescent="0.25">
      <c r="A682" t="str">
        <f t="shared" si="10"/>
        <v>A299M288C1</v>
      </c>
      <c r="C682">
        <v>681</v>
      </c>
      <c r="D682">
        <f>VLOOKUP(PREVIOS!C682,ALUMNOS!A:B,2,FALSE)</f>
        <v>299</v>
      </c>
      <c r="E682">
        <f>VLOOKUP(PREVIOS!E682&amp;'TABLA PREVIOS'!J682,MATERIAS!A:H,7,FALSE)</f>
        <v>288</v>
      </c>
      <c r="F682">
        <f>VLOOKUP(PREVIOS!G682,CONDICION!A:B,2,FALSE)</f>
        <v>1</v>
      </c>
      <c r="G682">
        <f>IF(PREVIOS!AG682=1,1,VLOOKUP(PREVIOS!AG682,CALIFICACION!A:C,3,FALSE))</f>
        <v>1</v>
      </c>
      <c r="H682" s="1" t="s">
        <v>534</v>
      </c>
      <c r="I682" s="1" t="s">
        <v>534</v>
      </c>
      <c r="J682">
        <f>VLOOKUP(PREVIOS!F682&amp;VLOOKUP(PREVIOS!I682,PLAN!A:B,2,FALSE),CURSO!A:D,4,FALSE)</f>
        <v>22</v>
      </c>
      <c r="K682">
        <f>VLOOKUP(PREVIOS!H682,CICLO!A:B,2,FALSE)</f>
        <v>54</v>
      </c>
      <c r="L682">
        <f>VLOOKUP(PREVIOS!I682,PLAN!A:B,2,FALSE)</f>
        <v>6</v>
      </c>
    </row>
    <row r="683" spans="1:12" x14ac:dyDescent="0.25">
      <c r="A683" t="str">
        <f t="shared" si="10"/>
        <v>A299M290C1</v>
      </c>
      <c r="C683">
        <v>682</v>
      </c>
      <c r="D683">
        <f>VLOOKUP(PREVIOS!C683,ALUMNOS!A:B,2,FALSE)</f>
        <v>299</v>
      </c>
      <c r="E683">
        <f>VLOOKUP(PREVIOS!E683&amp;'TABLA PREVIOS'!J683,MATERIAS!A:H,7,FALSE)</f>
        <v>290</v>
      </c>
      <c r="F683">
        <f>VLOOKUP(PREVIOS!G683,CONDICION!A:B,2,FALSE)</f>
        <v>1</v>
      </c>
      <c r="G683">
        <f>IF(PREVIOS!AG683=1,1,VLOOKUP(PREVIOS!AG683,CALIFICACION!A:C,3,FALSE))</f>
        <v>1</v>
      </c>
      <c r="H683" s="1" t="s">
        <v>534</v>
      </c>
      <c r="I683" s="1" t="s">
        <v>534</v>
      </c>
      <c r="J683">
        <f>VLOOKUP(PREVIOS!F683&amp;VLOOKUP(PREVIOS!I683,PLAN!A:B,2,FALSE),CURSO!A:D,4,FALSE)</f>
        <v>22</v>
      </c>
      <c r="K683">
        <f>VLOOKUP(PREVIOS!H683,CICLO!A:B,2,FALSE)</f>
        <v>54</v>
      </c>
      <c r="L683">
        <f>VLOOKUP(PREVIOS!I683,PLAN!A:B,2,FALSE)</f>
        <v>6</v>
      </c>
    </row>
    <row r="684" spans="1:12" x14ac:dyDescent="0.25">
      <c r="A684" t="str">
        <f t="shared" si="10"/>
        <v>A335M252C1</v>
      </c>
      <c r="C684">
        <v>683</v>
      </c>
      <c r="D684">
        <f>VLOOKUP(PREVIOS!C684,ALUMNOS!A:B,2,FALSE)</f>
        <v>335</v>
      </c>
      <c r="E684">
        <f>VLOOKUP(PREVIOS!E684&amp;'TABLA PREVIOS'!J684,MATERIAS!A:H,7,FALSE)</f>
        <v>252</v>
      </c>
      <c r="F684">
        <f>VLOOKUP(PREVIOS!G684,CONDICION!A:B,2,FALSE)</f>
        <v>1</v>
      </c>
      <c r="G684">
        <f>IF(PREVIOS!AG684=1,1,VLOOKUP(PREVIOS!AG684,CALIFICACION!A:C,3,FALSE))</f>
        <v>1</v>
      </c>
      <c r="H684" s="1" t="s">
        <v>534</v>
      </c>
      <c r="I684" s="1" t="s">
        <v>534</v>
      </c>
      <c r="J684">
        <f>VLOOKUP(PREVIOS!F684&amp;VLOOKUP(PREVIOS!I684,PLAN!A:B,2,FALSE),CURSO!A:D,4,FALSE)</f>
        <v>20</v>
      </c>
      <c r="K684">
        <f>VLOOKUP(PREVIOS!H684,CICLO!A:B,2,FALSE)</f>
        <v>52</v>
      </c>
      <c r="L684">
        <f>VLOOKUP(PREVIOS!I684,PLAN!A:B,2,FALSE)</f>
        <v>6</v>
      </c>
    </row>
    <row r="685" spans="1:12" x14ac:dyDescent="0.25">
      <c r="A685" t="str">
        <f t="shared" si="10"/>
        <v>A335M285C1</v>
      </c>
      <c r="C685">
        <v>684</v>
      </c>
      <c r="D685">
        <f>VLOOKUP(PREVIOS!C685,ALUMNOS!A:B,2,FALSE)</f>
        <v>335</v>
      </c>
      <c r="E685">
        <f>VLOOKUP(PREVIOS!E685&amp;'TABLA PREVIOS'!J685,MATERIAS!A:H,7,FALSE)</f>
        <v>285</v>
      </c>
      <c r="F685">
        <f>VLOOKUP(PREVIOS!G685,CONDICION!A:B,2,FALSE)</f>
        <v>1</v>
      </c>
      <c r="G685">
        <f>IF(PREVIOS!AG685=1,1,VLOOKUP(PREVIOS!AG685,CALIFICACION!A:C,3,FALSE))</f>
        <v>1</v>
      </c>
      <c r="H685" s="1" t="s">
        <v>534</v>
      </c>
      <c r="I685" s="1" t="s">
        <v>534</v>
      </c>
      <c r="J685">
        <f>VLOOKUP(PREVIOS!F685&amp;VLOOKUP(PREVIOS!I685,PLAN!A:B,2,FALSE),CURSO!A:D,4,FALSE)</f>
        <v>22</v>
      </c>
      <c r="K685">
        <f>VLOOKUP(PREVIOS!H685,CICLO!A:B,2,FALSE)</f>
        <v>54</v>
      </c>
      <c r="L685">
        <f>VLOOKUP(PREVIOS!I685,PLAN!A:B,2,FALSE)</f>
        <v>6</v>
      </c>
    </row>
    <row r="686" spans="1:12" x14ac:dyDescent="0.25">
      <c r="A686" t="str">
        <f t="shared" si="10"/>
        <v>A335M289C1</v>
      </c>
      <c r="C686">
        <v>685</v>
      </c>
      <c r="D686">
        <f>VLOOKUP(PREVIOS!C686,ALUMNOS!A:B,2,FALSE)</f>
        <v>335</v>
      </c>
      <c r="E686">
        <f>VLOOKUP(PREVIOS!E686&amp;'TABLA PREVIOS'!J686,MATERIAS!A:H,7,FALSE)</f>
        <v>289</v>
      </c>
      <c r="F686">
        <f>VLOOKUP(PREVIOS!G686,CONDICION!A:B,2,FALSE)</f>
        <v>1</v>
      </c>
      <c r="G686">
        <f>IF(PREVIOS!AG686=1,1,VLOOKUP(PREVIOS!AG686,CALIFICACION!A:C,3,FALSE))</f>
        <v>1</v>
      </c>
      <c r="H686" s="1" t="s">
        <v>534</v>
      </c>
      <c r="I686" s="1" t="s">
        <v>534</v>
      </c>
      <c r="J686">
        <f>VLOOKUP(PREVIOS!F686&amp;VLOOKUP(PREVIOS!I686,PLAN!A:B,2,FALSE),CURSO!A:D,4,FALSE)</f>
        <v>22</v>
      </c>
      <c r="K686">
        <f>VLOOKUP(PREVIOS!H686,CICLO!A:B,2,FALSE)</f>
        <v>54</v>
      </c>
      <c r="L686">
        <f>VLOOKUP(PREVIOS!I686,PLAN!A:B,2,FALSE)</f>
        <v>6</v>
      </c>
    </row>
    <row r="687" spans="1:12" x14ac:dyDescent="0.25">
      <c r="A687" t="str">
        <f t="shared" si="10"/>
        <v>A335M287C1</v>
      </c>
      <c r="C687">
        <v>686</v>
      </c>
      <c r="D687">
        <f>VLOOKUP(PREVIOS!C687,ALUMNOS!A:B,2,FALSE)</f>
        <v>335</v>
      </c>
      <c r="E687">
        <f>VLOOKUP(PREVIOS!E687&amp;'TABLA PREVIOS'!J687,MATERIAS!A:H,7,FALSE)</f>
        <v>287</v>
      </c>
      <c r="F687">
        <f>VLOOKUP(PREVIOS!G687,CONDICION!A:B,2,FALSE)</f>
        <v>1</v>
      </c>
      <c r="G687">
        <f>IF(PREVIOS!AG687=1,1,VLOOKUP(PREVIOS!AG687,CALIFICACION!A:C,3,FALSE))</f>
        <v>1</v>
      </c>
      <c r="H687" s="1" t="s">
        <v>534</v>
      </c>
      <c r="I687" s="1" t="s">
        <v>534</v>
      </c>
      <c r="J687">
        <f>VLOOKUP(PREVIOS!F687&amp;VLOOKUP(PREVIOS!I687,PLAN!A:B,2,FALSE),CURSO!A:D,4,FALSE)</f>
        <v>22</v>
      </c>
      <c r="K687">
        <f>VLOOKUP(PREVIOS!H687,CICLO!A:B,2,FALSE)</f>
        <v>54</v>
      </c>
      <c r="L687">
        <f>VLOOKUP(PREVIOS!I687,PLAN!A:B,2,FALSE)</f>
        <v>6</v>
      </c>
    </row>
    <row r="688" spans="1:12" x14ac:dyDescent="0.25">
      <c r="A688" t="str">
        <f t="shared" si="10"/>
        <v>A335M286C1</v>
      </c>
      <c r="C688">
        <v>687</v>
      </c>
      <c r="D688">
        <f>VLOOKUP(PREVIOS!C688,ALUMNOS!A:B,2,FALSE)</f>
        <v>335</v>
      </c>
      <c r="E688">
        <f>VLOOKUP(PREVIOS!E688&amp;'TABLA PREVIOS'!J688,MATERIAS!A:H,7,FALSE)</f>
        <v>286</v>
      </c>
      <c r="F688">
        <f>VLOOKUP(PREVIOS!G688,CONDICION!A:B,2,FALSE)</f>
        <v>1</v>
      </c>
      <c r="G688">
        <f>IF(PREVIOS!AG688=1,1,VLOOKUP(PREVIOS!AG688,CALIFICACION!A:C,3,FALSE))</f>
        <v>1</v>
      </c>
      <c r="H688" s="1" t="s">
        <v>534</v>
      </c>
      <c r="I688" s="1" t="s">
        <v>534</v>
      </c>
      <c r="J688">
        <f>VLOOKUP(PREVIOS!F688&amp;VLOOKUP(PREVIOS!I688,PLAN!A:B,2,FALSE),CURSO!A:D,4,FALSE)</f>
        <v>22</v>
      </c>
      <c r="K688">
        <f>VLOOKUP(PREVIOS!H688,CICLO!A:B,2,FALSE)</f>
        <v>54</v>
      </c>
      <c r="L688">
        <f>VLOOKUP(PREVIOS!I688,PLAN!A:B,2,FALSE)</f>
        <v>6</v>
      </c>
    </row>
    <row r="689" spans="1:12" x14ac:dyDescent="0.25">
      <c r="A689" t="str">
        <f t="shared" si="10"/>
        <v>A335M280C1</v>
      </c>
      <c r="C689">
        <v>688</v>
      </c>
      <c r="D689">
        <f>VLOOKUP(PREVIOS!C689,ALUMNOS!A:B,2,FALSE)</f>
        <v>335</v>
      </c>
      <c r="E689">
        <f>VLOOKUP(PREVIOS!E689&amp;'TABLA PREVIOS'!J689,MATERIAS!A:H,7,FALSE)</f>
        <v>280</v>
      </c>
      <c r="F689">
        <f>VLOOKUP(PREVIOS!G689,CONDICION!A:B,2,FALSE)</f>
        <v>1</v>
      </c>
      <c r="G689">
        <f>IF(PREVIOS!AG689=1,1,VLOOKUP(PREVIOS!AG689,CALIFICACION!A:C,3,FALSE))</f>
        <v>1</v>
      </c>
      <c r="H689" s="1" t="s">
        <v>534</v>
      </c>
      <c r="I689" s="1" t="s">
        <v>534</v>
      </c>
      <c r="J689">
        <f>VLOOKUP(PREVIOS!F689&amp;VLOOKUP(PREVIOS!I689,PLAN!A:B,2,FALSE),CURSO!A:D,4,FALSE)</f>
        <v>22</v>
      </c>
      <c r="K689">
        <f>VLOOKUP(PREVIOS!H689,CICLO!A:B,2,FALSE)</f>
        <v>54</v>
      </c>
      <c r="L689">
        <f>VLOOKUP(PREVIOS!I689,PLAN!A:B,2,FALSE)</f>
        <v>6</v>
      </c>
    </row>
    <row r="690" spans="1:12" x14ac:dyDescent="0.25">
      <c r="A690" t="str">
        <f t="shared" si="10"/>
        <v>A335M288C1</v>
      </c>
      <c r="C690">
        <v>689</v>
      </c>
      <c r="D690">
        <f>VLOOKUP(PREVIOS!C690,ALUMNOS!A:B,2,FALSE)</f>
        <v>335</v>
      </c>
      <c r="E690">
        <f>VLOOKUP(PREVIOS!E690&amp;'TABLA PREVIOS'!J690,MATERIAS!A:H,7,FALSE)</f>
        <v>288</v>
      </c>
      <c r="F690">
        <f>VLOOKUP(PREVIOS!G690,CONDICION!A:B,2,FALSE)</f>
        <v>1</v>
      </c>
      <c r="G690">
        <f>IF(PREVIOS!AG690=1,1,VLOOKUP(PREVIOS!AG690,CALIFICACION!A:C,3,FALSE))</f>
        <v>1</v>
      </c>
      <c r="H690" s="1" t="s">
        <v>534</v>
      </c>
      <c r="I690" s="1" t="s">
        <v>534</v>
      </c>
      <c r="J690">
        <f>VLOOKUP(PREVIOS!F690&amp;VLOOKUP(PREVIOS!I690,PLAN!A:B,2,FALSE),CURSO!A:D,4,FALSE)</f>
        <v>22</v>
      </c>
      <c r="K690">
        <f>VLOOKUP(PREVIOS!H690,CICLO!A:B,2,FALSE)</f>
        <v>54</v>
      </c>
      <c r="L690">
        <f>VLOOKUP(PREVIOS!I690,PLAN!A:B,2,FALSE)</f>
        <v>6</v>
      </c>
    </row>
    <row r="691" spans="1:12" x14ac:dyDescent="0.25">
      <c r="A691" t="str">
        <f t="shared" si="10"/>
        <v>A335M290C1</v>
      </c>
      <c r="C691">
        <v>690</v>
      </c>
      <c r="D691">
        <f>VLOOKUP(PREVIOS!C691,ALUMNOS!A:B,2,FALSE)</f>
        <v>335</v>
      </c>
      <c r="E691">
        <f>VLOOKUP(PREVIOS!E691&amp;'TABLA PREVIOS'!J691,MATERIAS!A:H,7,FALSE)</f>
        <v>290</v>
      </c>
      <c r="F691">
        <f>VLOOKUP(PREVIOS!G691,CONDICION!A:B,2,FALSE)</f>
        <v>1</v>
      </c>
      <c r="G691">
        <f>IF(PREVIOS!AG691=1,1,VLOOKUP(PREVIOS!AG691,CALIFICACION!A:C,3,FALSE))</f>
        <v>1</v>
      </c>
      <c r="H691" s="1" t="s">
        <v>534</v>
      </c>
      <c r="I691" s="1" t="s">
        <v>534</v>
      </c>
      <c r="J691">
        <f>VLOOKUP(PREVIOS!F691&amp;VLOOKUP(PREVIOS!I691,PLAN!A:B,2,FALSE),CURSO!A:D,4,FALSE)</f>
        <v>22</v>
      </c>
      <c r="K691">
        <f>VLOOKUP(PREVIOS!H691,CICLO!A:B,2,FALSE)</f>
        <v>54</v>
      </c>
      <c r="L691">
        <f>VLOOKUP(PREVIOS!I691,PLAN!A:B,2,FALSE)</f>
        <v>6</v>
      </c>
    </row>
    <row r="692" spans="1:12" x14ac:dyDescent="0.25">
      <c r="A692" t="str">
        <f t="shared" si="10"/>
        <v>A344M265C1</v>
      </c>
      <c r="C692">
        <v>691</v>
      </c>
      <c r="D692">
        <f>VLOOKUP(PREVIOS!C692,ALUMNOS!A:B,2,FALSE)</f>
        <v>344</v>
      </c>
      <c r="E692">
        <f>VLOOKUP(PREVIOS!E692&amp;'TABLA PREVIOS'!J692,MATERIAS!A:H,7,FALSE)</f>
        <v>265</v>
      </c>
      <c r="F692">
        <f>VLOOKUP(PREVIOS!G692,CONDICION!A:B,2,FALSE)</f>
        <v>1</v>
      </c>
      <c r="G692">
        <f>IF(PREVIOS!AG692=1,1,VLOOKUP(PREVIOS!AG692,CALIFICACION!A:C,3,FALSE))</f>
        <v>1</v>
      </c>
      <c r="H692" s="1" t="s">
        <v>534</v>
      </c>
      <c r="I692" s="1" t="s">
        <v>534</v>
      </c>
      <c r="J692">
        <f>VLOOKUP(PREVIOS!F692&amp;VLOOKUP(PREVIOS!I692,PLAN!A:B,2,FALSE),CURSO!A:D,4,FALSE)</f>
        <v>21</v>
      </c>
      <c r="K692">
        <f>VLOOKUP(PREVIOS!H692,CICLO!A:B,2,FALSE)</f>
        <v>53</v>
      </c>
      <c r="L692">
        <f>VLOOKUP(PREVIOS!I692,PLAN!A:B,2,FALSE)</f>
        <v>6</v>
      </c>
    </row>
    <row r="693" spans="1:12" x14ac:dyDescent="0.25">
      <c r="A693" t="str">
        <f t="shared" si="10"/>
        <v>A344M273C1</v>
      </c>
      <c r="C693">
        <v>692</v>
      </c>
      <c r="D693">
        <f>VLOOKUP(PREVIOS!C693,ALUMNOS!A:B,2,FALSE)</f>
        <v>344</v>
      </c>
      <c r="E693">
        <f>VLOOKUP(PREVIOS!E693&amp;'TABLA PREVIOS'!J693,MATERIAS!A:H,7,FALSE)</f>
        <v>273</v>
      </c>
      <c r="F693">
        <f>VLOOKUP(PREVIOS!G693,CONDICION!A:B,2,FALSE)</f>
        <v>1</v>
      </c>
      <c r="G693">
        <f>IF(PREVIOS!AG693=1,1,VLOOKUP(PREVIOS!AG693,CALIFICACION!A:C,3,FALSE))</f>
        <v>1</v>
      </c>
      <c r="H693" s="1" t="s">
        <v>534</v>
      </c>
      <c r="I693" s="1" t="s">
        <v>534</v>
      </c>
      <c r="J693">
        <f>VLOOKUP(PREVIOS!F693&amp;VLOOKUP(PREVIOS!I693,PLAN!A:B,2,FALSE),CURSO!A:D,4,FALSE)</f>
        <v>21</v>
      </c>
      <c r="K693">
        <f>VLOOKUP(PREVIOS!H693,CICLO!A:B,2,FALSE)</f>
        <v>53</v>
      </c>
      <c r="L693">
        <f>VLOOKUP(PREVIOS!I693,PLAN!A:B,2,FALSE)</f>
        <v>6</v>
      </c>
    </row>
    <row r="694" spans="1:12" x14ac:dyDescent="0.25">
      <c r="A694" t="str">
        <f t="shared" si="10"/>
        <v>A344M285C1</v>
      </c>
      <c r="C694">
        <v>693</v>
      </c>
      <c r="D694">
        <f>VLOOKUP(PREVIOS!C694,ALUMNOS!A:B,2,FALSE)</f>
        <v>344</v>
      </c>
      <c r="E694">
        <f>VLOOKUP(PREVIOS!E694&amp;'TABLA PREVIOS'!J694,MATERIAS!A:H,7,FALSE)</f>
        <v>285</v>
      </c>
      <c r="F694">
        <f>VLOOKUP(PREVIOS!G694,CONDICION!A:B,2,FALSE)</f>
        <v>1</v>
      </c>
      <c r="G694">
        <f>IF(PREVIOS!AG694=1,1,VLOOKUP(PREVIOS!AG694,CALIFICACION!A:C,3,FALSE))</f>
        <v>1</v>
      </c>
      <c r="H694" s="1" t="s">
        <v>534</v>
      </c>
      <c r="I694" s="1" t="s">
        <v>534</v>
      </c>
      <c r="J694">
        <f>VLOOKUP(PREVIOS!F694&amp;VLOOKUP(PREVIOS!I694,PLAN!A:B,2,FALSE),CURSO!A:D,4,FALSE)</f>
        <v>22</v>
      </c>
      <c r="K694">
        <f>VLOOKUP(PREVIOS!H694,CICLO!A:B,2,FALSE)</f>
        <v>54</v>
      </c>
      <c r="L694">
        <f>VLOOKUP(PREVIOS!I694,PLAN!A:B,2,FALSE)</f>
        <v>6</v>
      </c>
    </row>
    <row r="695" spans="1:12" x14ac:dyDescent="0.25">
      <c r="A695" t="str">
        <f t="shared" si="10"/>
        <v>A344M289C1</v>
      </c>
      <c r="C695">
        <v>694</v>
      </c>
      <c r="D695">
        <f>VLOOKUP(PREVIOS!C695,ALUMNOS!A:B,2,FALSE)</f>
        <v>344</v>
      </c>
      <c r="E695">
        <f>VLOOKUP(PREVIOS!E695&amp;'TABLA PREVIOS'!J695,MATERIAS!A:H,7,FALSE)</f>
        <v>289</v>
      </c>
      <c r="F695">
        <f>VLOOKUP(PREVIOS!G695,CONDICION!A:B,2,FALSE)</f>
        <v>1</v>
      </c>
      <c r="G695">
        <f>IF(PREVIOS!AG695=1,1,VLOOKUP(PREVIOS!AG695,CALIFICACION!A:C,3,FALSE))</f>
        <v>1</v>
      </c>
      <c r="H695" s="1" t="s">
        <v>534</v>
      </c>
      <c r="I695" s="1" t="s">
        <v>534</v>
      </c>
      <c r="J695">
        <f>VLOOKUP(PREVIOS!F695&amp;VLOOKUP(PREVIOS!I695,PLAN!A:B,2,FALSE),CURSO!A:D,4,FALSE)</f>
        <v>22</v>
      </c>
      <c r="K695">
        <f>VLOOKUP(PREVIOS!H695,CICLO!A:B,2,FALSE)</f>
        <v>54</v>
      </c>
      <c r="L695">
        <f>VLOOKUP(PREVIOS!I695,PLAN!A:B,2,FALSE)</f>
        <v>6</v>
      </c>
    </row>
    <row r="696" spans="1:12" x14ac:dyDescent="0.25">
      <c r="A696" t="str">
        <f t="shared" si="10"/>
        <v>A344M287C1</v>
      </c>
      <c r="C696">
        <v>695</v>
      </c>
      <c r="D696">
        <f>VLOOKUP(PREVIOS!C696,ALUMNOS!A:B,2,FALSE)</f>
        <v>344</v>
      </c>
      <c r="E696">
        <f>VLOOKUP(PREVIOS!E696&amp;'TABLA PREVIOS'!J696,MATERIAS!A:H,7,FALSE)</f>
        <v>287</v>
      </c>
      <c r="F696">
        <f>VLOOKUP(PREVIOS!G696,CONDICION!A:B,2,FALSE)</f>
        <v>1</v>
      </c>
      <c r="G696">
        <f>IF(PREVIOS!AG696=1,1,VLOOKUP(PREVIOS!AG696,CALIFICACION!A:C,3,FALSE))</f>
        <v>1</v>
      </c>
      <c r="H696" s="1" t="s">
        <v>534</v>
      </c>
      <c r="I696" s="1" t="s">
        <v>534</v>
      </c>
      <c r="J696">
        <f>VLOOKUP(PREVIOS!F696&amp;VLOOKUP(PREVIOS!I696,PLAN!A:B,2,FALSE),CURSO!A:D,4,FALSE)</f>
        <v>22</v>
      </c>
      <c r="K696">
        <f>VLOOKUP(PREVIOS!H696,CICLO!A:B,2,FALSE)</f>
        <v>54</v>
      </c>
      <c r="L696">
        <f>VLOOKUP(PREVIOS!I696,PLAN!A:B,2,FALSE)</f>
        <v>6</v>
      </c>
    </row>
    <row r="697" spans="1:12" x14ac:dyDescent="0.25">
      <c r="A697" t="str">
        <f t="shared" si="10"/>
        <v>A344M286C1</v>
      </c>
      <c r="C697">
        <v>696</v>
      </c>
      <c r="D697">
        <f>VLOOKUP(PREVIOS!C697,ALUMNOS!A:B,2,FALSE)</f>
        <v>344</v>
      </c>
      <c r="E697">
        <f>VLOOKUP(PREVIOS!E697&amp;'TABLA PREVIOS'!J697,MATERIAS!A:H,7,FALSE)</f>
        <v>286</v>
      </c>
      <c r="F697">
        <f>VLOOKUP(PREVIOS!G697,CONDICION!A:B,2,FALSE)</f>
        <v>1</v>
      </c>
      <c r="G697">
        <f>IF(PREVIOS!AG697=1,1,VLOOKUP(PREVIOS!AG697,CALIFICACION!A:C,3,FALSE))</f>
        <v>1</v>
      </c>
      <c r="H697" s="1" t="s">
        <v>534</v>
      </c>
      <c r="I697" s="1" t="s">
        <v>534</v>
      </c>
      <c r="J697">
        <f>VLOOKUP(PREVIOS!F697&amp;VLOOKUP(PREVIOS!I697,PLAN!A:B,2,FALSE),CURSO!A:D,4,FALSE)</f>
        <v>22</v>
      </c>
      <c r="K697">
        <f>VLOOKUP(PREVIOS!H697,CICLO!A:B,2,FALSE)</f>
        <v>54</v>
      </c>
      <c r="L697">
        <f>VLOOKUP(PREVIOS!I697,PLAN!A:B,2,FALSE)</f>
        <v>6</v>
      </c>
    </row>
    <row r="698" spans="1:12" x14ac:dyDescent="0.25">
      <c r="A698" t="str">
        <f t="shared" si="10"/>
        <v>A344M280C1</v>
      </c>
      <c r="C698">
        <v>697</v>
      </c>
      <c r="D698">
        <f>VLOOKUP(PREVIOS!C698,ALUMNOS!A:B,2,FALSE)</f>
        <v>344</v>
      </c>
      <c r="E698">
        <f>VLOOKUP(PREVIOS!E698&amp;'TABLA PREVIOS'!J698,MATERIAS!A:H,7,FALSE)</f>
        <v>280</v>
      </c>
      <c r="F698">
        <f>VLOOKUP(PREVIOS!G698,CONDICION!A:B,2,FALSE)</f>
        <v>1</v>
      </c>
      <c r="G698">
        <f>IF(PREVIOS!AG698=1,1,VLOOKUP(PREVIOS!AG698,CALIFICACION!A:C,3,FALSE))</f>
        <v>1</v>
      </c>
      <c r="H698" s="1" t="s">
        <v>534</v>
      </c>
      <c r="I698" s="1" t="s">
        <v>534</v>
      </c>
      <c r="J698">
        <f>VLOOKUP(PREVIOS!F698&amp;VLOOKUP(PREVIOS!I698,PLAN!A:B,2,FALSE),CURSO!A:D,4,FALSE)</f>
        <v>22</v>
      </c>
      <c r="K698">
        <f>VLOOKUP(PREVIOS!H698,CICLO!A:B,2,FALSE)</f>
        <v>54</v>
      </c>
      <c r="L698">
        <f>VLOOKUP(PREVIOS!I698,PLAN!A:B,2,FALSE)</f>
        <v>6</v>
      </c>
    </row>
    <row r="699" spans="1:12" x14ac:dyDescent="0.25">
      <c r="A699" t="str">
        <f t="shared" si="10"/>
        <v>A344M288C1</v>
      </c>
      <c r="C699">
        <v>698</v>
      </c>
      <c r="D699">
        <f>VLOOKUP(PREVIOS!C699,ALUMNOS!A:B,2,FALSE)</f>
        <v>344</v>
      </c>
      <c r="E699">
        <f>VLOOKUP(PREVIOS!E699&amp;'TABLA PREVIOS'!J699,MATERIAS!A:H,7,FALSE)</f>
        <v>288</v>
      </c>
      <c r="F699">
        <f>VLOOKUP(PREVIOS!G699,CONDICION!A:B,2,FALSE)</f>
        <v>1</v>
      </c>
      <c r="G699">
        <f>IF(PREVIOS!AG699=1,1,VLOOKUP(PREVIOS!AG699,CALIFICACION!A:C,3,FALSE))</f>
        <v>1</v>
      </c>
      <c r="H699" s="1" t="s">
        <v>534</v>
      </c>
      <c r="I699" s="1" t="s">
        <v>534</v>
      </c>
      <c r="J699">
        <f>VLOOKUP(PREVIOS!F699&amp;VLOOKUP(PREVIOS!I699,PLAN!A:B,2,FALSE),CURSO!A:D,4,FALSE)</f>
        <v>22</v>
      </c>
      <c r="K699">
        <f>VLOOKUP(PREVIOS!H699,CICLO!A:B,2,FALSE)</f>
        <v>54</v>
      </c>
      <c r="L699">
        <f>VLOOKUP(PREVIOS!I699,PLAN!A:B,2,FALSE)</f>
        <v>6</v>
      </c>
    </row>
    <row r="700" spans="1:12" x14ac:dyDescent="0.25">
      <c r="A700" t="str">
        <f t="shared" si="10"/>
        <v>A344M290C1</v>
      </c>
      <c r="C700">
        <v>699</v>
      </c>
      <c r="D700">
        <f>VLOOKUP(PREVIOS!C700,ALUMNOS!A:B,2,FALSE)</f>
        <v>344</v>
      </c>
      <c r="E700">
        <f>VLOOKUP(PREVIOS!E700&amp;'TABLA PREVIOS'!J700,MATERIAS!A:H,7,FALSE)</f>
        <v>290</v>
      </c>
      <c r="F700">
        <f>VLOOKUP(PREVIOS!G700,CONDICION!A:B,2,FALSE)</f>
        <v>1</v>
      </c>
      <c r="G700">
        <f>IF(PREVIOS!AG700=1,1,VLOOKUP(PREVIOS!AG700,CALIFICACION!A:C,3,FALSE))</f>
        <v>1</v>
      </c>
      <c r="H700" s="1" t="s">
        <v>534</v>
      </c>
      <c r="I700" s="1" t="s">
        <v>534</v>
      </c>
      <c r="J700">
        <f>VLOOKUP(PREVIOS!F700&amp;VLOOKUP(PREVIOS!I700,PLAN!A:B,2,FALSE),CURSO!A:D,4,FALSE)</f>
        <v>22</v>
      </c>
      <c r="K700">
        <f>VLOOKUP(PREVIOS!H700,CICLO!A:B,2,FALSE)</f>
        <v>54</v>
      </c>
      <c r="L700">
        <f>VLOOKUP(PREVIOS!I700,PLAN!A:B,2,FALSE)</f>
        <v>6</v>
      </c>
    </row>
    <row r="701" spans="1:12" x14ac:dyDescent="0.25">
      <c r="A701" t="str">
        <f t="shared" si="10"/>
        <v>A555M250C1</v>
      </c>
      <c r="C701">
        <v>700</v>
      </c>
      <c r="D701">
        <f>VLOOKUP(PREVIOS!C701,ALUMNOS!A:B,2,FALSE)</f>
        <v>555</v>
      </c>
      <c r="E701">
        <f>VLOOKUP(PREVIOS!E701&amp;'TABLA PREVIOS'!J701,MATERIAS!A:H,7,FALSE)</f>
        <v>250</v>
      </c>
      <c r="F701">
        <f>VLOOKUP(PREVIOS!G701,CONDICION!A:B,2,FALSE)</f>
        <v>1</v>
      </c>
      <c r="G701">
        <f>IF(PREVIOS!AG701=1,1,VLOOKUP(PREVIOS!AG701,CALIFICACION!A:C,3,FALSE))</f>
        <v>1</v>
      </c>
      <c r="H701" s="1" t="s">
        <v>534</v>
      </c>
      <c r="I701" s="1" t="s">
        <v>534</v>
      </c>
      <c r="J701">
        <f>VLOOKUP(PREVIOS!F701&amp;VLOOKUP(PREVIOS!I701,PLAN!A:B,2,FALSE),CURSO!A:D,4,FALSE)</f>
        <v>20</v>
      </c>
      <c r="K701">
        <f>VLOOKUP(PREVIOS!H701,CICLO!A:B,2,FALSE)</f>
        <v>52</v>
      </c>
      <c r="L701">
        <f>VLOOKUP(PREVIOS!I701,PLAN!A:B,2,FALSE)</f>
        <v>6</v>
      </c>
    </row>
    <row r="702" spans="1:12" x14ac:dyDescent="0.25">
      <c r="A702" t="str">
        <f t="shared" si="10"/>
        <v>A555M265C1</v>
      </c>
      <c r="C702">
        <v>701</v>
      </c>
      <c r="D702">
        <f>VLOOKUP(PREVIOS!C702,ALUMNOS!A:B,2,FALSE)</f>
        <v>555</v>
      </c>
      <c r="E702">
        <f>VLOOKUP(PREVIOS!E702&amp;'TABLA PREVIOS'!J702,MATERIAS!A:H,7,FALSE)</f>
        <v>265</v>
      </c>
      <c r="F702">
        <f>VLOOKUP(PREVIOS!G702,CONDICION!A:B,2,FALSE)</f>
        <v>1</v>
      </c>
      <c r="G702">
        <f>IF(PREVIOS!AG702=1,1,VLOOKUP(PREVIOS!AG702,CALIFICACION!A:C,3,FALSE))</f>
        <v>1</v>
      </c>
      <c r="H702" s="1" t="s">
        <v>534</v>
      </c>
      <c r="I702" s="1" t="s">
        <v>534</v>
      </c>
      <c r="J702">
        <f>VLOOKUP(PREVIOS!F702&amp;VLOOKUP(PREVIOS!I702,PLAN!A:B,2,FALSE),CURSO!A:D,4,FALSE)</f>
        <v>21</v>
      </c>
      <c r="K702">
        <f>VLOOKUP(PREVIOS!H702,CICLO!A:B,2,FALSE)</f>
        <v>53</v>
      </c>
      <c r="L702">
        <f>VLOOKUP(PREVIOS!I702,PLAN!A:B,2,FALSE)</f>
        <v>6</v>
      </c>
    </row>
    <row r="703" spans="1:12" x14ac:dyDescent="0.25">
      <c r="A703" t="str">
        <f t="shared" si="10"/>
        <v>A555M273C1</v>
      </c>
      <c r="C703">
        <v>702</v>
      </c>
      <c r="D703">
        <f>VLOOKUP(PREVIOS!C703,ALUMNOS!A:B,2,FALSE)</f>
        <v>555</v>
      </c>
      <c r="E703">
        <f>VLOOKUP(PREVIOS!E703&amp;'TABLA PREVIOS'!J703,MATERIAS!A:H,7,FALSE)</f>
        <v>273</v>
      </c>
      <c r="F703">
        <f>VLOOKUP(PREVIOS!G703,CONDICION!A:B,2,FALSE)</f>
        <v>1</v>
      </c>
      <c r="G703">
        <f>IF(PREVIOS!AG703=1,1,VLOOKUP(PREVIOS!AG703,CALIFICACION!A:C,3,FALSE))</f>
        <v>1</v>
      </c>
      <c r="H703" s="1" t="s">
        <v>534</v>
      </c>
      <c r="I703" s="1" t="s">
        <v>534</v>
      </c>
      <c r="J703">
        <f>VLOOKUP(PREVIOS!F703&amp;VLOOKUP(PREVIOS!I703,PLAN!A:B,2,FALSE),CURSO!A:D,4,FALSE)</f>
        <v>21</v>
      </c>
      <c r="K703">
        <f>VLOOKUP(PREVIOS!H703,CICLO!A:B,2,FALSE)</f>
        <v>53</v>
      </c>
      <c r="L703">
        <f>VLOOKUP(PREVIOS!I703,PLAN!A:B,2,FALSE)</f>
        <v>6</v>
      </c>
    </row>
    <row r="704" spans="1:12" x14ac:dyDescent="0.25">
      <c r="A704" t="str">
        <f t="shared" si="10"/>
        <v>A555M285C1</v>
      </c>
      <c r="C704">
        <v>703</v>
      </c>
      <c r="D704">
        <f>VLOOKUP(PREVIOS!C704,ALUMNOS!A:B,2,FALSE)</f>
        <v>555</v>
      </c>
      <c r="E704">
        <f>VLOOKUP(PREVIOS!E704&amp;'TABLA PREVIOS'!J704,MATERIAS!A:H,7,FALSE)</f>
        <v>285</v>
      </c>
      <c r="F704">
        <f>VLOOKUP(PREVIOS!G704,CONDICION!A:B,2,FALSE)</f>
        <v>1</v>
      </c>
      <c r="G704">
        <f>IF(PREVIOS!AG704=1,1,VLOOKUP(PREVIOS!AG704,CALIFICACION!A:C,3,FALSE))</f>
        <v>1</v>
      </c>
      <c r="H704" s="1" t="s">
        <v>534</v>
      </c>
      <c r="I704" s="1" t="s">
        <v>534</v>
      </c>
      <c r="J704">
        <f>VLOOKUP(PREVIOS!F704&amp;VLOOKUP(PREVIOS!I704,PLAN!A:B,2,FALSE),CURSO!A:D,4,FALSE)</f>
        <v>22</v>
      </c>
      <c r="K704">
        <f>VLOOKUP(PREVIOS!H704,CICLO!A:B,2,FALSE)</f>
        <v>54</v>
      </c>
      <c r="L704">
        <f>VLOOKUP(PREVIOS!I704,PLAN!A:B,2,FALSE)</f>
        <v>6</v>
      </c>
    </row>
    <row r="705" spans="1:12" x14ac:dyDescent="0.25">
      <c r="A705" t="str">
        <f t="shared" si="10"/>
        <v>A555M289C1</v>
      </c>
      <c r="C705">
        <v>704</v>
      </c>
      <c r="D705">
        <f>VLOOKUP(PREVIOS!C705,ALUMNOS!A:B,2,FALSE)</f>
        <v>555</v>
      </c>
      <c r="E705">
        <f>VLOOKUP(PREVIOS!E705&amp;'TABLA PREVIOS'!J705,MATERIAS!A:H,7,FALSE)</f>
        <v>289</v>
      </c>
      <c r="F705">
        <f>VLOOKUP(PREVIOS!G705,CONDICION!A:B,2,FALSE)</f>
        <v>1</v>
      </c>
      <c r="G705">
        <f>IF(PREVIOS!AG705=1,1,VLOOKUP(PREVIOS!AG705,CALIFICACION!A:C,3,FALSE))</f>
        <v>1</v>
      </c>
      <c r="H705" s="1" t="s">
        <v>534</v>
      </c>
      <c r="I705" s="1" t="s">
        <v>534</v>
      </c>
      <c r="J705">
        <f>VLOOKUP(PREVIOS!F705&amp;VLOOKUP(PREVIOS!I705,PLAN!A:B,2,FALSE),CURSO!A:D,4,FALSE)</f>
        <v>22</v>
      </c>
      <c r="K705">
        <f>VLOOKUP(PREVIOS!H705,CICLO!A:B,2,FALSE)</f>
        <v>54</v>
      </c>
      <c r="L705">
        <f>VLOOKUP(PREVIOS!I705,PLAN!A:B,2,FALSE)</f>
        <v>6</v>
      </c>
    </row>
    <row r="706" spans="1:12" x14ac:dyDescent="0.25">
      <c r="A706" t="str">
        <f t="shared" si="10"/>
        <v>A555M287C1</v>
      </c>
      <c r="C706">
        <v>705</v>
      </c>
      <c r="D706">
        <f>VLOOKUP(PREVIOS!C706,ALUMNOS!A:B,2,FALSE)</f>
        <v>555</v>
      </c>
      <c r="E706">
        <f>VLOOKUP(PREVIOS!E706&amp;'TABLA PREVIOS'!J706,MATERIAS!A:H,7,FALSE)</f>
        <v>287</v>
      </c>
      <c r="F706">
        <f>VLOOKUP(PREVIOS!G706,CONDICION!A:B,2,FALSE)</f>
        <v>1</v>
      </c>
      <c r="G706">
        <f>IF(PREVIOS!AG706=1,1,VLOOKUP(PREVIOS!AG706,CALIFICACION!A:C,3,FALSE))</f>
        <v>1</v>
      </c>
      <c r="H706" s="1" t="s">
        <v>534</v>
      </c>
      <c r="I706" s="1" t="s">
        <v>534</v>
      </c>
      <c r="J706">
        <f>VLOOKUP(PREVIOS!F706&amp;VLOOKUP(PREVIOS!I706,PLAN!A:B,2,FALSE),CURSO!A:D,4,FALSE)</f>
        <v>22</v>
      </c>
      <c r="K706">
        <f>VLOOKUP(PREVIOS!H706,CICLO!A:B,2,FALSE)</f>
        <v>54</v>
      </c>
      <c r="L706">
        <f>VLOOKUP(PREVIOS!I706,PLAN!A:B,2,FALSE)</f>
        <v>6</v>
      </c>
    </row>
    <row r="707" spans="1:12" x14ac:dyDescent="0.25">
      <c r="A707" t="str">
        <f t="shared" ref="A707:A770" si="11">"A"&amp;D707&amp;"M"&amp;E707&amp;"C"&amp;F707</f>
        <v>A555M286C1</v>
      </c>
      <c r="C707">
        <v>706</v>
      </c>
      <c r="D707">
        <f>VLOOKUP(PREVIOS!C707,ALUMNOS!A:B,2,FALSE)</f>
        <v>555</v>
      </c>
      <c r="E707">
        <f>VLOOKUP(PREVIOS!E707&amp;'TABLA PREVIOS'!J707,MATERIAS!A:H,7,FALSE)</f>
        <v>286</v>
      </c>
      <c r="F707">
        <f>VLOOKUP(PREVIOS!G707,CONDICION!A:B,2,FALSE)</f>
        <v>1</v>
      </c>
      <c r="G707">
        <f>IF(PREVIOS!AG707=1,1,VLOOKUP(PREVIOS!AG707,CALIFICACION!A:C,3,FALSE))</f>
        <v>1</v>
      </c>
      <c r="H707" s="1" t="s">
        <v>534</v>
      </c>
      <c r="I707" s="1" t="s">
        <v>534</v>
      </c>
      <c r="J707">
        <f>VLOOKUP(PREVIOS!F707&amp;VLOOKUP(PREVIOS!I707,PLAN!A:B,2,FALSE),CURSO!A:D,4,FALSE)</f>
        <v>22</v>
      </c>
      <c r="K707">
        <f>VLOOKUP(PREVIOS!H707,CICLO!A:B,2,FALSE)</f>
        <v>54</v>
      </c>
      <c r="L707">
        <f>VLOOKUP(PREVIOS!I707,PLAN!A:B,2,FALSE)</f>
        <v>6</v>
      </c>
    </row>
    <row r="708" spans="1:12" x14ac:dyDescent="0.25">
      <c r="A708" t="str">
        <f t="shared" si="11"/>
        <v>A555M279C1</v>
      </c>
      <c r="C708">
        <v>707</v>
      </c>
      <c r="D708">
        <f>VLOOKUP(PREVIOS!C708,ALUMNOS!A:B,2,FALSE)</f>
        <v>555</v>
      </c>
      <c r="E708">
        <f>VLOOKUP(PREVIOS!E708&amp;'TABLA PREVIOS'!J708,MATERIAS!A:H,7,FALSE)</f>
        <v>279</v>
      </c>
      <c r="F708">
        <f>VLOOKUP(PREVIOS!G708,CONDICION!A:B,2,FALSE)</f>
        <v>1</v>
      </c>
      <c r="G708">
        <f>IF(PREVIOS!AG708=1,1,VLOOKUP(PREVIOS!AG708,CALIFICACION!A:C,3,FALSE))</f>
        <v>1</v>
      </c>
      <c r="H708" s="1" t="s">
        <v>534</v>
      </c>
      <c r="I708" s="1" t="s">
        <v>534</v>
      </c>
      <c r="J708">
        <f>VLOOKUP(PREVIOS!F708&amp;VLOOKUP(PREVIOS!I708,PLAN!A:B,2,FALSE),CURSO!A:D,4,FALSE)</f>
        <v>22</v>
      </c>
      <c r="K708">
        <f>VLOOKUP(PREVIOS!H708,CICLO!A:B,2,FALSE)</f>
        <v>54</v>
      </c>
      <c r="L708">
        <f>VLOOKUP(PREVIOS!I708,PLAN!A:B,2,FALSE)</f>
        <v>6</v>
      </c>
    </row>
    <row r="709" spans="1:12" x14ac:dyDescent="0.25">
      <c r="A709" t="str">
        <f t="shared" si="11"/>
        <v>A555M281C1</v>
      </c>
      <c r="C709">
        <v>708</v>
      </c>
      <c r="D709">
        <f>VLOOKUP(PREVIOS!C709,ALUMNOS!A:B,2,FALSE)</f>
        <v>555</v>
      </c>
      <c r="E709">
        <f>VLOOKUP(PREVIOS!E709&amp;'TABLA PREVIOS'!J709,MATERIAS!A:H,7,FALSE)</f>
        <v>281</v>
      </c>
      <c r="F709">
        <f>VLOOKUP(PREVIOS!G709,CONDICION!A:B,2,FALSE)</f>
        <v>1</v>
      </c>
      <c r="G709">
        <f>IF(PREVIOS!AG709=1,1,VLOOKUP(PREVIOS!AG709,CALIFICACION!A:C,3,FALSE))</f>
        <v>1</v>
      </c>
      <c r="H709" s="1" t="s">
        <v>534</v>
      </c>
      <c r="I709" s="1" t="s">
        <v>534</v>
      </c>
      <c r="J709">
        <f>VLOOKUP(PREVIOS!F709&amp;VLOOKUP(PREVIOS!I709,PLAN!A:B,2,FALSE),CURSO!A:D,4,FALSE)</f>
        <v>22</v>
      </c>
      <c r="K709">
        <f>VLOOKUP(PREVIOS!H709,CICLO!A:B,2,FALSE)</f>
        <v>54</v>
      </c>
      <c r="L709">
        <f>VLOOKUP(PREVIOS!I709,PLAN!A:B,2,FALSE)</f>
        <v>6</v>
      </c>
    </row>
    <row r="710" spans="1:12" x14ac:dyDescent="0.25">
      <c r="A710" t="str">
        <f t="shared" si="11"/>
        <v>A555M288C1</v>
      </c>
      <c r="C710">
        <v>709</v>
      </c>
      <c r="D710">
        <f>VLOOKUP(PREVIOS!C710,ALUMNOS!A:B,2,FALSE)</f>
        <v>555</v>
      </c>
      <c r="E710">
        <f>VLOOKUP(PREVIOS!E710&amp;'TABLA PREVIOS'!J710,MATERIAS!A:H,7,FALSE)</f>
        <v>288</v>
      </c>
      <c r="F710">
        <f>VLOOKUP(PREVIOS!G710,CONDICION!A:B,2,FALSE)</f>
        <v>1</v>
      </c>
      <c r="G710">
        <f>IF(PREVIOS!AG710=1,1,VLOOKUP(PREVIOS!AG710,CALIFICACION!A:C,3,FALSE))</f>
        <v>1</v>
      </c>
      <c r="H710" s="1" t="s">
        <v>534</v>
      </c>
      <c r="I710" s="1" t="s">
        <v>534</v>
      </c>
      <c r="J710">
        <f>VLOOKUP(PREVIOS!F710&amp;VLOOKUP(PREVIOS!I710,PLAN!A:B,2,FALSE),CURSO!A:D,4,FALSE)</f>
        <v>22</v>
      </c>
      <c r="K710">
        <f>VLOOKUP(PREVIOS!H710,CICLO!A:B,2,FALSE)</f>
        <v>54</v>
      </c>
      <c r="L710">
        <f>VLOOKUP(PREVIOS!I710,PLAN!A:B,2,FALSE)</f>
        <v>6</v>
      </c>
    </row>
    <row r="711" spans="1:12" x14ac:dyDescent="0.25">
      <c r="A711" t="str">
        <f t="shared" si="11"/>
        <v>A555M290C1</v>
      </c>
      <c r="C711">
        <v>710</v>
      </c>
      <c r="D711">
        <f>VLOOKUP(PREVIOS!C711,ALUMNOS!A:B,2,FALSE)</f>
        <v>555</v>
      </c>
      <c r="E711">
        <f>VLOOKUP(PREVIOS!E711&amp;'TABLA PREVIOS'!J711,MATERIAS!A:H,7,FALSE)</f>
        <v>290</v>
      </c>
      <c r="F711">
        <f>VLOOKUP(PREVIOS!G711,CONDICION!A:B,2,FALSE)</f>
        <v>1</v>
      </c>
      <c r="G711">
        <f>IF(PREVIOS!AG711=1,1,VLOOKUP(PREVIOS!AG711,CALIFICACION!A:C,3,FALSE))</f>
        <v>1</v>
      </c>
      <c r="H711" s="1" t="s">
        <v>534</v>
      </c>
      <c r="I711" s="1" t="s">
        <v>534</v>
      </c>
      <c r="J711">
        <f>VLOOKUP(PREVIOS!F711&amp;VLOOKUP(PREVIOS!I711,PLAN!A:B,2,FALSE),CURSO!A:D,4,FALSE)</f>
        <v>22</v>
      </c>
      <c r="K711">
        <f>VLOOKUP(PREVIOS!H711,CICLO!A:B,2,FALSE)</f>
        <v>54</v>
      </c>
      <c r="L711">
        <f>VLOOKUP(PREVIOS!I711,PLAN!A:B,2,FALSE)</f>
        <v>6</v>
      </c>
    </row>
    <row r="712" spans="1:12" x14ac:dyDescent="0.25">
      <c r="A712" t="str">
        <f t="shared" si="11"/>
        <v>A574M285C1</v>
      </c>
      <c r="C712">
        <v>711</v>
      </c>
      <c r="D712">
        <f>VLOOKUP(PREVIOS!C712,ALUMNOS!A:B,2,FALSE)</f>
        <v>574</v>
      </c>
      <c r="E712">
        <f>VLOOKUP(PREVIOS!E712&amp;'TABLA PREVIOS'!J712,MATERIAS!A:H,7,FALSE)</f>
        <v>285</v>
      </c>
      <c r="F712">
        <f>VLOOKUP(PREVIOS!G712,CONDICION!A:B,2,FALSE)</f>
        <v>1</v>
      </c>
      <c r="G712">
        <f>IF(PREVIOS!AG712=1,1,VLOOKUP(PREVIOS!AG712,CALIFICACION!A:C,3,FALSE))</f>
        <v>1</v>
      </c>
      <c r="H712" s="1" t="s">
        <v>534</v>
      </c>
      <c r="I712" s="1" t="s">
        <v>534</v>
      </c>
      <c r="J712">
        <f>VLOOKUP(PREVIOS!F712&amp;VLOOKUP(PREVIOS!I712,PLAN!A:B,2,FALSE),CURSO!A:D,4,FALSE)</f>
        <v>22</v>
      </c>
      <c r="K712">
        <f>VLOOKUP(PREVIOS!H712,CICLO!A:B,2,FALSE)</f>
        <v>54</v>
      </c>
      <c r="L712">
        <f>VLOOKUP(PREVIOS!I712,PLAN!A:B,2,FALSE)</f>
        <v>6</v>
      </c>
    </row>
    <row r="713" spans="1:12" x14ac:dyDescent="0.25">
      <c r="A713" t="str">
        <f t="shared" si="11"/>
        <v>A574M289C1</v>
      </c>
      <c r="C713">
        <v>712</v>
      </c>
      <c r="D713">
        <f>VLOOKUP(PREVIOS!C713,ALUMNOS!A:B,2,FALSE)</f>
        <v>574</v>
      </c>
      <c r="E713">
        <f>VLOOKUP(PREVIOS!E713&amp;'TABLA PREVIOS'!J713,MATERIAS!A:H,7,FALSE)</f>
        <v>289</v>
      </c>
      <c r="F713">
        <f>VLOOKUP(PREVIOS!G713,CONDICION!A:B,2,FALSE)</f>
        <v>1</v>
      </c>
      <c r="G713">
        <f>IF(PREVIOS!AG713=1,1,VLOOKUP(PREVIOS!AG713,CALIFICACION!A:C,3,FALSE))</f>
        <v>1</v>
      </c>
      <c r="H713" s="1" t="s">
        <v>534</v>
      </c>
      <c r="I713" s="1" t="s">
        <v>534</v>
      </c>
      <c r="J713">
        <f>VLOOKUP(PREVIOS!F713&amp;VLOOKUP(PREVIOS!I713,PLAN!A:B,2,FALSE),CURSO!A:D,4,FALSE)</f>
        <v>22</v>
      </c>
      <c r="K713">
        <f>VLOOKUP(PREVIOS!H713,CICLO!A:B,2,FALSE)</f>
        <v>54</v>
      </c>
      <c r="L713">
        <f>VLOOKUP(PREVIOS!I713,PLAN!A:B,2,FALSE)</f>
        <v>6</v>
      </c>
    </row>
    <row r="714" spans="1:12" x14ac:dyDescent="0.25">
      <c r="A714" t="str">
        <f t="shared" si="11"/>
        <v>A574M287C1</v>
      </c>
      <c r="C714">
        <v>713</v>
      </c>
      <c r="D714">
        <f>VLOOKUP(PREVIOS!C714,ALUMNOS!A:B,2,FALSE)</f>
        <v>574</v>
      </c>
      <c r="E714">
        <f>VLOOKUP(PREVIOS!E714&amp;'TABLA PREVIOS'!J714,MATERIAS!A:H,7,FALSE)</f>
        <v>287</v>
      </c>
      <c r="F714">
        <f>VLOOKUP(PREVIOS!G714,CONDICION!A:B,2,FALSE)</f>
        <v>1</v>
      </c>
      <c r="G714">
        <f>IF(PREVIOS!AG714=1,1,VLOOKUP(PREVIOS!AG714,CALIFICACION!A:C,3,FALSE))</f>
        <v>1</v>
      </c>
      <c r="H714" s="1" t="s">
        <v>534</v>
      </c>
      <c r="I714" s="1" t="s">
        <v>534</v>
      </c>
      <c r="J714">
        <f>VLOOKUP(PREVIOS!F714&amp;VLOOKUP(PREVIOS!I714,PLAN!A:B,2,FALSE),CURSO!A:D,4,FALSE)</f>
        <v>22</v>
      </c>
      <c r="K714">
        <f>VLOOKUP(PREVIOS!H714,CICLO!A:B,2,FALSE)</f>
        <v>54</v>
      </c>
      <c r="L714">
        <f>VLOOKUP(PREVIOS!I714,PLAN!A:B,2,FALSE)</f>
        <v>6</v>
      </c>
    </row>
    <row r="715" spans="1:12" x14ac:dyDescent="0.25">
      <c r="A715" t="str">
        <f t="shared" si="11"/>
        <v>A574M286C1</v>
      </c>
      <c r="C715">
        <v>714</v>
      </c>
      <c r="D715">
        <f>VLOOKUP(PREVIOS!C715,ALUMNOS!A:B,2,FALSE)</f>
        <v>574</v>
      </c>
      <c r="E715">
        <f>VLOOKUP(PREVIOS!E715&amp;'TABLA PREVIOS'!J715,MATERIAS!A:H,7,FALSE)</f>
        <v>286</v>
      </c>
      <c r="F715">
        <f>VLOOKUP(PREVIOS!G715,CONDICION!A:B,2,FALSE)</f>
        <v>1</v>
      </c>
      <c r="G715">
        <f>IF(PREVIOS!AG715=1,1,VLOOKUP(PREVIOS!AG715,CALIFICACION!A:C,3,FALSE))</f>
        <v>1</v>
      </c>
      <c r="H715" s="1" t="s">
        <v>534</v>
      </c>
      <c r="I715" s="1" t="s">
        <v>534</v>
      </c>
      <c r="J715">
        <f>VLOOKUP(PREVIOS!F715&amp;VLOOKUP(PREVIOS!I715,PLAN!A:B,2,FALSE),CURSO!A:D,4,FALSE)</f>
        <v>22</v>
      </c>
      <c r="K715">
        <f>VLOOKUP(PREVIOS!H715,CICLO!A:B,2,FALSE)</f>
        <v>54</v>
      </c>
      <c r="L715">
        <f>VLOOKUP(PREVIOS!I715,PLAN!A:B,2,FALSE)</f>
        <v>6</v>
      </c>
    </row>
    <row r="716" spans="1:12" x14ac:dyDescent="0.25">
      <c r="A716" t="str">
        <f t="shared" si="11"/>
        <v>A574M288C1</v>
      </c>
      <c r="C716">
        <v>715</v>
      </c>
      <c r="D716">
        <f>VLOOKUP(PREVIOS!C716,ALUMNOS!A:B,2,FALSE)</f>
        <v>574</v>
      </c>
      <c r="E716">
        <f>VLOOKUP(PREVIOS!E716&amp;'TABLA PREVIOS'!J716,MATERIAS!A:H,7,FALSE)</f>
        <v>288</v>
      </c>
      <c r="F716">
        <f>VLOOKUP(PREVIOS!G716,CONDICION!A:B,2,FALSE)</f>
        <v>1</v>
      </c>
      <c r="G716">
        <f>IF(PREVIOS!AG716=1,1,VLOOKUP(PREVIOS!AG716,CALIFICACION!A:C,3,FALSE))</f>
        <v>1</v>
      </c>
      <c r="H716" s="1" t="s">
        <v>534</v>
      </c>
      <c r="I716" s="1" t="s">
        <v>534</v>
      </c>
      <c r="J716">
        <f>VLOOKUP(PREVIOS!F716&amp;VLOOKUP(PREVIOS!I716,PLAN!A:B,2,FALSE),CURSO!A:D,4,FALSE)</f>
        <v>22</v>
      </c>
      <c r="K716">
        <f>VLOOKUP(PREVIOS!H716,CICLO!A:B,2,FALSE)</f>
        <v>54</v>
      </c>
      <c r="L716">
        <f>VLOOKUP(PREVIOS!I716,PLAN!A:B,2,FALSE)</f>
        <v>6</v>
      </c>
    </row>
    <row r="717" spans="1:12" x14ac:dyDescent="0.25">
      <c r="A717" t="str">
        <f t="shared" si="11"/>
        <v>A574M290C1</v>
      </c>
      <c r="C717">
        <v>716</v>
      </c>
      <c r="D717">
        <f>VLOOKUP(PREVIOS!C717,ALUMNOS!A:B,2,FALSE)</f>
        <v>574</v>
      </c>
      <c r="E717">
        <f>VLOOKUP(PREVIOS!E717&amp;'TABLA PREVIOS'!J717,MATERIAS!A:H,7,FALSE)</f>
        <v>290</v>
      </c>
      <c r="F717">
        <f>VLOOKUP(PREVIOS!G717,CONDICION!A:B,2,FALSE)</f>
        <v>1</v>
      </c>
      <c r="G717">
        <f>IF(PREVIOS!AG717=1,1,VLOOKUP(PREVIOS!AG717,CALIFICACION!A:C,3,FALSE))</f>
        <v>1</v>
      </c>
      <c r="H717" s="1" t="s">
        <v>534</v>
      </c>
      <c r="I717" s="1" t="s">
        <v>534</v>
      </c>
      <c r="J717">
        <f>VLOOKUP(PREVIOS!F717&amp;VLOOKUP(PREVIOS!I717,PLAN!A:B,2,FALSE),CURSO!A:D,4,FALSE)</f>
        <v>22</v>
      </c>
      <c r="K717">
        <f>VLOOKUP(PREVIOS!H717,CICLO!A:B,2,FALSE)</f>
        <v>54</v>
      </c>
      <c r="L717">
        <f>VLOOKUP(PREVIOS!I717,PLAN!A:B,2,FALSE)</f>
        <v>6</v>
      </c>
    </row>
    <row r="718" spans="1:12" x14ac:dyDescent="0.25">
      <c r="A718" t="str">
        <f t="shared" si="11"/>
        <v>A776M270C1</v>
      </c>
      <c r="C718">
        <v>717</v>
      </c>
      <c r="D718">
        <f>VLOOKUP(PREVIOS!C718,ALUMNOS!A:B,2,FALSE)</f>
        <v>776</v>
      </c>
      <c r="E718">
        <f>VLOOKUP(PREVIOS!E718&amp;'TABLA PREVIOS'!J718,MATERIAS!A:H,7,FALSE)</f>
        <v>270</v>
      </c>
      <c r="F718">
        <f>VLOOKUP(PREVIOS!G718,CONDICION!A:B,2,FALSE)</f>
        <v>1</v>
      </c>
      <c r="G718">
        <f>IF(PREVIOS!AG718=1,1,VLOOKUP(PREVIOS!AG718,CALIFICACION!A:C,3,FALSE))</f>
        <v>1</v>
      </c>
      <c r="H718" s="1" t="s">
        <v>534</v>
      </c>
      <c r="I718" s="1" t="s">
        <v>534</v>
      </c>
      <c r="J718">
        <f>VLOOKUP(PREVIOS!F718&amp;VLOOKUP(PREVIOS!I718,PLAN!A:B,2,FALSE),CURSO!A:D,4,FALSE)</f>
        <v>21</v>
      </c>
      <c r="K718">
        <f>VLOOKUP(PREVIOS!H718,CICLO!A:B,2,FALSE)</f>
        <v>53</v>
      </c>
      <c r="L718">
        <f>VLOOKUP(PREVIOS!I718,PLAN!A:B,2,FALSE)</f>
        <v>6</v>
      </c>
    </row>
    <row r="719" spans="1:12" x14ac:dyDescent="0.25">
      <c r="A719" t="str">
        <f t="shared" si="11"/>
        <v>A776M273C1</v>
      </c>
      <c r="C719">
        <v>718</v>
      </c>
      <c r="D719">
        <f>VLOOKUP(PREVIOS!C719,ALUMNOS!A:B,2,FALSE)</f>
        <v>776</v>
      </c>
      <c r="E719">
        <f>VLOOKUP(PREVIOS!E719&amp;'TABLA PREVIOS'!J719,MATERIAS!A:H,7,FALSE)</f>
        <v>273</v>
      </c>
      <c r="F719">
        <f>VLOOKUP(PREVIOS!G719,CONDICION!A:B,2,FALSE)</f>
        <v>1</v>
      </c>
      <c r="G719">
        <f>IF(PREVIOS!AG719=1,1,VLOOKUP(PREVIOS!AG719,CALIFICACION!A:C,3,FALSE))</f>
        <v>1</v>
      </c>
      <c r="H719" s="1" t="s">
        <v>534</v>
      </c>
      <c r="I719" s="1" t="s">
        <v>534</v>
      </c>
      <c r="J719">
        <f>VLOOKUP(PREVIOS!F719&amp;VLOOKUP(PREVIOS!I719,PLAN!A:B,2,FALSE),CURSO!A:D,4,FALSE)</f>
        <v>21</v>
      </c>
      <c r="K719">
        <f>VLOOKUP(PREVIOS!H719,CICLO!A:B,2,FALSE)</f>
        <v>53</v>
      </c>
      <c r="L719">
        <f>VLOOKUP(PREVIOS!I719,PLAN!A:B,2,FALSE)</f>
        <v>6</v>
      </c>
    </row>
    <row r="720" spans="1:12" x14ac:dyDescent="0.25">
      <c r="A720" t="str">
        <f t="shared" si="11"/>
        <v>A776M284C1</v>
      </c>
      <c r="C720">
        <v>719</v>
      </c>
      <c r="D720">
        <f>VLOOKUP(PREVIOS!C720,ALUMNOS!A:B,2,FALSE)</f>
        <v>776</v>
      </c>
      <c r="E720">
        <f>VLOOKUP(PREVIOS!E720&amp;'TABLA PREVIOS'!J720,MATERIAS!A:H,7,FALSE)</f>
        <v>284</v>
      </c>
      <c r="F720">
        <f>VLOOKUP(PREVIOS!G720,CONDICION!A:B,2,FALSE)</f>
        <v>1</v>
      </c>
      <c r="G720">
        <f>IF(PREVIOS!AG720=1,1,VLOOKUP(PREVIOS!AG720,CALIFICACION!A:C,3,FALSE))</f>
        <v>1</v>
      </c>
      <c r="H720" s="1" t="s">
        <v>534</v>
      </c>
      <c r="I720" s="1" t="s">
        <v>534</v>
      </c>
      <c r="J720">
        <f>VLOOKUP(PREVIOS!F720&amp;VLOOKUP(PREVIOS!I720,PLAN!A:B,2,FALSE),CURSO!A:D,4,FALSE)</f>
        <v>22</v>
      </c>
      <c r="K720">
        <f>VLOOKUP(PREVIOS!H720,CICLO!A:B,2,FALSE)</f>
        <v>54</v>
      </c>
      <c r="L720">
        <f>VLOOKUP(PREVIOS!I720,PLAN!A:B,2,FALSE)</f>
        <v>6</v>
      </c>
    </row>
    <row r="721" spans="1:12" x14ac:dyDescent="0.25">
      <c r="A721" t="str">
        <f t="shared" si="11"/>
        <v>A776M292C1</v>
      </c>
      <c r="C721">
        <v>720</v>
      </c>
      <c r="D721">
        <f>VLOOKUP(PREVIOS!C721,ALUMNOS!A:B,2,FALSE)</f>
        <v>776</v>
      </c>
      <c r="E721">
        <f>VLOOKUP(PREVIOS!E721&amp;'TABLA PREVIOS'!J721,MATERIAS!A:H,7,FALSE)</f>
        <v>292</v>
      </c>
      <c r="F721">
        <f>VLOOKUP(PREVIOS!G721,CONDICION!A:B,2,FALSE)</f>
        <v>1</v>
      </c>
      <c r="G721">
        <f>IF(PREVIOS!AG721=1,1,VLOOKUP(PREVIOS!AG721,CALIFICACION!A:C,3,FALSE))</f>
        <v>1</v>
      </c>
      <c r="H721" s="1" t="s">
        <v>534</v>
      </c>
      <c r="I721" s="1" t="s">
        <v>534</v>
      </c>
      <c r="J721">
        <f>VLOOKUP(PREVIOS!F721&amp;VLOOKUP(PREVIOS!I721,PLAN!A:B,2,FALSE),CURSO!A:D,4,FALSE)</f>
        <v>22</v>
      </c>
      <c r="K721">
        <f>VLOOKUP(PREVIOS!H721,CICLO!A:B,2,FALSE)</f>
        <v>54</v>
      </c>
      <c r="L721">
        <f>VLOOKUP(PREVIOS!I721,PLAN!A:B,2,FALSE)</f>
        <v>6</v>
      </c>
    </row>
    <row r="722" spans="1:12" x14ac:dyDescent="0.25">
      <c r="A722" t="str">
        <f t="shared" si="11"/>
        <v>A776M279C1</v>
      </c>
      <c r="C722">
        <v>721</v>
      </c>
      <c r="D722">
        <f>VLOOKUP(PREVIOS!C722,ALUMNOS!A:B,2,FALSE)</f>
        <v>776</v>
      </c>
      <c r="E722">
        <f>VLOOKUP(PREVIOS!E722&amp;'TABLA PREVIOS'!J722,MATERIAS!A:H,7,FALSE)</f>
        <v>279</v>
      </c>
      <c r="F722">
        <f>VLOOKUP(PREVIOS!G722,CONDICION!A:B,2,FALSE)</f>
        <v>1</v>
      </c>
      <c r="G722">
        <f>IF(PREVIOS!AG722=1,1,VLOOKUP(PREVIOS!AG722,CALIFICACION!A:C,3,FALSE))</f>
        <v>1</v>
      </c>
      <c r="H722" s="1" t="s">
        <v>534</v>
      </c>
      <c r="I722" s="1" t="s">
        <v>534</v>
      </c>
      <c r="J722">
        <f>VLOOKUP(PREVIOS!F722&amp;VLOOKUP(PREVIOS!I722,PLAN!A:B,2,FALSE),CURSO!A:D,4,FALSE)</f>
        <v>22</v>
      </c>
      <c r="K722">
        <f>VLOOKUP(PREVIOS!H722,CICLO!A:B,2,FALSE)</f>
        <v>54</v>
      </c>
      <c r="L722">
        <f>VLOOKUP(PREVIOS!I722,PLAN!A:B,2,FALSE)</f>
        <v>6</v>
      </c>
    </row>
    <row r="723" spans="1:12" x14ac:dyDescent="0.25">
      <c r="A723" t="str">
        <f t="shared" si="11"/>
        <v>A776M281C1</v>
      </c>
      <c r="C723">
        <v>722</v>
      </c>
      <c r="D723">
        <f>VLOOKUP(PREVIOS!C723,ALUMNOS!A:B,2,FALSE)</f>
        <v>776</v>
      </c>
      <c r="E723">
        <f>VLOOKUP(PREVIOS!E723&amp;'TABLA PREVIOS'!J723,MATERIAS!A:H,7,FALSE)</f>
        <v>281</v>
      </c>
      <c r="F723">
        <f>VLOOKUP(PREVIOS!G723,CONDICION!A:B,2,FALSE)</f>
        <v>1</v>
      </c>
      <c r="G723">
        <f>IF(PREVIOS!AG723=1,1,VLOOKUP(PREVIOS!AG723,CALIFICACION!A:C,3,FALSE))</f>
        <v>1</v>
      </c>
      <c r="H723" s="1" t="s">
        <v>534</v>
      </c>
      <c r="I723" s="1" t="s">
        <v>534</v>
      </c>
      <c r="J723">
        <f>VLOOKUP(PREVIOS!F723&amp;VLOOKUP(PREVIOS!I723,PLAN!A:B,2,FALSE),CURSO!A:D,4,FALSE)</f>
        <v>22</v>
      </c>
      <c r="K723">
        <f>VLOOKUP(PREVIOS!H723,CICLO!A:B,2,FALSE)</f>
        <v>54</v>
      </c>
      <c r="L723">
        <f>VLOOKUP(PREVIOS!I723,PLAN!A:B,2,FALSE)</f>
        <v>6</v>
      </c>
    </row>
    <row r="724" spans="1:12" x14ac:dyDescent="0.25">
      <c r="A724" t="str">
        <f t="shared" si="11"/>
        <v>A779M267C1</v>
      </c>
      <c r="C724">
        <v>723</v>
      </c>
      <c r="D724">
        <f>VLOOKUP(PREVIOS!C724,ALUMNOS!A:B,2,FALSE)</f>
        <v>779</v>
      </c>
      <c r="E724">
        <f>VLOOKUP(PREVIOS!E724&amp;'TABLA PREVIOS'!J724,MATERIAS!A:H,7,FALSE)</f>
        <v>267</v>
      </c>
      <c r="F724">
        <f>VLOOKUP(PREVIOS!G724,CONDICION!A:B,2,FALSE)</f>
        <v>1</v>
      </c>
      <c r="G724">
        <f>IF(PREVIOS!AG724=1,1,VLOOKUP(PREVIOS!AG724,CALIFICACION!A:C,3,FALSE))</f>
        <v>1</v>
      </c>
      <c r="H724" s="1" t="s">
        <v>534</v>
      </c>
      <c r="I724" s="1" t="s">
        <v>534</v>
      </c>
      <c r="J724">
        <f>VLOOKUP(PREVIOS!F724&amp;VLOOKUP(PREVIOS!I724,PLAN!A:B,2,FALSE),CURSO!A:D,4,FALSE)</f>
        <v>21</v>
      </c>
      <c r="K724">
        <f>VLOOKUP(PREVIOS!H724,CICLO!A:B,2,FALSE)</f>
        <v>53</v>
      </c>
      <c r="L724">
        <f>VLOOKUP(PREVIOS!I724,PLAN!A:B,2,FALSE)</f>
        <v>6</v>
      </c>
    </row>
    <row r="725" spans="1:12" x14ac:dyDescent="0.25">
      <c r="A725" t="str">
        <f t="shared" si="11"/>
        <v>A779M273C1</v>
      </c>
      <c r="C725">
        <v>724</v>
      </c>
      <c r="D725">
        <f>VLOOKUP(PREVIOS!C725,ALUMNOS!A:B,2,FALSE)</f>
        <v>779</v>
      </c>
      <c r="E725">
        <f>VLOOKUP(PREVIOS!E725&amp;'TABLA PREVIOS'!J725,MATERIAS!A:H,7,FALSE)</f>
        <v>273</v>
      </c>
      <c r="F725">
        <f>VLOOKUP(PREVIOS!G725,CONDICION!A:B,2,FALSE)</f>
        <v>1</v>
      </c>
      <c r="G725">
        <f>IF(PREVIOS!AG725=1,1,VLOOKUP(PREVIOS!AG725,CALIFICACION!A:C,3,FALSE))</f>
        <v>1</v>
      </c>
      <c r="H725" s="1" t="s">
        <v>534</v>
      </c>
      <c r="I725" s="1" t="s">
        <v>534</v>
      </c>
      <c r="J725">
        <f>VLOOKUP(PREVIOS!F725&amp;VLOOKUP(PREVIOS!I725,PLAN!A:B,2,FALSE),CURSO!A:D,4,FALSE)</f>
        <v>21</v>
      </c>
      <c r="K725">
        <f>VLOOKUP(PREVIOS!H725,CICLO!A:B,2,FALSE)</f>
        <v>53</v>
      </c>
      <c r="L725">
        <f>VLOOKUP(PREVIOS!I725,PLAN!A:B,2,FALSE)</f>
        <v>6</v>
      </c>
    </row>
    <row r="726" spans="1:12" x14ac:dyDescent="0.25">
      <c r="A726" t="str">
        <f t="shared" si="11"/>
        <v>A779M285C1</v>
      </c>
      <c r="C726">
        <v>725</v>
      </c>
      <c r="D726">
        <f>VLOOKUP(PREVIOS!C726,ALUMNOS!A:B,2,FALSE)</f>
        <v>779</v>
      </c>
      <c r="E726">
        <f>VLOOKUP(PREVIOS!E726&amp;'TABLA PREVIOS'!J726,MATERIAS!A:H,7,FALSE)</f>
        <v>285</v>
      </c>
      <c r="F726">
        <f>VLOOKUP(PREVIOS!G726,CONDICION!A:B,2,FALSE)</f>
        <v>1</v>
      </c>
      <c r="G726">
        <f>IF(PREVIOS!AG726=1,1,VLOOKUP(PREVIOS!AG726,CALIFICACION!A:C,3,FALSE))</f>
        <v>1</v>
      </c>
      <c r="H726" s="1" t="s">
        <v>534</v>
      </c>
      <c r="I726" s="1" t="s">
        <v>534</v>
      </c>
      <c r="J726">
        <f>VLOOKUP(PREVIOS!F726&amp;VLOOKUP(PREVIOS!I726,PLAN!A:B,2,FALSE),CURSO!A:D,4,FALSE)</f>
        <v>22</v>
      </c>
      <c r="K726">
        <f>VLOOKUP(PREVIOS!H726,CICLO!A:B,2,FALSE)</f>
        <v>54</v>
      </c>
      <c r="L726">
        <f>VLOOKUP(PREVIOS!I726,PLAN!A:B,2,FALSE)</f>
        <v>6</v>
      </c>
    </row>
    <row r="727" spans="1:12" x14ac:dyDescent="0.25">
      <c r="A727" t="str">
        <f t="shared" si="11"/>
        <v>A779M289C1</v>
      </c>
      <c r="C727">
        <v>726</v>
      </c>
      <c r="D727">
        <f>VLOOKUP(PREVIOS!C727,ALUMNOS!A:B,2,FALSE)</f>
        <v>779</v>
      </c>
      <c r="E727">
        <f>VLOOKUP(PREVIOS!E727&amp;'TABLA PREVIOS'!J727,MATERIAS!A:H,7,FALSE)</f>
        <v>289</v>
      </c>
      <c r="F727">
        <f>VLOOKUP(PREVIOS!G727,CONDICION!A:B,2,FALSE)</f>
        <v>1</v>
      </c>
      <c r="G727">
        <f>IF(PREVIOS!AG727=1,1,VLOOKUP(PREVIOS!AG727,CALIFICACION!A:C,3,FALSE))</f>
        <v>1</v>
      </c>
      <c r="H727" s="1" t="s">
        <v>534</v>
      </c>
      <c r="I727" s="1" t="s">
        <v>534</v>
      </c>
      <c r="J727">
        <f>VLOOKUP(PREVIOS!F727&amp;VLOOKUP(PREVIOS!I727,PLAN!A:B,2,FALSE),CURSO!A:D,4,FALSE)</f>
        <v>22</v>
      </c>
      <c r="K727">
        <f>VLOOKUP(PREVIOS!H727,CICLO!A:B,2,FALSE)</f>
        <v>54</v>
      </c>
      <c r="L727">
        <f>VLOOKUP(PREVIOS!I727,PLAN!A:B,2,FALSE)</f>
        <v>6</v>
      </c>
    </row>
    <row r="728" spans="1:12" x14ac:dyDescent="0.25">
      <c r="A728" t="str">
        <f t="shared" si="11"/>
        <v>A779M287C1</v>
      </c>
      <c r="C728">
        <v>727</v>
      </c>
      <c r="D728">
        <f>VLOOKUP(PREVIOS!C728,ALUMNOS!A:B,2,FALSE)</f>
        <v>779</v>
      </c>
      <c r="E728">
        <f>VLOOKUP(PREVIOS!E728&amp;'TABLA PREVIOS'!J728,MATERIAS!A:H,7,FALSE)</f>
        <v>287</v>
      </c>
      <c r="F728">
        <f>VLOOKUP(PREVIOS!G728,CONDICION!A:B,2,FALSE)</f>
        <v>1</v>
      </c>
      <c r="G728">
        <f>IF(PREVIOS!AG728=1,1,VLOOKUP(PREVIOS!AG728,CALIFICACION!A:C,3,FALSE))</f>
        <v>1</v>
      </c>
      <c r="H728" s="1" t="s">
        <v>534</v>
      </c>
      <c r="I728" s="1" t="s">
        <v>534</v>
      </c>
      <c r="J728">
        <f>VLOOKUP(PREVIOS!F728&amp;VLOOKUP(PREVIOS!I728,PLAN!A:B,2,FALSE),CURSO!A:D,4,FALSE)</f>
        <v>22</v>
      </c>
      <c r="K728">
        <f>VLOOKUP(PREVIOS!H728,CICLO!A:B,2,FALSE)</f>
        <v>54</v>
      </c>
      <c r="L728">
        <f>VLOOKUP(PREVIOS!I728,PLAN!A:B,2,FALSE)</f>
        <v>6</v>
      </c>
    </row>
    <row r="729" spans="1:12" x14ac:dyDescent="0.25">
      <c r="A729" t="str">
        <f t="shared" si="11"/>
        <v>A779M286C1</v>
      </c>
      <c r="C729">
        <v>728</v>
      </c>
      <c r="D729">
        <f>VLOOKUP(PREVIOS!C729,ALUMNOS!A:B,2,FALSE)</f>
        <v>779</v>
      </c>
      <c r="E729">
        <f>VLOOKUP(PREVIOS!E729&amp;'TABLA PREVIOS'!J729,MATERIAS!A:H,7,FALSE)</f>
        <v>286</v>
      </c>
      <c r="F729">
        <f>VLOOKUP(PREVIOS!G729,CONDICION!A:B,2,FALSE)</f>
        <v>1</v>
      </c>
      <c r="G729">
        <f>IF(PREVIOS!AG729=1,1,VLOOKUP(PREVIOS!AG729,CALIFICACION!A:C,3,FALSE))</f>
        <v>1</v>
      </c>
      <c r="H729" s="1" t="s">
        <v>534</v>
      </c>
      <c r="I729" s="1" t="s">
        <v>534</v>
      </c>
      <c r="J729">
        <f>VLOOKUP(PREVIOS!F729&amp;VLOOKUP(PREVIOS!I729,PLAN!A:B,2,FALSE),CURSO!A:D,4,FALSE)</f>
        <v>22</v>
      </c>
      <c r="K729">
        <f>VLOOKUP(PREVIOS!H729,CICLO!A:B,2,FALSE)</f>
        <v>54</v>
      </c>
      <c r="L729">
        <f>VLOOKUP(PREVIOS!I729,PLAN!A:B,2,FALSE)</f>
        <v>6</v>
      </c>
    </row>
    <row r="730" spans="1:12" x14ac:dyDescent="0.25">
      <c r="A730" t="str">
        <f t="shared" si="11"/>
        <v>A779M281C1</v>
      </c>
      <c r="C730">
        <v>729</v>
      </c>
      <c r="D730">
        <f>VLOOKUP(PREVIOS!C730,ALUMNOS!A:B,2,FALSE)</f>
        <v>779</v>
      </c>
      <c r="E730">
        <f>VLOOKUP(PREVIOS!E730&amp;'TABLA PREVIOS'!J730,MATERIAS!A:H,7,FALSE)</f>
        <v>281</v>
      </c>
      <c r="F730">
        <f>VLOOKUP(PREVIOS!G730,CONDICION!A:B,2,FALSE)</f>
        <v>1</v>
      </c>
      <c r="G730">
        <f>IF(PREVIOS!AG730=1,1,VLOOKUP(PREVIOS!AG730,CALIFICACION!A:C,3,FALSE))</f>
        <v>1</v>
      </c>
      <c r="H730" s="1" t="s">
        <v>534</v>
      </c>
      <c r="I730" s="1" t="s">
        <v>534</v>
      </c>
      <c r="J730">
        <f>VLOOKUP(PREVIOS!F730&amp;VLOOKUP(PREVIOS!I730,PLAN!A:B,2,FALSE),CURSO!A:D,4,FALSE)</f>
        <v>22</v>
      </c>
      <c r="K730">
        <f>VLOOKUP(PREVIOS!H730,CICLO!A:B,2,FALSE)</f>
        <v>54</v>
      </c>
      <c r="L730">
        <f>VLOOKUP(PREVIOS!I730,PLAN!A:B,2,FALSE)</f>
        <v>6</v>
      </c>
    </row>
    <row r="731" spans="1:12" x14ac:dyDescent="0.25">
      <c r="A731" t="str">
        <f t="shared" si="11"/>
        <v>A779M288C1</v>
      </c>
      <c r="C731">
        <v>730</v>
      </c>
      <c r="D731">
        <f>VLOOKUP(PREVIOS!C731,ALUMNOS!A:B,2,FALSE)</f>
        <v>779</v>
      </c>
      <c r="E731">
        <f>VLOOKUP(PREVIOS!E731&amp;'TABLA PREVIOS'!J731,MATERIAS!A:H,7,FALSE)</f>
        <v>288</v>
      </c>
      <c r="F731">
        <f>VLOOKUP(PREVIOS!G731,CONDICION!A:B,2,FALSE)</f>
        <v>1</v>
      </c>
      <c r="G731">
        <f>IF(PREVIOS!AG731=1,1,VLOOKUP(PREVIOS!AG731,CALIFICACION!A:C,3,FALSE))</f>
        <v>1</v>
      </c>
      <c r="H731" s="1" t="s">
        <v>534</v>
      </c>
      <c r="I731" s="1" t="s">
        <v>534</v>
      </c>
      <c r="J731">
        <f>VLOOKUP(PREVIOS!F731&amp;VLOOKUP(PREVIOS!I731,PLAN!A:B,2,FALSE),CURSO!A:D,4,FALSE)</f>
        <v>22</v>
      </c>
      <c r="K731">
        <f>VLOOKUP(PREVIOS!H731,CICLO!A:B,2,FALSE)</f>
        <v>54</v>
      </c>
      <c r="L731">
        <f>VLOOKUP(PREVIOS!I731,PLAN!A:B,2,FALSE)</f>
        <v>6</v>
      </c>
    </row>
    <row r="732" spans="1:12" x14ac:dyDescent="0.25">
      <c r="A732" t="str">
        <f t="shared" si="11"/>
        <v>A779M290C1</v>
      </c>
      <c r="C732">
        <v>731</v>
      </c>
      <c r="D732">
        <f>VLOOKUP(PREVIOS!C732,ALUMNOS!A:B,2,FALSE)</f>
        <v>779</v>
      </c>
      <c r="E732">
        <f>VLOOKUP(PREVIOS!E732&amp;'TABLA PREVIOS'!J732,MATERIAS!A:H,7,FALSE)</f>
        <v>290</v>
      </c>
      <c r="F732">
        <f>VLOOKUP(PREVIOS!G732,CONDICION!A:B,2,FALSE)</f>
        <v>1</v>
      </c>
      <c r="G732">
        <f>IF(PREVIOS!AG732=1,1,VLOOKUP(PREVIOS!AG732,CALIFICACION!A:C,3,FALSE))</f>
        <v>1</v>
      </c>
      <c r="H732" s="1" t="s">
        <v>534</v>
      </c>
      <c r="I732" s="1" t="s">
        <v>534</v>
      </c>
      <c r="J732">
        <f>VLOOKUP(PREVIOS!F732&amp;VLOOKUP(PREVIOS!I732,PLAN!A:B,2,FALSE),CURSO!A:D,4,FALSE)</f>
        <v>22</v>
      </c>
      <c r="K732">
        <f>VLOOKUP(PREVIOS!H732,CICLO!A:B,2,FALSE)</f>
        <v>54</v>
      </c>
      <c r="L732">
        <f>VLOOKUP(PREVIOS!I732,PLAN!A:B,2,FALSE)</f>
        <v>6</v>
      </c>
    </row>
    <row r="733" spans="1:12" x14ac:dyDescent="0.25">
      <c r="A733" t="str">
        <f t="shared" si="11"/>
        <v>A179M285C1</v>
      </c>
      <c r="C733">
        <v>732</v>
      </c>
      <c r="D733">
        <f>VLOOKUP(PREVIOS!C733,ALUMNOS!A:B,2,FALSE)</f>
        <v>179</v>
      </c>
      <c r="E733">
        <f>VLOOKUP(PREVIOS!E733&amp;'TABLA PREVIOS'!J733,MATERIAS!A:H,7,FALSE)</f>
        <v>285</v>
      </c>
      <c r="F733">
        <f>VLOOKUP(PREVIOS!G733,CONDICION!A:B,2,FALSE)</f>
        <v>1</v>
      </c>
      <c r="G733">
        <f>IF(PREVIOS!AG733=1,1,VLOOKUP(PREVIOS!AG733,CALIFICACION!A:C,3,FALSE))</f>
        <v>1</v>
      </c>
      <c r="H733" s="1" t="s">
        <v>534</v>
      </c>
      <c r="I733" s="1" t="s">
        <v>534</v>
      </c>
      <c r="J733">
        <f>VLOOKUP(PREVIOS!F733&amp;VLOOKUP(PREVIOS!I733,PLAN!A:B,2,FALSE),CURSO!A:D,4,FALSE)</f>
        <v>22</v>
      </c>
      <c r="K733">
        <f>VLOOKUP(PREVIOS!H733,CICLO!A:B,2,FALSE)</f>
        <v>54</v>
      </c>
      <c r="L733">
        <f>VLOOKUP(PREVIOS!I733,PLAN!A:B,2,FALSE)</f>
        <v>6</v>
      </c>
    </row>
    <row r="734" spans="1:12" x14ac:dyDescent="0.25">
      <c r="A734" t="str">
        <f t="shared" si="11"/>
        <v>A179M289C1</v>
      </c>
      <c r="C734">
        <v>733</v>
      </c>
      <c r="D734">
        <f>VLOOKUP(PREVIOS!C734,ALUMNOS!A:B,2,FALSE)</f>
        <v>179</v>
      </c>
      <c r="E734">
        <f>VLOOKUP(PREVIOS!E734&amp;'TABLA PREVIOS'!J734,MATERIAS!A:H,7,FALSE)</f>
        <v>289</v>
      </c>
      <c r="F734">
        <f>VLOOKUP(PREVIOS!G734,CONDICION!A:B,2,FALSE)</f>
        <v>1</v>
      </c>
      <c r="G734">
        <f>IF(PREVIOS!AG734=1,1,VLOOKUP(PREVIOS!AG734,CALIFICACION!A:C,3,FALSE))</f>
        <v>1</v>
      </c>
      <c r="H734" s="1" t="s">
        <v>534</v>
      </c>
      <c r="I734" s="1" t="s">
        <v>534</v>
      </c>
      <c r="J734">
        <f>VLOOKUP(PREVIOS!F734&amp;VLOOKUP(PREVIOS!I734,PLAN!A:B,2,FALSE),CURSO!A:D,4,FALSE)</f>
        <v>22</v>
      </c>
      <c r="K734">
        <f>VLOOKUP(PREVIOS!H734,CICLO!A:B,2,FALSE)</f>
        <v>54</v>
      </c>
      <c r="L734">
        <f>VLOOKUP(PREVIOS!I734,PLAN!A:B,2,FALSE)</f>
        <v>6</v>
      </c>
    </row>
    <row r="735" spans="1:12" x14ac:dyDescent="0.25">
      <c r="A735" t="str">
        <f t="shared" si="11"/>
        <v>A179M287C1</v>
      </c>
      <c r="C735">
        <v>734</v>
      </c>
      <c r="D735">
        <f>VLOOKUP(PREVIOS!C735,ALUMNOS!A:B,2,FALSE)</f>
        <v>179</v>
      </c>
      <c r="E735">
        <f>VLOOKUP(PREVIOS!E735&amp;'TABLA PREVIOS'!J735,MATERIAS!A:H,7,FALSE)</f>
        <v>287</v>
      </c>
      <c r="F735">
        <f>VLOOKUP(PREVIOS!G735,CONDICION!A:B,2,FALSE)</f>
        <v>1</v>
      </c>
      <c r="G735">
        <f>IF(PREVIOS!AG735=1,1,VLOOKUP(PREVIOS!AG735,CALIFICACION!A:C,3,FALSE))</f>
        <v>1</v>
      </c>
      <c r="H735" s="1" t="s">
        <v>534</v>
      </c>
      <c r="I735" s="1" t="s">
        <v>534</v>
      </c>
      <c r="J735">
        <f>VLOOKUP(PREVIOS!F735&amp;VLOOKUP(PREVIOS!I735,PLAN!A:B,2,FALSE),CURSO!A:D,4,FALSE)</f>
        <v>22</v>
      </c>
      <c r="K735">
        <f>VLOOKUP(PREVIOS!H735,CICLO!A:B,2,FALSE)</f>
        <v>54</v>
      </c>
      <c r="L735">
        <f>VLOOKUP(PREVIOS!I735,PLAN!A:B,2,FALSE)</f>
        <v>6</v>
      </c>
    </row>
    <row r="736" spans="1:12" x14ac:dyDescent="0.25">
      <c r="A736" t="str">
        <f t="shared" si="11"/>
        <v>A179M286C1</v>
      </c>
      <c r="C736">
        <v>735</v>
      </c>
      <c r="D736">
        <f>VLOOKUP(PREVIOS!C736,ALUMNOS!A:B,2,FALSE)</f>
        <v>179</v>
      </c>
      <c r="E736">
        <f>VLOOKUP(PREVIOS!E736&amp;'TABLA PREVIOS'!J736,MATERIAS!A:H,7,FALSE)</f>
        <v>286</v>
      </c>
      <c r="F736">
        <f>VLOOKUP(PREVIOS!G736,CONDICION!A:B,2,FALSE)</f>
        <v>1</v>
      </c>
      <c r="G736">
        <f>IF(PREVIOS!AG736=1,1,VLOOKUP(PREVIOS!AG736,CALIFICACION!A:C,3,FALSE))</f>
        <v>1</v>
      </c>
      <c r="H736" s="1" t="s">
        <v>534</v>
      </c>
      <c r="I736" s="1" t="s">
        <v>534</v>
      </c>
      <c r="J736">
        <f>VLOOKUP(PREVIOS!F736&amp;VLOOKUP(PREVIOS!I736,PLAN!A:B,2,FALSE),CURSO!A:D,4,FALSE)</f>
        <v>22</v>
      </c>
      <c r="K736">
        <f>VLOOKUP(PREVIOS!H736,CICLO!A:B,2,FALSE)</f>
        <v>54</v>
      </c>
      <c r="L736">
        <f>VLOOKUP(PREVIOS!I736,PLAN!A:B,2,FALSE)</f>
        <v>6</v>
      </c>
    </row>
    <row r="737" spans="1:12" x14ac:dyDescent="0.25">
      <c r="A737" t="str">
        <f t="shared" si="11"/>
        <v>A179M288C1</v>
      </c>
      <c r="C737">
        <v>736</v>
      </c>
      <c r="D737">
        <f>VLOOKUP(PREVIOS!C737,ALUMNOS!A:B,2,FALSE)</f>
        <v>179</v>
      </c>
      <c r="E737">
        <f>VLOOKUP(PREVIOS!E737&amp;'TABLA PREVIOS'!J737,MATERIAS!A:H,7,FALSE)</f>
        <v>288</v>
      </c>
      <c r="F737">
        <f>VLOOKUP(PREVIOS!G737,CONDICION!A:B,2,FALSE)</f>
        <v>1</v>
      </c>
      <c r="G737">
        <f>IF(PREVIOS!AG737=1,1,VLOOKUP(PREVIOS!AG737,CALIFICACION!A:C,3,FALSE))</f>
        <v>1</v>
      </c>
      <c r="H737" s="1" t="s">
        <v>534</v>
      </c>
      <c r="I737" s="1" t="s">
        <v>534</v>
      </c>
      <c r="J737">
        <f>VLOOKUP(PREVIOS!F737&amp;VLOOKUP(PREVIOS!I737,PLAN!A:B,2,FALSE),CURSO!A:D,4,FALSE)</f>
        <v>22</v>
      </c>
      <c r="K737">
        <f>VLOOKUP(PREVIOS!H737,CICLO!A:B,2,FALSE)</f>
        <v>54</v>
      </c>
      <c r="L737">
        <f>VLOOKUP(PREVIOS!I737,PLAN!A:B,2,FALSE)</f>
        <v>6</v>
      </c>
    </row>
    <row r="738" spans="1:12" x14ac:dyDescent="0.25">
      <c r="A738" t="str">
        <f t="shared" si="11"/>
        <v>A179M290C1</v>
      </c>
      <c r="C738">
        <v>737</v>
      </c>
      <c r="D738">
        <f>VLOOKUP(PREVIOS!C738,ALUMNOS!A:B,2,FALSE)</f>
        <v>179</v>
      </c>
      <c r="E738">
        <f>VLOOKUP(PREVIOS!E738&amp;'TABLA PREVIOS'!J738,MATERIAS!A:H,7,FALSE)</f>
        <v>290</v>
      </c>
      <c r="F738">
        <f>VLOOKUP(PREVIOS!G738,CONDICION!A:B,2,FALSE)</f>
        <v>1</v>
      </c>
      <c r="G738">
        <f>IF(PREVIOS!AG738=1,1,VLOOKUP(PREVIOS!AG738,CALIFICACION!A:C,3,FALSE))</f>
        <v>1</v>
      </c>
      <c r="H738" s="1" t="s">
        <v>534</v>
      </c>
      <c r="I738" s="1" t="s">
        <v>534</v>
      </c>
      <c r="J738">
        <f>VLOOKUP(PREVIOS!F738&amp;VLOOKUP(PREVIOS!I738,PLAN!A:B,2,FALSE),CURSO!A:D,4,FALSE)</f>
        <v>22</v>
      </c>
      <c r="K738">
        <f>VLOOKUP(PREVIOS!H738,CICLO!A:B,2,FALSE)</f>
        <v>54</v>
      </c>
      <c r="L738">
        <f>VLOOKUP(PREVIOS!I738,PLAN!A:B,2,FALSE)</f>
        <v>6</v>
      </c>
    </row>
    <row r="739" spans="1:12" x14ac:dyDescent="0.25">
      <c r="A739" t="str">
        <f t="shared" si="11"/>
        <v>A258M285C1</v>
      </c>
      <c r="C739">
        <v>738</v>
      </c>
      <c r="D739">
        <f>VLOOKUP(PREVIOS!C739,ALUMNOS!A:B,2,FALSE)</f>
        <v>258</v>
      </c>
      <c r="E739">
        <f>VLOOKUP(PREVIOS!E739&amp;'TABLA PREVIOS'!J739,MATERIAS!A:H,7,FALSE)</f>
        <v>285</v>
      </c>
      <c r="F739">
        <f>VLOOKUP(PREVIOS!G739,CONDICION!A:B,2,FALSE)</f>
        <v>1</v>
      </c>
      <c r="G739">
        <f>IF(PREVIOS!AG739=1,1,VLOOKUP(PREVIOS!AG739,CALIFICACION!A:C,3,FALSE))</f>
        <v>1</v>
      </c>
      <c r="H739" s="1" t="s">
        <v>534</v>
      </c>
      <c r="I739" s="1" t="s">
        <v>534</v>
      </c>
      <c r="J739">
        <f>VLOOKUP(PREVIOS!F739&amp;VLOOKUP(PREVIOS!I739,PLAN!A:B,2,FALSE),CURSO!A:D,4,FALSE)</f>
        <v>22</v>
      </c>
      <c r="K739">
        <f>VLOOKUP(PREVIOS!H739,CICLO!A:B,2,FALSE)</f>
        <v>54</v>
      </c>
      <c r="L739">
        <f>VLOOKUP(PREVIOS!I739,PLAN!A:B,2,FALSE)</f>
        <v>6</v>
      </c>
    </row>
    <row r="740" spans="1:12" x14ac:dyDescent="0.25">
      <c r="A740" t="str">
        <f t="shared" si="11"/>
        <v>A258M289C1</v>
      </c>
      <c r="C740">
        <v>739</v>
      </c>
      <c r="D740">
        <f>VLOOKUP(PREVIOS!C740,ALUMNOS!A:B,2,FALSE)</f>
        <v>258</v>
      </c>
      <c r="E740">
        <f>VLOOKUP(PREVIOS!E740&amp;'TABLA PREVIOS'!J740,MATERIAS!A:H,7,FALSE)</f>
        <v>289</v>
      </c>
      <c r="F740">
        <f>VLOOKUP(PREVIOS!G740,CONDICION!A:B,2,FALSE)</f>
        <v>1</v>
      </c>
      <c r="G740">
        <f>IF(PREVIOS!AG740=1,1,VLOOKUP(PREVIOS!AG740,CALIFICACION!A:C,3,FALSE))</f>
        <v>1</v>
      </c>
      <c r="H740" s="1" t="s">
        <v>534</v>
      </c>
      <c r="I740" s="1" t="s">
        <v>534</v>
      </c>
      <c r="J740">
        <f>VLOOKUP(PREVIOS!F740&amp;VLOOKUP(PREVIOS!I740,PLAN!A:B,2,FALSE),CURSO!A:D,4,FALSE)</f>
        <v>22</v>
      </c>
      <c r="K740">
        <f>VLOOKUP(PREVIOS!H740,CICLO!A:B,2,FALSE)</f>
        <v>54</v>
      </c>
      <c r="L740">
        <f>VLOOKUP(PREVIOS!I740,PLAN!A:B,2,FALSE)</f>
        <v>6</v>
      </c>
    </row>
    <row r="741" spans="1:12" x14ac:dyDescent="0.25">
      <c r="A741" t="str">
        <f t="shared" si="11"/>
        <v>A258M287C1</v>
      </c>
      <c r="C741">
        <v>740</v>
      </c>
      <c r="D741">
        <f>VLOOKUP(PREVIOS!C741,ALUMNOS!A:B,2,FALSE)</f>
        <v>258</v>
      </c>
      <c r="E741">
        <f>VLOOKUP(PREVIOS!E741&amp;'TABLA PREVIOS'!J741,MATERIAS!A:H,7,FALSE)</f>
        <v>287</v>
      </c>
      <c r="F741">
        <f>VLOOKUP(PREVIOS!G741,CONDICION!A:B,2,FALSE)</f>
        <v>1</v>
      </c>
      <c r="G741">
        <f>IF(PREVIOS!AG741=1,1,VLOOKUP(PREVIOS!AG741,CALIFICACION!A:C,3,FALSE))</f>
        <v>1</v>
      </c>
      <c r="H741" s="1" t="s">
        <v>534</v>
      </c>
      <c r="I741" s="1" t="s">
        <v>534</v>
      </c>
      <c r="J741">
        <f>VLOOKUP(PREVIOS!F741&amp;VLOOKUP(PREVIOS!I741,PLAN!A:B,2,FALSE),CURSO!A:D,4,FALSE)</f>
        <v>22</v>
      </c>
      <c r="K741">
        <f>VLOOKUP(PREVIOS!H741,CICLO!A:B,2,FALSE)</f>
        <v>54</v>
      </c>
      <c r="L741">
        <f>VLOOKUP(PREVIOS!I741,PLAN!A:B,2,FALSE)</f>
        <v>6</v>
      </c>
    </row>
    <row r="742" spans="1:12" x14ac:dyDescent="0.25">
      <c r="A742" t="str">
        <f t="shared" si="11"/>
        <v>A258M286C1</v>
      </c>
      <c r="C742">
        <v>741</v>
      </c>
      <c r="D742">
        <f>VLOOKUP(PREVIOS!C742,ALUMNOS!A:B,2,FALSE)</f>
        <v>258</v>
      </c>
      <c r="E742">
        <f>VLOOKUP(PREVIOS!E742&amp;'TABLA PREVIOS'!J742,MATERIAS!A:H,7,FALSE)</f>
        <v>286</v>
      </c>
      <c r="F742">
        <f>VLOOKUP(PREVIOS!G742,CONDICION!A:B,2,FALSE)</f>
        <v>1</v>
      </c>
      <c r="G742">
        <f>IF(PREVIOS!AG742=1,1,VLOOKUP(PREVIOS!AG742,CALIFICACION!A:C,3,FALSE))</f>
        <v>1</v>
      </c>
      <c r="H742" s="1" t="s">
        <v>534</v>
      </c>
      <c r="I742" s="1" t="s">
        <v>534</v>
      </c>
      <c r="J742">
        <f>VLOOKUP(PREVIOS!F742&amp;VLOOKUP(PREVIOS!I742,PLAN!A:B,2,FALSE),CURSO!A:D,4,FALSE)</f>
        <v>22</v>
      </c>
      <c r="K742">
        <f>VLOOKUP(PREVIOS!H742,CICLO!A:B,2,FALSE)</f>
        <v>54</v>
      </c>
      <c r="L742">
        <f>VLOOKUP(PREVIOS!I742,PLAN!A:B,2,FALSE)</f>
        <v>6</v>
      </c>
    </row>
    <row r="743" spans="1:12" x14ac:dyDescent="0.25">
      <c r="A743" t="str">
        <f t="shared" si="11"/>
        <v>A258M288C1</v>
      </c>
      <c r="C743">
        <v>742</v>
      </c>
      <c r="D743">
        <f>VLOOKUP(PREVIOS!C743,ALUMNOS!A:B,2,FALSE)</f>
        <v>258</v>
      </c>
      <c r="E743">
        <f>VLOOKUP(PREVIOS!E743&amp;'TABLA PREVIOS'!J743,MATERIAS!A:H,7,FALSE)</f>
        <v>288</v>
      </c>
      <c r="F743">
        <f>VLOOKUP(PREVIOS!G743,CONDICION!A:B,2,FALSE)</f>
        <v>1</v>
      </c>
      <c r="G743">
        <f>IF(PREVIOS!AG743=1,1,VLOOKUP(PREVIOS!AG743,CALIFICACION!A:C,3,FALSE))</f>
        <v>1</v>
      </c>
      <c r="H743" s="1" t="s">
        <v>534</v>
      </c>
      <c r="I743" s="1" t="s">
        <v>534</v>
      </c>
      <c r="J743">
        <f>VLOOKUP(PREVIOS!F743&amp;VLOOKUP(PREVIOS!I743,PLAN!A:B,2,FALSE),CURSO!A:D,4,FALSE)</f>
        <v>22</v>
      </c>
      <c r="K743">
        <f>VLOOKUP(PREVIOS!H743,CICLO!A:B,2,FALSE)</f>
        <v>54</v>
      </c>
      <c r="L743">
        <f>VLOOKUP(PREVIOS!I743,PLAN!A:B,2,FALSE)</f>
        <v>6</v>
      </c>
    </row>
    <row r="744" spans="1:12" x14ac:dyDescent="0.25">
      <c r="A744" t="str">
        <f t="shared" si="11"/>
        <v>A258M290C1</v>
      </c>
      <c r="C744">
        <v>743</v>
      </c>
      <c r="D744">
        <f>VLOOKUP(PREVIOS!C744,ALUMNOS!A:B,2,FALSE)</f>
        <v>258</v>
      </c>
      <c r="E744">
        <f>VLOOKUP(PREVIOS!E744&amp;'TABLA PREVIOS'!J744,MATERIAS!A:H,7,FALSE)</f>
        <v>290</v>
      </c>
      <c r="F744">
        <f>VLOOKUP(PREVIOS!G744,CONDICION!A:B,2,FALSE)</f>
        <v>1</v>
      </c>
      <c r="G744">
        <f>IF(PREVIOS!AG744=1,1,VLOOKUP(PREVIOS!AG744,CALIFICACION!A:C,3,FALSE))</f>
        <v>1</v>
      </c>
      <c r="H744" s="1" t="s">
        <v>534</v>
      </c>
      <c r="I744" s="1" t="s">
        <v>534</v>
      </c>
      <c r="J744">
        <f>VLOOKUP(PREVIOS!F744&amp;VLOOKUP(PREVIOS!I744,PLAN!A:B,2,FALSE),CURSO!A:D,4,FALSE)</f>
        <v>22</v>
      </c>
      <c r="K744">
        <f>VLOOKUP(PREVIOS!H744,CICLO!A:B,2,FALSE)</f>
        <v>54</v>
      </c>
      <c r="L744">
        <f>VLOOKUP(PREVIOS!I744,PLAN!A:B,2,FALSE)</f>
        <v>6</v>
      </c>
    </row>
    <row r="745" spans="1:12" x14ac:dyDescent="0.25">
      <c r="A745" t="str">
        <f t="shared" si="11"/>
        <v>A261M260C2</v>
      </c>
      <c r="C745">
        <v>744</v>
      </c>
      <c r="D745">
        <f>VLOOKUP(PREVIOS!C745,ALUMNOS!A:B,2,FALSE)</f>
        <v>261</v>
      </c>
      <c r="E745">
        <f>VLOOKUP(PREVIOS!E745&amp;'TABLA PREVIOS'!J745,MATERIAS!A:H,7,FALSE)</f>
        <v>260</v>
      </c>
      <c r="F745">
        <f>VLOOKUP(PREVIOS!G745,CONDICION!A:B,2,FALSE)</f>
        <v>2</v>
      </c>
      <c r="G745">
        <f>IF(PREVIOS!AG745=1,1,VLOOKUP(PREVIOS!AG745,CALIFICACION!A:C,3,FALSE))</f>
        <v>1</v>
      </c>
      <c r="H745" s="1" t="s">
        <v>534</v>
      </c>
      <c r="I745" s="1" t="s">
        <v>534</v>
      </c>
      <c r="J745">
        <f>VLOOKUP(PREVIOS!F745&amp;VLOOKUP(PREVIOS!I745,PLAN!A:B,2,FALSE),CURSO!A:D,4,FALSE)</f>
        <v>20</v>
      </c>
      <c r="K745">
        <f>VLOOKUP(PREVIOS!H745,CICLO!A:B,2,FALSE)</f>
        <v>52</v>
      </c>
      <c r="L745">
        <f>VLOOKUP(PREVIOS!I745,PLAN!A:B,2,FALSE)</f>
        <v>6</v>
      </c>
    </row>
    <row r="746" spans="1:12" x14ac:dyDescent="0.25">
      <c r="A746" t="str">
        <f t="shared" si="11"/>
        <v>A261M274C1</v>
      </c>
      <c r="C746">
        <v>745</v>
      </c>
      <c r="D746">
        <f>VLOOKUP(PREVIOS!C746,ALUMNOS!A:B,2,FALSE)</f>
        <v>261</v>
      </c>
      <c r="E746">
        <f>VLOOKUP(PREVIOS!E746&amp;'TABLA PREVIOS'!J746,MATERIAS!A:H,7,FALSE)</f>
        <v>274</v>
      </c>
      <c r="F746">
        <f>VLOOKUP(PREVIOS!G746,CONDICION!A:B,2,FALSE)</f>
        <v>1</v>
      </c>
      <c r="G746">
        <f>IF(PREVIOS!AG746=1,1,VLOOKUP(PREVIOS!AG746,CALIFICACION!A:C,3,FALSE))</f>
        <v>1</v>
      </c>
      <c r="H746" s="1" t="s">
        <v>534</v>
      </c>
      <c r="I746" s="1" t="s">
        <v>534</v>
      </c>
      <c r="J746">
        <f>VLOOKUP(PREVIOS!F746&amp;VLOOKUP(PREVIOS!I746,PLAN!A:B,2,FALSE),CURSO!A:D,4,FALSE)</f>
        <v>21</v>
      </c>
      <c r="K746">
        <f>VLOOKUP(PREVIOS!H746,CICLO!A:B,2,FALSE)</f>
        <v>53</v>
      </c>
      <c r="L746">
        <f>VLOOKUP(PREVIOS!I746,PLAN!A:B,2,FALSE)</f>
        <v>6</v>
      </c>
    </row>
    <row r="747" spans="1:12" x14ac:dyDescent="0.25">
      <c r="A747" t="str">
        <f t="shared" si="11"/>
        <v>A261M271C1</v>
      </c>
      <c r="C747">
        <v>746</v>
      </c>
      <c r="D747">
        <f>VLOOKUP(PREVIOS!C747,ALUMNOS!A:B,2,FALSE)</f>
        <v>261</v>
      </c>
      <c r="E747">
        <f>VLOOKUP(PREVIOS!E747&amp;'TABLA PREVIOS'!J747,MATERIAS!A:H,7,FALSE)</f>
        <v>271</v>
      </c>
      <c r="F747">
        <f>VLOOKUP(PREVIOS!G747,CONDICION!A:B,2,FALSE)</f>
        <v>1</v>
      </c>
      <c r="G747">
        <f>IF(PREVIOS!AG747=1,1,VLOOKUP(PREVIOS!AG747,CALIFICACION!A:C,3,FALSE))</f>
        <v>1</v>
      </c>
      <c r="H747" s="1" t="s">
        <v>534</v>
      </c>
      <c r="I747" s="1" t="s">
        <v>534</v>
      </c>
      <c r="J747">
        <f>VLOOKUP(PREVIOS!F747&amp;VLOOKUP(PREVIOS!I747,PLAN!A:B,2,FALSE),CURSO!A:D,4,FALSE)</f>
        <v>21</v>
      </c>
      <c r="K747">
        <f>VLOOKUP(PREVIOS!H747,CICLO!A:B,2,FALSE)</f>
        <v>53</v>
      </c>
      <c r="L747">
        <f>VLOOKUP(PREVIOS!I747,PLAN!A:B,2,FALSE)</f>
        <v>6</v>
      </c>
    </row>
    <row r="748" spans="1:12" x14ac:dyDescent="0.25">
      <c r="A748" t="str">
        <f t="shared" si="11"/>
        <v>A331M285C1</v>
      </c>
      <c r="C748">
        <v>747</v>
      </c>
      <c r="D748">
        <f>VLOOKUP(PREVIOS!C748,ALUMNOS!A:B,2,FALSE)</f>
        <v>331</v>
      </c>
      <c r="E748">
        <f>VLOOKUP(PREVIOS!E748&amp;'TABLA PREVIOS'!J748,MATERIAS!A:H,7,FALSE)</f>
        <v>285</v>
      </c>
      <c r="F748">
        <f>VLOOKUP(PREVIOS!G748,CONDICION!A:B,2,FALSE)</f>
        <v>1</v>
      </c>
      <c r="G748">
        <f>IF(PREVIOS!AG748=1,1,VLOOKUP(PREVIOS!AG748,CALIFICACION!A:C,3,FALSE))</f>
        <v>1</v>
      </c>
      <c r="H748" s="1" t="s">
        <v>534</v>
      </c>
      <c r="I748" s="1" t="s">
        <v>534</v>
      </c>
      <c r="J748">
        <f>VLOOKUP(PREVIOS!F748&amp;VLOOKUP(PREVIOS!I748,PLAN!A:B,2,FALSE),CURSO!A:D,4,FALSE)</f>
        <v>22</v>
      </c>
      <c r="K748">
        <f>VLOOKUP(PREVIOS!H748,CICLO!A:B,2,FALSE)</f>
        <v>54</v>
      </c>
      <c r="L748">
        <f>VLOOKUP(PREVIOS!I748,PLAN!A:B,2,FALSE)</f>
        <v>6</v>
      </c>
    </row>
    <row r="749" spans="1:12" x14ac:dyDescent="0.25">
      <c r="A749" t="str">
        <f t="shared" si="11"/>
        <v>A331M289C1</v>
      </c>
      <c r="C749">
        <v>748</v>
      </c>
      <c r="D749">
        <f>VLOOKUP(PREVIOS!C749,ALUMNOS!A:B,2,FALSE)</f>
        <v>331</v>
      </c>
      <c r="E749">
        <f>VLOOKUP(PREVIOS!E749&amp;'TABLA PREVIOS'!J749,MATERIAS!A:H,7,FALSE)</f>
        <v>289</v>
      </c>
      <c r="F749">
        <f>VLOOKUP(PREVIOS!G749,CONDICION!A:B,2,FALSE)</f>
        <v>1</v>
      </c>
      <c r="G749">
        <f>IF(PREVIOS!AG749=1,1,VLOOKUP(PREVIOS!AG749,CALIFICACION!A:C,3,FALSE))</f>
        <v>1</v>
      </c>
      <c r="H749" s="1" t="s">
        <v>534</v>
      </c>
      <c r="I749" s="1" t="s">
        <v>534</v>
      </c>
      <c r="J749">
        <f>VLOOKUP(PREVIOS!F749&amp;VLOOKUP(PREVIOS!I749,PLAN!A:B,2,FALSE),CURSO!A:D,4,FALSE)</f>
        <v>22</v>
      </c>
      <c r="K749">
        <f>VLOOKUP(PREVIOS!H749,CICLO!A:B,2,FALSE)</f>
        <v>54</v>
      </c>
      <c r="L749">
        <f>VLOOKUP(PREVIOS!I749,PLAN!A:B,2,FALSE)</f>
        <v>6</v>
      </c>
    </row>
    <row r="750" spans="1:12" x14ac:dyDescent="0.25">
      <c r="A750" t="str">
        <f t="shared" si="11"/>
        <v>A331M287C1</v>
      </c>
      <c r="C750">
        <v>749</v>
      </c>
      <c r="D750">
        <f>VLOOKUP(PREVIOS!C750,ALUMNOS!A:B,2,FALSE)</f>
        <v>331</v>
      </c>
      <c r="E750">
        <f>VLOOKUP(PREVIOS!E750&amp;'TABLA PREVIOS'!J750,MATERIAS!A:H,7,FALSE)</f>
        <v>287</v>
      </c>
      <c r="F750">
        <f>VLOOKUP(PREVIOS!G750,CONDICION!A:B,2,FALSE)</f>
        <v>1</v>
      </c>
      <c r="G750">
        <f>IF(PREVIOS!AG750=1,1,VLOOKUP(PREVIOS!AG750,CALIFICACION!A:C,3,FALSE))</f>
        <v>1</v>
      </c>
      <c r="H750" s="1" t="s">
        <v>534</v>
      </c>
      <c r="I750" s="1" t="s">
        <v>534</v>
      </c>
      <c r="J750">
        <f>VLOOKUP(PREVIOS!F750&amp;VLOOKUP(PREVIOS!I750,PLAN!A:B,2,FALSE),CURSO!A:D,4,FALSE)</f>
        <v>22</v>
      </c>
      <c r="K750">
        <f>VLOOKUP(PREVIOS!H750,CICLO!A:B,2,FALSE)</f>
        <v>54</v>
      </c>
      <c r="L750">
        <f>VLOOKUP(PREVIOS!I750,PLAN!A:B,2,FALSE)</f>
        <v>6</v>
      </c>
    </row>
    <row r="751" spans="1:12" x14ac:dyDescent="0.25">
      <c r="A751" t="str">
        <f t="shared" si="11"/>
        <v>A331M286C1</v>
      </c>
      <c r="C751">
        <v>750</v>
      </c>
      <c r="D751">
        <f>VLOOKUP(PREVIOS!C751,ALUMNOS!A:B,2,FALSE)</f>
        <v>331</v>
      </c>
      <c r="E751">
        <f>VLOOKUP(PREVIOS!E751&amp;'TABLA PREVIOS'!J751,MATERIAS!A:H,7,FALSE)</f>
        <v>286</v>
      </c>
      <c r="F751">
        <f>VLOOKUP(PREVIOS!G751,CONDICION!A:B,2,FALSE)</f>
        <v>1</v>
      </c>
      <c r="G751">
        <f>IF(PREVIOS!AG751=1,1,VLOOKUP(PREVIOS!AG751,CALIFICACION!A:C,3,FALSE))</f>
        <v>1</v>
      </c>
      <c r="H751" s="1" t="s">
        <v>534</v>
      </c>
      <c r="I751" s="1" t="s">
        <v>534</v>
      </c>
      <c r="J751">
        <f>VLOOKUP(PREVIOS!F751&amp;VLOOKUP(PREVIOS!I751,PLAN!A:B,2,FALSE),CURSO!A:D,4,FALSE)</f>
        <v>22</v>
      </c>
      <c r="K751">
        <f>VLOOKUP(PREVIOS!H751,CICLO!A:B,2,FALSE)</f>
        <v>54</v>
      </c>
      <c r="L751">
        <f>VLOOKUP(PREVIOS!I751,PLAN!A:B,2,FALSE)</f>
        <v>6</v>
      </c>
    </row>
    <row r="752" spans="1:12" x14ac:dyDescent="0.25">
      <c r="A752" t="str">
        <f t="shared" si="11"/>
        <v>A331M288C1</v>
      </c>
      <c r="C752">
        <v>751</v>
      </c>
      <c r="D752">
        <f>VLOOKUP(PREVIOS!C752,ALUMNOS!A:B,2,FALSE)</f>
        <v>331</v>
      </c>
      <c r="E752">
        <f>VLOOKUP(PREVIOS!E752&amp;'TABLA PREVIOS'!J752,MATERIAS!A:H,7,FALSE)</f>
        <v>288</v>
      </c>
      <c r="F752">
        <f>VLOOKUP(PREVIOS!G752,CONDICION!A:B,2,FALSE)</f>
        <v>1</v>
      </c>
      <c r="G752">
        <f>IF(PREVIOS!AG752=1,1,VLOOKUP(PREVIOS!AG752,CALIFICACION!A:C,3,FALSE))</f>
        <v>1</v>
      </c>
      <c r="H752" s="1" t="s">
        <v>534</v>
      </c>
      <c r="I752" s="1" t="s">
        <v>534</v>
      </c>
      <c r="J752">
        <f>VLOOKUP(PREVIOS!F752&amp;VLOOKUP(PREVIOS!I752,PLAN!A:B,2,FALSE),CURSO!A:D,4,FALSE)</f>
        <v>22</v>
      </c>
      <c r="K752">
        <f>VLOOKUP(PREVIOS!H752,CICLO!A:B,2,FALSE)</f>
        <v>54</v>
      </c>
      <c r="L752">
        <f>VLOOKUP(PREVIOS!I752,PLAN!A:B,2,FALSE)</f>
        <v>6</v>
      </c>
    </row>
    <row r="753" spans="1:12" x14ac:dyDescent="0.25">
      <c r="A753" t="str">
        <f t="shared" si="11"/>
        <v>A331M290C1</v>
      </c>
      <c r="C753">
        <v>752</v>
      </c>
      <c r="D753">
        <f>VLOOKUP(PREVIOS!C753,ALUMNOS!A:B,2,FALSE)</f>
        <v>331</v>
      </c>
      <c r="E753">
        <f>VLOOKUP(PREVIOS!E753&amp;'TABLA PREVIOS'!J753,MATERIAS!A:H,7,FALSE)</f>
        <v>290</v>
      </c>
      <c r="F753">
        <f>VLOOKUP(PREVIOS!G753,CONDICION!A:B,2,FALSE)</f>
        <v>1</v>
      </c>
      <c r="G753">
        <f>IF(PREVIOS!AG753=1,1,VLOOKUP(PREVIOS!AG753,CALIFICACION!A:C,3,FALSE))</f>
        <v>1</v>
      </c>
      <c r="H753" s="1" t="s">
        <v>534</v>
      </c>
      <c r="I753" s="1" t="s">
        <v>534</v>
      </c>
      <c r="J753">
        <f>VLOOKUP(PREVIOS!F753&amp;VLOOKUP(PREVIOS!I753,PLAN!A:B,2,FALSE),CURSO!A:D,4,FALSE)</f>
        <v>22</v>
      </c>
      <c r="K753">
        <f>VLOOKUP(PREVIOS!H753,CICLO!A:B,2,FALSE)</f>
        <v>54</v>
      </c>
      <c r="L753">
        <f>VLOOKUP(PREVIOS!I753,PLAN!A:B,2,FALSE)</f>
        <v>6</v>
      </c>
    </row>
    <row r="754" spans="1:12" x14ac:dyDescent="0.25">
      <c r="A754" t="str">
        <f t="shared" si="11"/>
        <v>A434M285C1</v>
      </c>
      <c r="C754">
        <v>753</v>
      </c>
      <c r="D754">
        <f>VLOOKUP(PREVIOS!C754,ALUMNOS!A:B,2,FALSE)</f>
        <v>434</v>
      </c>
      <c r="E754">
        <f>VLOOKUP(PREVIOS!E754&amp;'TABLA PREVIOS'!J754,MATERIAS!A:H,7,FALSE)</f>
        <v>285</v>
      </c>
      <c r="F754">
        <f>VLOOKUP(PREVIOS!G754,CONDICION!A:B,2,FALSE)</f>
        <v>1</v>
      </c>
      <c r="G754">
        <f>IF(PREVIOS!AG754=1,1,VLOOKUP(PREVIOS!AG754,CALIFICACION!A:C,3,FALSE))</f>
        <v>1</v>
      </c>
      <c r="H754" s="1" t="s">
        <v>534</v>
      </c>
      <c r="I754" s="1" t="s">
        <v>534</v>
      </c>
      <c r="J754">
        <f>VLOOKUP(PREVIOS!F754&amp;VLOOKUP(PREVIOS!I754,PLAN!A:B,2,FALSE),CURSO!A:D,4,FALSE)</f>
        <v>22</v>
      </c>
      <c r="K754">
        <f>VLOOKUP(PREVIOS!H754,CICLO!A:B,2,FALSE)</f>
        <v>54</v>
      </c>
      <c r="L754">
        <f>VLOOKUP(PREVIOS!I754,PLAN!A:B,2,FALSE)</f>
        <v>6</v>
      </c>
    </row>
    <row r="755" spans="1:12" x14ac:dyDescent="0.25">
      <c r="A755" t="str">
        <f t="shared" si="11"/>
        <v>A434M289C1</v>
      </c>
      <c r="C755">
        <v>754</v>
      </c>
      <c r="D755">
        <f>VLOOKUP(PREVIOS!C755,ALUMNOS!A:B,2,FALSE)</f>
        <v>434</v>
      </c>
      <c r="E755">
        <f>VLOOKUP(PREVIOS!E755&amp;'TABLA PREVIOS'!J755,MATERIAS!A:H,7,FALSE)</f>
        <v>289</v>
      </c>
      <c r="F755">
        <f>VLOOKUP(PREVIOS!G755,CONDICION!A:B,2,FALSE)</f>
        <v>1</v>
      </c>
      <c r="G755">
        <f>IF(PREVIOS!AG755=1,1,VLOOKUP(PREVIOS!AG755,CALIFICACION!A:C,3,FALSE))</f>
        <v>1</v>
      </c>
      <c r="H755" s="1" t="s">
        <v>534</v>
      </c>
      <c r="I755" s="1" t="s">
        <v>534</v>
      </c>
      <c r="J755">
        <f>VLOOKUP(PREVIOS!F755&amp;VLOOKUP(PREVIOS!I755,PLAN!A:B,2,FALSE),CURSO!A:D,4,FALSE)</f>
        <v>22</v>
      </c>
      <c r="K755">
        <f>VLOOKUP(PREVIOS!H755,CICLO!A:B,2,FALSE)</f>
        <v>54</v>
      </c>
      <c r="L755">
        <f>VLOOKUP(PREVIOS!I755,PLAN!A:B,2,FALSE)</f>
        <v>6</v>
      </c>
    </row>
    <row r="756" spans="1:12" x14ac:dyDescent="0.25">
      <c r="A756" t="str">
        <f t="shared" si="11"/>
        <v>A434M284C1</v>
      </c>
      <c r="C756">
        <v>755</v>
      </c>
      <c r="D756">
        <f>VLOOKUP(PREVIOS!C756,ALUMNOS!A:B,2,FALSE)</f>
        <v>434</v>
      </c>
      <c r="E756">
        <f>VLOOKUP(PREVIOS!E756&amp;'TABLA PREVIOS'!J756,MATERIAS!A:H,7,FALSE)</f>
        <v>284</v>
      </c>
      <c r="F756">
        <f>VLOOKUP(PREVIOS!G756,CONDICION!A:B,2,FALSE)</f>
        <v>1</v>
      </c>
      <c r="G756">
        <f>IF(PREVIOS!AG756=1,1,VLOOKUP(PREVIOS!AG756,CALIFICACION!A:C,3,FALSE))</f>
        <v>1</v>
      </c>
      <c r="H756" s="1" t="s">
        <v>534</v>
      </c>
      <c r="I756" s="1" t="s">
        <v>534</v>
      </c>
      <c r="J756">
        <f>VLOOKUP(PREVIOS!F756&amp;VLOOKUP(PREVIOS!I756,PLAN!A:B,2,FALSE),CURSO!A:D,4,FALSE)</f>
        <v>22</v>
      </c>
      <c r="K756">
        <f>VLOOKUP(PREVIOS!H756,CICLO!A:B,2,FALSE)</f>
        <v>54</v>
      </c>
      <c r="L756">
        <f>VLOOKUP(PREVIOS!I756,PLAN!A:B,2,FALSE)</f>
        <v>6</v>
      </c>
    </row>
    <row r="757" spans="1:12" x14ac:dyDescent="0.25">
      <c r="A757" t="str">
        <f t="shared" si="11"/>
        <v>A434M287C1</v>
      </c>
      <c r="C757">
        <v>756</v>
      </c>
      <c r="D757">
        <f>VLOOKUP(PREVIOS!C757,ALUMNOS!A:B,2,FALSE)</f>
        <v>434</v>
      </c>
      <c r="E757">
        <f>VLOOKUP(PREVIOS!E757&amp;'TABLA PREVIOS'!J757,MATERIAS!A:H,7,FALSE)</f>
        <v>287</v>
      </c>
      <c r="F757">
        <f>VLOOKUP(PREVIOS!G757,CONDICION!A:B,2,FALSE)</f>
        <v>1</v>
      </c>
      <c r="G757">
        <f>IF(PREVIOS!AG757=1,1,VLOOKUP(PREVIOS!AG757,CALIFICACION!A:C,3,FALSE))</f>
        <v>1</v>
      </c>
      <c r="H757" s="1" t="s">
        <v>534</v>
      </c>
      <c r="I757" s="1" t="s">
        <v>534</v>
      </c>
      <c r="J757">
        <f>VLOOKUP(PREVIOS!F757&amp;VLOOKUP(PREVIOS!I757,PLAN!A:B,2,FALSE),CURSO!A:D,4,FALSE)</f>
        <v>22</v>
      </c>
      <c r="K757">
        <f>VLOOKUP(PREVIOS!H757,CICLO!A:B,2,FALSE)</f>
        <v>54</v>
      </c>
      <c r="L757">
        <f>VLOOKUP(PREVIOS!I757,PLAN!A:B,2,FALSE)</f>
        <v>6</v>
      </c>
    </row>
    <row r="758" spans="1:12" x14ac:dyDescent="0.25">
      <c r="A758" t="str">
        <f t="shared" si="11"/>
        <v>A434M286C1</v>
      </c>
      <c r="C758">
        <v>757</v>
      </c>
      <c r="D758">
        <f>VLOOKUP(PREVIOS!C758,ALUMNOS!A:B,2,FALSE)</f>
        <v>434</v>
      </c>
      <c r="E758">
        <f>VLOOKUP(PREVIOS!E758&amp;'TABLA PREVIOS'!J758,MATERIAS!A:H,7,FALSE)</f>
        <v>286</v>
      </c>
      <c r="F758">
        <f>VLOOKUP(PREVIOS!G758,CONDICION!A:B,2,FALSE)</f>
        <v>1</v>
      </c>
      <c r="G758">
        <f>IF(PREVIOS!AG758=1,1,VLOOKUP(PREVIOS!AG758,CALIFICACION!A:C,3,FALSE))</f>
        <v>1</v>
      </c>
      <c r="H758" s="1" t="s">
        <v>534</v>
      </c>
      <c r="I758" s="1" t="s">
        <v>534</v>
      </c>
      <c r="J758">
        <f>VLOOKUP(PREVIOS!F758&amp;VLOOKUP(PREVIOS!I758,PLAN!A:B,2,FALSE),CURSO!A:D,4,FALSE)</f>
        <v>22</v>
      </c>
      <c r="K758">
        <f>VLOOKUP(PREVIOS!H758,CICLO!A:B,2,FALSE)</f>
        <v>54</v>
      </c>
      <c r="L758">
        <f>VLOOKUP(PREVIOS!I758,PLAN!A:B,2,FALSE)</f>
        <v>6</v>
      </c>
    </row>
    <row r="759" spans="1:12" x14ac:dyDescent="0.25">
      <c r="A759" t="str">
        <f t="shared" si="11"/>
        <v>A434M292C1</v>
      </c>
      <c r="C759">
        <v>758</v>
      </c>
      <c r="D759">
        <f>VLOOKUP(PREVIOS!C759,ALUMNOS!A:B,2,FALSE)</f>
        <v>434</v>
      </c>
      <c r="E759">
        <f>VLOOKUP(PREVIOS!E759&amp;'TABLA PREVIOS'!J759,MATERIAS!A:H,7,FALSE)</f>
        <v>292</v>
      </c>
      <c r="F759">
        <f>VLOOKUP(PREVIOS!G759,CONDICION!A:B,2,FALSE)</f>
        <v>1</v>
      </c>
      <c r="G759">
        <f>IF(PREVIOS!AG759=1,1,VLOOKUP(PREVIOS!AG759,CALIFICACION!A:C,3,FALSE))</f>
        <v>1</v>
      </c>
      <c r="H759" s="1" t="s">
        <v>534</v>
      </c>
      <c r="I759" s="1" t="s">
        <v>534</v>
      </c>
      <c r="J759">
        <f>VLOOKUP(PREVIOS!F759&amp;VLOOKUP(PREVIOS!I759,PLAN!A:B,2,FALSE),CURSO!A:D,4,FALSE)</f>
        <v>22</v>
      </c>
      <c r="K759">
        <f>VLOOKUP(PREVIOS!H759,CICLO!A:B,2,FALSE)</f>
        <v>54</v>
      </c>
      <c r="L759">
        <f>VLOOKUP(PREVIOS!I759,PLAN!A:B,2,FALSE)</f>
        <v>6</v>
      </c>
    </row>
    <row r="760" spans="1:12" x14ac:dyDescent="0.25">
      <c r="A760" t="str">
        <f t="shared" si="11"/>
        <v>A434M288C1</v>
      </c>
      <c r="C760">
        <v>759</v>
      </c>
      <c r="D760">
        <f>VLOOKUP(PREVIOS!C760,ALUMNOS!A:B,2,FALSE)</f>
        <v>434</v>
      </c>
      <c r="E760">
        <f>VLOOKUP(PREVIOS!E760&amp;'TABLA PREVIOS'!J760,MATERIAS!A:H,7,FALSE)</f>
        <v>288</v>
      </c>
      <c r="F760">
        <f>VLOOKUP(PREVIOS!G760,CONDICION!A:B,2,FALSE)</f>
        <v>1</v>
      </c>
      <c r="G760">
        <f>IF(PREVIOS!AG760=1,1,VLOOKUP(PREVIOS!AG760,CALIFICACION!A:C,3,FALSE))</f>
        <v>1</v>
      </c>
      <c r="H760" s="1" t="s">
        <v>534</v>
      </c>
      <c r="I760" s="1" t="s">
        <v>534</v>
      </c>
      <c r="J760">
        <f>VLOOKUP(PREVIOS!F760&amp;VLOOKUP(PREVIOS!I760,PLAN!A:B,2,FALSE),CURSO!A:D,4,FALSE)</f>
        <v>22</v>
      </c>
      <c r="K760">
        <f>VLOOKUP(PREVIOS!H760,CICLO!A:B,2,FALSE)</f>
        <v>54</v>
      </c>
      <c r="L760">
        <f>VLOOKUP(PREVIOS!I760,PLAN!A:B,2,FALSE)</f>
        <v>6</v>
      </c>
    </row>
    <row r="761" spans="1:12" x14ac:dyDescent="0.25">
      <c r="A761" t="str">
        <f t="shared" si="11"/>
        <v>A434M290C1</v>
      </c>
      <c r="C761">
        <v>760</v>
      </c>
      <c r="D761">
        <f>VLOOKUP(PREVIOS!C761,ALUMNOS!A:B,2,FALSE)</f>
        <v>434</v>
      </c>
      <c r="E761">
        <f>VLOOKUP(PREVIOS!E761&amp;'TABLA PREVIOS'!J761,MATERIAS!A:H,7,FALSE)</f>
        <v>290</v>
      </c>
      <c r="F761">
        <f>VLOOKUP(PREVIOS!G761,CONDICION!A:B,2,FALSE)</f>
        <v>1</v>
      </c>
      <c r="G761">
        <f>IF(PREVIOS!AG761=1,1,VLOOKUP(PREVIOS!AG761,CALIFICACION!A:C,3,FALSE))</f>
        <v>1</v>
      </c>
      <c r="H761" s="1" t="s">
        <v>534</v>
      </c>
      <c r="I761" s="1" t="s">
        <v>534</v>
      </c>
      <c r="J761">
        <f>VLOOKUP(PREVIOS!F761&amp;VLOOKUP(PREVIOS!I761,PLAN!A:B,2,FALSE),CURSO!A:D,4,FALSE)</f>
        <v>22</v>
      </c>
      <c r="K761">
        <f>VLOOKUP(PREVIOS!H761,CICLO!A:B,2,FALSE)</f>
        <v>54</v>
      </c>
      <c r="L761">
        <f>VLOOKUP(PREVIOS!I761,PLAN!A:B,2,FALSE)</f>
        <v>6</v>
      </c>
    </row>
    <row r="762" spans="1:12" x14ac:dyDescent="0.25">
      <c r="A762" t="str">
        <f t="shared" si="11"/>
        <v>A512M233C1</v>
      </c>
      <c r="C762">
        <v>761</v>
      </c>
      <c r="D762">
        <f>VLOOKUP(PREVIOS!C762,ALUMNOS!A:B,2,FALSE)</f>
        <v>512</v>
      </c>
      <c r="E762">
        <f>VLOOKUP(PREVIOS!E762&amp;'TABLA PREVIOS'!J762,MATERIAS!A:H,7,FALSE)</f>
        <v>233</v>
      </c>
      <c r="F762">
        <f>VLOOKUP(PREVIOS!G762,CONDICION!A:B,2,FALSE)</f>
        <v>1</v>
      </c>
      <c r="G762">
        <f>IF(PREVIOS!AG762=1,1,VLOOKUP(PREVIOS!AG762,CALIFICACION!A:C,3,FALSE))</f>
        <v>1</v>
      </c>
      <c r="H762" s="1" t="s">
        <v>534</v>
      </c>
      <c r="I762" s="1" t="s">
        <v>534</v>
      </c>
      <c r="J762">
        <f>VLOOKUP(PREVIOS!F762&amp;VLOOKUP(PREVIOS!I762,PLAN!A:B,2,FALSE),CURSO!A:D,4,FALSE)</f>
        <v>18</v>
      </c>
      <c r="K762">
        <f>VLOOKUP(PREVIOS!H762,CICLO!A:B,2,FALSE)</f>
        <v>50</v>
      </c>
      <c r="L762">
        <f>VLOOKUP(PREVIOS!I762,PLAN!A:B,2,FALSE)</f>
        <v>5</v>
      </c>
    </row>
    <row r="763" spans="1:12" x14ac:dyDescent="0.25">
      <c r="A763" t="str">
        <f t="shared" si="11"/>
        <v>A512M266C1</v>
      </c>
      <c r="C763">
        <v>762</v>
      </c>
      <c r="D763">
        <f>VLOOKUP(PREVIOS!C763,ALUMNOS!A:B,2,FALSE)</f>
        <v>512</v>
      </c>
      <c r="E763">
        <f>VLOOKUP(PREVIOS!E763&amp;'TABLA PREVIOS'!J763,MATERIAS!A:H,7,FALSE)</f>
        <v>266</v>
      </c>
      <c r="F763">
        <f>VLOOKUP(PREVIOS!G763,CONDICION!A:B,2,FALSE)</f>
        <v>1</v>
      </c>
      <c r="G763">
        <f>IF(PREVIOS!AG763=1,1,VLOOKUP(PREVIOS!AG763,CALIFICACION!A:C,3,FALSE))</f>
        <v>1</v>
      </c>
      <c r="H763" s="1" t="s">
        <v>534</v>
      </c>
      <c r="I763" s="1" t="s">
        <v>534</v>
      </c>
      <c r="J763">
        <f>VLOOKUP(PREVIOS!F763&amp;VLOOKUP(PREVIOS!I763,PLAN!A:B,2,FALSE),CURSO!A:D,4,FALSE)</f>
        <v>21</v>
      </c>
      <c r="K763">
        <f>VLOOKUP(PREVIOS!H763,CICLO!A:B,2,FALSE)</f>
        <v>53</v>
      </c>
      <c r="L763">
        <f>VLOOKUP(PREVIOS!I763,PLAN!A:B,2,FALSE)</f>
        <v>6</v>
      </c>
    </row>
    <row r="764" spans="1:12" x14ac:dyDescent="0.25">
      <c r="A764" t="str">
        <f t="shared" si="11"/>
        <v>A512M285C1</v>
      </c>
      <c r="C764">
        <v>763</v>
      </c>
      <c r="D764">
        <f>VLOOKUP(PREVIOS!C764,ALUMNOS!A:B,2,FALSE)</f>
        <v>512</v>
      </c>
      <c r="E764">
        <f>VLOOKUP(PREVIOS!E764&amp;'TABLA PREVIOS'!J764,MATERIAS!A:H,7,FALSE)</f>
        <v>285</v>
      </c>
      <c r="F764">
        <f>VLOOKUP(PREVIOS!G764,CONDICION!A:B,2,FALSE)</f>
        <v>1</v>
      </c>
      <c r="G764">
        <f>IF(PREVIOS!AG764=1,1,VLOOKUP(PREVIOS!AG764,CALIFICACION!A:C,3,FALSE))</f>
        <v>1</v>
      </c>
      <c r="H764" s="1" t="s">
        <v>534</v>
      </c>
      <c r="I764" s="1" t="s">
        <v>534</v>
      </c>
      <c r="J764">
        <f>VLOOKUP(PREVIOS!F764&amp;VLOOKUP(PREVIOS!I764,PLAN!A:B,2,FALSE),CURSO!A:D,4,FALSE)</f>
        <v>22</v>
      </c>
      <c r="K764">
        <f>VLOOKUP(PREVIOS!H764,CICLO!A:B,2,FALSE)</f>
        <v>54</v>
      </c>
      <c r="L764">
        <f>VLOOKUP(PREVIOS!I764,PLAN!A:B,2,FALSE)</f>
        <v>6</v>
      </c>
    </row>
    <row r="765" spans="1:12" x14ac:dyDescent="0.25">
      <c r="A765" t="str">
        <f t="shared" si="11"/>
        <v>A512M289C1</v>
      </c>
      <c r="C765">
        <v>764</v>
      </c>
      <c r="D765">
        <f>VLOOKUP(PREVIOS!C765,ALUMNOS!A:B,2,FALSE)</f>
        <v>512</v>
      </c>
      <c r="E765">
        <f>VLOOKUP(PREVIOS!E765&amp;'TABLA PREVIOS'!J765,MATERIAS!A:H,7,FALSE)</f>
        <v>289</v>
      </c>
      <c r="F765">
        <f>VLOOKUP(PREVIOS!G765,CONDICION!A:B,2,FALSE)</f>
        <v>1</v>
      </c>
      <c r="G765">
        <f>IF(PREVIOS!AG765=1,1,VLOOKUP(PREVIOS!AG765,CALIFICACION!A:C,3,FALSE))</f>
        <v>1</v>
      </c>
      <c r="H765" s="1" t="s">
        <v>534</v>
      </c>
      <c r="I765" s="1" t="s">
        <v>534</v>
      </c>
      <c r="J765">
        <f>VLOOKUP(PREVIOS!F765&amp;VLOOKUP(PREVIOS!I765,PLAN!A:B,2,FALSE),CURSO!A:D,4,FALSE)</f>
        <v>22</v>
      </c>
      <c r="K765">
        <f>VLOOKUP(PREVIOS!H765,CICLO!A:B,2,FALSE)</f>
        <v>54</v>
      </c>
      <c r="L765">
        <f>VLOOKUP(PREVIOS!I765,PLAN!A:B,2,FALSE)</f>
        <v>6</v>
      </c>
    </row>
    <row r="766" spans="1:12" x14ac:dyDescent="0.25">
      <c r="A766" t="str">
        <f t="shared" si="11"/>
        <v>A512M287C1</v>
      </c>
      <c r="C766">
        <v>765</v>
      </c>
      <c r="D766">
        <f>VLOOKUP(PREVIOS!C766,ALUMNOS!A:B,2,FALSE)</f>
        <v>512</v>
      </c>
      <c r="E766">
        <f>VLOOKUP(PREVIOS!E766&amp;'TABLA PREVIOS'!J766,MATERIAS!A:H,7,FALSE)</f>
        <v>287</v>
      </c>
      <c r="F766">
        <f>VLOOKUP(PREVIOS!G766,CONDICION!A:B,2,FALSE)</f>
        <v>1</v>
      </c>
      <c r="G766">
        <f>IF(PREVIOS!AG766=1,1,VLOOKUP(PREVIOS!AG766,CALIFICACION!A:C,3,FALSE))</f>
        <v>1</v>
      </c>
      <c r="H766" s="1" t="s">
        <v>534</v>
      </c>
      <c r="I766" s="1" t="s">
        <v>534</v>
      </c>
      <c r="J766">
        <f>VLOOKUP(PREVIOS!F766&amp;VLOOKUP(PREVIOS!I766,PLAN!A:B,2,FALSE),CURSO!A:D,4,FALSE)</f>
        <v>22</v>
      </c>
      <c r="K766">
        <f>VLOOKUP(PREVIOS!H766,CICLO!A:B,2,FALSE)</f>
        <v>54</v>
      </c>
      <c r="L766">
        <f>VLOOKUP(PREVIOS!I766,PLAN!A:B,2,FALSE)</f>
        <v>6</v>
      </c>
    </row>
    <row r="767" spans="1:12" x14ac:dyDescent="0.25">
      <c r="A767" t="str">
        <f t="shared" si="11"/>
        <v>A512M286C1</v>
      </c>
      <c r="C767">
        <v>766</v>
      </c>
      <c r="D767">
        <f>VLOOKUP(PREVIOS!C767,ALUMNOS!A:B,2,FALSE)</f>
        <v>512</v>
      </c>
      <c r="E767">
        <f>VLOOKUP(PREVIOS!E767&amp;'TABLA PREVIOS'!J767,MATERIAS!A:H,7,FALSE)</f>
        <v>286</v>
      </c>
      <c r="F767">
        <f>VLOOKUP(PREVIOS!G767,CONDICION!A:B,2,FALSE)</f>
        <v>1</v>
      </c>
      <c r="G767">
        <f>IF(PREVIOS!AG767=1,1,VLOOKUP(PREVIOS!AG767,CALIFICACION!A:C,3,FALSE))</f>
        <v>1</v>
      </c>
      <c r="H767" s="1" t="s">
        <v>534</v>
      </c>
      <c r="I767" s="1" t="s">
        <v>534</v>
      </c>
      <c r="J767">
        <f>VLOOKUP(PREVIOS!F767&amp;VLOOKUP(PREVIOS!I767,PLAN!A:B,2,FALSE),CURSO!A:D,4,FALSE)</f>
        <v>22</v>
      </c>
      <c r="K767">
        <f>VLOOKUP(PREVIOS!H767,CICLO!A:B,2,FALSE)</f>
        <v>54</v>
      </c>
      <c r="L767">
        <f>VLOOKUP(PREVIOS!I767,PLAN!A:B,2,FALSE)</f>
        <v>6</v>
      </c>
    </row>
    <row r="768" spans="1:12" x14ac:dyDescent="0.25">
      <c r="A768" t="str">
        <f t="shared" si="11"/>
        <v>A512M288C1</v>
      </c>
      <c r="C768">
        <v>767</v>
      </c>
      <c r="D768">
        <f>VLOOKUP(PREVIOS!C768,ALUMNOS!A:B,2,FALSE)</f>
        <v>512</v>
      </c>
      <c r="E768">
        <f>VLOOKUP(PREVIOS!E768&amp;'TABLA PREVIOS'!J768,MATERIAS!A:H,7,FALSE)</f>
        <v>288</v>
      </c>
      <c r="F768">
        <f>VLOOKUP(PREVIOS!G768,CONDICION!A:B,2,FALSE)</f>
        <v>1</v>
      </c>
      <c r="G768">
        <f>IF(PREVIOS!AG768=1,1,VLOOKUP(PREVIOS!AG768,CALIFICACION!A:C,3,FALSE))</f>
        <v>1</v>
      </c>
      <c r="H768" s="1" t="s">
        <v>534</v>
      </c>
      <c r="I768" s="1" t="s">
        <v>534</v>
      </c>
      <c r="J768">
        <f>VLOOKUP(PREVIOS!F768&amp;VLOOKUP(PREVIOS!I768,PLAN!A:B,2,FALSE),CURSO!A:D,4,FALSE)</f>
        <v>22</v>
      </c>
      <c r="K768">
        <f>VLOOKUP(PREVIOS!H768,CICLO!A:B,2,FALSE)</f>
        <v>54</v>
      </c>
      <c r="L768">
        <f>VLOOKUP(PREVIOS!I768,PLAN!A:B,2,FALSE)</f>
        <v>6</v>
      </c>
    </row>
    <row r="769" spans="1:12" x14ac:dyDescent="0.25">
      <c r="A769" t="str">
        <f t="shared" si="11"/>
        <v>A512M290C1</v>
      </c>
      <c r="C769">
        <v>768</v>
      </c>
      <c r="D769">
        <f>VLOOKUP(PREVIOS!C769,ALUMNOS!A:B,2,FALSE)</f>
        <v>512</v>
      </c>
      <c r="E769">
        <f>VLOOKUP(PREVIOS!E769&amp;'TABLA PREVIOS'!J769,MATERIAS!A:H,7,FALSE)</f>
        <v>290</v>
      </c>
      <c r="F769">
        <f>VLOOKUP(PREVIOS!G769,CONDICION!A:B,2,FALSE)</f>
        <v>1</v>
      </c>
      <c r="G769">
        <f>IF(PREVIOS!AG769=1,1,VLOOKUP(PREVIOS!AG769,CALIFICACION!A:C,3,FALSE))</f>
        <v>1</v>
      </c>
      <c r="H769" s="1" t="s">
        <v>534</v>
      </c>
      <c r="I769" s="1" t="s">
        <v>534</v>
      </c>
      <c r="J769">
        <f>VLOOKUP(PREVIOS!F769&amp;VLOOKUP(PREVIOS!I769,PLAN!A:B,2,FALSE),CURSO!A:D,4,FALSE)</f>
        <v>22</v>
      </c>
      <c r="K769">
        <f>VLOOKUP(PREVIOS!H769,CICLO!A:B,2,FALSE)</f>
        <v>54</v>
      </c>
      <c r="L769">
        <f>VLOOKUP(PREVIOS!I769,PLAN!A:B,2,FALSE)</f>
        <v>6</v>
      </c>
    </row>
    <row r="770" spans="1:12" x14ac:dyDescent="0.25">
      <c r="A770" t="str">
        <f t="shared" si="11"/>
        <v>A733M260C2</v>
      </c>
      <c r="C770">
        <v>769</v>
      </c>
      <c r="D770">
        <f>VLOOKUP(PREVIOS!C770,ALUMNOS!A:B,2,FALSE)</f>
        <v>733</v>
      </c>
      <c r="E770">
        <f>VLOOKUP(PREVIOS!E770&amp;'TABLA PREVIOS'!J770,MATERIAS!A:H,7,FALSE)</f>
        <v>260</v>
      </c>
      <c r="F770">
        <f>VLOOKUP(PREVIOS!G770,CONDICION!A:B,2,FALSE)</f>
        <v>2</v>
      </c>
      <c r="G770">
        <f>IF(PREVIOS!AG770=1,1,VLOOKUP(PREVIOS!AG770,CALIFICACION!A:C,3,FALSE))</f>
        <v>1</v>
      </c>
      <c r="H770" s="1" t="s">
        <v>534</v>
      </c>
      <c r="I770" s="1" t="s">
        <v>534</v>
      </c>
      <c r="J770">
        <f>VLOOKUP(PREVIOS!F770&amp;VLOOKUP(PREVIOS!I770,PLAN!A:B,2,FALSE),CURSO!A:D,4,FALSE)</f>
        <v>20</v>
      </c>
      <c r="K770">
        <f>VLOOKUP(PREVIOS!H770,CICLO!A:B,2,FALSE)</f>
        <v>52</v>
      </c>
      <c r="L770">
        <f>VLOOKUP(PREVIOS!I770,PLAN!A:B,2,FALSE)</f>
        <v>6</v>
      </c>
    </row>
    <row r="771" spans="1:12" x14ac:dyDescent="0.25">
      <c r="A771" t="str">
        <f t="shared" ref="A771:A834" si="12">"A"&amp;D771&amp;"M"&amp;E771&amp;"C"&amp;F771</f>
        <v>A733M259C2</v>
      </c>
      <c r="C771">
        <v>770</v>
      </c>
      <c r="D771">
        <f>VLOOKUP(PREVIOS!C771,ALUMNOS!A:B,2,FALSE)</f>
        <v>733</v>
      </c>
      <c r="E771">
        <f>VLOOKUP(PREVIOS!E771&amp;'TABLA PREVIOS'!J771,MATERIAS!A:H,7,FALSE)</f>
        <v>259</v>
      </c>
      <c r="F771">
        <f>VLOOKUP(PREVIOS!G771,CONDICION!A:B,2,FALSE)</f>
        <v>2</v>
      </c>
      <c r="G771">
        <f>IF(PREVIOS!AG771=1,1,VLOOKUP(PREVIOS!AG771,CALIFICACION!A:C,3,FALSE))</f>
        <v>1</v>
      </c>
      <c r="H771" s="1" t="s">
        <v>534</v>
      </c>
      <c r="I771" s="1" t="s">
        <v>534</v>
      </c>
      <c r="J771">
        <f>VLOOKUP(PREVIOS!F771&amp;VLOOKUP(PREVIOS!I771,PLAN!A:B,2,FALSE),CURSO!A:D,4,FALSE)</f>
        <v>20</v>
      </c>
      <c r="K771">
        <f>VLOOKUP(PREVIOS!H771,CICLO!A:B,2,FALSE)</f>
        <v>52</v>
      </c>
      <c r="L771">
        <f>VLOOKUP(PREVIOS!I771,PLAN!A:B,2,FALSE)</f>
        <v>6</v>
      </c>
    </row>
    <row r="772" spans="1:12" x14ac:dyDescent="0.25">
      <c r="A772" t="str">
        <f t="shared" si="12"/>
        <v>A733M274C2</v>
      </c>
      <c r="C772">
        <v>771</v>
      </c>
      <c r="D772">
        <f>VLOOKUP(PREVIOS!C772,ALUMNOS!A:B,2,FALSE)</f>
        <v>733</v>
      </c>
      <c r="E772">
        <f>VLOOKUP(PREVIOS!E772&amp;'TABLA PREVIOS'!J772,MATERIAS!A:H,7,FALSE)</f>
        <v>274</v>
      </c>
      <c r="F772">
        <f>VLOOKUP(PREVIOS!G772,CONDICION!A:B,2,FALSE)</f>
        <v>2</v>
      </c>
      <c r="G772">
        <f>IF(PREVIOS!AG772=1,1,VLOOKUP(PREVIOS!AG772,CALIFICACION!A:C,3,FALSE))</f>
        <v>1</v>
      </c>
      <c r="H772" s="1" t="s">
        <v>534</v>
      </c>
      <c r="I772" s="1" t="s">
        <v>534</v>
      </c>
      <c r="J772">
        <f>VLOOKUP(PREVIOS!F772&amp;VLOOKUP(PREVIOS!I772,PLAN!A:B,2,FALSE),CURSO!A:D,4,FALSE)</f>
        <v>21</v>
      </c>
      <c r="K772">
        <f>VLOOKUP(PREVIOS!H772,CICLO!A:B,2,FALSE)</f>
        <v>53</v>
      </c>
      <c r="L772">
        <f>VLOOKUP(PREVIOS!I772,PLAN!A:B,2,FALSE)</f>
        <v>6</v>
      </c>
    </row>
    <row r="773" spans="1:12" x14ac:dyDescent="0.25">
      <c r="A773" t="str">
        <f t="shared" si="12"/>
        <v>A733M275C2</v>
      </c>
      <c r="C773">
        <v>772</v>
      </c>
      <c r="D773">
        <f>VLOOKUP(PREVIOS!C773,ALUMNOS!A:B,2,FALSE)</f>
        <v>733</v>
      </c>
      <c r="E773">
        <f>VLOOKUP(PREVIOS!E773&amp;'TABLA PREVIOS'!J773,MATERIAS!A:H,7,FALSE)</f>
        <v>275</v>
      </c>
      <c r="F773">
        <f>VLOOKUP(PREVIOS!G773,CONDICION!A:B,2,FALSE)</f>
        <v>2</v>
      </c>
      <c r="G773">
        <f>IF(PREVIOS!AG773=1,1,VLOOKUP(PREVIOS!AG773,CALIFICACION!A:C,3,FALSE))</f>
        <v>1</v>
      </c>
      <c r="H773" s="1" t="s">
        <v>534</v>
      </c>
      <c r="I773" s="1" t="s">
        <v>534</v>
      </c>
      <c r="J773">
        <f>VLOOKUP(PREVIOS!F773&amp;VLOOKUP(PREVIOS!I773,PLAN!A:B,2,FALSE),CURSO!A:D,4,FALSE)</f>
        <v>21</v>
      </c>
      <c r="K773">
        <f>VLOOKUP(PREVIOS!H773,CICLO!A:B,2,FALSE)</f>
        <v>53</v>
      </c>
      <c r="L773">
        <f>VLOOKUP(PREVIOS!I773,PLAN!A:B,2,FALSE)</f>
        <v>6</v>
      </c>
    </row>
    <row r="774" spans="1:12" x14ac:dyDescent="0.25">
      <c r="A774" t="str">
        <f t="shared" si="12"/>
        <v>A733M268C1</v>
      </c>
      <c r="C774">
        <v>773</v>
      </c>
      <c r="D774">
        <f>VLOOKUP(PREVIOS!C774,ALUMNOS!A:B,2,FALSE)</f>
        <v>733</v>
      </c>
      <c r="E774">
        <f>VLOOKUP(PREVIOS!E774&amp;'TABLA PREVIOS'!J774,MATERIAS!A:H,7,FALSE)</f>
        <v>268</v>
      </c>
      <c r="F774">
        <f>VLOOKUP(PREVIOS!G774,CONDICION!A:B,2,FALSE)</f>
        <v>1</v>
      </c>
      <c r="G774">
        <f>IF(PREVIOS!AG774=1,1,VLOOKUP(PREVIOS!AG774,CALIFICACION!A:C,3,FALSE))</f>
        <v>1</v>
      </c>
      <c r="H774" s="1" t="s">
        <v>534</v>
      </c>
      <c r="I774" s="1" t="s">
        <v>534</v>
      </c>
      <c r="J774">
        <f>VLOOKUP(PREVIOS!F774&amp;VLOOKUP(PREVIOS!I774,PLAN!A:B,2,FALSE),CURSO!A:D,4,FALSE)</f>
        <v>21</v>
      </c>
      <c r="K774">
        <f>VLOOKUP(PREVIOS!H774,CICLO!A:B,2,FALSE)</f>
        <v>53</v>
      </c>
      <c r="L774">
        <f>VLOOKUP(PREVIOS!I774,PLAN!A:B,2,FALSE)</f>
        <v>6</v>
      </c>
    </row>
    <row r="775" spans="1:12" x14ac:dyDescent="0.25">
      <c r="A775" t="str">
        <f t="shared" si="12"/>
        <v>A733M273C2</v>
      </c>
      <c r="C775">
        <v>774</v>
      </c>
      <c r="D775">
        <f>VLOOKUP(PREVIOS!C775,ALUMNOS!A:B,2,FALSE)</f>
        <v>733</v>
      </c>
      <c r="E775">
        <f>VLOOKUP(PREVIOS!E775&amp;'TABLA PREVIOS'!J775,MATERIAS!A:H,7,FALSE)</f>
        <v>273</v>
      </c>
      <c r="F775">
        <f>VLOOKUP(PREVIOS!G775,CONDICION!A:B,2,FALSE)</f>
        <v>2</v>
      </c>
      <c r="G775">
        <f>IF(PREVIOS!AG775=1,1,VLOOKUP(PREVIOS!AG775,CALIFICACION!A:C,3,FALSE))</f>
        <v>1</v>
      </c>
      <c r="H775" s="1" t="s">
        <v>534</v>
      </c>
      <c r="I775" s="1" t="s">
        <v>534</v>
      </c>
      <c r="J775">
        <f>VLOOKUP(PREVIOS!F775&amp;VLOOKUP(PREVIOS!I775,PLAN!A:B,2,FALSE),CURSO!A:D,4,FALSE)</f>
        <v>21</v>
      </c>
      <c r="K775">
        <f>VLOOKUP(PREVIOS!H775,CICLO!A:B,2,FALSE)</f>
        <v>53</v>
      </c>
      <c r="L775">
        <f>VLOOKUP(PREVIOS!I775,PLAN!A:B,2,FALSE)</f>
        <v>6</v>
      </c>
    </row>
    <row r="776" spans="1:12" x14ac:dyDescent="0.25">
      <c r="A776" t="str">
        <f t="shared" si="12"/>
        <v>A733M285C1</v>
      </c>
      <c r="C776">
        <v>775</v>
      </c>
      <c r="D776">
        <f>VLOOKUP(PREVIOS!C776,ALUMNOS!A:B,2,FALSE)</f>
        <v>733</v>
      </c>
      <c r="E776">
        <f>VLOOKUP(PREVIOS!E776&amp;'TABLA PREVIOS'!J776,MATERIAS!A:H,7,FALSE)</f>
        <v>285</v>
      </c>
      <c r="F776">
        <f>VLOOKUP(PREVIOS!G776,CONDICION!A:B,2,FALSE)</f>
        <v>1</v>
      </c>
      <c r="G776">
        <f>IF(PREVIOS!AG776=1,1,VLOOKUP(PREVIOS!AG776,CALIFICACION!A:C,3,FALSE))</f>
        <v>1</v>
      </c>
      <c r="H776" s="1" t="s">
        <v>534</v>
      </c>
      <c r="I776" s="1" t="s">
        <v>534</v>
      </c>
      <c r="J776">
        <f>VLOOKUP(PREVIOS!F776&amp;VLOOKUP(PREVIOS!I776,PLAN!A:B,2,FALSE),CURSO!A:D,4,FALSE)</f>
        <v>22</v>
      </c>
      <c r="K776">
        <f>VLOOKUP(PREVIOS!H776,CICLO!A:B,2,FALSE)</f>
        <v>54</v>
      </c>
      <c r="L776">
        <f>VLOOKUP(PREVIOS!I776,PLAN!A:B,2,FALSE)</f>
        <v>6</v>
      </c>
    </row>
    <row r="777" spans="1:12" x14ac:dyDescent="0.25">
      <c r="A777" t="str">
        <f t="shared" si="12"/>
        <v>A733M289C1</v>
      </c>
      <c r="C777">
        <v>776</v>
      </c>
      <c r="D777">
        <f>VLOOKUP(PREVIOS!C777,ALUMNOS!A:B,2,FALSE)</f>
        <v>733</v>
      </c>
      <c r="E777">
        <f>VLOOKUP(PREVIOS!E777&amp;'TABLA PREVIOS'!J777,MATERIAS!A:H,7,FALSE)</f>
        <v>289</v>
      </c>
      <c r="F777">
        <f>VLOOKUP(PREVIOS!G777,CONDICION!A:B,2,FALSE)</f>
        <v>1</v>
      </c>
      <c r="G777">
        <f>IF(PREVIOS!AG777=1,1,VLOOKUP(PREVIOS!AG777,CALIFICACION!A:C,3,FALSE))</f>
        <v>1</v>
      </c>
      <c r="H777" s="1" t="s">
        <v>534</v>
      </c>
      <c r="I777" s="1" t="s">
        <v>534</v>
      </c>
      <c r="J777">
        <f>VLOOKUP(PREVIOS!F777&amp;VLOOKUP(PREVIOS!I777,PLAN!A:B,2,FALSE),CURSO!A:D,4,FALSE)</f>
        <v>22</v>
      </c>
      <c r="K777">
        <f>VLOOKUP(PREVIOS!H777,CICLO!A:B,2,FALSE)</f>
        <v>54</v>
      </c>
      <c r="L777">
        <f>VLOOKUP(PREVIOS!I777,PLAN!A:B,2,FALSE)</f>
        <v>6</v>
      </c>
    </row>
    <row r="778" spans="1:12" x14ac:dyDescent="0.25">
      <c r="A778" t="str">
        <f t="shared" si="12"/>
        <v>A733M284C1</v>
      </c>
      <c r="C778">
        <v>777</v>
      </c>
      <c r="D778">
        <f>VLOOKUP(PREVIOS!C778,ALUMNOS!A:B,2,FALSE)</f>
        <v>733</v>
      </c>
      <c r="E778">
        <f>VLOOKUP(PREVIOS!E778&amp;'TABLA PREVIOS'!J778,MATERIAS!A:H,7,FALSE)</f>
        <v>284</v>
      </c>
      <c r="F778">
        <f>VLOOKUP(PREVIOS!G778,CONDICION!A:B,2,FALSE)</f>
        <v>1</v>
      </c>
      <c r="G778">
        <f>IF(PREVIOS!AG778=1,1,VLOOKUP(PREVIOS!AG778,CALIFICACION!A:C,3,FALSE))</f>
        <v>1</v>
      </c>
      <c r="H778" s="1" t="s">
        <v>534</v>
      </c>
      <c r="I778" s="1" t="s">
        <v>534</v>
      </c>
      <c r="J778">
        <f>VLOOKUP(PREVIOS!F778&amp;VLOOKUP(PREVIOS!I778,PLAN!A:B,2,FALSE),CURSO!A:D,4,FALSE)</f>
        <v>22</v>
      </c>
      <c r="K778">
        <f>VLOOKUP(PREVIOS!H778,CICLO!A:B,2,FALSE)</f>
        <v>54</v>
      </c>
      <c r="L778">
        <f>VLOOKUP(PREVIOS!I778,PLAN!A:B,2,FALSE)</f>
        <v>6</v>
      </c>
    </row>
    <row r="779" spans="1:12" x14ac:dyDescent="0.25">
      <c r="A779" t="str">
        <f t="shared" si="12"/>
        <v>A733M287C1</v>
      </c>
      <c r="C779">
        <v>778</v>
      </c>
      <c r="D779">
        <f>VLOOKUP(PREVIOS!C779,ALUMNOS!A:B,2,FALSE)</f>
        <v>733</v>
      </c>
      <c r="E779">
        <f>VLOOKUP(PREVIOS!E779&amp;'TABLA PREVIOS'!J779,MATERIAS!A:H,7,FALSE)</f>
        <v>287</v>
      </c>
      <c r="F779">
        <f>VLOOKUP(PREVIOS!G779,CONDICION!A:B,2,FALSE)</f>
        <v>1</v>
      </c>
      <c r="G779">
        <f>IF(PREVIOS!AG779=1,1,VLOOKUP(PREVIOS!AG779,CALIFICACION!A:C,3,FALSE))</f>
        <v>1</v>
      </c>
      <c r="H779" s="1" t="s">
        <v>534</v>
      </c>
      <c r="I779" s="1" t="s">
        <v>534</v>
      </c>
      <c r="J779">
        <f>VLOOKUP(PREVIOS!F779&amp;VLOOKUP(PREVIOS!I779,PLAN!A:B,2,FALSE),CURSO!A:D,4,FALSE)</f>
        <v>22</v>
      </c>
      <c r="K779">
        <f>VLOOKUP(PREVIOS!H779,CICLO!A:B,2,FALSE)</f>
        <v>54</v>
      </c>
      <c r="L779">
        <f>VLOOKUP(PREVIOS!I779,PLAN!A:B,2,FALSE)</f>
        <v>6</v>
      </c>
    </row>
    <row r="780" spans="1:12" x14ac:dyDescent="0.25">
      <c r="A780" t="str">
        <f t="shared" si="12"/>
        <v>A733M286C1</v>
      </c>
      <c r="C780">
        <v>779</v>
      </c>
      <c r="D780">
        <f>VLOOKUP(PREVIOS!C780,ALUMNOS!A:B,2,FALSE)</f>
        <v>733</v>
      </c>
      <c r="E780">
        <f>VLOOKUP(PREVIOS!E780&amp;'TABLA PREVIOS'!J780,MATERIAS!A:H,7,FALSE)</f>
        <v>286</v>
      </c>
      <c r="F780">
        <f>VLOOKUP(PREVIOS!G780,CONDICION!A:B,2,FALSE)</f>
        <v>1</v>
      </c>
      <c r="G780">
        <f>IF(PREVIOS!AG780=1,1,VLOOKUP(PREVIOS!AG780,CALIFICACION!A:C,3,FALSE))</f>
        <v>1</v>
      </c>
      <c r="H780" s="1" t="s">
        <v>534</v>
      </c>
      <c r="I780" s="1" t="s">
        <v>534</v>
      </c>
      <c r="J780">
        <f>VLOOKUP(PREVIOS!F780&amp;VLOOKUP(PREVIOS!I780,PLAN!A:B,2,FALSE),CURSO!A:D,4,FALSE)</f>
        <v>22</v>
      </c>
      <c r="K780">
        <f>VLOOKUP(PREVIOS!H780,CICLO!A:B,2,FALSE)</f>
        <v>54</v>
      </c>
      <c r="L780">
        <f>VLOOKUP(PREVIOS!I780,PLAN!A:B,2,FALSE)</f>
        <v>6</v>
      </c>
    </row>
    <row r="781" spans="1:12" x14ac:dyDescent="0.25">
      <c r="A781" t="str">
        <f t="shared" si="12"/>
        <v>A733M292C1</v>
      </c>
      <c r="C781">
        <v>780</v>
      </c>
      <c r="D781">
        <f>VLOOKUP(PREVIOS!C781,ALUMNOS!A:B,2,FALSE)</f>
        <v>733</v>
      </c>
      <c r="E781">
        <f>VLOOKUP(PREVIOS!E781&amp;'TABLA PREVIOS'!J781,MATERIAS!A:H,7,FALSE)</f>
        <v>292</v>
      </c>
      <c r="F781">
        <f>VLOOKUP(PREVIOS!G781,CONDICION!A:B,2,FALSE)</f>
        <v>1</v>
      </c>
      <c r="G781">
        <f>IF(PREVIOS!AG781=1,1,VLOOKUP(PREVIOS!AG781,CALIFICACION!A:C,3,FALSE))</f>
        <v>1</v>
      </c>
      <c r="H781" s="1" t="s">
        <v>534</v>
      </c>
      <c r="I781" s="1" t="s">
        <v>534</v>
      </c>
      <c r="J781">
        <f>VLOOKUP(PREVIOS!F781&amp;VLOOKUP(PREVIOS!I781,PLAN!A:B,2,FALSE),CURSO!A:D,4,FALSE)</f>
        <v>22</v>
      </c>
      <c r="K781">
        <f>VLOOKUP(PREVIOS!H781,CICLO!A:B,2,FALSE)</f>
        <v>54</v>
      </c>
      <c r="L781">
        <f>VLOOKUP(PREVIOS!I781,PLAN!A:B,2,FALSE)</f>
        <v>6</v>
      </c>
    </row>
    <row r="782" spans="1:12" x14ac:dyDescent="0.25">
      <c r="A782" t="str">
        <f t="shared" si="12"/>
        <v>A733M288C1</v>
      </c>
      <c r="C782">
        <v>781</v>
      </c>
      <c r="D782">
        <f>VLOOKUP(PREVIOS!C782,ALUMNOS!A:B,2,FALSE)</f>
        <v>733</v>
      </c>
      <c r="E782">
        <f>VLOOKUP(PREVIOS!E782&amp;'TABLA PREVIOS'!J782,MATERIAS!A:H,7,FALSE)</f>
        <v>288</v>
      </c>
      <c r="F782">
        <f>VLOOKUP(PREVIOS!G782,CONDICION!A:B,2,FALSE)</f>
        <v>1</v>
      </c>
      <c r="G782">
        <f>IF(PREVIOS!AG782=1,1,VLOOKUP(PREVIOS!AG782,CALIFICACION!A:C,3,FALSE))</f>
        <v>1</v>
      </c>
      <c r="H782" s="1" t="s">
        <v>534</v>
      </c>
      <c r="I782" s="1" t="s">
        <v>534</v>
      </c>
      <c r="J782">
        <f>VLOOKUP(PREVIOS!F782&amp;VLOOKUP(PREVIOS!I782,PLAN!A:B,2,FALSE),CURSO!A:D,4,FALSE)</f>
        <v>22</v>
      </c>
      <c r="K782">
        <f>VLOOKUP(PREVIOS!H782,CICLO!A:B,2,FALSE)</f>
        <v>54</v>
      </c>
      <c r="L782">
        <f>VLOOKUP(PREVIOS!I782,PLAN!A:B,2,FALSE)</f>
        <v>6</v>
      </c>
    </row>
    <row r="783" spans="1:12" x14ac:dyDescent="0.25">
      <c r="A783" t="str">
        <f t="shared" si="12"/>
        <v>A733M290C1</v>
      </c>
      <c r="C783">
        <v>782</v>
      </c>
      <c r="D783">
        <f>VLOOKUP(PREVIOS!C783,ALUMNOS!A:B,2,FALSE)</f>
        <v>733</v>
      </c>
      <c r="E783">
        <f>VLOOKUP(PREVIOS!E783&amp;'TABLA PREVIOS'!J783,MATERIAS!A:H,7,FALSE)</f>
        <v>290</v>
      </c>
      <c r="F783">
        <f>VLOOKUP(PREVIOS!G783,CONDICION!A:B,2,FALSE)</f>
        <v>1</v>
      </c>
      <c r="G783">
        <f>IF(PREVIOS!AG783=1,1,VLOOKUP(PREVIOS!AG783,CALIFICACION!A:C,3,FALSE))</f>
        <v>1</v>
      </c>
      <c r="H783" s="1" t="s">
        <v>534</v>
      </c>
      <c r="I783" s="1" t="s">
        <v>534</v>
      </c>
      <c r="J783">
        <f>VLOOKUP(PREVIOS!F783&amp;VLOOKUP(PREVIOS!I783,PLAN!A:B,2,FALSE),CURSO!A:D,4,FALSE)</f>
        <v>22</v>
      </c>
      <c r="K783">
        <f>VLOOKUP(PREVIOS!H783,CICLO!A:B,2,FALSE)</f>
        <v>54</v>
      </c>
      <c r="L783">
        <f>VLOOKUP(PREVIOS!I783,PLAN!A:B,2,FALSE)</f>
        <v>6</v>
      </c>
    </row>
    <row r="784" spans="1:12" x14ac:dyDescent="0.25">
      <c r="A784" t="str">
        <f t="shared" si="12"/>
        <v>A39M244C1</v>
      </c>
      <c r="C784">
        <v>783</v>
      </c>
      <c r="D784">
        <f>VLOOKUP(PREVIOS!C784,ALUMNOS!A:B,2,FALSE)</f>
        <v>39</v>
      </c>
      <c r="E784">
        <f>VLOOKUP(PREVIOS!E784&amp;'TABLA PREVIOS'!J784,MATERIAS!A:H,7,FALSE)</f>
        <v>244</v>
      </c>
      <c r="F784">
        <f>VLOOKUP(PREVIOS!G784,CONDICION!A:B,2,FALSE)</f>
        <v>1</v>
      </c>
      <c r="G784">
        <f>IF(PREVIOS!AG784=1,1,VLOOKUP(PREVIOS!AG784,CALIFICACION!A:C,3,FALSE))</f>
        <v>1</v>
      </c>
      <c r="H784" s="1" t="s">
        <v>534</v>
      </c>
      <c r="I784" s="1" t="s">
        <v>534</v>
      </c>
      <c r="J784">
        <f>VLOOKUP(PREVIOS!F784&amp;VLOOKUP(PREVIOS!I784,PLAN!A:B,2,FALSE),CURSO!A:D,4,FALSE)</f>
        <v>19</v>
      </c>
      <c r="K784">
        <f>VLOOKUP(PREVIOS!H784,CICLO!A:B,2,FALSE)</f>
        <v>51</v>
      </c>
      <c r="L784">
        <f>VLOOKUP(PREVIOS!I784,PLAN!A:B,2,FALSE)</f>
        <v>5</v>
      </c>
    </row>
    <row r="785" spans="1:12" x14ac:dyDescent="0.25">
      <c r="A785" t="str">
        <f t="shared" si="12"/>
        <v>A39M259C1</v>
      </c>
      <c r="C785">
        <v>784</v>
      </c>
      <c r="D785">
        <f>VLOOKUP(PREVIOS!C785,ALUMNOS!A:B,2,FALSE)</f>
        <v>39</v>
      </c>
      <c r="E785">
        <f>VLOOKUP(PREVIOS!E785&amp;'TABLA PREVIOS'!J785,MATERIAS!A:H,7,FALSE)</f>
        <v>259</v>
      </c>
      <c r="F785">
        <f>VLOOKUP(PREVIOS!G785,CONDICION!A:B,2,FALSE)</f>
        <v>1</v>
      </c>
      <c r="G785">
        <f>IF(PREVIOS!AG785=1,1,VLOOKUP(PREVIOS!AG785,CALIFICACION!A:C,3,FALSE))</f>
        <v>1</v>
      </c>
      <c r="H785" s="1" t="s">
        <v>534</v>
      </c>
      <c r="I785" s="1" t="s">
        <v>534</v>
      </c>
      <c r="J785">
        <f>VLOOKUP(PREVIOS!F785&amp;VLOOKUP(PREVIOS!I785,PLAN!A:B,2,FALSE),CURSO!A:D,4,FALSE)</f>
        <v>20</v>
      </c>
      <c r="K785">
        <f>VLOOKUP(PREVIOS!H785,CICLO!A:B,2,FALSE)</f>
        <v>52</v>
      </c>
      <c r="L785">
        <f>VLOOKUP(PREVIOS!I785,PLAN!A:B,2,FALSE)</f>
        <v>6</v>
      </c>
    </row>
    <row r="786" spans="1:12" x14ac:dyDescent="0.25">
      <c r="A786" t="str">
        <f t="shared" si="12"/>
        <v>A39M265C1</v>
      </c>
      <c r="C786">
        <v>785</v>
      </c>
      <c r="D786">
        <f>VLOOKUP(PREVIOS!C786,ALUMNOS!A:B,2,FALSE)</f>
        <v>39</v>
      </c>
      <c r="E786">
        <f>VLOOKUP(PREVIOS!E786&amp;'TABLA PREVIOS'!J786,MATERIAS!A:H,7,FALSE)</f>
        <v>265</v>
      </c>
      <c r="F786">
        <f>VLOOKUP(PREVIOS!G786,CONDICION!A:B,2,FALSE)</f>
        <v>1</v>
      </c>
      <c r="G786">
        <f>IF(PREVIOS!AG786=1,1,VLOOKUP(PREVIOS!AG786,CALIFICACION!A:C,3,FALSE))</f>
        <v>1</v>
      </c>
      <c r="H786" s="1" t="s">
        <v>534</v>
      </c>
      <c r="I786" s="1" t="s">
        <v>534</v>
      </c>
      <c r="J786">
        <f>VLOOKUP(PREVIOS!F786&amp;VLOOKUP(PREVIOS!I786,PLAN!A:B,2,FALSE),CURSO!A:D,4,FALSE)</f>
        <v>21</v>
      </c>
      <c r="K786">
        <f>VLOOKUP(PREVIOS!H786,CICLO!A:B,2,FALSE)</f>
        <v>53</v>
      </c>
      <c r="L786">
        <f>VLOOKUP(PREVIOS!I786,PLAN!A:B,2,FALSE)</f>
        <v>6</v>
      </c>
    </row>
    <row r="787" spans="1:12" x14ac:dyDescent="0.25">
      <c r="A787" t="str">
        <f t="shared" si="12"/>
        <v>A39M285C1</v>
      </c>
      <c r="C787">
        <v>786</v>
      </c>
      <c r="D787">
        <f>VLOOKUP(PREVIOS!C787,ALUMNOS!A:B,2,FALSE)</f>
        <v>39</v>
      </c>
      <c r="E787">
        <f>VLOOKUP(PREVIOS!E787&amp;'TABLA PREVIOS'!J787,MATERIAS!A:H,7,FALSE)</f>
        <v>285</v>
      </c>
      <c r="F787">
        <f>VLOOKUP(PREVIOS!G787,CONDICION!A:B,2,FALSE)</f>
        <v>1</v>
      </c>
      <c r="G787">
        <f>IF(PREVIOS!AG787=1,1,VLOOKUP(PREVIOS!AG787,CALIFICACION!A:C,3,FALSE))</f>
        <v>1</v>
      </c>
      <c r="H787" s="1" t="s">
        <v>534</v>
      </c>
      <c r="I787" s="1" t="s">
        <v>534</v>
      </c>
      <c r="J787">
        <f>VLOOKUP(PREVIOS!F787&amp;VLOOKUP(PREVIOS!I787,PLAN!A:B,2,FALSE),CURSO!A:D,4,FALSE)</f>
        <v>22</v>
      </c>
      <c r="K787">
        <f>VLOOKUP(PREVIOS!H787,CICLO!A:B,2,FALSE)</f>
        <v>54</v>
      </c>
      <c r="L787">
        <f>VLOOKUP(PREVIOS!I787,PLAN!A:B,2,FALSE)</f>
        <v>6</v>
      </c>
    </row>
    <row r="788" spans="1:12" x14ac:dyDescent="0.25">
      <c r="A788" t="str">
        <f t="shared" si="12"/>
        <v>A39M289C1</v>
      </c>
      <c r="C788">
        <v>787</v>
      </c>
      <c r="D788">
        <f>VLOOKUP(PREVIOS!C788,ALUMNOS!A:B,2,FALSE)</f>
        <v>39</v>
      </c>
      <c r="E788">
        <f>VLOOKUP(PREVIOS!E788&amp;'TABLA PREVIOS'!J788,MATERIAS!A:H,7,FALSE)</f>
        <v>289</v>
      </c>
      <c r="F788">
        <f>VLOOKUP(PREVIOS!G788,CONDICION!A:B,2,FALSE)</f>
        <v>1</v>
      </c>
      <c r="G788">
        <f>IF(PREVIOS!AG788=1,1,VLOOKUP(PREVIOS!AG788,CALIFICACION!A:C,3,FALSE))</f>
        <v>1</v>
      </c>
      <c r="H788" s="1" t="s">
        <v>534</v>
      </c>
      <c r="I788" s="1" t="s">
        <v>534</v>
      </c>
      <c r="J788">
        <f>VLOOKUP(PREVIOS!F788&amp;VLOOKUP(PREVIOS!I788,PLAN!A:B,2,FALSE),CURSO!A:D,4,FALSE)</f>
        <v>22</v>
      </c>
      <c r="K788">
        <f>VLOOKUP(PREVIOS!H788,CICLO!A:B,2,FALSE)</f>
        <v>54</v>
      </c>
      <c r="L788">
        <f>VLOOKUP(PREVIOS!I788,PLAN!A:B,2,FALSE)</f>
        <v>6</v>
      </c>
    </row>
    <row r="789" spans="1:12" x14ac:dyDescent="0.25">
      <c r="A789" t="str">
        <f t="shared" si="12"/>
        <v>A39M287C1</v>
      </c>
      <c r="C789">
        <v>788</v>
      </c>
      <c r="D789">
        <f>VLOOKUP(PREVIOS!C789,ALUMNOS!A:B,2,FALSE)</f>
        <v>39</v>
      </c>
      <c r="E789">
        <f>VLOOKUP(PREVIOS!E789&amp;'TABLA PREVIOS'!J789,MATERIAS!A:H,7,FALSE)</f>
        <v>287</v>
      </c>
      <c r="F789">
        <f>VLOOKUP(PREVIOS!G789,CONDICION!A:B,2,FALSE)</f>
        <v>1</v>
      </c>
      <c r="G789">
        <f>IF(PREVIOS!AG789=1,1,VLOOKUP(PREVIOS!AG789,CALIFICACION!A:C,3,FALSE))</f>
        <v>1</v>
      </c>
      <c r="H789" s="1" t="s">
        <v>534</v>
      </c>
      <c r="I789" s="1" t="s">
        <v>534</v>
      </c>
      <c r="J789">
        <f>VLOOKUP(PREVIOS!F789&amp;VLOOKUP(PREVIOS!I789,PLAN!A:B,2,FALSE),CURSO!A:D,4,FALSE)</f>
        <v>22</v>
      </c>
      <c r="K789">
        <f>VLOOKUP(PREVIOS!H789,CICLO!A:B,2,FALSE)</f>
        <v>54</v>
      </c>
      <c r="L789">
        <f>VLOOKUP(PREVIOS!I789,PLAN!A:B,2,FALSE)</f>
        <v>6</v>
      </c>
    </row>
    <row r="790" spans="1:12" x14ac:dyDescent="0.25">
      <c r="A790" t="str">
        <f t="shared" si="12"/>
        <v>A39M286C1</v>
      </c>
      <c r="C790">
        <v>789</v>
      </c>
      <c r="D790">
        <f>VLOOKUP(PREVIOS!C790,ALUMNOS!A:B,2,FALSE)</f>
        <v>39</v>
      </c>
      <c r="E790">
        <f>VLOOKUP(PREVIOS!E790&amp;'TABLA PREVIOS'!J790,MATERIAS!A:H,7,FALSE)</f>
        <v>286</v>
      </c>
      <c r="F790">
        <f>VLOOKUP(PREVIOS!G790,CONDICION!A:B,2,FALSE)</f>
        <v>1</v>
      </c>
      <c r="G790">
        <f>IF(PREVIOS!AG790=1,1,VLOOKUP(PREVIOS!AG790,CALIFICACION!A:C,3,FALSE))</f>
        <v>1</v>
      </c>
      <c r="H790" s="1" t="s">
        <v>534</v>
      </c>
      <c r="I790" s="1" t="s">
        <v>534</v>
      </c>
      <c r="J790">
        <f>VLOOKUP(PREVIOS!F790&amp;VLOOKUP(PREVIOS!I790,PLAN!A:B,2,FALSE),CURSO!A:D,4,FALSE)</f>
        <v>22</v>
      </c>
      <c r="K790">
        <f>VLOOKUP(PREVIOS!H790,CICLO!A:B,2,FALSE)</f>
        <v>54</v>
      </c>
      <c r="L790">
        <f>VLOOKUP(PREVIOS!I790,PLAN!A:B,2,FALSE)</f>
        <v>6</v>
      </c>
    </row>
    <row r="791" spans="1:12" x14ac:dyDescent="0.25">
      <c r="A791" t="str">
        <f t="shared" si="12"/>
        <v>A39M282C1</v>
      </c>
      <c r="C791">
        <v>790</v>
      </c>
      <c r="D791">
        <f>VLOOKUP(PREVIOS!C791,ALUMNOS!A:B,2,FALSE)</f>
        <v>39</v>
      </c>
      <c r="E791">
        <f>VLOOKUP(PREVIOS!E791&amp;'TABLA PREVIOS'!J791,MATERIAS!A:H,7,FALSE)</f>
        <v>282</v>
      </c>
      <c r="F791">
        <f>VLOOKUP(PREVIOS!G791,CONDICION!A:B,2,FALSE)</f>
        <v>1</v>
      </c>
      <c r="G791">
        <f>IF(PREVIOS!AG791=1,1,VLOOKUP(PREVIOS!AG791,CALIFICACION!A:C,3,FALSE))</f>
        <v>1</v>
      </c>
      <c r="H791" s="1" t="s">
        <v>534</v>
      </c>
      <c r="I791" s="1" t="s">
        <v>534</v>
      </c>
      <c r="J791">
        <f>VLOOKUP(PREVIOS!F791&amp;VLOOKUP(PREVIOS!I791,PLAN!A:B,2,FALSE),CURSO!A:D,4,FALSE)</f>
        <v>22</v>
      </c>
      <c r="K791">
        <f>VLOOKUP(PREVIOS!H791,CICLO!A:B,2,FALSE)</f>
        <v>54</v>
      </c>
      <c r="L791">
        <f>VLOOKUP(PREVIOS!I791,PLAN!A:B,2,FALSE)</f>
        <v>6</v>
      </c>
    </row>
    <row r="792" spans="1:12" x14ac:dyDescent="0.25">
      <c r="A792" t="str">
        <f t="shared" si="12"/>
        <v>A39M280C1</v>
      </c>
      <c r="C792">
        <v>791</v>
      </c>
      <c r="D792">
        <f>VLOOKUP(PREVIOS!C792,ALUMNOS!A:B,2,FALSE)</f>
        <v>39</v>
      </c>
      <c r="E792">
        <f>VLOOKUP(PREVIOS!E792&amp;'TABLA PREVIOS'!J792,MATERIAS!A:H,7,FALSE)</f>
        <v>280</v>
      </c>
      <c r="F792">
        <f>VLOOKUP(PREVIOS!G792,CONDICION!A:B,2,FALSE)</f>
        <v>1</v>
      </c>
      <c r="G792">
        <f>IF(PREVIOS!AG792=1,1,VLOOKUP(PREVIOS!AG792,CALIFICACION!A:C,3,FALSE))</f>
        <v>1</v>
      </c>
      <c r="H792" s="1" t="s">
        <v>534</v>
      </c>
      <c r="I792" s="1" t="s">
        <v>534</v>
      </c>
      <c r="J792">
        <f>VLOOKUP(PREVIOS!F792&amp;VLOOKUP(PREVIOS!I792,PLAN!A:B,2,FALSE),CURSO!A:D,4,FALSE)</f>
        <v>22</v>
      </c>
      <c r="K792">
        <f>VLOOKUP(PREVIOS!H792,CICLO!A:B,2,FALSE)</f>
        <v>54</v>
      </c>
      <c r="L792">
        <f>VLOOKUP(PREVIOS!I792,PLAN!A:B,2,FALSE)</f>
        <v>6</v>
      </c>
    </row>
    <row r="793" spans="1:12" x14ac:dyDescent="0.25">
      <c r="A793" t="str">
        <f t="shared" si="12"/>
        <v>A39M288C1</v>
      </c>
      <c r="C793">
        <v>792</v>
      </c>
      <c r="D793">
        <f>VLOOKUP(PREVIOS!C793,ALUMNOS!A:B,2,FALSE)</f>
        <v>39</v>
      </c>
      <c r="E793">
        <f>VLOOKUP(PREVIOS!E793&amp;'TABLA PREVIOS'!J793,MATERIAS!A:H,7,FALSE)</f>
        <v>288</v>
      </c>
      <c r="F793">
        <f>VLOOKUP(PREVIOS!G793,CONDICION!A:B,2,FALSE)</f>
        <v>1</v>
      </c>
      <c r="G793">
        <f>IF(PREVIOS!AG793=1,1,VLOOKUP(PREVIOS!AG793,CALIFICACION!A:C,3,FALSE))</f>
        <v>1</v>
      </c>
      <c r="H793" s="1" t="s">
        <v>534</v>
      </c>
      <c r="I793" s="1" t="s">
        <v>534</v>
      </c>
      <c r="J793">
        <f>VLOOKUP(PREVIOS!F793&amp;VLOOKUP(PREVIOS!I793,PLAN!A:B,2,FALSE),CURSO!A:D,4,FALSE)</f>
        <v>22</v>
      </c>
      <c r="K793">
        <f>VLOOKUP(PREVIOS!H793,CICLO!A:B,2,FALSE)</f>
        <v>54</v>
      </c>
      <c r="L793">
        <f>VLOOKUP(PREVIOS!I793,PLAN!A:B,2,FALSE)</f>
        <v>6</v>
      </c>
    </row>
    <row r="794" spans="1:12" x14ac:dyDescent="0.25">
      <c r="A794" t="str">
        <f t="shared" si="12"/>
        <v>A39M290C1</v>
      </c>
      <c r="C794">
        <v>793</v>
      </c>
      <c r="D794">
        <f>VLOOKUP(PREVIOS!C794,ALUMNOS!A:B,2,FALSE)</f>
        <v>39</v>
      </c>
      <c r="E794">
        <f>VLOOKUP(PREVIOS!E794&amp;'TABLA PREVIOS'!J794,MATERIAS!A:H,7,FALSE)</f>
        <v>290</v>
      </c>
      <c r="F794">
        <f>VLOOKUP(PREVIOS!G794,CONDICION!A:B,2,FALSE)</f>
        <v>1</v>
      </c>
      <c r="G794">
        <f>IF(PREVIOS!AG794=1,1,VLOOKUP(PREVIOS!AG794,CALIFICACION!A:C,3,FALSE))</f>
        <v>1</v>
      </c>
      <c r="H794" s="1" t="s">
        <v>534</v>
      </c>
      <c r="I794" s="1" t="s">
        <v>534</v>
      </c>
      <c r="J794">
        <f>VLOOKUP(PREVIOS!F794&amp;VLOOKUP(PREVIOS!I794,PLAN!A:B,2,FALSE),CURSO!A:D,4,FALSE)</f>
        <v>22</v>
      </c>
      <c r="K794">
        <f>VLOOKUP(PREVIOS!H794,CICLO!A:B,2,FALSE)</f>
        <v>54</v>
      </c>
      <c r="L794">
        <f>VLOOKUP(PREVIOS!I794,PLAN!A:B,2,FALSE)</f>
        <v>6</v>
      </c>
    </row>
    <row r="795" spans="1:12" x14ac:dyDescent="0.25">
      <c r="A795" t="str">
        <f t="shared" si="12"/>
        <v>A102M265C1</v>
      </c>
      <c r="C795">
        <v>794</v>
      </c>
      <c r="D795">
        <f>VLOOKUP(PREVIOS!C795,ALUMNOS!A:B,2,FALSE)</f>
        <v>102</v>
      </c>
      <c r="E795">
        <f>VLOOKUP(PREVIOS!E795&amp;'TABLA PREVIOS'!J795,MATERIAS!A:H,7,FALSE)</f>
        <v>265</v>
      </c>
      <c r="F795">
        <f>VLOOKUP(PREVIOS!G795,CONDICION!A:B,2,FALSE)</f>
        <v>1</v>
      </c>
      <c r="G795">
        <f>IF(PREVIOS!AG795=1,1,VLOOKUP(PREVIOS!AG795,CALIFICACION!A:C,3,FALSE))</f>
        <v>1</v>
      </c>
      <c r="H795" s="1" t="s">
        <v>534</v>
      </c>
      <c r="I795" s="1" t="s">
        <v>534</v>
      </c>
      <c r="J795">
        <f>VLOOKUP(PREVIOS!F795&amp;VLOOKUP(PREVIOS!I795,PLAN!A:B,2,FALSE),CURSO!A:D,4,FALSE)</f>
        <v>21</v>
      </c>
      <c r="K795">
        <f>VLOOKUP(PREVIOS!H795,CICLO!A:B,2,FALSE)</f>
        <v>53</v>
      </c>
      <c r="L795">
        <f>VLOOKUP(PREVIOS!I795,PLAN!A:B,2,FALSE)</f>
        <v>6</v>
      </c>
    </row>
    <row r="796" spans="1:12" x14ac:dyDescent="0.25">
      <c r="A796" t="str">
        <f t="shared" si="12"/>
        <v>A102M282C1</v>
      </c>
      <c r="C796">
        <v>795</v>
      </c>
      <c r="D796">
        <f>VLOOKUP(PREVIOS!C796,ALUMNOS!A:B,2,FALSE)</f>
        <v>102</v>
      </c>
      <c r="E796">
        <f>VLOOKUP(PREVIOS!E796&amp;'TABLA PREVIOS'!J796,MATERIAS!A:H,7,FALSE)</f>
        <v>282</v>
      </c>
      <c r="F796">
        <f>VLOOKUP(PREVIOS!G796,CONDICION!A:B,2,FALSE)</f>
        <v>1</v>
      </c>
      <c r="G796">
        <f>IF(PREVIOS!AG796=1,1,VLOOKUP(PREVIOS!AG796,CALIFICACION!A:C,3,FALSE))</f>
        <v>1</v>
      </c>
      <c r="H796" s="1" t="s">
        <v>534</v>
      </c>
      <c r="I796" s="1" t="s">
        <v>534</v>
      </c>
      <c r="J796">
        <f>VLOOKUP(PREVIOS!F796&amp;VLOOKUP(PREVIOS!I796,PLAN!A:B,2,FALSE),CURSO!A:D,4,FALSE)</f>
        <v>22</v>
      </c>
      <c r="K796">
        <f>VLOOKUP(PREVIOS!H796,CICLO!A:B,2,FALSE)</f>
        <v>54</v>
      </c>
      <c r="L796">
        <f>VLOOKUP(PREVIOS!I796,PLAN!A:B,2,FALSE)</f>
        <v>6</v>
      </c>
    </row>
    <row r="797" spans="1:12" x14ac:dyDescent="0.25">
      <c r="A797" t="str">
        <f t="shared" si="12"/>
        <v>A142M285C1</v>
      </c>
      <c r="C797">
        <v>796</v>
      </c>
      <c r="D797">
        <f>VLOOKUP(PREVIOS!C797,ALUMNOS!A:B,2,FALSE)</f>
        <v>142</v>
      </c>
      <c r="E797">
        <f>VLOOKUP(PREVIOS!E797&amp;'TABLA PREVIOS'!J797,MATERIAS!A:H,7,FALSE)</f>
        <v>285</v>
      </c>
      <c r="F797">
        <f>VLOOKUP(PREVIOS!G797,CONDICION!A:B,2,FALSE)</f>
        <v>1</v>
      </c>
      <c r="G797">
        <f>IF(PREVIOS!AG797=1,1,VLOOKUP(PREVIOS!AG797,CALIFICACION!A:C,3,FALSE))</f>
        <v>1</v>
      </c>
      <c r="H797" s="1" t="s">
        <v>534</v>
      </c>
      <c r="I797" s="1" t="s">
        <v>534</v>
      </c>
      <c r="J797">
        <f>VLOOKUP(PREVIOS!F797&amp;VLOOKUP(PREVIOS!I797,PLAN!A:B,2,FALSE),CURSO!A:D,4,FALSE)</f>
        <v>22</v>
      </c>
      <c r="K797">
        <f>VLOOKUP(PREVIOS!H797,CICLO!A:B,2,FALSE)</f>
        <v>54</v>
      </c>
      <c r="L797">
        <f>VLOOKUP(PREVIOS!I797,PLAN!A:B,2,FALSE)</f>
        <v>6</v>
      </c>
    </row>
    <row r="798" spans="1:12" x14ac:dyDescent="0.25">
      <c r="A798" t="str">
        <f t="shared" si="12"/>
        <v>A142M289C1</v>
      </c>
      <c r="C798">
        <v>797</v>
      </c>
      <c r="D798">
        <f>VLOOKUP(PREVIOS!C798,ALUMNOS!A:B,2,FALSE)</f>
        <v>142</v>
      </c>
      <c r="E798">
        <f>VLOOKUP(PREVIOS!E798&amp;'TABLA PREVIOS'!J798,MATERIAS!A:H,7,FALSE)</f>
        <v>289</v>
      </c>
      <c r="F798">
        <f>VLOOKUP(PREVIOS!G798,CONDICION!A:B,2,FALSE)</f>
        <v>1</v>
      </c>
      <c r="G798">
        <f>IF(PREVIOS!AG798=1,1,VLOOKUP(PREVIOS!AG798,CALIFICACION!A:C,3,FALSE))</f>
        <v>1</v>
      </c>
      <c r="H798" s="1" t="s">
        <v>534</v>
      </c>
      <c r="I798" s="1" t="s">
        <v>534</v>
      </c>
      <c r="J798">
        <f>VLOOKUP(PREVIOS!F798&amp;VLOOKUP(PREVIOS!I798,PLAN!A:B,2,FALSE),CURSO!A:D,4,FALSE)</f>
        <v>22</v>
      </c>
      <c r="K798">
        <f>VLOOKUP(PREVIOS!H798,CICLO!A:B,2,FALSE)</f>
        <v>54</v>
      </c>
      <c r="L798">
        <f>VLOOKUP(PREVIOS!I798,PLAN!A:B,2,FALSE)</f>
        <v>6</v>
      </c>
    </row>
    <row r="799" spans="1:12" x14ac:dyDescent="0.25">
      <c r="A799" t="str">
        <f t="shared" si="12"/>
        <v>A142M287C1</v>
      </c>
      <c r="C799">
        <v>798</v>
      </c>
      <c r="D799">
        <f>VLOOKUP(PREVIOS!C799,ALUMNOS!A:B,2,FALSE)</f>
        <v>142</v>
      </c>
      <c r="E799">
        <f>VLOOKUP(PREVIOS!E799&amp;'TABLA PREVIOS'!J799,MATERIAS!A:H,7,FALSE)</f>
        <v>287</v>
      </c>
      <c r="F799">
        <f>VLOOKUP(PREVIOS!G799,CONDICION!A:B,2,FALSE)</f>
        <v>1</v>
      </c>
      <c r="G799">
        <f>IF(PREVIOS!AG799=1,1,VLOOKUP(PREVIOS!AG799,CALIFICACION!A:C,3,FALSE))</f>
        <v>1</v>
      </c>
      <c r="H799" s="1" t="s">
        <v>534</v>
      </c>
      <c r="I799" s="1" t="s">
        <v>534</v>
      </c>
      <c r="J799">
        <f>VLOOKUP(PREVIOS!F799&amp;VLOOKUP(PREVIOS!I799,PLAN!A:B,2,FALSE),CURSO!A:D,4,FALSE)</f>
        <v>22</v>
      </c>
      <c r="K799">
        <f>VLOOKUP(PREVIOS!H799,CICLO!A:B,2,FALSE)</f>
        <v>54</v>
      </c>
      <c r="L799">
        <f>VLOOKUP(PREVIOS!I799,PLAN!A:B,2,FALSE)</f>
        <v>6</v>
      </c>
    </row>
    <row r="800" spans="1:12" x14ac:dyDescent="0.25">
      <c r="A800" t="str">
        <f t="shared" si="12"/>
        <v>A142M286C1</v>
      </c>
      <c r="C800">
        <v>799</v>
      </c>
      <c r="D800">
        <f>VLOOKUP(PREVIOS!C800,ALUMNOS!A:B,2,FALSE)</f>
        <v>142</v>
      </c>
      <c r="E800">
        <f>VLOOKUP(PREVIOS!E800&amp;'TABLA PREVIOS'!J800,MATERIAS!A:H,7,FALSE)</f>
        <v>286</v>
      </c>
      <c r="F800">
        <f>VLOOKUP(PREVIOS!G800,CONDICION!A:B,2,FALSE)</f>
        <v>1</v>
      </c>
      <c r="G800">
        <f>IF(PREVIOS!AG800=1,1,VLOOKUP(PREVIOS!AG800,CALIFICACION!A:C,3,FALSE))</f>
        <v>1</v>
      </c>
      <c r="H800" s="1" t="s">
        <v>534</v>
      </c>
      <c r="I800" s="1" t="s">
        <v>534</v>
      </c>
      <c r="J800">
        <f>VLOOKUP(PREVIOS!F800&amp;VLOOKUP(PREVIOS!I800,PLAN!A:B,2,FALSE),CURSO!A:D,4,FALSE)</f>
        <v>22</v>
      </c>
      <c r="K800">
        <f>VLOOKUP(PREVIOS!H800,CICLO!A:B,2,FALSE)</f>
        <v>54</v>
      </c>
      <c r="L800">
        <f>VLOOKUP(PREVIOS!I800,PLAN!A:B,2,FALSE)</f>
        <v>6</v>
      </c>
    </row>
    <row r="801" spans="1:12" x14ac:dyDescent="0.25">
      <c r="A801" t="str">
        <f t="shared" si="12"/>
        <v>A142M279C1</v>
      </c>
      <c r="C801">
        <v>800</v>
      </c>
      <c r="D801">
        <f>VLOOKUP(PREVIOS!C801,ALUMNOS!A:B,2,FALSE)</f>
        <v>142</v>
      </c>
      <c r="E801">
        <f>VLOOKUP(PREVIOS!E801&amp;'TABLA PREVIOS'!J801,MATERIAS!A:H,7,FALSE)</f>
        <v>279</v>
      </c>
      <c r="F801">
        <f>VLOOKUP(PREVIOS!G801,CONDICION!A:B,2,FALSE)</f>
        <v>1</v>
      </c>
      <c r="G801">
        <f>IF(PREVIOS!AG801=1,1,VLOOKUP(PREVIOS!AG801,CALIFICACION!A:C,3,FALSE))</f>
        <v>1</v>
      </c>
      <c r="H801" s="1" t="s">
        <v>534</v>
      </c>
      <c r="I801" s="1" t="s">
        <v>534</v>
      </c>
      <c r="J801">
        <f>VLOOKUP(PREVIOS!F801&amp;VLOOKUP(PREVIOS!I801,PLAN!A:B,2,FALSE),CURSO!A:D,4,FALSE)</f>
        <v>22</v>
      </c>
      <c r="K801">
        <f>VLOOKUP(PREVIOS!H801,CICLO!A:B,2,FALSE)</f>
        <v>54</v>
      </c>
      <c r="L801">
        <f>VLOOKUP(PREVIOS!I801,PLAN!A:B,2,FALSE)</f>
        <v>6</v>
      </c>
    </row>
    <row r="802" spans="1:12" x14ac:dyDescent="0.25">
      <c r="A802" t="str">
        <f t="shared" si="12"/>
        <v>A142M288C1</v>
      </c>
      <c r="C802">
        <v>801</v>
      </c>
      <c r="D802">
        <f>VLOOKUP(PREVIOS!C802,ALUMNOS!A:B,2,FALSE)</f>
        <v>142</v>
      </c>
      <c r="E802">
        <f>VLOOKUP(PREVIOS!E802&amp;'TABLA PREVIOS'!J802,MATERIAS!A:H,7,FALSE)</f>
        <v>288</v>
      </c>
      <c r="F802">
        <f>VLOOKUP(PREVIOS!G802,CONDICION!A:B,2,FALSE)</f>
        <v>1</v>
      </c>
      <c r="G802">
        <f>IF(PREVIOS!AG802=1,1,VLOOKUP(PREVIOS!AG802,CALIFICACION!A:C,3,FALSE))</f>
        <v>1</v>
      </c>
      <c r="H802" s="1" t="s">
        <v>534</v>
      </c>
      <c r="I802" s="1" t="s">
        <v>534</v>
      </c>
      <c r="J802">
        <f>VLOOKUP(PREVIOS!F802&amp;VLOOKUP(PREVIOS!I802,PLAN!A:B,2,FALSE),CURSO!A:D,4,FALSE)</f>
        <v>22</v>
      </c>
      <c r="K802">
        <f>VLOOKUP(PREVIOS!H802,CICLO!A:B,2,FALSE)</f>
        <v>54</v>
      </c>
      <c r="L802">
        <f>VLOOKUP(PREVIOS!I802,PLAN!A:B,2,FALSE)</f>
        <v>6</v>
      </c>
    </row>
    <row r="803" spans="1:12" x14ac:dyDescent="0.25">
      <c r="A803" t="str">
        <f t="shared" si="12"/>
        <v>A142M290C1</v>
      </c>
      <c r="C803">
        <v>802</v>
      </c>
      <c r="D803">
        <f>VLOOKUP(PREVIOS!C803,ALUMNOS!A:B,2,FALSE)</f>
        <v>142</v>
      </c>
      <c r="E803">
        <f>VLOOKUP(PREVIOS!E803&amp;'TABLA PREVIOS'!J803,MATERIAS!A:H,7,FALSE)</f>
        <v>290</v>
      </c>
      <c r="F803">
        <f>VLOOKUP(PREVIOS!G803,CONDICION!A:B,2,FALSE)</f>
        <v>1</v>
      </c>
      <c r="G803">
        <f>IF(PREVIOS!AG803=1,1,VLOOKUP(PREVIOS!AG803,CALIFICACION!A:C,3,FALSE))</f>
        <v>1</v>
      </c>
      <c r="H803" s="1" t="s">
        <v>534</v>
      </c>
      <c r="I803" s="1" t="s">
        <v>534</v>
      </c>
      <c r="J803">
        <f>VLOOKUP(PREVIOS!F803&amp;VLOOKUP(PREVIOS!I803,PLAN!A:B,2,FALSE),CURSO!A:D,4,FALSE)</f>
        <v>22</v>
      </c>
      <c r="K803">
        <f>VLOOKUP(PREVIOS!H803,CICLO!A:B,2,FALSE)</f>
        <v>54</v>
      </c>
      <c r="L803">
        <f>VLOOKUP(PREVIOS!I803,PLAN!A:B,2,FALSE)</f>
        <v>6</v>
      </c>
    </row>
    <row r="804" spans="1:12" x14ac:dyDescent="0.25">
      <c r="A804" t="str">
        <f t="shared" si="12"/>
        <v>A225M284C1</v>
      </c>
      <c r="C804">
        <v>803</v>
      </c>
      <c r="D804">
        <f>VLOOKUP(PREVIOS!C804,ALUMNOS!A:B,2,FALSE)</f>
        <v>225</v>
      </c>
      <c r="E804">
        <f>VLOOKUP(PREVIOS!E804&amp;'TABLA PREVIOS'!J804,MATERIAS!A:H,7,FALSE)</f>
        <v>284</v>
      </c>
      <c r="F804">
        <f>VLOOKUP(PREVIOS!G804,CONDICION!A:B,2,FALSE)</f>
        <v>1</v>
      </c>
      <c r="G804">
        <f>IF(PREVIOS!AG804=1,1,VLOOKUP(PREVIOS!AG804,CALIFICACION!A:C,3,FALSE))</f>
        <v>1</v>
      </c>
      <c r="H804" s="1" t="s">
        <v>534</v>
      </c>
      <c r="I804" s="1" t="s">
        <v>534</v>
      </c>
      <c r="J804">
        <f>VLOOKUP(PREVIOS!F804&amp;VLOOKUP(PREVIOS!I804,PLAN!A:B,2,FALSE),CURSO!A:D,4,FALSE)</f>
        <v>22</v>
      </c>
      <c r="K804">
        <f>VLOOKUP(PREVIOS!H804,CICLO!A:B,2,FALSE)</f>
        <v>54</v>
      </c>
      <c r="L804">
        <f>VLOOKUP(PREVIOS!I804,PLAN!A:B,2,FALSE)</f>
        <v>6</v>
      </c>
    </row>
    <row r="805" spans="1:12" x14ac:dyDescent="0.25">
      <c r="A805" t="str">
        <f t="shared" si="12"/>
        <v>A225M292C1</v>
      </c>
      <c r="C805">
        <v>804</v>
      </c>
      <c r="D805">
        <f>VLOOKUP(PREVIOS!C805,ALUMNOS!A:B,2,FALSE)</f>
        <v>225</v>
      </c>
      <c r="E805">
        <f>VLOOKUP(PREVIOS!E805&amp;'TABLA PREVIOS'!J805,MATERIAS!A:H,7,FALSE)</f>
        <v>292</v>
      </c>
      <c r="F805">
        <f>VLOOKUP(PREVIOS!G805,CONDICION!A:B,2,FALSE)</f>
        <v>1</v>
      </c>
      <c r="G805">
        <f>IF(PREVIOS!AG805=1,1,VLOOKUP(PREVIOS!AG805,CALIFICACION!A:C,3,FALSE))</f>
        <v>1</v>
      </c>
      <c r="H805" s="1" t="s">
        <v>534</v>
      </c>
      <c r="I805" s="1" t="s">
        <v>534</v>
      </c>
      <c r="J805">
        <f>VLOOKUP(PREVIOS!F805&amp;VLOOKUP(PREVIOS!I805,PLAN!A:B,2,FALSE),CURSO!A:D,4,FALSE)</f>
        <v>22</v>
      </c>
      <c r="K805">
        <f>VLOOKUP(PREVIOS!H805,CICLO!A:B,2,FALSE)</f>
        <v>54</v>
      </c>
      <c r="L805">
        <f>VLOOKUP(PREVIOS!I805,PLAN!A:B,2,FALSE)</f>
        <v>6</v>
      </c>
    </row>
    <row r="806" spans="1:12" x14ac:dyDescent="0.25">
      <c r="A806" t="str">
        <f t="shared" si="12"/>
        <v>A225M279C1</v>
      </c>
      <c r="C806">
        <v>805</v>
      </c>
      <c r="D806">
        <f>VLOOKUP(PREVIOS!C806,ALUMNOS!A:B,2,FALSE)</f>
        <v>225</v>
      </c>
      <c r="E806">
        <f>VLOOKUP(PREVIOS!E806&amp;'TABLA PREVIOS'!J806,MATERIAS!A:H,7,FALSE)</f>
        <v>279</v>
      </c>
      <c r="F806">
        <f>VLOOKUP(PREVIOS!G806,CONDICION!A:B,2,FALSE)</f>
        <v>1</v>
      </c>
      <c r="G806">
        <f>IF(PREVIOS!AG806=1,1,VLOOKUP(PREVIOS!AG806,CALIFICACION!A:C,3,FALSE))</f>
        <v>1</v>
      </c>
      <c r="H806" s="1" t="s">
        <v>534</v>
      </c>
      <c r="I806" s="1" t="s">
        <v>534</v>
      </c>
      <c r="J806">
        <f>VLOOKUP(PREVIOS!F806&amp;VLOOKUP(PREVIOS!I806,PLAN!A:B,2,FALSE),CURSO!A:D,4,FALSE)</f>
        <v>22</v>
      </c>
      <c r="K806">
        <f>VLOOKUP(PREVIOS!H806,CICLO!A:B,2,FALSE)</f>
        <v>54</v>
      </c>
      <c r="L806">
        <f>VLOOKUP(PREVIOS!I806,PLAN!A:B,2,FALSE)</f>
        <v>6</v>
      </c>
    </row>
    <row r="807" spans="1:12" x14ac:dyDescent="0.25">
      <c r="A807" t="str">
        <f t="shared" si="12"/>
        <v>A228M240C1</v>
      </c>
      <c r="C807">
        <v>806</v>
      </c>
      <c r="D807">
        <f>VLOOKUP(PREVIOS!C807,ALUMNOS!A:B,2,FALSE)</f>
        <v>228</v>
      </c>
      <c r="E807">
        <f>VLOOKUP(PREVIOS!E807&amp;'TABLA PREVIOS'!J807,MATERIAS!A:H,7,FALSE)</f>
        <v>240</v>
      </c>
      <c r="F807">
        <f>VLOOKUP(PREVIOS!G807,CONDICION!A:B,2,FALSE)</f>
        <v>1</v>
      </c>
      <c r="G807">
        <f>IF(PREVIOS!AG807=1,1,VLOOKUP(PREVIOS!AG807,CALIFICACION!A:C,3,FALSE))</f>
        <v>1</v>
      </c>
      <c r="H807" s="1" t="s">
        <v>534</v>
      </c>
      <c r="I807" s="1" t="s">
        <v>534</v>
      </c>
      <c r="J807">
        <f>VLOOKUP(PREVIOS!F807&amp;VLOOKUP(PREVIOS!I807,PLAN!A:B,2,FALSE),CURSO!A:D,4,FALSE)</f>
        <v>19</v>
      </c>
      <c r="K807">
        <f>VLOOKUP(PREVIOS!H807,CICLO!A:B,2,FALSE)</f>
        <v>51</v>
      </c>
      <c r="L807">
        <f>VLOOKUP(PREVIOS!I807,PLAN!A:B,2,FALSE)</f>
        <v>5</v>
      </c>
    </row>
    <row r="808" spans="1:12" x14ac:dyDescent="0.25">
      <c r="A808" t="str">
        <f t="shared" si="12"/>
        <v>A228M282C1</v>
      </c>
      <c r="C808">
        <v>807</v>
      </c>
      <c r="D808">
        <f>VLOOKUP(PREVIOS!C808,ALUMNOS!A:B,2,FALSE)</f>
        <v>228</v>
      </c>
      <c r="E808">
        <f>VLOOKUP(PREVIOS!E808&amp;'TABLA PREVIOS'!J808,MATERIAS!A:H,7,FALSE)</f>
        <v>282</v>
      </c>
      <c r="F808">
        <f>VLOOKUP(PREVIOS!G808,CONDICION!A:B,2,FALSE)</f>
        <v>1</v>
      </c>
      <c r="G808">
        <f>IF(PREVIOS!AG808=1,1,VLOOKUP(PREVIOS!AG808,CALIFICACION!A:C,3,FALSE))</f>
        <v>1</v>
      </c>
      <c r="H808" s="1" t="s">
        <v>534</v>
      </c>
      <c r="I808" s="1" t="s">
        <v>534</v>
      </c>
      <c r="J808">
        <f>VLOOKUP(PREVIOS!F808&amp;VLOOKUP(PREVIOS!I808,PLAN!A:B,2,FALSE),CURSO!A:D,4,FALSE)</f>
        <v>22</v>
      </c>
      <c r="K808">
        <f>VLOOKUP(PREVIOS!H808,CICLO!A:B,2,FALSE)</f>
        <v>54</v>
      </c>
      <c r="L808">
        <f>VLOOKUP(PREVIOS!I808,PLAN!A:B,2,FALSE)</f>
        <v>6</v>
      </c>
    </row>
    <row r="809" spans="1:12" x14ac:dyDescent="0.25">
      <c r="A809" t="str">
        <f t="shared" si="12"/>
        <v>A228M280C1</v>
      </c>
      <c r="C809">
        <v>808</v>
      </c>
      <c r="D809">
        <f>VLOOKUP(PREVIOS!C809,ALUMNOS!A:B,2,FALSE)</f>
        <v>228</v>
      </c>
      <c r="E809">
        <f>VLOOKUP(PREVIOS!E809&amp;'TABLA PREVIOS'!J809,MATERIAS!A:H,7,FALSE)</f>
        <v>280</v>
      </c>
      <c r="F809">
        <f>VLOOKUP(PREVIOS!G809,CONDICION!A:B,2,FALSE)</f>
        <v>1</v>
      </c>
      <c r="G809">
        <f>IF(PREVIOS!AG809=1,1,VLOOKUP(PREVIOS!AG809,CALIFICACION!A:C,3,FALSE))</f>
        <v>1</v>
      </c>
      <c r="H809" s="1" t="s">
        <v>534</v>
      </c>
      <c r="I809" s="1" t="s">
        <v>534</v>
      </c>
      <c r="J809">
        <f>VLOOKUP(PREVIOS!F809&amp;VLOOKUP(PREVIOS!I809,PLAN!A:B,2,FALSE),CURSO!A:D,4,FALSE)</f>
        <v>22</v>
      </c>
      <c r="K809">
        <f>VLOOKUP(PREVIOS!H809,CICLO!A:B,2,FALSE)</f>
        <v>54</v>
      </c>
      <c r="L809">
        <f>VLOOKUP(PREVIOS!I809,PLAN!A:B,2,FALSE)</f>
        <v>6</v>
      </c>
    </row>
    <row r="810" spans="1:12" x14ac:dyDescent="0.25">
      <c r="A810" t="str">
        <f t="shared" si="12"/>
        <v>A703M265C1</v>
      </c>
      <c r="C810">
        <v>809</v>
      </c>
      <c r="D810">
        <f>VLOOKUP(PREVIOS!C810,ALUMNOS!A:B,2,FALSE)</f>
        <v>703</v>
      </c>
      <c r="E810">
        <f>VLOOKUP(PREVIOS!E810&amp;'TABLA PREVIOS'!J810,MATERIAS!A:H,7,FALSE)</f>
        <v>265</v>
      </c>
      <c r="F810">
        <f>VLOOKUP(PREVIOS!G810,CONDICION!A:B,2,FALSE)</f>
        <v>1</v>
      </c>
      <c r="G810">
        <f>IF(PREVIOS!AG810=1,1,VLOOKUP(PREVIOS!AG810,CALIFICACION!A:C,3,FALSE))</f>
        <v>1</v>
      </c>
      <c r="H810" s="1" t="s">
        <v>534</v>
      </c>
      <c r="I810" s="1" t="s">
        <v>534</v>
      </c>
      <c r="J810">
        <f>VLOOKUP(PREVIOS!F810&amp;VLOOKUP(PREVIOS!I810,PLAN!A:B,2,FALSE),CURSO!A:D,4,FALSE)</f>
        <v>21</v>
      </c>
      <c r="K810">
        <f>VLOOKUP(PREVIOS!H810,CICLO!A:B,2,FALSE)</f>
        <v>53</v>
      </c>
      <c r="L810">
        <f>VLOOKUP(PREVIOS!I810,PLAN!A:B,2,FALSE)</f>
        <v>6</v>
      </c>
    </row>
    <row r="811" spans="1:12" x14ac:dyDescent="0.25">
      <c r="A811" t="str">
        <f t="shared" si="12"/>
        <v>A755M245C1</v>
      </c>
      <c r="C811">
        <v>810</v>
      </c>
      <c r="D811">
        <f>VLOOKUP(PREVIOS!C811,ALUMNOS!A:B,2,FALSE)</f>
        <v>755</v>
      </c>
      <c r="E811">
        <f>VLOOKUP(PREVIOS!E811&amp;'TABLA PREVIOS'!J811,MATERIAS!A:H,7,FALSE)</f>
        <v>245</v>
      </c>
      <c r="F811">
        <f>VLOOKUP(PREVIOS!G811,CONDICION!A:B,2,FALSE)</f>
        <v>1</v>
      </c>
      <c r="G811">
        <f>IF(PREVIOS!AG811=1,1,VLOOKUP(PREVIOS!AG811,CALIFICACION!A:C,3,FALSE))</f>
        <v>1</v>
      </c>
      <c r="H811" s="1" t="s">
        <v>534</v>
      </c>
      <c r="I811" s="1" t="s">
        <v>534</v>
      </c>
      <c r="J811">
        <f>VLOOKUP(PREVIOS!F811&amp;VLOOKUP(PREVIOS!I811,PLAN!A:B,2,FALSE),CURSO!A:D,4,FALSE)</f>
        <v>19</v>
      </c>
      <c r="K811">
        <f>VLOOKUP(PREVIOS!H811,CICLO!A:B,2,FALSE)</f>
        <v>51</v>
      </c>
      <c r="L811">
        <f>VLOOKUP(PREVIOS!I811,PLAN!A:B,2,FALSE)</f>
        <v>5</v>
      </c>
    </row>
    <row r="812" spans="1:12" x14ac:dyDescent="0.25">
      <c r="A812" t="str">
        <f t="shared" si="12"/>
        <v>A755M256C1</v>
      </c>
      <c r="C812">
        <v>811</v>
      </c>
      <c r="D812">
        <f>VLOOKUP(PREVIOS!C812,ALUMNOS!A:B,2,FALSE)</f>
        <v>755</v>
      </c>
      <c r="E812">
        <f>VLOOKUP(PREVIOS!E812&amp;'TABLA PREVIOS'!J812,MATERIAS!A:H,7,FALSE)</f>
        <v>256</v>
      </c>
      <c r="F812">
        <f>VLOOKUP(PREVIOS!G812,CONDICION!A:B,2,FALSE)</f>
        <v>1</v>
      </c>
      <c r="G812">
        <f>IF(PREVIOS!AG812=1,1,VLOOKUP(PREVIOS!AG812,CALIFICACION!A:C,3,FALSE))</f>
        <v>1</v>
      </c>
      <c r="H812" s="1" t="s">
        <v>534</v>
      </c>
      <c r="I812" s="1" t="s">
        <v>534</v>
      </c>
      <c r="J812">
        <f>VLOOKUP(PREVIOS!F812&amp;VLOOKUP(PREVIOS!I812,PLAN!A:B,2,FALSE),CURSO!A:D,4,FALSE)</f>
        <v>20</v>
      </c>
      <c r="K812">
        <f>VLOOKUP(PREVIOS!H812,CICLO!A:B,2,FALSE)</f>
        <v>52</v>
      </c>
      <c r="L812">
        <f>VLOOKUP(PREVIOS!I812,PLAN!A:B,2,FALSE)</f>
        <v>6</v>
      </c>
    </row>
    <row r="813" spans="1:12" x14ac:dyDescent="0.25">
      <c r="A813" t="str">
        <f t="shared" si="12"/>
        <v>A755M259C1</v>
      </c>
      <c r="C813">
        <v>812</v>
      </c>
      <c r="D813">
        <f>VLOOKUP(PREVIOS!C813,ALUMNOS!A:B,2,FALSE)</f>
        <v>755</v>
      </c>
      <c r="E813">
        <f>VLOOKUP(PREVIOS!E813&amp;'TABLA PREVIOS'!J813,MATERIAS!A:H,7,FALSE)</f>
        <v>259</v>
      </c>
      <c r="F813">
        <f>VLOOKUP(PREVIOS!G813,CONDICION!A:B,2,FALSE)</f>
        <v>1</v>
      </c>
      <c r="G813">
        <f>IF(PREVIOS!AG813=1,1,VLOOKUP(PREVIOS!AG813,CALIFICACION!A:C,3,FALSE))</f>
        <v>1</v>
      </c>
      <c r="H813" s="1" t="s">
        <v>534</v>
      </c>
      <c r="I813" s="1" t="s">
        <v>534</v>
      </c>
      <c r="J813">
        <f>VLOOKUP(PREVIOS!F813&amp;VLOOKUP(PREVIOS!I813,PLAN!A:B,2,FALSE),CURSO!A:D,4,FALSE)</f>
        <v>20</v>
      </c>
      <c r="K813">
        <f>VLOOKUP(PREVIOS!H813,CICLO!A:B,2,FALSE)</f>
        <v>52</v>
      </c>
      <c r="L813">
        <f>VLOOKUP(PREVIOS!I813,PLAN!A:B,2,FALSE)</f>
        <v>6</v>
      </c>
    </row>
    <row r="814" spans="1:12" x14ac:dyDescent="0.25">
      <c r="A814" t="str">
        <f t="shared" si="12"/>
        <v>A755M285C1</v>
      </c>
      <c r="C814">
        <v>813</v>
      </c>
      <c r="D814">
        <f>VLOOKUP(PREVIOS!C814,ALUMNOS!A:B,2,FALSE)</f>
        <v>755</v>
      </c>
      <c r="E814">
        <f>VLOOKUP(PREVIOS!E814&amp;'TABLA PREVIOS'!J814,MATERIAS!A:H,7,FALSE)</f>
        <v>285</v>
      </c>
      <c r="F814">
        <f>VLOOKUP(PREVIOS!G814,CONDICION!A:B,2,FALSE)</f>
        <v>1</v>
      </c>
      <c r="G814">
        <f>IF(PREVIOS!AG814=1,1,VLOOKUP(PREVIOS!AG814,CALIFICACION!A:C,3,FALSE))</f>
        <v>1</v>
      </c>
      <c r="H814" s="1" t="s">
        <v>534</v>
      </c>
      <c r="I814" s="1" t="s">
        <v>534</v>
      </c>
      <c r="J814">
        <f>VLOOKUP(PREVIOS!F814&amp;VLOOKUP(PREVIOS!I814,PLAN!A:B,2,FALSE),CURSO!A:D,4,FALSE)</f>
        <v>22</v>
      </c>
      <c r="K814">
        <f>VLOOKUP(PREVIOS!H814,CICLO!A:B,2,FALSE)</f>
        <v>52</v>
      </c>
      <c r="L814">
        <f>VLOOKUP(PREVIOS!I814,PLAN!A:B,2,FALSE)</f>
        <v>6</v>
      </c>
    </row>
    <row r="815" spans="1:12" x14ac:dyDescent="0.25">
      <c r="A815" t="str">
        <f t="shared" si="12"/>
        <v>A755M289C1</v>
      </c>
      <c r="C815">
        <v>814</v>
      </c>
      <c r="D815">
        <f>VLOOKUP(PREVIOS!C815,ALUMNOS!A:B,2,FALSE)</f>
        <v>755</v>
      </c>
      <c r="E815">
        <f>VLOOKUP(PREVIOS!E815&amp;'TABLA PREVIOS'!J815,MATERIAS!A:H,7,FALSE)</f>
        <v>289</v>
      </c>
      <c r="F815">
        <f>VLOOKUP(PREVIOS!G815,CONDICION!A:B,2,FALSE)</f>
        <v>1</v>
      </c>
      <c r="G815">
        <f>IF(PREVIOS!AG815=1,1,VLOOKUP(PREVIOS!AG815,CALIFICACION!A:C,3,FALSE))</f>
        <v>1</v>
      </c>
      <c r="H815" s="1" t="s">
        <v>534</v>
      </c>
      <c r="I815" s="1" t="s">
        <v>534</v>
      </c>
      <c r="J815">
        <f>VLOOKUP(PREVIOS!F815&amp;VLOOKUP(PREVIOS!I815,PLAN!A:B,2,FALSE),CURSO!A:D,4,FALSE)</f>
        <v>22</v>
      </c>
      <c r="K815">
        <f>VLOOKUP(PREVIOS!H815,CICLO!A:B,2,FALSE)</f>
        <v>52</v>
      </c>
      <c r="L815">
        <f>VLOOKUP(PREVIOS!I815,PLAN!A:B,2,FALSE)</f>
        <v>6</v>
      </c>
    </row>
    <row r="816" spans="1:12" x14ac:dyDescent="0.25">
      <c r="A816" t="str">
        <f t="shared" si="12"/>
        <v>A755M284C1</v>
      </c>
      <c r="C816">
        <v>815</v>
      </c>
      <c r="D816">
        <f>VLOOKUP(PREVIOS!C816,ALUMNOS!A:B,2,FALSE)</f>
        <v>755</v>
      </c>
      <c r="E816">
        <f>VLOOKUP(PREVIOS!E816&amp;'TABLA PREVIOS'!J816,MATERIAS!A:H,7,FALSE)</f>
        <v>284</v>
      </c>
      <c r="F816">
        <f>VLOOKUP(PREVIOS!G816,CONDICION!A:B,2,FALSE)</f>
        <v>1</v>
      </c>
      <c r="G816">
        <f>IF(PREVIOS!AG816=1,1,VLOOKUP(PREVIOS!AG816,CALIFICACION!A:C,3,FALSE))</f>
        <v>1</v>
      </c>
      <c r="H816" s="1" t="s">
        <v>534</v>
      </c>
      <c r="I816" s="1" t="s">
        <v>534</v>
      </c>
      <c r="J816">
        <f>VLOOKUP(PREVIOS!F816&amp;VLOOKUP(PREVIOS!I816,PLAN!A:B,2,FALSE),CURSO!A:D,4,FALSE)</f>
        <v>22</v>
      </c>
      <c r="K816">
        <f>VLOOKUP(PREVIOS!H816,CICLO!A:B,2,FALSE)</f>
        <v>52</v>
      </c>
      <c r="L816">
        <f>VLOOKUP(PREVIOS!I816,PLAN!A:B,2,FALSE)</f>
        <v>6</v>
      </c>
    </row>
    <row r="817" spans="1:12" x14ac:dyDescent="0.25">
      <c r="A817" t="str">
        <f t="shared" si="12"/>
        <v>A755M287C1</v>
      </c>
      <c r="C817">
        <v>816</v>
      </c>
      <c r="D817">
        <f>VLOOKUP(PREVIOS!C817,ALUMNOS!A:B,2,FALSE)</f>
        <v>755</v>
      </c>
      <c r="E817">
        <f>VLOOKUP(PREVIOS!E817&amp;'TABLA PREVIOS'!J817,MATERIAS!A:H,7,FALSE)</f>
        <v>287</v>
      </c>
      <c r="F817">
        <f>VLOOKUP(PREVIOS!G817,CONDICION!A:B,2,FALSE)</f>
        <v>1</v>
      </c>
      <c r="G817">
        <f>IF(PREVIOS!AG817=1,1,VLOOKUP(PREVIOS!AG817,CALIFICACION!A:C,3,FALSE))</f>
        <v>1</v>
      </c>
      <c r="H817" s="1" t="s">
        <v>534</v>
      </c>
      <c r="I817" s="1" t="s">
        <v>534</v>
      </c>
      <c r="J817">
        <f>VLOOKUP(PREVIOS!F817&amp;VLOOKUP(PREVIOS!I817,PLAN!A:B,2,FALSE),CURSO!A:D,4,FALSE)</f>
        <v>22</v>
      </c>
      <c r="K817">
        <f>VLOOKUP(PREVIOS!H817,CICLO!A:B,2,FALSE)</f>
        <v>52</v>
      </c>
      <c r="L817">
        <f>VLOOKUP(PREVIOS!I817,PLAN!A:B,2,FALSE)</f>
        <v>6</v>
      </c>
    </row>
    <row r="818" spans="1:12" x14ac:dyDescent="0.25">
      <c r="A818" t="str">
        <f t="shared" si="12"/>
        <v>A755M286C1</v>
      </c>
      <c r="C818">
        <v>817</v>
      </c>
      <c r="D818">
        <f>VLOOKUP(PREVIOS!C818,ALUMNOS!A:B,2,FALSE)</f>
        <v>755</v>
      </c>
      <c r="E818">
        <f>VLOOKUP(PREVIOS!E818&amp;'TABLA PREVIOS'!J818,MATERIAS!A:H,7,FALSE)</f>
        <v>286</v>
      </c>
      <c r="F818">
        <f>VLOOKUP(PREVIOS!G818,CONDICION!A:B,2,FALSE)</f>
        <v>1</v>
      </c>
      <c r="G818">
        <f>IF(PREVIOS!AG818=1,1,VLOOKUP(PREVIOS!AG818,CALIFICACION!A:C,3,FALSE))</f>
        <v>1</v>
      </c>
      <c r="H818" s="1" t="s">
        <v>534</v>
      </c>
      <c r="I818" s="1" t="s">
        <v>534</v>
      </c>
      <c r="J818">
        <f>VLOOKUP(PREVIOS!F818&amp;VLOOKUP(PREVIOS!I818,PLAN!A:B,2,FALSE),CURSO!A:D,4,FALSE)</f>
        <v>22</v>
      </c>
      <c r="K818">
        <f>VLOOKUP(PREVIOS!H818,CICLO!A:B,2,FALSE)</f>
        <v>52</v>
      </c>
      <c r="L818">
        <f>VLOOKUP(PREVIOS!I818,PLAN!A:B,2,FALSE)</f>
        <v>6</v>
      </c>
    </row>
    <row r="819" spans="1:12" x14ac:dyDescent="0.25">
      <c r="A819" t="str">
        <f t="shared" si="12"/>
        <v>A755M292C1</v>
      </c>
      <c r="C819">
        <v>818</v>
      </c>
      <c r="D819">
        <f>VLOOKUP(PREVIOS!C819,ALUMNOS!A:B,2,FALSE)</f>
        <v>755</v>
      </c>
      <c r="E819">
        <f>VLOOKUP(PREVIOS!E819&amp;'TABLA PREVIOS'!J819,MATERIAS!A:H,7,FALSE)</f>
        <v>292</v>
      </c>
      <c r="F819">
        <f>VLOOKUP(PREVIOS!G819,CONDICION!A:B,2,FALSE)</f>
        <v>1</v>
      </c>
      <c r="G819">
        <f>IF(PREVIOS!AG819=1,1,VLOOKUP(PREVIOS!AG819,CALIFICACION!A:C,3,FALSE))</f>
        <v>1</v>
      </c>
      <c r="H819" s="1" t="s">
        <v>534</v>
      </c>
      <c r="I819" s="1" t="s">
        <v>534</v>
      </c>
      <c r="J819">
        <f>VLOOKUP(PREVIOS!F819&amp;VLOOKUP(PREVIOS!I819,PLAN!A:B,2,FALSE),CURSO!A:D,4,FALSE)</f>
        <v>22</v>
      </c>
      <c r="K819">
        <f>VLOOKUP(PREVIOS!H819,CICLO!A:B,2,FALSE)</f>
        <v>52</v>
      </c>
      <c r="L819">
        <f>VLOOKUP(PREVIOS!I819,PLAN!A:B,2,FALSE)</f>
        <v>6</v>
      </c>
    </row>
    <row r="820" spans="1:12" x14ac:dyDescent="0.25">
      <c r="A820" t="str">
        <f t="shared" si="12"/>
        <v>A755M282C1</v>
      </c>
      <c r="C820">
        <v>819</v>
      </c>
      <c r="D820">
        <f>VLOOKUP(PREVIOS!C820,ALUMNOS!A:B,2,FALSE)</f>
        <v>755</v>
      </c>
      <c r="E820">
        <f>VLOOKUP(PREVIOS!E820&amp;'TABLA PREVIOS'!J820,MATERIAS!A:H,7,FALSE)</f>
        <v>282</v>
      </c>
      <c r="F820">
        <f>VLOOKUP(PREVIOS!G820,CONDICION!A:B,2,FALSE)</f>
        <v>1</v>
      </c>
      <c r="G820">
        <f>IF(PREVIOS!AG820=1,1,VLOOKUP(PREVIOS!AG820,CALIFICACION!A:C,3,FALSE))</f>
        <v>1</v>
      </c>
      <c r="H820" s="1" t="s">
        <v>534</v>
      </c>
      <c r="I820" s="1" t="s">
        <v>534</v>
      </c>
      <c r="J820">
        <f>VLOOKUP(PREVIOS!F820&amp;VLOOKUP(PREVIOS!I820,PLAN!A:B,2,FALSE),CURSO!A:D,4,FALSE)</f>
        <v>22</v>
      </c>
      <c r="K820">
        <f>VLOOKUP(PREVIOS!H820,CICLO!A:B,2,FALSE)</f>
        <v>52</v>
      </c>
      <c r="L820">
        <f>VLOOKUP(PREVIOS!I820,PLAN!A:B,2,FALSE)</f>
        <v>6</v>
      </c>
    </row>
    <row r="821" spans="1:12" x14ac:dyDescent="0.25">
      <c r="A821" t="str">
        <f t="shared" si="12"/>
        <v>A755M280C1</v>
      </c>
      <c r="C821">
        <v>820</v>
      </c>
      <c r="D821">
        <f>VLOOKUP(PREVIOS!C821,ALUMNOS!A:B,2,FALSE)</f>
        <v>755</v>
      </c>
      <c r="E821">
        <f>VLOOKUP(PREVIOS!E821&amp;'TABLA PREVIOS'!J821,MATERIAS!A:H,7,FALSE)</f>
        <v>280</v>
      </c>
      <c r="F821">
        <f>VLOOKUP(PREVIOS!G821,CONDICION!A:B,2,FALSE)</f>
        <v>1</v>
      </c>
      <c r="G821">
        <f>IF(PREVIOS!AG821=1,1,VLOOKUP(PREVIOS!AG821,CALIFICACION!A:C,3,FALSE))</f>
        <v>1</v>
      </c>
      <c r="H821" s="1" t="s">
        <v>534</v>
      </c>
      <c r="I821" s="1" t="s">
        <v>534</v>
      </c>
      <c r="J821">
        <f>VLOOKUP(PREVIOS!F821&amp;VLOOKUP(PREVIOS!I821,PLAN!A:B,2,FALSE),CURSO!A:D,4,FALSE)</f>
        <v>22</v>
      </c>
      <c r="K821">
        <f>VLOOKUP(PREVIOS!H821,CICLO!A:B,2,FALSE)</f>
        <v>52</v>
      </c>
      <c r="L821">
        <f>VLOOKUP(PREVIOS!I821,PLAN!A:B,2,FALSE)</f>
        <v>6</v>
      </c>
    </row>
    <row r="822" spans="1:12" x14ac:dyDescent="0.25">
      <c r="A822" t="str">
        <f t="shared" si="12"/>
        <v>A755M288C1</v>
      </c>
      <c r="C822">
        <v>821</v>
      </c>
      <c r="D822">
        <f>VLOOKUP(PREVIOS!C822,ALUMNOS!A:B,2,FALSE)</f>
        <v>755</v>
      </c>
      <c r="E822">
        <f>VLOOKUP(PREVIOS!E822&amp;'TABLA PREVIOS'!J822,MATERIAS!A:H,7,FALSE)</f>
        <v>288</v>
      </c>
      <c r="F822">
        <f>VLOOKUP(PREVIOS!G822,CONDICION!A:B,2,FALSE)</f>
        <v>1</v>
      </c>
      <c r="G822">
        <f>IF(PREVIOS!AG822=1,1,VLOOKUP(PREVIOS!AG822,CALIFICACION!A:C,3,FALSE))</f>
        <v>1</v>
      </c>
      <c r="H822" s="1" t="s">
        <v>534</v>
      </c>
      <c r="I822" s="1" t="s">
        <v>534</v>
      </c>
      <c r="J822">
        <f>VLOOKUP(PREVIOS!F822&amp;VLOOKUP(PREVIOS!I822,PLAN!A:B,2,FALSE),CURSO!A:D,4,FALSE)</f>
        <v>22</v>
      </c>
      <c r="K822">
        <f>VLOOKUP(PREVIOS!H822,CICLO!A:B,2,FALSE)</f>
        <v>52</v>
      </c>
      <c r="L822">
        <f>VLOOKUP(PREVIOS!I822,PLAN!A:B,2,FALSE)</f>
        <v>6</v>
      </c>
    </row>
    <row r="823" spans="1:12" x14ac:dyDescent="0.25">
      <c r="A823" t="str">
        <f t="shared" si="12"/>
        <v>A755M290C1</v>
      </c>
      <c r="C823">
        <v>822</v>
      </c>
      <c r="D823">
        <f>VLOOKUP(PREVIOS!C823,ALUMNOS!A:B,2,FALSE)</f>
        <v>755</v>
      </c>
      <c r="E823">
        <f>VLOOKUP(PREVIOS!E823&amp;'TABLA PREVIOS'!J823,MATERIAS!A:H,7,FALSE)</f>
        <v>290</v>
      </c>
      <c r="F823">
        <f>VLOOKUP(PREVIOS!G823,CONDICION!A:B,2,FALSE)</f>
        <v>1</v>
      </c>
      <c r="G823">
        <f>IF(PREVIOS!AG823=1,1,VLOOKUP(PREVIOS!AG823,CALIFICACION!A:C,3,FALSE))</f>
        <v>1</v>
      </c>
      <c r="H823" s="1" t="s">
        <v>534</v>
      </c>
      <c r="I823" s="1" t="s">
        <v>534</v>
      </c>
      <c r="J823">
        <f>VLOOKUP(PREVIOS!F823&amp;VLOOKUP(PREVIOS!I823,PLAN!A:B,2,FALSE),CURSO!A:D,4,FALSE)</f>
        <v>22</v>
      </c>
      <c r="K823">
        <f>VLOOKUP(PREVIOS!H823,CICLO!A:B,2,FALSE)</f>
        <v>52</v>
      </c>
      <c r="L823">
        <f>VLOOKUP(PREVIOS!I823,PLAN!A:B,2,FALSE)</f>
        <v>6</v>
      </c>
    </row>
    <row r="824" spans="1:12" x14ac:dyDescent="0.25">
      <c r="A824" t="str">
        <f t="shared" si="12"/>
        <v>A37M286C1</v>
      </c>
      <c r="C824">
        <v>823</v>
      </c>
      <c r="D824">
        <f>VLOOKUP(PREVIOS!C824,ALUMNOS!A:B,2,FALSE)</f>
        <v>37</v>
      </c>
      <c r="E824">
        <f>VLOOKUP(PREVIOS!E824&amp;'TABLA PREVIOS'!J824,MATERIAS!A:H,7,FALSE)</f>
        <v>286</v>
      </c>
      <c r="F824">
        <f>VLOOKUP(PREVIOS!G824,CONDICION!A:B,2,FALSE)</f>
        <v>1</v>
      </c>
      <c r="G824">
        <f>IF(PREVIOS!AG824=1,1,VLOOKUP(PREVIOS!AG824,CALIFICACION!A:C,3,FALSE))</f>
        <v>1</v>
      </c>
      <c r="H824" s="1" t="s">
        <v>534</v>
      </c>
      <c r="I824" s="1" t="s">
        <v>534</v>
      </c>
      <c r="J824">
        <f>VLOOKUP(PREVIOS!F824&amp;VLOOKUP(PREVIOS!I824,PLAN!A:B,2,FALSE),CURSO!A:D,4,FALSE)</f>
        <v>22</v>
      </c>
      <c r="K824">
        <f>VLOOKUP(PREVIOS!H824,CICLO!A:B,2,FALSE)</f>
        <v>55</v>
      </c>
      <c r="L824">
        <f>VLOOKUP(PREVIOS!I824,PLAN!A:B,2,FALSE)</f>
        <v>6</v>
      </c>
    </row>
    <row r="825" spans="1:12" x14ac:dyDescent="0.25">
      <c r="A825" t="str">
        <f t="shared" si="12"/>
        <v>A37M292C1</v>
      </c>
      <c r="C825">
        <v>824</v>
      </c>
      <c r="D825">
        <f>VLOOKUP(PREVIOS!C825,ALUMNOS!A:B,2,FALSE)</f>
        <v>37</v>
      </c>
      <c r="E825">
        <f>VLOOKUP(PREVIOS!E825&amp;'TABLA PREVIOS'!J825,MATERIAS!A:H,7,FALSE)</f>
        <v>292</v>
      </c>
      <c r="F825">
        <f>VLOOKUP(PREVIOS!G825,CONDICION!A:B,2,FALSE)</f>
        <v>1</v>
      </c>
      <c r="G825">
        <f>IF(PREVIOS!AG825=1,1,VLOOKUP(PREVIOS!AG825,CALIFICACION!A:C,3,FALSE))</f>
        <v>1</v>
      </c>
      <c r="H825" s="1" t="s">
        <v>534</v>
      </c>
      <c r="I825" s="1" t="s">
        <v>534</v>
      </c>
      <c r="J825">
        <f>VLOOKUP(PREVIOS!F825&amp;VLOOKUP(PREVIOS!I825,PLAN!A:B,2,FALSE),CURSO!A:D,4,FALSE)</f>
        <v>22</v>
      </c>
      <c r="K825">
        <f>VLOOKUP(PREVIOS!H825,CICLO!A:B,2,FALSE)</f>
        <v>55</v>
      </c>
      <c r="L825">
        <f>VLOOKUP(PREVIOS!I825,PLAN!A:B,2,FALSE)</f>
        <v>6</v>
      </c>
    </row>
    <row r="826" spans="1:12" x14ac:dyDescent="0.25">
      <c r="A826" t="str">
        <f t="shared" si="12"/>
        <v>A37M288C1</v>
      </c>
      <c r="C826">
        <v>825</v>
      </c>
      <c r="D826">
        <f>VLOOKUP(PREVIOS!C826,ALUMNOS!A:B,2,FALSE)</f>
        <v>37</v>
      </c>
      <c r="E826">
        <f>VLOOKUP(PREVIOS!E826&amp;'TABLA PREVIOS'!J826,MATERIAS!A:H,7,FALSE)</f>
        <v>288</v>
      </c>
      <c r="F826">
        <f>VLOOKUP(PREVIOS!G826,CONDICION!A:B,2,FALSE)</f>
        <v>1</v>
      </c>
      <c r="G826">
        <f>IF(PREVIOS!AG826=1,1,VLOOKUP(PREVIOS!AG826,CALIFICACION!A:C,3,FALSE))</f>
        <v>1</v>
      </c>
      <c r="H826" s="1" t="s">
        <v>534</v>
      </c>
      <c r="I826" s="1" t="s">
        <v>534</v>
      </c>
      <c r="J826">
        <f>VLOOKUP(PREVIOS!F826&amp;VLOOKUP(PREVIOS!I826,PLAN!A:B,2,FALSE),CURSO!A:D,4,FALSE)</f>
        <v>22</v>
      </c>
      <c r="K826">
        <f>VLOOKUP(PREVIOS!H826,CICLO!A:B,2,FALSE)</f>
        <v>55</v>
      </c>
      <c r="L826">
        <f>VLOOKUP(PREVIOS!I826,PLAN!A:B,2,FALSE)</f>
        <v>6</v>
      </c>
    </row>
    <row r="827" spans="1:12" x14ac:dyDescent="0.25">
      <c r="A827" t="str">
        <f t="shared" si="12"/>
        <v>A37M290C1</v>
      </c>
      <c r="C827">
        <v>826</v>
      </c>
      <c r="D827">
        <f>VLOOKUP(PREVIOS!C827,ALUMNOS!A:B,2,FALSE)</f>
        <v>37</v>
      </c>
      <c r="E827">
        <f>VLOOKUP(PREVIOS!E827&amp;'TABLA PREVIOS'!J827,MATERIAS!A:H,7,FALSE)</f>
        <v>290</v>
      </c>
      <c r="F827">
        <f>VLOOKUP(PREVIOS!G827,CONDICION!A:B,2,FALSE)</f>
        <v>1</v>
      </c>
      <c r="G827">
        <f>IF(PREVIOS!AG827=1,1,VLOOKUP(PREVIOS!AG827,CALIFICACION!A:C,3,FALSE))</f>
        <v>1</v>
      </c>
      <c r="H827" s="1" t="s">
        <v>534</v>
      </c>
      <c r="I827" s="1" t="s">
        <v>534</v>
      </c>
      <c r="J827">
        <f>VLOOKUP(PREVIOS!F827&amp;VLOOKUP(PREVIOS!I827,PLAN!A:B,2,FALSE),CURSO!A:D,4,FALSE)</f>
        <v>22</v>
      </c>
      <c r="K827">
        <f>VLOOKUP(PREVIOS!H827,CICLO!A:B,2,FALSE)</f>
        <v>55</v>
      </c>
      <c r="L827">
        <f>VLOOKUP(PREVIOS!I827,PLAN!A:B,2,FALSE)</f>
        <v>6</v>
      </c>
    </row>
    <row r="828" spans="1:12" x14ac:dyDescent="0.25">
      <c r="A828" t="str">
        <f t="shared" si="12"/>
        <v>A82M229C1</v>
      </c>
      <c r="C828">
        <v>827</v>
      </c>
      <c r="D828">
        <f>VLOOKUP(PREVIOS!C828,ALUMNOS!A:B,2,FALSE)</f>
        <v>82</v>
      </c>
      <c r="E828">
        <f>VLOOKUP(PREVIOS!E828&amp;'TABLA PREVIOS'!J828,MATERIAS!A:H,7,FALSE)</f>
        <v>229</v>
      </c>
      <c r="F828">
        <f>VLOOKUP(PREVIOS!G828,CONDICION!A:B,2,FALSE)</f>
        <v>1</v>
      </c>
      <c r="G828">
        <f>IF(PREVIOS!AG828=1,1,VLOOKUP(PREVIOS!AG828,CALIFICACION!A:C,3,FALSE))</f>
        <v>1</v>
      </c>
      <c r="H828" s="1" t="s">
        <v>534</v>
      </c>
      <c r="I828" s="1" t="s">
        <v>534</v>
      </c>
      <c r="J828">
        <f>VLOOKUP(PREVIOS!F828&amp;VLOOKUP(PREVIOS!I828,PLAN!A:B,2,FALSE),CURSO!A:D,4,FALSE)</f>
        <v>18</v>
      </c>
      <c r="K828">
        <f>VLOOKUP(PREVIOS!H828,CICLO!A:B,2,FALSE)</f>
        <v>51</v>
      </c>
      <c r="L828">
        <f>VLOOKUP(PREVIOS!I828,PLAN!A:B,2,FALSE)</f>
        <v>5</v>
      </c>
    </row>
    <row r="829" spans="1:12" x14ac:dyDescent="0.25">
      <c r="A829" t="str">
        <f t="shared" si="12"/>
        <v>A82M274C1</v>
      </c>
      <c r="C829">
        <v>828</v>
      </c>
      <c r="D829">
        <f>VLOOKUP(PREVIOS!C829,ALUMNOS!A:B,2,FALSE)</f>
        <v>82</v>
      </c>
      <c r="E829">
        <f>VLOOKUP(PREVIOS!E829&amp;'TABLA PREVIOS'!J829,MATERIAS!A:H,7,FALSE)</f>
        <v>274</v>
      </c>
      <c r="F829">
        <f>VLOOKUP(PREVIOS!G829,CONDICION!A:B,2,FALSE)</f>
        <v>1</v>
      </c>
      <c r="G829">
        <f>IF(PREVIOS!AG829=1,1,VLOOKUP(PREVIOS!AG829,CALIFICACION!A:C,3,FALSE))</f>
        <v>1</v>
      </c>
      <c r="H829" s="1" t="s">
        <v>534</v>
      </c>
      <c r="I829" s="1" t="s">
        <v>534</v>
      </c>
      <c r="J829">
        <f>VLOOKUP(PREVIOS!F829&amp;VLOOKUP(PREVIOS!I829,PLAN!A:B,2,FALSE),CURSO!A:D,4,FALSE)</f>
        <v>21</v>
      </c>
      <c r="K829">
        <f>VLOOKUP(PREVIOS!H829,CICLO!A:B,2,FALSE)</f>
        <v>54</v>
      </c>
      <c r="L829">
        <f>VLOOKUP(PREVIOS!I829,PLAN!A:B,2,FALSE)</f>
        <v>6</v>
      </c>
    </row>
    <row r="830" spans="1:12" x14ac:dyDescent="0.25">
      <c r="A830" t="str">
        <f t="shared" si="12"/>
        <v>A82M277C1</v>
      </c>
      <c r="C830">
        <v>829</v>
      </c>
      <c r="D830">
        <f>VLOOKUP(PREVIOS!C830,ALUMNOS!A:B,2,FALSE)</f>
        <v>82</v>
      </c>
      <c r="E830">
        <f>VLOOKUP(PREVIOS!E830&amp;'TABLA PREVIOS'!J830,MATERIAS!A:H,7,FALSE)</f>
        <v>277</v>
      </c>
      <c r="F830">
        <f>VLOOKUP(PREVIOS!G830,CONDICION!A:B,2,FALSE)</f>
        <v>1</v>
      </c>
      <c r="G830">
        <f>IF(PREVIOS!AG830=1,1,VLOOKUP(PREVIOS!AG830,CALIFICACION!A:C,3,FALSE))</f>
        <v>1</v>
      </c>
      <c r="H830" s="1" t="s">
        <v>534</v>
      </c>
      <c r="I830" s="1" t="s">
        <v>534</v>
      </c>
      <c r="J830">
        <f>VLOOKUP(PREVIOS!F830&amp;VLOOKUP(PREVIOS!I830,PLAN!A:B,2,FALSE),CURSO!A:D,4,FALSE)</f>
        <v>21</v>
      </c>
      <c r="K830">
        <f>VLOOKUP(PREVIOS!H830,CICLO!A:B,2,FALSE)</f>
        <v>54</v>
      </c>
      <c r="L830">
        <f>VLOOKUP(PREVIOS!I830,PLAN!A:B,2,FALSE)</f>
        <v>6</v>
      </c>
    </row>
    <row r="831" spans="1:12" x14ac:dyDescent="0.25">
      <c r="A831" t="str">
        <f t="shared" si="12"/>
        <v>A82M276C1</v>
      </c>
      <c r="C831">
        <v>830</v>
      </c>
      <c r="D831">
        <f>VLOOKUP(PREVIOS!C831,ALUMNOS!A:B,2,FALSE)</f>
        <v>82</v>
      </c>
      <c r="E831">
        <f>VLOOKUP(PREVIOS!E831&amp;'TABLA PREVIOS'!J831,MATERIAS!A:H,7,FALSE)</f>
        <v>276</v>
      </c>
      <c r="F831">
        <f>VLOOKUP(PREVIOS!G831,CONDICION!A:B,2,FALSE)</f>
        <v>1</v>
      </c>
      <c r="G831">
        <f>IF(PREVIOS!AG831=1,1,VLOOKUP(PREVIOS!AG831,CALIFICACION!A:C,3,FALSE))</f>
        <v>1</v>
      </c>
      <c r="H831" s="1" t="s">
        <v>534</v>
      </c>
      <c r="I831" s="1" t="s">
        <v>534</v>
      </c>
      <c r="J831">
        <f>VLOOKUP(PREVIOS!F831&amp;VLOOKUP(PREVIOS!I831,PLAN!A:B,2,FALSE),CURSO!A:D,4,FALSE)</f>
        <v>21</v>
      </c>
      <c r="K831">
        <f>VLOOKUP(PREVIOS!H831,CICLO!A:B,2,FALSE)</f>
        <v>54</v>
      </c>
      <c r="L831">
        <f>VLOOKUP(PREVIOS!I831,PLAN!A:B,2,FALSE)</f>
        <v>6</v>
      </c>
    </row>
    <row r="832" spans="1:12" x14ac:dyDescent="0.25">
      <c r="A832" t="str">
        <f t="shared" si="12"/>
        <v>A82M275C1</v>
      </c>
      <c r="C832">
        <v>831</v>
      </c>
      <c r="D832">
        <f>VLOOKUP(PREVIOS!C832,ALUMNOS!A:B,2,FALSE)</f>
        <v>82</v>
      </c>
      <c r="E832">
        <f>VLOOKUP(PREVIOS!E832&amp;'TABLA PREVIOS'!J832,MATERIAS!A:H,7,FALSE)</f>
        <v>275</v>
      </c>
      <c r="F832">
        <f>VLOOKUP(PREVIOS!G832,CONDICION!A:B,2,FALSE)</f>
        <v>1</v>
      </c>
      <c r="G832">
        <f>IF(PREVIOS!AG832=1,1,VLOOKUP(PREVIOS!AG832,CALIFICACION!A:C,3,FALSE))</f>
        <v>1</v>
      </c>
      <c r="H832" s="1" t="s">
        <v>534</v>
      </c>
      <c r="I832" s="1" t="s">
        <v>534</v>
      </c>
      <c r="J832">
        <f>VLOOKUP(PREVIOS!F832&amp;VLOOKUP(PREVIOS!I832,PLAN!A:B,2,FALSE),CURSO!A:D,4,FALSE)</f>
        <v>21</v>
      </c>
      <c r="K832">
        <f>VLOOKUP(PREVIOS!H832,CICLO!A:B,2,FALSE)</f>
        <v>54</v>
      </c>
      <c r="L832">
        <f>VLOOKUP(PREVIOS!I832,PLAN!A:B,2,FALSE)</f>
        <v>6</v>
      </c>
    </row>
    <row r="833" spans="1:12" x14ac:dyDescent="0.25">
      <c r="A833" t="str">
        <f t="shared" si="12"/>
        <v>A82M264C1</v>
      </c>
      <c r="C833">
        <v>832</v>
      </c>
      <c r="D833">
        <f>VLOOKUP(PREVIOS!C833,ALUMNOS!A:B,2,FALSE)</f>
        <v>82</v>
      </c>
      <c r="E833">
        <f>VLOOKUP(PREVIOS!E833&amp;'TABLA PREVIOS'!J833,MATERIAS!A:H,7,FALSE)</f>
        <v>264</v>
      </c>
      <c r="F833">
        <f>VLOOKUP(PREVIOS!G833,CONDICION!A:B,2,FALSE)</f>
        <v>1</v>
      </c>
      <c r="G833">
        <f>IF(PREVIOS!AG833=1,1,VLOOKUP(PREVIOS!AG833,CALIFICACION!A:C,3,FALSE))</f>
        <v>1</v>
      </c>
      <c r="H833" s="1" t="s">
        <v>534</v>
      </c>
      <c r="I833" s="1" t="s">
        <v>534</v>
      </c>
      <c r="J833">
        <f>VLOOKUP(PREVIOS!F833&amp;VLOOKUP(PREVIOS!I833,PLAN!A:B,2,FALSE),CURSO!A:D,4,FALSE)</f>
        <v>21</v>
      </c>
      <c r="K833">
        <f>VLOOKUP(PREVIOS!H833,CICLO!A:B,2,FALSE)</f>
        <v>54</v>
      </c>
      <c r="L833">
        <f>VLOOKUP(PREVIOS!I833,PLAN!A:B,2,FALSE)</f>
        <v>6</v>
      </c>
    </row>
    <row r="834" spans="1:12" x14ac:dyDescent="0.25">
      <c r="A834" t="str">
        <f t="shared" si="12"/>
        <v>A82M273C1</v>
      </c>
      <c r="C834">
        <v>833</v>
      </c>
      <c r="D834">
        <f>VLOOKUP(PREVIOS!C834,ALUMNOS!A:B,2,FALSE)</f>
        <v>82</v>
      </c>
      <c r="E834">
        <f>VLOOKUP(PREVIOS!E834&amp;'TABLA PREVIOS'!J834,MATERIAS!A:H,7,FALSE)</f>
        <v>273</v>
      </c>
      <c r="F834">
        <f>VLOOKUP(PREVIOS!G834,CONDICION!A:B,2,FALSE)</f>
        <v>1</v>
      </c>
      <c r="G834">
        <f>IF(PREVIOS!AG834=1,1,VLOOKUP(PREVIOS!AG834,CALIFICACION!A:C,3,FALSE))</f>
        <v>1</v>
      </c>
      <c r="H834" s="1" t="s">
        <v>534</v>
      </c>
      <c r="I834" s="1" t="s">
        <v>534</v>
      </c>
      <c r="J834">
        <f>VLOOKUP(PREVIOS!F834&amp;VLOOKUP(PREVIOS!I834,PLAN!A:B,2,FALSE),CURSO!A:D,4,FALSE)</f>
        <v>21</v>
      </c>
      <c r="K834">
        <f>VLOOKUP(PREVIOS!H834,CICLO!A:B,2,FALSE)</f>
        <v>54</v>
      </c>
      <c r="L834">
        <f>VLOOKUP(PREVIOS!I834,PLAN!A:B,2,FALSE)</f>
        <v>6</v>
      </c>
    </row>
    <row r="835" spans="1:12" x14ac:dyDescent="0.25">
      <c r="A835" t="str">
        <f t="shared" ref="A835:A898" si="13">"A"&amp;D835&amp;"M"&amp;E835&amp;"C"&amp;F835</f>
        <v>A82M287C1</v>
      </c>
      <c r="C835">
        <v>834</v>
      </c>
      <c r="D835">
        <f>VLOOKUP(PREVIOS!C835,ALUMNOS!A:B,2,FALSE)</f>
        <v>82</v>
      </c>
      <c r="E835">
        <f>VLOOKUP(PREVIOS!E835&amp;'TABLA PREVIOS'!J835,MATERIAS!A:H,7,FALSE)</f>
        <v>287</v>
      </c>
      <c r="F835">
        <f>VLOOKUP(PREVIOS!G835,CONDICION!A:B,2,FALSE)</f>
        <v>1</v>
      </c>
      <c r="G835">
        <f>IF(PREVIOS!AG835=1,1,VLOOKUP(PREVIOS!AG835,CALIFICACION!A:C,3,FALSE))</f>
        <v>1</v>
      </c>
      <c r="H835" s="1" t="s">
        <v>534</v>
      </c>
      <c r="I835" s="1" t="s">
        <v>534</v>
      </c>
      <c r="J835">
        <f>VLOOKUP(PREVIOS!F835&amp;VLOOKUP(PREVIOS!I835,PLAN!A:B,2,FALSE),CURSO!A:D,4,FALSE)</f>
        <v>22</v>
      </c>
      <c r="K835">
        <f>VLOOKUP(PREVIOS!H835,CICLO!A:B,2,FALSE)</f>
        <v>55</v>
      </c>
      <c r="L835">
        <f>VLOOKUP(PREVIOS!I835,PLAN!A:B,2,FALSE)</f>
        <v>6</v>
      </c>
    </row>
    <row r="836" spans="1:12" x14ac:dyDescent="0.25">
      <c r="A836" t="str">
        <f t="shared" si="13"/>
        <v>A82M286C1</v>
      </c>
      <c r="C836">
        <v>835</v>
      </c>
      <c r="D836">
        <f>VLOOKUP(PREVIOS!C836,ALUMNOS!A:B,2,FALSE)</f>
        <v>82</v>
      </c>
      <c r="E836">
        <f>VLOOKUP(PREVIOS!E836&amp;'TABLA PREVIOS'!J836,MATERIAS!A:H,7,FALSE)</f>
        <v>286</v>
      </c>
      <c r="F836">
        <f>VLOOKUP(PREVIOS!G836,CONDICION!A:B,2,FALSE)</f>
        <v>1</v>
      </c>
      <c r="G836">
        <f>IF(PREVIOS!AG836=1,1,VLOOKUP(PREVIOS!AG836,CALIFICACION!A:C,3,FALSE))</f>
        <v>1</v>
      </c>
      <c r="H836" s="1" t="s">
        <v>534</v>
      </c>
      <c r="I836" s="1" t="s">
        <v>534</v>
      </c>
      <c r="J836">
        <f>VLOOKUP(PREVIOS!F836&amp;VLOOKUP(PREVIOS!I836,PLAN!A:B,2,FALSE),CURSO!A:D,4,FALSE)</f>
        <v>22</v>
      </c>
      <c r="K836">
        <f>VLOOKUP(PREVIOS!H836,CICLO!A:B,2,FALSE)</f>
        <v>55</v>
      </c>
      <c r="L836">
        <f>VLOOKUP(PREVIOS!I836,PLAN!A:B,2,FALSE)</f>
        <v>6</v>
      </c>
    </row>
    <row r="837" spans="1:12" x14ac:dyDescent="0.25">
      <c r="A837" t="str">
        <f t="shared" si="13"/>
        <v>A82M278C1</v>
      </c>
      <c r="C837">
        <v>836</v>
      </c>
      <c r="D837">
        <f>VLOOKUP(PREVIOS!C837,ALUMNOS!A:B,2,FALSE)</f>
        <v>82</v>
      </c>
      <c r="E837">
        <f>VLOOKUP(PREVIOS!E837&amp;'TABLA PREVIOS'!J837,MATERIAS!A:H,7,FALSE)</f>
        <v>278</v>
      </c>
      <c r="F837">
        <f>VLOOKUP(PREVIOS!G837,CONDICION!A:B,2,FALSE)</f>
        <v>1</v>
      </c>
      <c r="G837">
        <f>IF(PREVIOS!AG837=1,1,VLOOKUP(PREVIOS!AG837,CALIFICACION!A:C,3,FALSE))</f>
        <v>1</v>
      </c>
      <c r="H837" s="1" t="s">
        <v>534</v>
      </c>
      <c r="I837" s="1" t="s">
        <v>534</v>
      </c>
      <c r="J837">
        <f>VLOOKUP(PREVIOS!F837&amp;VLOOKUP(PREVIOS!I837,PLAN!A:B,2,FALSE),CURSO!A:D,4,FALSE)</f>
        <v>22</v>
      </c>
      <c r="K837">
        <f>VLOOKUP(PREVIOS!H837,CICLO!A:B,2,FALSE)</f>
        <v>55</v>
      </c>
      <c r="L837">
        <f>VLOOKUP(PREVIOS!I837,PLAN!A:B,2,FALSE)</f>
        <v>6</v>
      </c>
    </row>
    <row r="838" spans="1:12" x14ac:dyDescent="0.25">
      <c r="A838" t="str">
        <f t="shared" si="13"/>
        <v>A82M292C1</v>
      </c>
      <c r="C838">
        <v>837</v>
      </c>
      <c r="D838">
        <f>VLOOKUP(PREVIOS!C838,ALUMNOS!A:B,2,FALSE)</f>
        <v>82</v>
      </c>
      <c r="E838">
        <f>VLOOKUP(PREVIOS!E838&amp;'TABLA PREVIOS'!J838,MATERIAS!A:H,7,FALSE)</f>
        <v>292</v>
      </c>
      <c r="F838">
        <f>VLOOKUP(PREVIOS!G838,CONDICION!A:B,2,FALSE)</f>
        <v>1</v>
      </c>
      <c r="G838">
        <f>IF(PREVIOS!AG838=1,1,VLOOKUP(PREVIOS!AG838,CALIFICACION!A:C,3,FALSE))</f>
        <v>1</v>
      </c>
      <c r="H838" s="1" t="s">
        <v>534</v>
      </c>
      <c r="I838" s="1" t="s">
        <v>534</v>
      </c>
      <c r="J838">
        <f>VLOOKUP(PREVIOS!F838&amp;VLOOKUP(PREVIOS!I838,PLAN!A:B,2,FALSE),CURSO!A:D,4,FALSE)</f>
        <v>22</v>
      </c>
      <c r="K838">
        <f>VLOOKUP(PREVIOS!H838,CICLO!A:B,2,FALSE)</f>
        <v>55</v>
      </c>
      <c r="L838">
        <f>VLOOKUP(PREVIOS!I838,PLAN!A:B,2,FALSE)</f>
        <v>6</v>
      </c>
    </row>
    <row r="839" spans="1:12" x14ac:dyDescent="0.25">
      <c r="A839" t="str">
        <f t="shared" si="13"/>
        <v>A82M291C1</v>
      </c>
      <c r="C839">
        <v>838</v>
      </c>
      <c r="D839">
        <f>VLOOKUP(PREVIOS!C839,ALUMNOS!A:B,2,FALSE)</f>
        <v>82</v>
      </c>
      <c r="E839">
        <f>VLOOKUP(PREVIOS!E839&amp;'TABLA PREVIOS'!J839,MATERIAS!A:H,7,FALSE)</f>
        <v>291</v>
      </c>
      <c r="F839">
        <f>VLOOKUP(PREVIOS!G839,CONDICION!A:B,2,FALSE)</f>
        <v>1</v>
      </c>
      <c r="G839">
        <f>IF(PREVIOS!AG839=1,1,VLOOKUP(PREVIOS!AG839,CALIFICACION!A:C,3,FALSE))</f>
        <v>1</v>
      </c>
      <c r="H839" s="1" t="s">
        <v>534</v>
      </c>
      <c r="I839" s="1" t="s">
        <v>534</v>
      </c>
      <c r="J839">
        <f>VLOOKUP(PREVIOS!F839&amp;VLOOKUP(PREVIOS!I839,PLAN!A:B,2,FALSE),CURSO!A:D,4,FALSE)</f>
        <v>22</v>
      </c>
      <c r="K839">
        <f>VLOOKUP(PREVIOS!H839,CICLO!A:B,2,FALSE)</f>
        <v>55</v>
      </c>
      <c r="L839">
        <f>VLOOKUP(PREVIOS!I839,PLAN!A:B,2,FALSE)</f>
        <v>6</v>
      </c>
    </row>
    <row r="840" spans="1:12" x14ac:dyDescent="0.25">
      <c r="A840" t="str">
        <f t="shared" si="13"/>
        <v>A82M282C1</v>
      </c>
      <c r="C840">
        <v>839</v>
      </c>
      <c r="D840">
        <f>VLOOKUP(PREVIOS!C840,ALUMNOS!A:B,2,FALSE)</f>
        <v>82</v>
      </c>
      <c r="E840">
        <f>VLOOKUP(PREVIOS!E840&amp;'TABLA PREVIOS'!J840,MATERIAS!A:H,7,FALSE)</f>
        <v>282</v>
      </c>
      <c r="F840">
        <f>VLOOKUP(PREVIOS!G840,CONDICION!A:B,2,FALSE)</f>
        <v>1</v>
      </c>
      <c r="G840">
        <f>IF(PREVIOS!AG840=1,1,VLOOKUP(PREVIOS!AG840,CALIFICACION!A:C,3,FALSE))</f>
        <v>1</v>
      </c>
      <c r="H840" s="1" t="s">
        <v>534</v>
      </c>
      <c r="I840" s="1" t="s">
        <v>534</v>
      </c>
      <c r="J840">
        <f>VLOOKUP(PREVIOS!F840&amp;VLOOKUP(PREVIOS!I840,PLAN!A:B,2,FALSE),CURSO!A:D,4,FALSE)</f>
        <v>22</v>
      </c>
      <c r="K840">
        <f>VLOOKUP(PREVIOS!H840,CICLO!A:B,2,FALSE)</f>
        <v>55</v>
      </c>
      <c r="L840">
        <f>VLOOKUP(PREVIOS!I840,PLAN!A:B,2,FALSE)</f>
        <v>6</v>
      </c>
    </row>
    <row r="841" spans="1:12" x14ac:dyDescent="0.25">
      <c r="A841" t="str">
        <f t="shared" si="13"/>
        <v>A82M280C1</v>
      </c>
      <c r="C841">
        <v>840</v>
      </c>
      <c r="D841">
        <f>VLOOKUP(PREVIOS!C841,ALUMNOS!A:B,2,FALSE)</f>
        <v>82</v>
      </c>
      <c r="E841">
        <f>VLOOKUP(PREVIOS!E841&amp;'TABLA PREVIOS'!J841,MATERIAS!A:H,7,FALSE)</f>
        <v>280</v>
      </c>
      <c r="F841">
        <f>VLOOKUP(PREVIOS!G841,CONDICION!A:B,2,FALSE)</f>
        <v>1</v>
      </c>
      <c r="G841">
        <f>IF(PREVIOS!AG841=1,1,VLOOKUP(PREVIOS!AG841,CALIFICACION!A:C,3,FALSE))</f>
        <v>1</v>
      </c>
      <c r="H841" s="1" t="s">
        <v>534</v>
      </c>
      <c r="I841" s="1" t="s">
        <v>534</v>
      </c>
      <c r="J841">
        <f>VLOOKUP(PREVIOS!F841&amp;VLOOKUP(PREVIOS!I841,PLAN!A:B,2,FALSE),CURSO!A:D,4,FALSE)</f>
        <v>22</v>
      </c>
      <c r="K841">
        <f>VLOOKUP(PREVIOS!H841,CICLO!A:B,2,FALSE)</f>
        <v>55</v>
      </c>
      <c r="L841">
        <f>VLOOKUP(PREVIOS!I841,PLAN!A:B,2,FALSE)</f>
        <v>6</v>
      </c>
    </row>
    <row r="842" spans="1:12" x14ac:dyDescent="0.25">
      <c r="A842" t="str">
        <f t="shared" si="13"/>
        <v>A82M288C1</v>
      </c>
      <c r="C842">
        <v>841</v>
      </c>
      <c r="D842">
        <f>VLOOKUP(PREVIOS!C842,ALUMNOS!A:B,2,FALSE)</f>
        <v>82</v>
      </c>
      <c r="E842">
        <f>VLOOKUP(PREVIOS!E842&amp;'TABLA PREVIOS'!J842,MATERIAS!A:H,7,FALSE)</f>
        <v>288</v>
      </c>
      <c r="F842">
        <f>VLOOKUP(PREVIOS!G842,CONDICION!A:B,2,FALSE)</f>
        <v>1</v>
      </c>
      <c r="G842">
        <f>IF(PREVIOS!AG842=1,1,VLOOKUP(PREVIOS!AG842,CALIFICACION!A:C,3,FALSE))</f>
        <v>1</v>
      </c>
      <c r="H842" s="1" t="s">
        <v>534</v>
      </c>
      <c r="I842" s="1" t="s">
        <v>534</v>
      </c>
      <c r="J842">
        <f>VLOOKUP(PREVIOS!F842&amp;VLOOKUP(PREVIOS!I842,PLAN!A:B,2,FALSE),CURSO!A:D,4,FALSE)</f>
        <v>22</v>
      </c>
      <c r="K842">
        <f>VLOOKUP(PREVIOS!H842,CICLO!A:B,2,FALSE)</f>
        <v>55</v>
      </c>
      <c r="L842">
        <f>VLOOKUP(PREVIOS!I842,PLAN!A:B,2,FALSE)</f>
        <v>6</v>
      </c>
    </row>
    <row r="843" spans="1:12" x14ac:dyDescent="0.25">
      <c r="A843" t="str">
        <f t="shared" si="13"/>
        <v>A82M290C1</v>
      </c>
      <c r="C843">
        <v>842</v>
      </c>
      <c r="D843">
        <f>VLOOKUP(PREVIOS!C843,ALUMNOS!A:B,2,FALSE)</f>
        <v>82</v>
      </c>
      <c r="E843">
        <f>VLOOKUP(PREVIOS!E843&amp;'TABLA PREVIOS'!J843,MATERIAS!A:H,7,FALSE)</f>
        <v>290</v>
      </c>
      <c r="F843">
        <f>VLOOKUP(PREVIOS!G843,CONDICION!A:B,2,FALSE)</f>
        <v>1</v>
      </c>
      <c r="G843">
        <f>IF(PREVIOS!AG843=1,1,VLOOKUP(PREVIOS!AG843,CALIFICACION!A:C,3,FALSE))</f>
        <v>1</v>
      </c>
      <c r="H843" s="1" t="s">
        <v>534</v>
      </c>
      <c r="I843" s="1" t="s">
        <v>534</v>
      </c>
      <c r="J843">
        <f>VLOOKUP(PREVIOS!F843&amp;VLOOKUP(PREVIOS!I843,PLAN!A:B,2,FALSE),CURSO!A:D,4,FALSE)</f>
        <v>22</v>
      </c>
      <c r="K843">
        <f>VLOOKUP(PREVIOS!H843,CICLO!A:B,2,FALSE)</f>
        <v>55</v>
      </c>
      <c r="L843">
        <f>VLOOKUP(PREVIOS!I843,PLAN!A:B,2,FALSE)</f>
        <v>6</v>
      </c>
    </row>
    <row r="844" spans="1:12" x14ac:dyDescent="0.25">
      <c r="A844" t="str">
        <f t="shared" si="13"/>
        <v>A90M243C1</v>
      </c>
      <c r="C844">
        <v>843</v>
      </c>
      <c r="D844">
        <f>VLOOKUP(PREVIOS!C844,ALUMNOS!A:B,2,FALSE)</f>
        <v>90</v>
      </c>
      <c r="E844">
        <f>VLOOKUP(PREVIOS!E844&amp;'TABLA PREVIOS'!J844,MATERIAS!A:H,7,FALSE)</f>
        <v>243</v>
      </c>
      <c r="F844">
        <f>VLOOKUP(PREVIOS!G844,CONDICION!A:B,2,FALSE)</f>
        <v>1</v>
      </c>
      <c r="G844">
        <f>IF(PREVIOS!AG844=1,1,VLOOKUP(PREVIOS!AG844,CALIFICACION!A:C,3,FALSE))</f>
        <v>1</v>
      </c>
      <c r="H844" s="1" t="s">
        <v>534</v>
      </c>
      <c r="I844" s="1" t="s">
        <v>534</v>
      </c>
      <c r="J844">
        <f>VLOOKUP(PREVIOS!F844&amp;VLOOKUP(PREVIOS!I844,PLAN!A:B,2,FALSE),CURSO!A:D,4,FALSE)</f>
        <v>19</v>
      </c>
      <c r="K844">
        <f>VLOOKUP(PREVIOS!H844,CICLO!A:B,2,FALSE)</f>
        <v>52</v>
      </c>
      <c r="L844">
        <f>VLOOKUP(PREVIOS!I844,PLAN!A:B,2,FALSE)</f>
        <v>5</v>
      </c>
    </row>
    <row r="845" spans="1:12" x14ac:dyDescent="0.25">
      <c r="A845" t="str">
        <f t="shared" si="13"/>
        <v>A90M245C1</v>
      </c>
      <c r="C845">
        <v>844</v>
      </c>
      <c r="D845">
        <f>VLOOKUP(PREVIOS!C845,ALUMNOS!A:B,2,FALSE)</f>
        <v>90</v>
      </c>
      <c r="E845">
        <f>VLOOKUP(PREVIOS!E845&amp;'TABLA PREVIOS'!J845,MATERIAS!A:H,7,FALSE)</f>
        <v>245</v>
      </c>
      <c r="F845">
        <f>VLOOKUP(PREVIOS!G845,CONDICION!A:B,2,FALSE)</f>
        <v>1</v>
      </c>
      <c r="G845">
        <f>IF(PREVIOS!AG845=1,1,VLOOKUP(PREVIOS!AG845,CALIFICACION!A:C,3,FALSE))</f>
        <v>1</v>
      </c>
      <c r="H845" s="1" t="s">
        <v>534</v>
      </c>
      <c r="I845" s="1" t="s">
        <v>534</v>
      </c>
      <c r="J845">
        <f>VLOOKUP(PREVIOS!F845&amp;VLOOKUP(PREVIOS!I845,PLAN!A:B,2,FALSE),CURSO!A:D,4,FALSE)</f>
        <v>19</v>
      </c>
      <c r="K845">
        <f>VLOOKUP(PREVIOS!H845,CICLO!A:B,2,FALSE)</f>
        <v>52</v>
      </c>
      <c r="L845">
        <f>VLOOKUP(PREVIOS!I845,PLAN!A:B,2,FALSE)</f>
        <v>5</v>
      </c>
    </row>
    <row r="846" spans="1:12" x14ac:dyDescent="0.25">
      <c r="A846" t="str">
        <f t="shared" si="13"/>
        <v>A90M240C1</v>
      </c>
      <c r="C846">
        <v>845</v>
      </c>
      <c r="D846">
        <f>VLOOKUP(PREVIOS!C846,ALUMNOS!A:B,2,FALSE)</f>
        <v>90</v>
      </c>
      <c r="E846">
        <f>VLOOKUP(PREVIOS!E846&amp;'TABLA PREVIOS'!J846,MATERIAS!A:H,7,FALSE)</f>
        <v>240</v>
      </c>
      <c r="F846">
        <f>VLOOKUP(PREVIOS!G846,CONDICION!A:B,2,FALSE)</f>
        <v>1</v>
      </c>
      <c r="G846">
        <f>IF(PREVIOS!AG846=1,1,VLOOKUP(PREVIOS!AG846,CALIFICACION!A:C,3,FALSE))</f>
        <v>1</v>
      </c>
      <c r="H846" s="1" t="s">
        <v>534</v>
      </c>
      <c r="I846" s="1" t="s">
        <v>534</v>
      </c>
      <c r="J846">
        <f>VLOOKUP(PREVIOS!F846&amp;VLOOKUP(PREVIOS!I846,PLAN!A:B,2,FALSE),CURSO!A:D,4,FALSE)</f>
        <v>19</v>
      </c>
      <c r="K846">
        <f>VLOOKUP(PREVIOS!H846,CICLO!A:B,2,FALSE)</f>
        <v>52</v>
      </c>
      <c r="L846">
        <f>VLOOKUP(PREVIOS!I846,PLAN!A:B,2,FALSE)</f>
        <v>5</v>
      </c>
    </row>
    <row r="847" spans="1:12" x14ac:dyDescent="0.25">
      <c r="A847" t="str">
        <f t="shared" si="13"/>
        <v>A90M284C1</v>
      </c>
      <c r="C847">
        <v>846</v>
      </c>
      <c r="D847">
        <f>VLOOKUP(PREVIOS!C847,ALUMNOS!A:B,2,FALSE)</f>
        <v>90</v>
      </c>
      <c r="E847">
        <f>VLOOKUP(PREVIOS!E847&amp;'TABLA PREVIOS'!J847,MATERIAS!A:H,7,FALSE)</f>
        <v>284</v>
      </c>
      <c r="F847">
        <f>VLOOKUP(PREVIOS!G847,CONDICION!A:B,2,FALSE)</f>
        <v>1</v>
      </c>
      <c r="G847">
        <f>IF(PREVIOS!AG847=1,1,VLOOKUP(PREVIOS!AG847,CALIFICACION!A:C,3,FALSE))</f>
        <v>1</v>
      </c>
      <c r="H847" s="1" t="s">
        <v>534</v>
      </c>
      <c r="I847" s="1" t="s">
        <v>534</v>
      </c>
      <c r="J847">
        <f>VLOOKUP(PREVIOS!F847&amp;VLOOKUP(PREVIOS!I847,PLAN!A:B,2,FALSE),CURSO!A:D,4,FALSE)</f>
        <v>22</v>
      </c>
      <c r="K847">
        <f>VLOOKUP(PREVIOS!H847,CICLO!A:B,2,FALSE)</f>
        <v>55</v>
      </c>
      <c r="L847">
        <f>VLOOKUP(PREVIOS!I847,PLAN!A:B,2,FALSE)</f>
        <v>6</v>
      </c>
    </row>
    <row r="848" spans="1:12" x14ac:dyDescent="0.25">
      <c r="A848" t="str">
        <f t="shared" si="13"/>
        <v>A90M287C1</v>
      </c>
      <c r="C848">
        <v>847</v>
      </c>
      <c r="D848">
        <f>VLOOKUP(PREVIOS!C848,ALUMNOS!A:B,2,FALSE)</f>
        <v>90</v>
      </c>
      <c r="E848">
        <f>VLOOKUP(PREVIOS!E848&amp;'TABLA PREVIOS'!J848,MATERIAS!A:H,7,FALSE)</f>
        <v>287</v>
      </c>
      <c r="F848">
        <f>VLOOKUP(PREVIOS!G848,CONDICION!A:B,2,FALSE)</f>
        <v>1</v>
      </c>
      <c r="G848">
        <f>IF(PREVIOS!AG848=1,1,VLOOKUP(PREVIOS!AG848,CALIFICACION!A:C,3,FALSE))</f>
        <v>1</v>
      </c>
      <c r="H848" s="1" t="s">
        <v>534</v>
      </c>
      <c r="I848" s="1" t="s">
        <v>534</v>
      </c>
      <c r="J848">
        <f>VLOOKUP(PREVIOS!F848&amp;VLOOKUP(PREVIOS!I848,PLAN!A:B,2,FALSE),CURSO!A:D,4,FALSE)</f>
        <v>22</v>
      </c>
      <c r="K848">
        <f>VLOOKUP(PREVIOS!H848,CICLO!A:B,2,FALSE)</f>
        <v>55</v>
      </c>
      <c r="L848">
        <f>VLOOKUP(PREVIOS!I848,PLAN!A:B,2,FALSE)</f>
        <v>6</v>
      </c>
    </row>
    <row r="849" spans="1:12" x14ac:dyDescent="0.25">
      <c r="A849" t="str">
        <f t="shared" si="13"/>
        <v>A90M286C1</v>
      </c>
      <c r="C849">
        <v>848</v>
      </c>
      <c r="D849">
        <f>VLOOKUP(PREVIOS!C849,ALUMNOS!A:B,2,FALSE)</f>
        <v>90</v>
      </c>
      <c r="E849">
        <f>VLOOKUP(PREVIOS!E849&amp;'TABLA PREVIOS'!J849,MATERIAS!A:H,7,FALSE)</f>
        <v>286</v>
      </c>
      <c r="F849">
        <f>VLOOKUP(PREVIOS!G849,CONDICION!A:B,2,FALSE)</f>
        <v>1</v>
      </c>
      <c r="G849">
        <f>IF(PREVIOS!AG849=1,1,VLOOKUP(PREVIOS!AG849,CALIFICACION!A:C,3,FALSE))</f>
        <v>1</v>
      </c>
      <c r="H849" s="1" t="s">
        <v>534</v>
      </c>
      <c r="I849" s="1" t="s">
        <v>534</v>
      </c>
      <c r="J849">
        <f>VLOOKUP(PREVIOS!F849&amp;VLOOKUP(PREVIOS!I849,PLAN!A:B,2,FALSE),CURSO!A:D,4,FALSE)</f>
        <v>22</v>
      </c>
      <c r="K849">
        <f>VLOOKUP(PREVIOS!H849,CICLO!A:B,2,FALSE)</f>
        <v>55</v>
      </c>
      <c r="L849">
        <f>VLOOKUP(PREVIOS!I849,PLAN!A:B,2,FALSE)</f>
        <v>6</v>
      </c>
    </row>
    <row r="850" spans="1:12" x14ac:dyDescent="0.25">
      <c r="A850" t="str">
        <f t="shared" si="13"/>
        <v>A90M292C1</v>
      </c>
      <c r="C850">
        <v>849</v>
      </c>
      <c r="D850">
        <f>VLOOKUP(PREVIOS!C850,ALUMNOS!A:B,2,FALSE)</f>
        <v>90</v>
      </c>
      <c r="E850">
        <f>VLOOKUP(PREVIOS!E850&amp;'TABLA PREVIOS'!J850,MATERIAS!A:H,7,FALSE)</f>
        <v>292</v>
      </c>
      <c r="F850">
        <f>VLOOKUP(PREVIOS!G850,CONDICION!A:B,2,FALSE)</f>
        <v>1</v>
      </c>
      <c r="G850">
        <f>IF(PREVIOS!AG850=1,1,VLOOKUP(PREVIOS!AG850,CALIFICACION!A:C,3,FALSE))</f>
        <v>1</v>
      </c>
      <c r="H850" s="1" t="s">
        <v>534</v>
      </c>
      <c r="I850" s="1" t="s">
        <v>534</v>
      </c>
      <c r="J850">
        <f>VLOOKUP(PREVIOS!F850&amp;VLOOKUP(PREVIOS!I850,PLAN!A:B,2,FALSE),CURSO!A:D,4,FALSE)</f>
        <v>22</v>
      </c>
      <c r="K850">
        <f>VLOOKUP(PREVIOS!H850,CICLO!A:B,2,FALSE)</f>
        <v>55</v>
      </c>
      <c r="L850">
        <f>VLOOKUP(PREVIOS!I850,PLAN!A:B,2,FALSE)</f>
        <v>6</v>
      </c>
    </row>
    <row r="851" spans="1:12" x14ac:dyDescent="0.25">
      <c r="A851" t="str">
        <f t="shared" si="13"/>
        <v>A90M279C1</v>
      </c>
      <c r="C851">
        <v>850</v>
      </c>
      <c r="D851">
        <f>VLOOKUP(PREVIOS!C851,ALUMNOS!A:B,2,FALSE)</f>
        <v>90</v>
      </c>
      <c r="E851">
        <f>VLOOKUP(PREVIOS!E851&amp;'TABLA PREVIOS'!J851,MATERIAS!A:H,7,FALSE)</f>
        <v>279</v>
      </c>
      <c r="F851">
        <f>VLOOKUP(PREVIOS!G851,CONDICION!A:B,2,FALSE)</f>
        <v>1</v>
      </c>
      <c r="G851">
        <f>IF(PREVIOS!AG851=1,1,VLOOKUP(PREVIOS!AG851,CALIFICACION!A:C,3,FALSE))</f>
        <v>1</v>
      </c>
      <c r="H851" s="1" t="s">
        <v>534</v>
      </c>
      <c r="I851" s="1" t="s">
        <v>534</v>
      </c>
      <c r="J851">
        <f>VLOOKUP(PREVIOS!F851&amp;VLOOKUP(PREVIOS!I851,PLAN!A:B,2,FALSE),CURSO!A:D,4,FALSE)</f>
        <v>22</v>
      </c>
      <c r="K851">
        <f>VLOOKUP(PREVIOS!H851,CICLO!A:B,2,FALSE)</f>
        <v>55</v>
      </c>
      <c r="L851">
        <f>VLOOKUP(PREVIOS!I851,PLAN!A:B,2,FALSE)</f>
        <v>6</v>
      </c>
    </row>
    <row r="852" spans="1:12" x14ac:dyDescent="0.25">
      <c r="A852" t="str">
        <f t="shared" si="13"/>
        <v>A90M281C1</v>
      </c>
      <c r="C852">
        <v>851</v>
      </c>
      <c r="D852">
        <f>VLOOKUP(PREVIOS!C852,ALUMNOS!A:B,2,FALSE)</f>
        <v>90</v>
      </c>
      <c r="E852">
        <f>VLOOKUP(PREVIOS!E852&amp;'TABLA PREVIOS'!J852,MATERIAS!A:H,7,FALSE)</f>
        <v>281</v>
      </c>
      <c r="F852">
        <f>VLOOKUP(PREVIOS!G852,CONDICION!A:B,2,FALSE)</f>
        <v>1</v>
      </c>
      <c r="G852">
        <f>IF(PREVIOS!AG852=1,1,VLOOKUP(PREVIOS!AG852,CALIFICACION!A:C,3,FALSE))</f>
        <v>1</v>
      </c>
      <c r="H852" s="1" t="s">
        <v>534</v>
      </c>
      <c r="I852" s="1" t="s">
        <v>534</v>
      </c>
      <c r="J852">
        <f>VLOOKUP(PREVIOS!F852&amp;VLOOKUP(PREVIOS!I852,PLAN!A:B,2,FALSE),CURSO!A:D,4,FALSE)</f>
        <v>22</v>
      </c>
      <c r="K852">
        <f>VLOOKUP(PREVIOS!H852,CICLO!A:B,2,FALSE)</f>
        <v>55</v>
      </c>
      <c r="L852">
        <f>VLOOKUP(PREVIOS!I852,PLAN!A:B,2,FALSE)</f>
        <v>6</v>
      </c>
    </row>
    <row r="853" spans="1:12" x14ac:dyDescent="0.25">
      <c r="A853" t="str">
        <f t="shared" si="13"/>
        <v>A90M288C1</v>
      </c>
      <c r="C853">
        <v>852</v>
      </c>
      <c r="D853">
        <f>VLOOKUP(PREVIOS!C853,ALUMNOS!A:B,2,FALSE)</f>
        <v>90</v>
      </c>
      <c r="E853">
        <f>VLOOKUP(PREVIOS!E853&amp;'TABLA PREVIOS'!J853,MATERIAS!A:H,7,FALSE)</f>
        <v>288</v>
      </c>
      <c r="F853">
        <f>VLOOKUP(PREVIOS!G853,CONDICION!A:B,2,FALSE)</f>
        <v>1</v>
      </c>
      <c r="G853">
        <f>IF(PREVIOS!AG853=1,1,VLOOKUP(PREVIOS!AG853,CALIFICACION!A:C,3,FALSE))</f>
        <v>1</v>
      </c>
      <c r="H853" s="1" t="s">
        <v>534</v>
      </c>
      <c r="I853" s="1" t="s">
        <v>534</v>
      </c>
      <c r="J853">
        <f>VLOOKUP(PREVIOS!F853&amp;VLOOKUP(PREVIOS!I853,PLAN!A:B,2,FALSE),CURSO!A:D,4,FALSE)</f>
        <v>22</v>
      </c>
      <c r="K853">
        <f>VLOOKUP(PREVIOS!H853,CICLO!A:B,2,FALSE)</f>
        <v>55</v>
      </c>
      <c r="L853">
        <f>VLOOKUP(PREVIOS!I853,PLAN!A:B,2,FALSE)</f>
        <v>6</v>
      </c>
    </row>
    <row r="854" spans="1:12" x14ac:dyDescent="0.25">
      <c r="A854" t="str">
        <f t="shared" si="13"/>
        <v>A90M290C1</v>
      </c>
      <c r="C854">
        <v>853</v>
      </c>
      <c r="D854">
        <f>VLOOKUP(PREVIOS!C854,ALUMNOS!A:B,2,FALSE)</f>
        <v>90</v>
      </c>
      <c r="E854">
        <f>VLOOKUP(PREVIOS!E854&amp;'TABLA PREVIOS'!J854,MATERIAS!A:H,7,FALSE)</f>
        <v>290</v>
      </c>
      <c r="F854">
        <f>VLOOKUP(PREVIOS!G854,CONDICION!A:B,2,FALSE)</f>
        <v>1</v>
      </c>
      <c r="G854">
        <f>IF(PREVIOS!AG854=1,1,VLOOKUP(PREVIOS!AG854,CALIFICACION!A:C,3,FALSE))</f>
        <v>1</v>
      </c>
      <c r="H854" s="1" t="s">
        <v>534</v>
      </c>
      <c r="I854" s="1" t="s">
        <v>534</v>
      </c>
      <c r="J854">
        <f>VLOOKUP(PREVIOS!F854&amp;VLOOKUP(PREVIOS!I854,PLAN!A:B,2,FALSE),CURSO!A:D,4,FALSE)</f>
        <v>22</v>
      </c>
      <c r="K854">
        <f>VLOOKUP(PREVIOS!H854,CICLO!A:B,2,FALSE)</f>
        <v>55</v>
      </c>
      <c r="L854">
        <f>VLOOKUP(PREVIOS!I854,PLAN!A:B,2,FALSE)</f>
        <v>6</v>
      </c>
    </row>
    <row r="855" spans="1:12" x14ac:dyDescent="0.25">
      <c r="A855" t="str">
        <f t="shared" si="13"/>
        <v>A128M274C1</v>
      </c>
      <c r="C855">
        <v>854</v>
      </c>
      <c r="D855">
        <f>VLOOKUP(PREVIOS!C855,ALUMNOS!A:B,2,FALSE)</f>
        <v>128</v>
      </c>
      <c r="E855">
        <f>VLOOKUP(PREVIOS!E855&amp;'TABLA PREVIOS'!J855,MATERIAS!A:H,7,FALSE)</f>
        <v>274</v>
      </c>
      <c r="F855">
        <f>VLOOKUP(PREVIOS!G855,CONDICION!A:B,2,FALSE)</f>
        <v>1</v>
      </c>
      <c r="G855">
        <f>IF(PREVIOS!AG855=1,1,VLOOKUP(PREVIOS!AG855,CALIFICACION!A:C,3,FALSE))</f>
        <v>1</v>
      </c>
      <c r="H855" s="1" t="s">
        <v>534</v>
      </c>
      <c r="I855" s="1" t="s">
        <v>534</v>
      </c>
      <c r="J855">
        <f>VLOOKUP(PREVIOS!F855&amp;VLOOKUP(PREVIOS!I855,PLAN!A:B,2,FALSE),CURSO!A:D,4,FALSE)</f>
        <v>21</v>
      </c>
      <c r="K855">
        <f>VLOOKUP(PREVIOS!H855,CICLO!A:B,2,FALSE)</f>
        <v>54</v>
      </c>
      <c r="L855">
        <f>VLOOKUP(PREVIOS!I855,PLAN!A:B,2,FALSE)</f>
        <v>6</v>
      </c>
    </row>
    <row r="856" spans="1:12" x14ac:dyDescent="0.25">
      <c r="A856" t="str">
        <f t="shared" si="13"/>
        <v>A128M277C1</v>
      </c>
      <c r="C856">
        <v>855</v>
      </c>
      <c r="D856">
        <f>VLOOKUP(PREVIOS!C856,ALUMNOS!A:B,2,FALSE)</f>
        <v>128</v>
      </c>
      <c r="E856">
        <f>VLOOKUP(PREVIOS!E856&amp;'TABLA PREVIOS'!J856,MATERIAS!A:H,7,FALSE)</f>
        <v>277</v>
      </c>
      <c r="F856">
        <f>VLOOKUP(PREVIOS!G856,CONDICION!A:B,2,FALSE)</f>
        <v>1</v>
      </c>
      <c r="G856">
        <f>IF(PREVIOS!AG856=1,1,VLOOKUP(PREVIOS!AG856,CALIFICACION!A:C,3,FALSE))</f>
        <v>1</v>
      </c>
      <c r="H856" s="1" t="s">
        <v>534</v>
      </c>
      <c r="I856" s="1" t="s">
        <v>534</v>
      </c>
      <c r="J856">
        <f>VLOOKUP(PREVIOS!F856&amp;VLOOKUP(PREVIOS!I856,PLAN!A:B,2,FALSE),CURSO!A:D,4,FALSE)</f>
        <v>21</v>
      </c>
      <c r="K856">
        <f>VLOOKUP(PREVIOS!H856,CICLO!A:B,2,FALSE)</f>
        <v>54</v>
      </c>
      <c r="L856">
        <f>VLOOKUP(PREVIOS!I856,PLAN!A:B,2,FALSE)</f>
        <v>6</v>
      </c>
    </row>
    <row r="857" spans="1:12" x14ac:dyDescent="0.25">
      <c r="A857" t="str">
        <f t="shared" si="13"/>
        <v>A128M276C1</v>
      </c>
      <c r="C857">
        <v>856</v>
      </c>
      <c r="D857">
        <f>VLOOKUP(PREVIOS!C857,ALUMNOS!A:B,2,FALSE)</f>
        <v>128</v>
      </c>
      <c r="E857">
        <f>VLOOKUP(PREVIOS!E857&amp;'TABLA PREVIOS'!J857,MATERIAS!A:H,7,FALSE)</f>
        <v>276</v>
      </c>
      <c r="F857">
        <f>VLOOKUP(PREVIOS!G857,CONDICION!A:B,2,FALSE)</f>
        <v>1</v>
      </c>
      <c r="G857">
        <f>IF(PREVIOS!AG857=1,1,VLOOKUP(PREVIOS!AG857,CALIFICACION!A:C,3,FALSE))</f>
        <v>1</v>
      </c>
      <c r="H857" s="1" t="s">
        <v>534</v>
      </c>
      <c r="I857" s="1" t="s">
        <v>534</v>
      </c>
      <c r="J857">
        <f>VLOOKUP(PREVIOS!F857&amp;VLOOKUP(PREVIOS!I857,PLAN!A:B,2,FALSE),CURSO!A:D,4,FALSE)</f>
        <v>21</v>
      </c>
      <c r="K857">
        <f>VLOOKUP(PREVIOS!H857,CICLO!A:B,2,FALSE)</f>
        <v>54</v>
      </c>
      <c r="L857">
        <f>VLOOKUP(PREVIOS!I857,PLAN!A:B,2,FALSE)</f>
        <v>6</v>
      </c>
    </row>
    <row r="858" spans="1:12" x14ac:dyDescent="0.25">
      <c r="A858" t="str">
        <f t="shared" si="13"/>
        <v>A128M275C1</v>
      </c>
      <c r="C858">
        <v>857</v>
      </c>
      <c r="D858">
        <f>VLOOKUP(PREVIOS!C858,ALUMNOS!A:B,2,FALSE)</f>
        <v>128</v>
      </c>
      <c r="E858">
        <f>VLOOKUP(PREVIOS!E858&amp;'TABLA PREVIOS'!J858,MATERIAS!A:H,7,FALSE)</f>
        <v>275</v>
      </c>
      <c r="F858">
        <f>VLOOKUP(PREVIOS!G858,CONDICION!A:B,2,FALSE)</f>
        <v>1</v>
      </c>
      <c r="G858">
        <f>IF(PREVIOS!AG858=1,1,VLOOKUP(PREVIOS!AG858,CALIFICACION!A:C,3,FALSE))</f>
        <v>1</v>
      </c>
      <c r="H858" s="1" t="s">
        <v>534</v>
      </c>
      <c r="I858" s="1" t="s">
        <v>534</v>
      </c>
      <c r="J858">
        <f>VLOOKUP(PREVIOS!F858&amp;VLOOKUP(PREVIOS!I858,PLAN!A:B,2,FALSE),CURSO!A:D,4,FALSE)</f>
        <v>21</v>
      </c>
      <c r="K858">
        <f>VLOOKUP(PREVIOS!H858,CICLO!A:B,2,FALSE)</f>
        <v>54</v>
      </c>
      <c r="L858">
        <f>VLOOKUP(PREVIOS!I858,PLAN!A:B,2,FALSE)</f>
        <v>6</v>
      </c>
    </row>
    <row r="859" spans="1:12" x14ac:dyDescent="0.25">
      <c r="A859" t="str">
        <f t="shared" si="13"/>
        <v>A128M273C1</v>
      </c>
      <c r="C859">
        <v>858</v>
      </c>
      <c r="D859">
        <f>VLOOKUP(PREVIOS!C859,ALUMNOS!A:B,2,FALSE)</f>
        <v>128</v>
      </c>
      <c r="E859">
        <f>VLOOKUP(PREVIOS!E859&amp;'TABLA PREVIOS'!J859,MATERIAS!A:H,7,FALSE)</f>
        <v>273</v>
      </c>
      <c r="F859">
        <f>VLOOKUP(PREVIOS!G859,CONDICION!A:B,2,FALSE)</f>
        <v>1</v>
      </c>
      <c r="G859">
        <f>IF(PREVIOS!AG859=1,1,VLOOKUP(PREVIOS!AG859,CALIFICACION!A:C,3,FALSE))</f>
        <v>1</v>
      </c>
      <c r="H859" s="1" t="s">
        <v>534</v>
      </c>
      <c r="I859" s="1" t="s">
        <v>534</v>
      </c>
      <c r="J859">
        <f>VLOOKUP(PREVIOS!F859&amp;VLOOKUP(PREVIOS!I859,PLAN!A:B,2,FALSE),CURSO!A:D,4,FALSE)</f>
        <v>21</v>
      </c>
      <c r="K859">
        <f>VLOOKUP(PREVIOS!H859,CICLO!A:B,2,FALSE)</f>
        <v>54</v>
      </c>
      <c r="L859">
        <f>VLOOKUP(PREVIOS!I859,PLAN!A:B,2,FALSE)</f>
        <v>6</v>
      </c>
    </row>
    <row r="860" spans="1:12" x14ac:dyDescent="0.25">
      <c r="A860" t="str">
        <f t="shared" si="13"/>
        <v>A128M289C1</v>
      </c>
      <c r="C860">
        <v>859</v>
      </c>
      <c r="D860">
        <f>VLOOKUP(PREVIOS!C860,ALUMNOS!A:B,2,FALSE)</f>
        <v>128</v>
      </c>
      <c r="E860">
        <f>VLOOKUP(PREVIOS!E860&amp;'TABLA PREVIOS'!J860,MATERIAS!A:H,7,FALSE)</f>
        <v>289</v>
      </c>
      <c r="F860">
        <f>VLOOKUP(PREVIOS!G860,CONDICION!A:B,2,FALSE)</f>
        <v>1</v>
      </c>
      <c r="G860">
        <f>IF(PREVIOS!AG860=1,1,VLOOKUP(PREVIOS!AG860,CALIFICACION!A:C,3,FALSE))</f>
        <v>1</v>
      </c>
      <c r="H860" s="1" t="s">
        <v>534</v>
      </c>
      <c r="I860" s="1" t="s">
        <v>534</v>
      </c>
      <c r="J860">
        <f>VLOOKUP(PREVIOS!F860&amp;VLOOKUP(PREVIOS!I860,PLAN!A:B,2,FALSE),CURSO!A:D,4,FALSE)</f>
        <v>22</v>
      </c>
      <c r="K860">
        <f>VLOOKUP(PREVIOS!H860,CICLO!A:B,2,FALSE)</f>
        <v>55</v>
      </c>
      <c r="L860">
        <f>VLOOKUP(PREVIOS!I860,PLAN!A:B,2,FALSE)</f>
        <v>6</v>
      </c>
    </row>
    <row r="861" spans="1:12" x14ac:dyDescent="0.25">
      <c r="A861" t="str">
        <f t="shared" si="13"/>
        <v>A128M292C1</v>
      </c>
      <c r="C861">
        <v>860</v>
      </c>
      <c r="D861">
        <f>VLOOKUP(PREVIOS!C861,ALUMNOS!A:B,2,FALSE)</f>
        <v>128</v>
      </c>
      <c r="E861">
        <f>VLOOKUP(PREVIOS!E861&amp;'TABLA PREVIOS'!J861,MATERIAS!A:H,7,FALSE)</f>
        <v>292</v>
      </c>
      <c r="F861">
        <f>VLOOKUP(PREVIOS!G861,CONDICION!A:B,2,FALSE)</f>
        <v>1</v>
      </c>
      <c r="G861">
        <f>IF(PREVIOS!AG861=1,1,VLOOKUP(PREVIOS!AG861,CALIFICACION!A:C,3,FALSE))</f>
        <v>1</v>
      </c>
      <c r="H861" s="1" t="s">
        <v>534</v>
      </c>
      <c r="I861" s="1" t="s">
        <v>534</v>
      </c>
      <c r="J861">
        <f>VLOOKUP(PREVIOS!F861&amp;VLOOKUP(PREVIOS!I861,PLAN!A:B,2,FALSE),CURSO!A:D,4,FALSE)</f>
        <v>22</v>
      </c>
      <c r="K861">
        <f>VLOOKUP(PREVIOS!H861,CICLO!A:B,2,FALSE)</f>
        <v>55</v>
      </c>
      <c r="L861">
        <f>VLOOKUP(PREVIOS!I861,PLAN!A:B,2,FALSE)</f>
        <v>6</v>
      </c>
    </row>
    <row r="862" spans="1:12" x14ac:dyDescent="0.25">
      <c r="A862" t="str">
        <f t="shared" si="13"/>
        <v>A128M291C1</v>
      </c>
      <c r="C862">
        <v>861</v>
      </c>
      <c r="D862">
        <f>VLOOKUP(PREVIOS!C862,ALUMNOS!A:B,2,FALSE)</f>
        <v>128</v>
      </c>
      <c r="E862">
        <f>VLOOKUP(PREVIOS!E862&amp;'TABLA PREVIOS'!J862,MATERIAS!A:H,7,FALSE)</f>
        <v>291</v>
      </c>
      <c r="F862">
        <f>VLOOKUP(PREVIOS!G862,CONDICION!A:B,2,FALSE)</f>
        <v>1</v>
      </c>
      <c r="G862">
        <f>IF(PREVIOS!AG862=1,1,VLOOKUP(PREVIOS!AG862,CALIFICACION!A:C,3,FALSE))</f>
        <v>1</v>
      </c>
      <c r="H862" s="1" t="s">
        <v>534</v>
      </c>
      <c r="I862" s="1" t="s">
        <v>534</v>
      </c>
      <c r="J862">
        <f>VLOOKUP(PREVIOS!F862&amp;VLOOKUP(PREVIOS!I862,PLAN!A:B,2,FALSE),CURSO!A:D,4,FALSE)</f>
        <v>22</v>
      </c>
      <c r="K862">
        <f>VLOOKUP(PREVIOS!H862,CICLO!A:B,2,FALSE)</f>
        <v>55</v>
      </c>
      <c r="L862">
        <f>VLOOKUP(PREVIOS!I862,PLAN!A:B,2,FALSE)</f>
        <v>6</v>
      </c>
    </row>
    <row r="863" spans="1:12" x14ac:dyDescent="0.25">
      <c r="A863" t="str">
        <f t="shared" si="13"/>
        <v>A130M244C1</v>
      </c>
      <c r="C863">
        <v>862</v>
      </c>
      <c r="D863">
        <f>VLOOKUP(PREVIOS!C863,ALUMNOS!A:B,2,FALSE)</f>
        <v>130</v>
      </c>
      <c r="E863">
        <f>VLOOKUP(PREVIOS!E863&amp;'TABLA PREVIOS'!J863,MATERIAS!A:H,7,FALSE)</f>
        <v>244</v>
      </c>
      <c r="F863">
        <f>VLOOKUP(PREVIOS!G863,CONDICION!A:B,2,FALSE)</f>
        <v>1</v>
      </c>
      <c r="G863">
        <f>IF(PREVIOS!AG863=1,1,VLOOKUP(PREVIOS!AG863,CALIFICACION!A:C,3,FALSE))</f>
        <v>1</v>
      </c>
      <c r="H863" s="1" t="s">
        <v>534</v>
      </c>
      <c r="I863" s="1" t="s">
        <v>534</v>
      </c>
      <c r="J863">
        <f>VLOOKUP(PREVIOS!F863&amp;VLOOKUP(PREVIOS!I863,PLAN!A:B,2,FALSE),CURSO!A:D,4,FALSE)</f>
        <v>19</v>
      </c>
      <c r="K863">
        <f>VLOOKUP(PREVIOS!H863,CICLO!A:B,2,FALSE)</f>
        <v>52</v>
      </c>
      <c r="L863">
        <f>VLOOKUP(PREVIOS!I863,PLAN!A:B,2,FALSE)</f>
        <v>5</v>
      </c>
    </row>
    <row r="864" spans="1:12" x14ac:dyDescent="0.25">
      <c r="A864" t="str">
        <f t="shared" si="13"/>
        <v>A130M252C1</v>
      </c>
      <c r="C864">
        <v>863</v>
      </c>
      <c r="D864">
        <f>VLOOKUP(PREVIOS!C864,ALUMNOS!A:B,2,FALSE)</f>
        <v>130</v>
      </c>
      <c r="E864">
        <f>VLOOKUP(PREVIOS!E864&amp;'TABLA PREVIOS'!J864,MATERIAS!A:H,7,FALSE)</f>
        <v>252</v>
      </c>
      <c r="F864">
        <f>VLOOKUP(PREVIOS!G864,CONDICION!A:B,2,FALSE)</f>
        <v>1</v>
      </c>
      <c r="G864">
        <f>IF(PREVIOS!AG864=1,1,VLOOKUP(PREVIOS!AG864,CALIFICACION!A:C,3,FALSE))</f>
        <v>1</v>
      </c>
      <c r="H864" s="1" t="s">
        <v>534</v>
      </c>
      <c r="I864" s="1" t="s">
        <v>534</v>
      </c>
      <c r="J864">
        <f>VLOOKUP(PREVIOS!F864&amp;VLOOKUP(PREVIOS!I864,PLAN!A:B,2,FALSE),CURSO!A:D,4,FALSE)</f>
        <v>20</v>
      </c>
      <c r="K864">
        <f>VLOOKUP(PREVIOS!H864,CICLO!A:B,2,FALSE)</f>
        <v>53</v>
      </c>
      <c r="L864">
        <f>VLOOKUP(PREVIOS!I864,PLAN!A:B,2,FALSE)</f>
        <v>6</v>
      </c>
    </row>
    <row r="865" spans="1:12" x14ac:dyDescent="0.25">
      <c r="A865" t="str">
        <f t="shared" si="13"/>
        <v>A130M265C1</v>
      </c>
      <c r="C865">
        <v>864</v>
      </c>
      <c r="D865">
        <f>VLOOKUP(PREVIOS!C865,ALUMNOS!A:B,2,FALSE)</f>
        <v>130</v>
      </c>
      <c r="E865">
        <f>VLOOKUP(PREVIOS!E865&amp;'TABLA PREVIOS'!J865,MATERIAS!A:H,7,FALSE)</f>
        <v>265</v>
      </c>
      <c r="F865">
        <f>VLOOKUP(PREVIOS!G865,CONDICION!A:B,2,FALSE)</f>
        <v>1</v>
      </c>
      <c r="G865">
        <f>IF(PREVIOS!AG865=1,1,VLOOKUP(PREVIOS!AG865,CALIFICACION!A:C,3,FALSE))</f>
        <v>1</v>
      </c>
      <c r="H865" s="1" t="s">
        <v>534</v>
      </c>
      <c r="I865" s="1" t="s">
        <v>534</v>
      </c>
      <c r="J865">
        <f>VLOOKUP(PREVIOS!F865&amp;VLOOKUP(PREVIOS!I865,PLAN!A:B,2,FALSE),CURSO!A:D,4,FALSE)</f>
        <v>21</v>
      </c>
      <c r="K865">
        <f>VLOOKUP(PREVIOS!H865,CICLO!A:B,2,FALSE)</f>
        <v>54</v>
      </c>
      <c r="L865">
        <f>VLOOKUP(PREVIOS!I865,PLAN!A:B,2,FALSE)</f>
        <v>6</v>
      </c>
    </row>
    <row r="866" spans="1:12" x14ac:dyDescent="0.25">
      <c r="A866" t="str">
        <f t="shared" si="13"/>
        <v>A130M285C1</v>
      </c>
      <c r="C866">
        <v>865</v>
      </c>
      <c r="D866">
        <f>VLOOKUP(PREVIOS!C866,ALUMNOS!A:B,2,FALSE)</f>
        <v>130</v>
      </c>
      <c r="E866">
        <f>VLOOKUP(PREVIOS!E866&amp;'TABLA PREVIOS'!J866,MATERIAS!A:H,7,FALSE)</f>
        <v>285</v>
      </c>
      <c r="F866">
        <f>VLOOKUP(PREVIOS!G866,CONDICION!A:B,2,FALSE)</f>
        <v>1</v>
      </c>
      <c r="G866">
        <f>IF(PREVIOS!AG866=1,1,VLOOKUP(PREVIOS!AG866,CALIFICACION!A:C,3,FALSE))</f>
        <v>1</v>
      </c>
      <c r="H866" s="1" t="s">
        <v>534</v>
      </c>
      <c r="I866" s="1" t="s">
        <v>534</v>
      </c>
      <c r="J866">
        <f>VLOOKUP(PREVIOS!F866&amp;VLOOKUP(PREVIOS!I866,PLAN!A:B,2,FALSE),CURSO!A:D,4,FALSE)</f>
        <v>22</v>
      </c>
      <c r="K866">
        <f>VLOOKUP(PREVIOS!H866,CICLO!A:B,2,FALSE)</f>
        <v>55</v>
      </c>
      <c r="L866">
        <f>VLOOKUP(PREVIOS!I866,PLAN!A:B,2,FALSE)</f>
        <v>6</v>
      </c>
    </row>
    <row r="867" spans="1:12" x14ac:dyDescent="0.25">
      <c r="A867" t="str">
        <f t="shared" si="13"/>
        <v>A130M284C1</v>
      </c>
      <c r="C867">
        <v>866</v>
      </c>
      <c r="D867">
        <f>VLOOKUP(PREVIOS!C867,ALUMNOS!A:B,2,FALSE)</f>
        <v>130</v>
      </c>
      <c r="E867">
        <f>VLOOKUP(PREVIOS!E867&amp;'TABLA PREVIOS'!J867,MATERIAS!A:H,7,FALSE)</f>
        <v>284</v>
      </c>
      <c r="F867">
        <f>VLOOKUP(PREVIOS!G867,CONDICION!A:B,2,FALSE)</f>
        <v>1</v>
      </c>
      <c r="G867">
        <f>IF(PREVIOS!AG867=1,1,VLOOKUP(PREVIOS!AG867,CALIFICACION!A:C,3,FALSE))</f>
        <v>1</v>
      </c>
      <c r="H867" s="1" t="s">
        <v>534</v>
      </c>
      <c r="I867" s="1" t="s">
        <v>534</v>
      </c>
      <c r="J867">
        <f>VLOOKUP(PREVIOS!F867&amp;VLOOKUP(PREVIOS!I867,PLAN!A:B,2,FALSE),CURSO!A:D,4,FALSE)</f>
        <v>22</v>
      </c>
      <c r="K867">
        <f>VLOOKUP(PREVIOS!H867,CICLO!A:B,2,FALSE)</f>
        <v>55</v>
      </c>
      <c r="L867">
        <f>VLOOKUP(PREVIOS!I867,PLAN!A:B,2,FALSE)</f>
        <v>6</v>
      </c>
    </row>
    <row r="868" spans="1:12" x14ac:dyDescent="0.25">
      <c r="A868" t="str">
        <f t="shared" si="13"/>
        <v>A130M287C1</v>
      </c>
      <c r="C868">
        <v>867</v>
      </c>
      <c r="D868">
        <f>VLOOKUP(PREVIOS!C868,ALUMNOS!A:B,2,FALSE)</f>
        <v>130</v>
      </c>
      <c r="E868">
        <f>VLOOKUP(PREVIOS!E868&amp;'TABLA PREVIOS'!J868,MATERIAS!A:H,7,FALSE)</f>
        <v>287</v>
      </c>
      <c r="F868">
        <f>VLOOKUP(PREVIOS!G868,CONDICION!A:B,2,FALSE)</f>
        <v>1</v>
      </c>
      <c r="G868">
        <f>IF(PREVIOS!AG868=1,1,VLOOKUP(PREVIOS!AG868,CALIFICACION!A:C,3,FALSE))</f>
        <v>1</v>
      </c>
      <c r="H868" s="1" t="s">
        <v>534</v>
      </c>
      <c r="I868" s="1" t="s">
        <v>534</v>
      </c>
      <c r="J868">
        <f>VLOOKUP(PREVIOS!F868&amp;VLOOKUP(PREVIOS!I868,PLAN!A:B,2,FALSE),CURSO!A:D,4,FALSE)</f>
        <v>22</v>
      </c>
      <c r="K868">
        <f>VLOOKUP(PREVIOS!H868,CICLO!A:B,2,FALSE)</f>
        <v>55</v>
      </c>
      <c r="L868">
        <f>VLOOKUP(PREVIOS!I868,PLAN!A:B,2,FALSE)</f>
        <v>6</v>
      </c>
    </row>
    <row r="869" spans="1:12" x14ac:dyDescent="0.25">
      <c r="A869" t="str">
        <f t="shared" si="13"/>
        <v>A130M286C1</v>
      </c>
      <c r="C869">
        <v>868</v>
      </c>
      <c r="D869">
        <f>VLOOKUP(PREVIOS!C869,ALUMNOS!A:B,2,FALSE)</f>
        <v>130</v>
      </c>
      <c r="E869">
        <f>VLOOKUP(PREVIOS!E869&amp;'TABLA PREVIOS'!J869,MATERIAS!A:H,7,FALSE)</f>
        <v>286</v>
      </c>
      <c r="F869">
        <f>VLOOKUP(PREVIOS!G869,CONDICION!A:B,2,FALSE)</f>
        <v>1</v>
      </c>
      <c r="G869">
        <f>IF(PREVIOS!AG869=1,1,VLOOKUP(PREVIOS!AG869,CALIFICACION!A:C,3,FALSE))</f>
        <v>1</v>
      </c>
      <c r="H869" s="1" t="s">
        <v>534</v>
      </c>
      <c r="I869" s="1" t="s">
        <v>534</v>
      </c>
      <c r="J869">
        <f>VLOOKUP(PREVIOS!F869&amp;VLOOKUP(PREVIOS!I869,PLAN!A:B,2,FALSE),CURSO!A:D,4,FALSE)</f>
        <v>22</v>
      </c>
      <c r="K869">
        <f>VLOOKUP(PREVIOS!H869,CICLO!A:B,2,FALSE)</f>
        <v>55</v>
      </c>
      <c r="L869">
        <f>VLOOKUP(PREVIOS!I869,PLAN!A:B,2,FALSE)</f>
        <v>6</v>
      </c>
    </row>
    <row r="870" spans="1:12" x14ac:dyDescent="0.25">
      <c r="A870" t="str">
        <f t="shared" si="13"/>
        <v>A130M283C1</v>
      </c>
      <c r="C870">
        <v>869</v>
      </c>
      <c r="D870">
        <f>VLOOKUP(PREVIOS!C870,ALUMNOS!A:B,2,FALSE)</f>
        <v>130</v>
      </c>
      <c r="E870">
        <f>VLOOKUP(PREVIOS!E870&amp;'TABLA PREVIOS'!J870,MATERIAS!A:H,7,FALSE)</f>
        <v>283</v>
      </c>
      <c r="F870">
        <f>VLOOKUP(PREVIOS!G870,CONDICION!A:B,2,FALSE)</f>
        <v>1</v>
      </c>
      <c r="G870">
        <f>IF(PREVIOS!AG870=1,1,VLOOKUP(PREVIOS!AG870,CALIFICACION!A:C,3,FALSE))</f>
        <v>1</v>
      </c>
      <c r="H870" s="1" t="s">
        <v>534</v>
      </c>
      <c r="I870" s="1" t="s">
        <v>534</v>
      </c>
      <c r="J870">
        <f>VLOOKUP(PREVIOS!F870&amp;VLOOKUP(PREVIOS!I870,PLAN!A:B,2,FALSE),CURSO!A:D,4,FALSE)</f>
        <v>22</v>
      </c>
      <c r="K870">
        <f>VLOOKUP(PREVIOS!H870,CICLO!A:B,2,FALSE)</f>
        <v>55</v>
      </c>
      <c r="L870">
        <f>VLOOKUP(PREVIOS!I870,PLAN!A:B,2,FALSE)</f>
        <v>6</v>
      </c>
    </row>
    <row r="871" spans="1:12" x14ac:dyDescent="0.25">
      <c r="A871" t="str">
        <f t="shared" si="13"/>
        <v>A130M278C1</v>
      </c>
      <c r="C871">
        <v>870</v>
      </c>
      <c r="D871">
        <f>VLOOKUP(PREVIOS!C871,ALUMNOS!A:B,2,FALSE)</f>
        <v>130</v>
      </c>
      <c r="E871">
        <f>VLOOKUP(PREVIOS!E871&amp;'TABLA PREVIOS'!J871,MATERIAS!A:H,7,FALSE)</f>
        <v>278</v>
      </c>
      <c r="F871">
        <f>VLOOKUP(PREVIOS!G871,CONDICION!A:B,2,FALSE)</f>
        <v>1</v>
      </c>
      <c r="G871">
        <f>IF(PREVIOS!AG871=1,1,VLOOKUP(PREVIOS!AG871,CALIFICACION!A:C,3,FALSE))</f>
        <v>1</v>
      </c>
      <c r="H871" s="1" t="s">
        <v>534</v>
      </c>
      <c r="I871" s="1" t="s">
        <v>534</v>
      </c>
      <c r="J871">
        <f>VLOOKUP(PREVIOS!F871&amp;VLOOKUP(PREVIOS!I871,PLAN!A:B,2,FALSE),CURSO!A:D,4,FALSE)</f>
        <v>22</v>
      </c>
      <c r="K871">
        <f>VLOOKUP(PREVIOS!H871,CICLO!A:B,2,FALSE)</f>
        <v>55</v>
      </c>
      <c r="L871">
        <f>VLOOKUP(PREVIOS!I871,PLAN!A:B,2,FALSE)</f>
        <v>6</v>
      </c>
    </row>
    <row r="872" spans="1:12" x14ac:dyDescent="0.25">
      <c r="A872" t="str">
        <f t="shared" si="13"/>
        <v>A130M292C1</v>
      </c>
      <c r="C872">
        <v>871</v>
      </c>
      <c r="D872">
        <f>VLOOKUP(PREVIOS!C872,ALUMNOS!A:B,2,FALSE)</f>
        <v>130</v>
      </c>
      <c r="E872">
        <f>VLOOKUP(PREVIOS!E872&amp;'TABLA PREVIOS'!J872,MATERIAS!A:H,7,FALSE)</f>
        <v>292</v>
      </c>
      <c r="F872">
        <f>VLOOKUP(PREVIOS!G872,CONDICION!A:B,2,FALSE)</f>
        <v>1</v>
      </c>
      <c r="G872">
        <f>IF(PREVIOS!AG872=1,1,VLOOKUP(PREVIOS!AG872,CALIFICACION!A:C,3,FALSE))</f>
        <v>1</v>
      </c>
      <c r="H872" s="1" t="s">
        <v>534</v>
      </c>
      <c r="I872" s="1" t="s">
        <v>534</v>
      </c>
      <c r="J872">
        <f>VLOOKUP(PREVIOS!F872&amp;VLOOKUP(PREVIOS!I872,PLAN!A:B,2,FALSE),CURSO!A:D,4,FALSE)</f>
        <v>22</v>
      </c>
      <c r="K872">
        <f>VLOOKUP(PREVIOS!H872,CICLO!A:B,2,FALSE)</f>
        <v>55</v>
      </c>
      <c r="L872">
        <f>VLOOKUP(PREVIOS!I872,PLAN!A:B,2,FALSE)</f>
        <v>6</v>
      </c>
    </row>
    <row r="873" spans="1:12" x14ac:dyDescent="0.25">
      <c r="A873" t="str">
        <f t="shared" si="13"/>
        <v>A130M291C1</v>
      </c>
      <c r="C873">
        <v>872</v>
      </c>
      <c r="D873">
        <f>VLOOKUP(PREVIOS!C873,ALUMNOS!A:B,2,FALSE)</f>
        <v>130</v>
      </c>
      <c r="E873">
        <f>VLOOKUP(PREVIOS!E873&amp;'TABLA PREVIOS'!J873,MATERIAS!A:H,7,FALSE)</f>
        <v>291</v>
      </c>
      <c r="F873">
        <f>VLOOKUP(PREVIOS!G873,CONDICION!A:B,2,FALSE)</f>
        <v>1</v>
      </c>
      <c r="G873">
        <f>IF(PREVIOS!AG873=1,1,VLOOKUP(PREVIOS!AG873,CALIFICACION!A:C,3,FALSE))</f>
        <v>1</v>
      </c>
      <c r="H873" s="1" t="s">
        <v>534</v>
      </c>
      <c r="I873" s="1" t="s">
        <v>534</v>
      </c>
      <c r="J873">
        <f>VLOOKUP(PREVIOS!F873&amp;VLOOKUP(PREVIOS!I873,PLAN!A:B,2,FALSE),CURSO!A:D,4,FALSE)</f>
        <v>22</v>
      </c>
      <c r="K873">
        <f>VLOOKUP(PREVIOS!H873,CICLO!A:B,2,FALSE)</f>
        <v>55</v>
      </c>
      <c r="L873">
        <f>VLOOKUP(PREVIOS!I873,PLAN!A:B,2,FALSE)</f>
        <v>6</v>
      </c>
    </row>
    <row r="874" spans="1:12" x14ac:dyDescent="0.25">
      <c r="A874" t="str">
        <f t="shared" si="13"/>
        <v>A130M282C1</v>
      </c>
      <c r="C874">
        <v>873</v>
      </c>
      <c r="D874">
        <f>VLOOKUP(PREVIOS!C874,ALUMNOS!A:B,2,FALSE)</f>
        <v>130</v>
      </c>
      <c r="E874">
        <f>VLOOKUP(PREVIOS!E874&amp;'TABLA PREVIOS'!J874,MATERIAS!A:H,7,FALSE)</f>
        <v>282</v>
      </c>
      <c r="F874">
        <f>VLOOKUP(PREVIOS!G874,CONDICION!A:B,2,FALSE)</f>
        <v>1</v>
      </c>
      <c r="G874">
        <f>IF(PREVIOS!AG874=1,1,VLOOKUP(PREVIOS!AG874,CALIFICACION!A:C,3,FALSE))</f>
        <v>1</v>
      </c>
      <c r="H874" s="1" t="s">
        <v>534</v>
      </c>
      <c r="I874" s="1" t="s">
        <v>534</v>
      </c>
      <c r="J874">
        <f>VLOOKUP(PREVIOS!F874&amp;VLOOKUP(PREVIOS!I874,PLAN!A:B,2,FALSE),CURSO!A:D,4,FALSE)</f>
        <v>22</v>
      </c>
      <c r="K874">
        <f>VLOOKUP(PREVIOS!H874,CICLO!A:B,2,FALSE)</f>
        <v>55</v>
      </c>
      <c r="L874">
        <f>VLOOKUP(PREVIOS!I874,PLAN!A:B,2,FALSE)</f>
        <v>6</v>
      </c>
    </row>
    <row r="875" spans="1:12" x14ac:dyDescent="0.25">
      <c r="A875" t="str">
        <f t="shared" si="13"/>
        <v>A130M279C1</v>
      </c>
      <c r="C875">
        <v>874</v>
      </c>
      <c r="D875">
        <f>VLOOKUP(PREVIOS!C875,ALUMNOS!A:B,2,FALSE)</f>
        <v>130</v>
      </c>
      <c r="E875">
        <f>VLOOKUP(PREVIOS!E875&amp;'TABLA PREVIOS'!J875,MATERIAS!A:H,7,FALSE)</f>
        <v>279</v>
      </c>
      <c r="F875">
        <f>VLOOKUP(PREVIOS!G875,CONDICION!A:B,2,FALSE)</f>
        <v>1</v>
      </c>
      <c r="G875">
        <f>IF(PREVIOS!AG875=1,1,VLOOKUP(PREVIOS!AG875,CALIFICACION!A:C,3,FALSE))</f>
        <v>1</v>
      </c>
      <c r="H875" s="1" t="s">
        <v>534</v>
      </c>
      <c r="I875" s="1" t="s">
        <v>534</v>
      </c>
      <c r="J875">
        <f>VLOOKUP(PREVIOS!F875&amp;VLOOKUP(PREVIOS!I875,PLAN!A:B,2,FALSE),CURSO!A:D,4,FALSE)</f>
        <v>22</v>
      </c>
      <c r="K875">
        <f>VLOOKUP(PREVIOS!H875,CICLO!A:B,2,FALSE)</f>
        <v>55</v>
      </c>
      <c r="L875">
        <f>VLOOKUP(PREVIOS!I875,PLAN!A:B,2,FALSE)</f>
        <v>6</v>
      </c>
    </row>
    <row r="876" spans="1:12" x14ac:dyDescent="0.25">
      <c r="A876" t="str">
        <f t="shared" si="13"/>
        <v>A130M280C1</v>
      </c>
      <c r="C876">
        <v>875</v>
      </c>
      <c r="D876">
        <f>VLOOKUP(PREVIOS!C876,ALUMNOS!A:B,2,FALSE)</f>
        <v>130</v>
      </c>
      <c r="E876">
        <f>VLOOKUP(PREVIOS!E876&amp;'TABLA PREVIOS'!J876,MATERIAS!A:H,7,FALSE)</f>
        <v>280</v>
      </c>
      <c r="F876">
        <f>VLOOKUP(PREVIOS!G876,CONDICION!A:B,2,FALSE)</f>
        <v>1</v>
      </c>
      <c r="G876">
        <f>IF(PREVIOS!AG876=1,1,VLOOKUP(PREVIOS!AG876,CALIFICACION!A:C,3,FALSE))</f>
        <v>1</v>
      </c>
      <c r="H876" s="1" t="s">
        <v>534</v>
      </c>
      <c r="I876" s="1" t="s">
        <v>534</v>
      </c>
      <c r="J876">
        <f>VLOOKUP(PREVIOS!F876&amp;VLOOKUP(PREVIOS!I876,PLAN!A:B,2,FALSE),CURSO!A:D,4,FALSE)</f>
        <v>22</v>
      </c>
      <c r="K876">
        <f>VLOOKUP(PREVIOS!H876,CICLO!A:B,2,FALSE)</f>
        <v>55</v>
      </c>
      <c r="L876">
        <f>VLOOKUP(PREVIOS!I876,PLAN!A:B,2,FALSE)</f>
        <v>6</v>
      </c>
    </row>
    <row r="877" spans="1:12" x14ac:dyDescent="0.25">
      <c r="A877" t="str">
        <f t="shared" si="13"/>
        <v>A130M281C1</v>
      </c>
      <c r="C877">
        <v>876</v>
      </c>
      <c r="D877">
        <f>VLOOKUP(PREVIOS!C877,ALUMNOS!A:B,2,FALSE)</f>
        <v>130</v>
      </c>
      <c r="E877">
        <f>VLOOKUP(PREVIOS!E877&amp;'TABLA PREVIOS'!J877,MATERIAS!A:H,7,FALSE)</f>
        <v>281</v>
      </c>
      <c r="F877">
        <f>VLOOKUP(PREVIOS!G877,CONDICION!A:B,2,FALSE)</f>
        <v>1</v>
      </c>
      <c r="G877">
        <f>IF(PREVIOS!AG877=1,1,VLOOKUP(PREVIOS!AG877,CALIFICACION!A:C,3,FALSE))</f>
        <v>1</v>
      </c>
      <c r="H877" s="1" t="s">
        <v>534</v>
      </c>
      <c r="I877" s="1" t="s">
        <v>534</v>
      </c>
      <c r="J877">
        <f>VLOOKUP(PREVIOS!F877&amp;VLOOKUP(PREVIOS!I877,PLAN!A:B,2,FALSE),CURSO!A:D,4,FALSE)</f>
        <v>22</v>
      </c>
      <c r="K877">
        <f>VLOOKUP(PREVIOS!H877,CICLO!A:B,2,FALSE)</f>
        <v>55</v>
      </c>
      <c r="L877">
        <f>VLOOKUP(PREVIOS!I877,PLAN!A:B,2,FALSE)</f>
        <v>6</v>
      </c>
    </row>
    <row r="878" spans="1:12" x14ac:dyDescent="0.25">
      <c r="A878" t="str">
        <f t="shared" si="13"/>
        <v>A130M288C1</v>
      </c>
      <c r="C878">
        <v>877</v>
      </c>
      <c r="D878">
        <f>VLOOKUP(PREVIOS!C878,ALUMNOS!A:B,2,FALSE)</f>
        <v>130</v>
      </c>
      <c r="E878">
        <f>VLOOKUP(PREVIOS!E878&amp;'TABLA PREVIOS'!J878,MATERIAS!A:H,7,FALSE)</f>
        <v>288</v>
      </c>
      <c r="F878">
        <f>VLOOKUP(PREVIOS!G878,CONDICION!A:B,2,FALSE)</f>
        <v>1</v>
      </c>
      <c r="G878">
        <f>IF(PREVIOS!AG878=1,1,VLOOKUP(PREVIOS!AG878,CALIFICACION!A:C,3,FALSE))</f>
        <v>1</v>
      </c>
      <c r="H878" s="1" t="s">
        <v>534</v>
      </c>
      <c r="I878" s="1" t="s">
        <v>534</v>
      </c>
      <c r="J878">
        <f>VLOOKUP(PREVIOS!F878&amp;VLOOKUP(PREVIOS!I878,PLAN!A:B,2,FALSE),CURSO!A:D,4,FALSE)</f>
        <v>22</v>
      </c>
      <c r="K878">
        <f>VLOOKUP(PREVIOS!H878,CICLO!A:B,2,FALSE)</f>
        <v>55</v>
      </c>
      <c r="L878">
        <f>VLOOKUP(PREVIOS!I878,PLAN!A:B,2,FALSE)</f>
        <v>6</v>
      </c>
    </row>
    <row r="879" spans="1:12" x14ac:dyDescent="0.25">
      <c r="A879" t="str">
        <f t="shared" si="13"/>
        <v>A130M290C1</v>
      </c>
      <c r="C879">
        <v>878</v>
      </c>
      <c r="D879">
        <f>VLOOKUP(PREVIOS!C879,ALUMNOS!A:B,2,FALSE)</f>
        <v>130</v>
      </c>
      <c r="E879">
        <f>VLOOKUP(PREVIOS!E879&amp;'TABLA PREVIOS'!J879,MATERIAS!A:H,7,FALSE)</f>
        <v>290</v>
      </c>
      <c r="F879">
        <f>VLOOKUP(PREVIOS!G879,CONDICION!A:B,2,FALSE)</f>
        <v>1</v>
      </c>
      <c r="G879">
        <f>IF(PREVIOS!AG879=1,1,VLOOKUP(PREVIOS!AG879,CALIFICACION!A:C,3,FALSE))</f>
        <v>1</v>
      </c>
      <c r="H879" s="1" t="s">
        <v>534</v>
      </c>
      <c r="I879" s="1" t="s">
        <v>534</v>
      </c>
      <c r="J879">
        <f>VLOOKUP(PREVIOS!F879&amp;VLOOKUP(PREVIOS!I879,PLAN!A:B,2,FALSE),CURSO!A:D,4,FALSE)</f>
        <v>22</v>
      </c>
      <c r="K879">
        <f>VLOOKUP(PREVIOS!H879,CICLO!A:B,2,FALSE)</f>
        <v>55</v>
      </c>
      <c r="L879">
        <f>VLOOKUP(PREVIOS!I879,PLAN!A:B,2,FALSE)</f>
        <v>6</v>
      </c>
    </row>
    <row r="880" spans="1:12" x14ac:dyDescent="0.25">
      <c r="A880" t="str">
        <f t="shared" si="13"/>
        <v>A144M251C1</v>
      </c>
      <c r="C880">
        <v>879</v>
      </c>
      <c r="D880">
        <f>VLOOKUP(PREVIOS!C880,ALUMNOS!A:B,2,FALSE)</f>
        <v>144</v>
      </c>
      <c r="E880">
        <f>VLOOKUP(PREVIOS!E880&amp;'TABLA PREVIOS'!J880,MATERIAS!A:H,7,FALSE)</f>
        <v>251</v>
      </c>
      <c r="F880">
        <f>VLOOKUP(PREVIOS!G880,CONDICION!A:B,2,FALSE)</f>
        <v>1</v>
      </c>
      <c r="G880">
        <f>IF(PREVIOS!AG880=1,1,VLOOKUP(PREVIOS!AG880,CALIFICACION!A:C,3,FALSE))</f>
        <v>1</v>
      </c>
      <c r="H880" s="1" t="s">
        <v>534</v>
      </c>
      <c r="I880" s="1" t="s">
        <v>534</v>
      </c>
      <c r="J880">
        <f>VLOOKUP(PREVIOS!F880&amp;VLOOKUP(PREVIOS!I880,PLAN!A:B,2,FALSE),CURSO!A:D,4,FALSE)</f>
        <v>20</v>
      </c>
      <c r="K880">
        <f>VLOOKUP(PREVIOS!H880,CICLO!A:B,2,FALSE)</f>
        <v>53</v>
      </c>
      <c r="L880">
        <f>VLOOKUP(PREVIOS!I880,PLAN!A:B,2,FALSE)</f>
        <v>6</v>
      </c>
    </row>
    <row r="881" spans="1:12" x14ac:dyDescent="0.25">
      <c r="A881" t="str">
        <f t="shared" si="13"/>
        <v>A229M265C1</v>
      </c>
      <c r="C881">
        <v>880</v>
      </c>
      <c r="D881">
        <f>VLOOKUP(PREVIOS!C881,ALUMNOS!A:B,2,FALSE)</f>
        <v>229</v>
      </c>
      <c r="E881">
        <f>VLOOKUP(PREVIOS!E881&amp;'TABLA PREVIOS'!J881,MATERIAS!A:H,7,FALSE)</f>
        <v>265</v>
      </c>
      <c r="F881">
        <f>VLOOKUP(PREVIOS!G881,CONDICION!A:B,2,FALSE)</f>
        <v>1</v>
      </c>
      <c r="G881">
        <f>IF(PREVIOS!AG881=1,1,VLOOKUP(PREVIOS!AG881,CALIFICACION!A:C,3,FALSE))</f>
        <v>1</v>
      </c>
      <c r="H881" s="1" t="s">
        <v>534</v>
      </c>
      <c r="I881" s="1" t="s">
        <v>534</v>
      </c>
      <c r="J881">
        <f>VLOOKUP(PREVIOS!F881&amp;VLOOKUP(PREVIOS!I881,PLAN!A:B,2,FALSE),CURSO!A:D,4,FALSE)</f>
        <v>21</v>
      </c>
      <c r="K881">
        <f>VLOOKUP(PREVIOS!H881,CICLO!A:B,2,FALSE)</f>
        <v>54</v>
      </c>
      <c r="L881">
        <f>VLOOKUP(PREVIOS!I881,PLAN!A:B,2,FALSE)</f>
        <v>6</v>
      </c>
    </row>
    <row r="882" spans="1:12" x14ac:dyDescent="0.25">
      <c r="A882" t="str">
        <f t="shared" si="13"/>
        <v>A229M273C1</v>
      </c>
      <c r="C882">
        <v>881</v>
      </c>
      <c r="D882">
        <f>VLOOKUP(PREVIOS!C882,ALUMNOS!A:B,2,FALSE)</f>
        <v>229</v>
      </c>
      <c r="E882">
        <f>VLOOKUP(PREVIOS!E882&amp;'TABLA PREVIOS'!J882,MATERIAS!A:H,7,FALSE)</f>
        <v>273</v>
      </c>
      <c r="F882">
        <f>VLOOKUP(PREVIOS!G882,CONDICION!A:B,2,FALSE)</f>
        <v>1</v>
      </c>
      <c r="G882">
        <f>IF(PREVIOS!AG882=1,1,VLOOKUP(PREVIOS!AG882,CALIFICACION!A:C,3,FALSE))</f>
        <v>1</v>
      </c>
      <c r="H882" s="1" t="s">
        <v>534</v>
      </c>
      <c r="I882" s="1" t="s">
        <v>534</v>
      </c>
      <c r="J882">
        <f>VLOOKUP(PREVIOS!F882&amp;VLOOKUP(PREVIOS!I882,PLAN!A:B,2,FALSE),CURSO!A:D,4,FALSE)</f>
        <v>21</v>
      </c>
      <c r="K882">
        <f>VLOOKUP(PREVIOS!H882,CICLO!A:B,2,FALSE)</f>
        <v>54</v>
      </c>
      <c r="L882">
        <f>VLOOKUP(PREVIOS!I882,PLAN!A:B,2,FALSE)</f>
        <v>6</v>
      </c>
    </row>
    <row r="883" spans="1:12" x14ac:dyDescent="0.25">
      <c r="A883" t="str">
        <f t="shared" si="13"/>
        <v>A229M284C1</v>
      </c>
      <c r="C883">
        <v>882</v>
      </c>
      <c r="D883">
        <f>VLOOKUP(PREVIOS!C883,ALUMNOS!A:B,2,FALSE)</f>
        <v>229</v>
      </c>
      <c r="E883">
        <f>VLOOKUP(PREVIOS!E883&amp;'TABLA PREVIOS'!J883,MATERIAS!A:H,7,FALSE)</f>
        <v>284</v>
      </c>
      <c r="F883">
        <f>VLOOKUP(PREVIOS!G883,CONDICION!A:B,2,FALSE)</f>
        <v>1</v>
      </c>
      <c r="G883">
        <f>IF(PREVIOS!AG883=1,1,VLOOKUP(PREVIOS!AG883,CALIFICACION!A:C,3,FALSE))</f>
        <v>1</v>
      </c>
      <c r="H883" s="1" t="s">
        <v>534</v>
      </c>
      <c r="I883" s="1" t="s">
        <v>534</v>
      </c>
      <c r="J883">
        <f>VLOOKUP(PREVIOS!F883&amp;VLOOKUP(PREVIOS!I883,PLAN!A:B,2,FALSE),CURSO!A:D,4,FALSE)</f>
        <v>22</v>
      </c>
      <c r="K883">
        <f>VLOOKUP(PREVIOS!H883,CICLO!A:B,2,FALSE)</f>
        <v>55</v>
      </c>
      <c r="L883">
        <f>VLOOKUP(PREVIOS!I883,PLAN!A:B,2,FALSE)</f>
        <v>6</v>
      </c>
    </row>
    <row r="884" spans="1:12" x14ac:dyDescent="0.25">
      <c r="A884" t="str">
        <f t="shared" si="13"/>
        <v>A229M286C1</v>
      </c>
      <c r="C884">
        <v>883</v>
      </c>
      <c r="D884">
        <f>VLOOKUP(PREVIOS!C884,ALUMNOS!A:B,2,FALSE)</f>
        <v>229</v>
      </c>
      <c r="E884">
        <f>VLOOKUP(PREVIOS!E884&amp;'TABLA PREVIOS'!J884,MATERIAS!A:H,7,FALSE)</f>
        <v>286</v>
      </c>
      <c r="F884">
        <f>VLOOKUP(PREVIOS!G884,CONDICION!A:B,2,FALSE)</f>
        <v>1</v>
      </c>
      <c r="G884">
        <f>IF(PREVIOS!AG884=1,1,VLOOKUP(PREVIOS!AG884,CALIFICACION!A:C,3,FALSE))</f>
        <v>1</v>
      </c>
      <c r="H884" s="1" t="s">
        <v>534</v>
      </c>
      <c r="I884" s="1" t="s">
        <v>534</v>
      </c>
      <c r="J884">
        <f>VLOOKUP(PREVIOS!F884&amp;VLOOKUP(PREVIOS!I884,PLAN!A:B,2,FALSE),CURSO!A:D,4,FALSE)</f>
        <v>22</v>
      </c>
      <c r="K884">
        <f>VLOOKUP(PREVIOS!H884,CICLO!A:B,2,FALSE)</f>
        <v>55</v>
      </c>
      <c r="L884">
        <f>VLOOKUP(PREVIOS!I884,PLAN!A:B,2,FALSE)</f>
        <v>6</v>
      </c>
    </row>
    <row r="885" spans="1:12" x14ac:dyDescent="0.25">
      <c r="A885" t="str">
        <f t="shared" si="13"/>
        <v>A229M292C1</v>
      </c>
      <c r="C885">
        <v>884</v>
      </c>
      <c r="D885">
        <f>VLOOKUP(PREVIOS!C885,ALUMNOS!A:B,2,FALSE)</f>
        <v>229</v>
      </c>
      <c r="E885">
        <f>VLOOKUP(PREVIOS!E885&amp;'TABLA PREVIOS'!J885,MATERIAS!A:H,7,FALSE)</f>
        <v>292</v>
      </c>
      <c r="F885">
        <f>VLOOKUP(PREVIOS!G885,CONDICION!A:B,2,FALSE)</f>
        <v>1</v>
      </c>
      <c r="G885">
        <f>IF(PREVIOS!AG885=1,1,VLOOKUP(PREVIOS!AG885,CALIFICACION!A:C,3,FALSE))</f>
        <v>1</v>
      </c>
      <c r="H885" s="1" t="s">
        <v>534</v>
      </c>
      <c r="I885" s="1" t="s">
        <v>534</v>
      </c>
      <c r="J885">
        <f>VLOOKUP(PREVIOS!F885&amp;VLOOKUP(PREVIOS!I885,PLAN!A:B,2,FALSE),CURSO!A:D,4,FALSE)</f>
        <v>22</v>
      </c>
      <c r="K885">
        <f>VLOOKUP(PREVIOS!H885,CICLO!A:B,2,FALSE)</f>
        <v>55</v>
      </c>
      <c r="L885">
        <f>VLOOKUP(PREVIOS!I885,PLAN!A:B,2,FALSE)</f>
        <v>6</v>
      </c>
    </row>
    <row r="886" spans="1:12" x14ac:dyDescent="0.25">
      <c r="A886" t="str">
        <f t="shared" si="13"/>
        <v>A229M280C1</v>
      </c>
      <c r="C886">
        <v>885</v>
      </c>
      <c r="D886">
        <f>VLOOKUP(PREVIOS!C886,ALUMNOS!A:B,2,FALSE)</f>
        <v>229</v>
      </c>
      <c r="E886">
        <f>VLOOKUP(PREVIOS!E886&amp;'TABLA PREVIOS'!J886,MATERIAS!A:H,7,FALSE)</f>
        <v>280</v>
      </c>
      <c r="F886">
        <f>VLOOKUP(PREVIOS!G886,CONDICION!A:B,2,FALSE)</f>
        <v>1</v>
      </c>
      <c r="G886">
        <f>IF(PREVIOS!AG886=1,1,VLOOKUP(PREVIOS!AG886,CALIFICACION!A:C,3,FALSE))</f>
        <v>1</v>
      </c>
      <c r="H886" s="1" t="s">
        <v>534</v>
      </c>
      <c r="I886" s="1" t="s">
        <v>534</v>
      </c>
      <c r="J886">
        <f>VLOOKUP(PREVIOS!F886&amp;VLOOKUP(PREVIOS!I886,PLAN!A:B,2,FALSE),CURSO!A:D,4,FALSE)</f>
        <v>22</v>
      </c>
      <c r="K886">
        <f>VLOOKUP(PREVIOS!H886,CICLO!A:B,2,FALSE)</f>
        <v>55</v>
      </c>
      <c r="L886">
        <f>VLOOKUP(PREVIOS!I886,PLAN!A:B,2,FALSE)</f>
        <v>6</v>
      </c>
    </row>
    <row r="887" spans="1:12" x14ac:dyDescent="0.25">
      <c r="A887" t="str">
        <f t="shared" si="13"/>
        <v>A229M288C1</v>
      </c>
      <c r="C887">
        <v>886</v>
      </c>
      <c r="D887">
        <f>VLOOKUP(PREVIOS!C887,ALUMNOS!A:B,2,FALSE)</f>
        <v>229</v>
      </c>
      <c r="E887">
        <f>VLOOKUP(PREVIOS!E887&amp;'TABLA PREVIOS'!J887,MATERIAS!A:H,7,FALSE)</f>
        <v>288</v>
      </c>
      <c r="F887">
        <f>VLOOKUP(PREVIOS!G887,CONDICION!A:B,2,FALSE)</f>
        <v>1</v>
      </c>
      <c r="G887">
        <f>IF(PREVIOS!AG887=1,1,VLOOKUP(PREVIOS!AG887,CALIFICACION!A:C,3,FALSE))</f>
        <v>1</v>
      </c>
      <c r="H887" s="1" t="s">
        <v>534</v>
      </c>
      <c r="I887" s="1" t="s">
        <v>534</v>
      </c>
      <c r="J887">
        <f>VLOOKUP(PREVIOS!F887&amp;VLOOKUP(PREVIOS!I887,PLAN!A:B,2,FALSE),CURSO!A:D,4,FALSE)</f>
        <v>22</v>
      </c>
      <c r="K887">
        <f>VLOOKUP(PREVIOS!H887,CICLO!A:B,2,FALSE)</f>
        <v>55</v>
      </c>
      <c r="L887">
        <f>VLOOKUP(PREVIOS!I887,PLAN!A:B,2,FALSE)</f>
        <v>6</v>
      </c>
    </row>
    <row r="888" spans="1:12" x14ac:dyDescent="0.25">
      <c r="A888" t="str">
        <f t="shared" si="13"/>
        <v>A229M290C1</v>
      </c>
      <c r="C888">
        <v>887</v>
      </c>
      <c r="D888">
        <f>VLOOKUP(PREVIOS!C888,ALUMNOS!A:B,2,FALSE)</f>
        <v>229</v>
      </c>
      <c r="E888">
        <f>VLOOKUP(PREVIOS!E888&amp;'TABLA PREVIOS'!J888,MATERIAS!A:H,7,FALSE)</f>
        <v>290</v>
      </c>
      <c r="F888">
        <f>VLOOKUP(PREVIOS!G888,CONDICION!A:B,2,FALSE)</f>
        <v>1</v>
      </c>
      <c r="G888">
        <f>IF(PREVIOS!AG888=1,1,VLOOKUP(PREVIOS!AG888,CALIFICACION!A:C,3,FALSE))</f>
        <v>1</v>
      </c>
      <c r="H888" s="1" t="s">
        <v>534</v>
      </c>
      <c r="I888" s="1" t="s">
        <v>534</v>
      </c>
      <c r="J888">
        <f>VLOOKUP(PREVIOS!F888&amp;VLOOKUP(PREVIOS!I888,PLAN!A:B,2,FALSE),CURSO!A:D,4,FALSE)</f>
        <v>22</v>
      </c>
      <c r="K888">
        <f>VLOOKUP(PREVIOS!H888,CICLO!A:B,2,FALSE)</f>
        <v>55</v>
      </c>
      <c r="L888">
        <f>VLOOKUP(PREVIOS!I888,PLAN!A:B,2,FALSE)</f>
        <v>6</v>
      </c>
    </row>
    <row r="889" spans="1:12" x14ac:dyDescent="0.25">
      <c r="A889" t="str">
        <f t="shared" si="13"/>
        <v>A274M261C1</v>
      </c>
      <c r="C889">
        <v>888</v>
      </c>
      <c r="D889">
        <f>VLOOKUP(PREVIOS!C889,ALUMNOS!A:B,2,FALSE)</f>
        <v>274</v>
      </c>
      <c r="E889">
        <f>VLOOKUP(PREVIOS!E889&amp;'TABLA PREVIOS'!J889,MATERIAS!A:H,7,FALSE)</f>
        <v>261</v>
      </c>
      <c r="F889">
        <f>VLOOKUP(PREVIOS!G889,CONDICION!A:B,2,FALSE)</f>
        <v>1</v>
      </c>
      <c r="G889">
        <f>IF(PREVIOS!AG889=1,1,VLOOKUP(PREVIOS!AG889,CALIFICACION!A:C,3,FALSE))</f>
        <v>1</v>
      </c>
      <c r="H889" s="1" t="s">
        <v>534</v>
      </c>
      <c r="I889" s="1" t="s">
        <v>534</v>
      </c>
      <c r="J889">
        <f>VLOOKUP(PREVIOS!F889&amp;VLOOKUP(PREVIOS!I889,PLAN!A:B,2,FALSE),CURSO!A:D,4,FALSE)</f>
        <v>20</v>
      </c>
      <c r="K889">
        <f>VLOOKUP(PREVIOS!H889,CICLO!A:B,2,FALSE)</f>
        <v>53</v>
      </c>
      <c r="L889">
        <f>VLOOKUP(PREVIOS!I889,PLAN!A:B,2,FALSE)</f>
        <v>6</v>
      </c>
    </row>
    <row r="890" spans="1:12" x14ac:dyDescent="0.25">
      <c r="A890" t="str">
        <f t="shared" si="13"/>
        <v>A274M259C1</v>
      </c>
      <c r="C890">
        <v>889</v>
      </c>
      <c r="D890">
        <f>VLOOKUP(PREVIOS!C890,ALUMNOS!A:B,2,FALSE)</f>
        <v>274</v>
      </c>
      <c r="E890">
        <f>VLOOKUP(PREVIOS!E890&amp;'TABLA PREVIOS'!J890,MATERIAS!A:H,7,FALSE)</f>
        <v>259</v>
      </c>
      <c r="F890">
        <f>VLOOKUP(PREVIOS!G890,CONDICION!A:B,2,FALSE)</f>
        <v>1</v>
      </c>
      <c r="G890">
        <f>IF(PREVIOS!AG890=1,1,VLOOKUP(PREVIOS!AG890,CALIFICACION!A:C,3,FALSE))</f>
        <v>1</v>
      </c>
      <c r="H890" s="1" t="s">
        <v>534</v>
      </c>
      <c r="I890" s="1" t="s">
        <v>534</v>
      </c>
      <c r="J890">
        <f>VLOOKUP(PREVIOS!F890&amp;VLOOKUP(PREVIOS!I890,PLAN!A:B,2,FALSE),CURSO!A:D,4,FALSE)</f>
        <v>20</v>
      </c>
      <c r="K890">
        <f>VLOOKUP(PREVIOS!H890,CICLO!A:B,2,FALSE)</f>
        <v>53</v>
      </c>
      <c r="L890">
        <f>VLOOKUP(PREVIOS!I890,PLAN!A:B,2,FALSE)</f>
        <v>6</v>
      </c>
    </row>
    <row r="891" spans="1:12" x14ac:dyDescent="0.25">
      <c r="A891" t="str">
        <f t="shared" si="13"/>
        <v>A274M265C1</v>
      </c>
      <c r="C891">
        <v>890</v>
      </c>
      <c r="D891">
        <f>VLOOKUP(PREVIOS!C891,ALUMNOS!A:B,2,FALSE)</f>
        <v>274</v>
      </c>
      <c r="E891">
        <f>VLOOKUP(PREVIOS!E891&amp;'TABLA PREVIOS'!J891,MATERIAS!A:H,7,FALSE)</f>
        <v>265</v>
      </c>
      <c r="F891">
        <f>VLOOKUP(PREVIOS!G891,CONDICION!A:B,2,FALSE)</f>
        <v>1</v>
      </c>
      <c r="G891">
        <f>IF(PREVIOS!AG891=1,1,VLOOKUP(PREVIOS!AG891,CALIFICACION!A:C,3,FALSE))</f>
        <v>1</v>
      </c>
      <c r="H891" s="1" t="s">
        <v>534</v>
      </c>
      <c r="I891" s="1" t="s">
        <v>534</v>
      </c>
      <c r="J891">
        <f>VLOOKUP(PREVIOS!F891&amp;VLOOKUP(PREVIOS!I891,PLAN!A:B,2,FALSE),CURSO!A:D,4,FALSE)</f>
        <v>21</v>
      </c>
      <c r="K891">
        <f>VLOOKUP(PREVIOS!H891,CICLO!A:B,2,FALSE)</f>
        <v>54</v>
      </c>
      <c r="L891">
        <f>VLOOKUP(PREVIOS!I891,PLAN!A:B,2,FALSE)</f>
        <v>6</v>
      </c>
    </row>
    <row r="892" spans="1:12" x14ac:dyDescent="0.25">
      <c r="A892" t="str">
        <f t="shared" si="13"/>
        <v>A274M282C1</v>
      </c>
      <c r="C892">
        <v>891</v>
      </c>
      <c r="D892">
        <f>VLOOKUP(PREVIOS!C892,ALUMNOS!A:B,2,FALSE)</f>
        <v>274</v>
      </c>
      <c r="E892">
        <f>VLOOKUP(PREVIOS!E892&amp;'TABLA PREVIOS'!J892,MATERIAS!A:H,7,FALSE)</f>
        <v>282</v>
      </c>
      <c r="F892">
        <f>VLOOKUP(PREVIOS!G892,CONDICION!A:B,2,FALSE)</f>
        <v>1</v>
      </c>
      <c r="G892">
        <f>IF(PREVIOS!AG892=1,1,VLOOKUP(PREVIOS!AG892,CALIFICACION!A:C,3,FALSE))</f>
        <v>1</v>
      </c>
      <c r="H892" s="1" t="s">
        <v>534</v>
      </c>
      <c r="I892" s="1" t="s">
        <v>534</v>
      </c>
      <c r="J892">
        <f>VLOOKUP(PREVIOS!F892&amp;VLOOKUP(PREVIOS!I892,PLAN!A:B,2,FALSE),CURSO!A:D,4,FALSE)</f>
        <v>22</v>
      </c>
      <c r="K892">
        <f>VLOOKUP(PREVIOS!H892,CICLO!A:B,2,FALSE)</f>
        <v>55</v>
      </c>
      <c r="L892">
        <f>VLOOKUP(PREVIOS!I892,PLAN!A:B,2,FALSE)</f>
        <v>6</v>
      </c>
    </row>
    <row r="893" spans="1:12" x14ac:dyDescent="0.25">
      <c r="A893" t="str">
        <f t="shared" si="13"/>
        <v>A394M269C1</v>
      </c>
      <c r="C893">
        <v>892</v>
      </c>
      <c r="D893">
        <f>VLOOKUP(PREVIOS!C893,ALUMNOS!A:B,2,FALSE)</f>
        <v>394</v>
      </c>
      <c r="E893">
        <f>VLOOKUP(PREVIOS!E893&amp;'TABLA PREVIOS'!J893,MATERIAS!A:H,7,FALSE)</f>
        <v>269</v>
      </c>
      <c r="F893">
        <f>VLOOKUP(PREVIOS!G893,CONDICION!A:B,2,FALSE)</f>
        <v>1</v>
      </c>
      <c r="G893">
        <f>IF(PREVIOS!AG893=1,1,VLOOKUP(PREVIOS!AG893,CALIFICACION!A:C,3,FALSE))</f>
        <v>1</v>
      </c>
      <c r="H893" s="1" t="s">
        <v>534</v>
      </c>
      <c r="I893" s="1" t="s">
        <v>534</v>
      </c>
      <c r="J893">
        <f>VLOOKUP(PREVIOS!F893&amp;VLOOKUP(PREVIOS!I893,PLAN!A:B,2,FALSE),CURSO!A:D,4,FALSE)</f>
        <v>21</v>
      </c>
      <c r="K893">
        <f>VLOOKUP(PREVIOS!H893,CICLO!A:B,2,FALSE)</f>
        <v>54</v>
      </c>
      <c r="L893">
        <f>VLOOKUP(PREVIOS!I893,PLAN!A:B,2,FALSE)</f>
        <v>6</v>
      </c>
    </row>
    <row r="894" spans="1:12" x14ac:dyDescent="0.25">
      <c r="A894" t="str">
        <f t="shared" si="13"/>
        <v>A394M265C1</v>
      </c>
      <c r="C894">
        <v>893</v>
      </c>
      <c r="D894">
        <f>VLOOKUP(PREVIOS!C894,ALUMNOS!A:B,2,FALSE)</f>
        <v>394</v>
      </c>
      <c r="E894">
        <f>VLOOKUP(PREVIOS!E894&amp;'TABLA PREVIOS'!J894,MATERIAS!A:H,7,FALSE)</f>
        <v>265</v>
      </c>
      <c r="F894">
        <f>VLOOKUP(PREVIOS!G894,CONDICION!A:B,2,FALSE)</f>
        <v>1</v>
      </c>
      <c r="G894">
        <f>IF(PREVIOS!AG894=1,1,VLOOKUP(PREVIOS!AG894,CALIFICACION!A:C,3,FALSE))</f>
        <v>1</v>
      </c>
      <c r="H894" s="1" t="s">
        <v>534</v>
      </c>
      <c r="I894" s="1" t="s">
        <v>534</v>
      </c>
      <c r="J894">
        <f>VLOOKUP(PREVIOS!F894&amp;VLOOKUP(PREVIOS!I894,PLAN!A:B,2,FALSE),CURSO!A:D,4,FALSE)</f>
        <v>21</v>
      </c>
      <c r="K894">
        <f>VLOOKUP(PREVIOS!H894,CICLO!A:B,2,FALSE)</f>
        <v>54</v>
      </c>
      <c r="L894">
        <f>VLOOKUP(PREVIOS!I894,PLAN!A:B,2,FALSE)</f>
        <v>6</v>
      </c>
    </row>
    <row r="895" spans="1:12" x14ac:dyDescent="0.25">
      <c r="A895" t="str">
        <f t="shared" si="13"/>
        <v>A394M282C1</v>
      </c>
      <c r="C895">
        <v>894</v>
      </c>
      <c r="D895">
        <f>VLOOKUP(PREVIOS!C895,ALUMNOS!A:B,2,FALSE)</f>
        <v>394</v>
      </c>
      <c r="E895">
        <f>VLOOKUP(PREVIOS!E895&amp;'TABLA PREVIOS'!J895,MATERIAS!A:H,7,FALSE)</f>
        <v>282</v>
      </c>
      <c r="F895">
        <f>VLOOKUP(PREVIOS!G895,CONDICION!A:B,2,FALSE)</f>
        <v>1</v>
      </c>
      <c r="G895">
        <f>IF(PREVIOS!AG895=1,1,VLOOKUP(PREVIOS!AG895,CALIFICACION!A:C,3,FALSE))</f>
        <v>1</v>
      </c>
      <c r="H895" s="1" t="s">
        <v>534</v>
      </c>
      <c r="I895" s="1" t="s">
        <v>534</v>
      </c>
      <c r="J895">
        <f>VLOOKUP(PREVIOS!F895&amp;VLOOKUP(PREVIOS!I895,PLAN!A:B,2,FALSE),CURSO!A:D,4,FALSE)</f>
        <v>22</v>
      </c>
      <c r="K895">
        <f>VLOOKUP(PREVIOS!H895,CICLO!A:B,2,FALSE)</f>
        <v>55</v>
      </c>
      <c r="L895">
        <f>VLOOKUP(PREVIOS!I895,PLAN!A:B,2,FALSE)</f>
        <v>6</v>
      </c>
    </row>
    <row r="896" spans="1:12" x14ac:dyDescent="0.25">
      <c r="A896" t="str">
        <f t="shared" si="13"/>
        <v>A394M290C1</v>
      </c>
      <c r="C896">
        <v>895</v>
      </c>
      <c r="D896">
        <f>VLOOKUP(PREVIOS!C896,ALUMNOS!A:B,2,FALSE)</f>
        <v>394</v>
      </c>
      <c r="E896">
        <f>VLOOKUP(PREVIOS!E896&amp;'TABLA PREVIOS'!J896,MATERIAS!A:H,7,FALSE)</f>
        <v>290</v>
      </c>
      <c r="F896">
        <f>VLOOKUP(PREVIOS!G896,CONDICION!A:B,2,FALSE)</f>
        <v>1</v>
      </c>
      <c r="G896">
        <f>IF(PREVIOS!AG896=1,1,VLOOKUP(PREVIOS!AG896,CALIFICACION!A:C,3,FALSE))</f>
        <v>1</v>
      </c>
      <c r="H896" s="1" t="s">
        <v>534</v>
      </c>
      <c r="I896" s="1" t="s">
        <v>534</v>
      </c>
      <c r="J896">
        <f>VLOOKUP(PREVIOS!F896&amp;VLOOKUP(PREVIOS!I896,PLAN!A:B,2,FALSE),CURSO!A:D,4,FALSE)</f>
        <v>22</v>
      </c>
      <c r="K896">
        <f>VLOOKUP(PREVIOS!H896,CICLO!A:B,2,FALSE)</f>
        <v>55</v>
      </c>
      <c r="L896">
        <f>VLOOKUP(PREVIOS!I896,PLAN!A:B,2,FALSE)</f>
        <v>6</v>
      </c>
    </row>
    <row r="897" spans="1:12" x14ac:dyDescent="0.25">
      <c r="A897" t="str">
        <f t="shared" si="13"/>
        <v>A417M259C1</v>
      </c>
      <c r="C897">
        <v>896</v>
      </c>
      <c r="D897">
        <f>VLOOKUP(PREVIOS!C897,ALUMNOS!A:B,2,FALSE)</f>
        <v>417</v>
      </c>
      <c r="E897">
        <f>VLOOKUP(PREVIOS!E897&amp;'TABLA PREVIOS'!J897,MATERIAS!A:H,7,FALSE)</f>
        <v>259</v>
      </c>
      <c r="F897">
        <f>VLOOKUP(PREVIOS!G897,CONDICION!A:B,2,FALSE)</f>
        <v>1</v>
      </c>
      <c r="G897">
        <f>IF(PREVIOS!AG897=1,1,VLOOKUP(PREVIOS!AG897,CALIFICACION!A:C,3,FALSE))</f>
        <v>1</v>
      </c>
      <c r="H897" s="1" t="s">
        <v>534</v>
      </c>
      <c r="I897" s="1" t="s">
        <v>534</v>
      </c>
      <c r="J897">
        <f>VLOOKUP(PREVIOS!F897&amp;VLOOKUP(PREVIOS!I897,PLAN!A:B,2,FALSE),CURSO!A:D,4,FALSE)</f>
        <v>20</v>
      </c>
      <c r="K897">
        <f>VLOOKUP(PREVIOS!H897,CICLO!A:B,2,FALSE)</f>
        <v>53</v>
      </c>
      <c r="L897">
        <f>VLOOKUP(PREVIOS!I897,PLAN!A:B,2,FALSE)</f>
        <v>6</v>
      </c>
    </row>
    <row r="898" spans="1:12" x14ac:dyDescent="0.25">
      <c r="A898" t="str">
        <f t="shared" si="13"/>
        <v>A417M274C1</v>
      </c>
      <c r="C898">
        <v>897</v>
      </c>
      <c r="D898">
        <f>VLOOKUP(PREVIOS!C898,ALUMNOS!A:B,2,FALSE)</f>
        <v>417</v>
      </c>
      <c r="E898">
        <f>VLOOKUP(PREVIOS!E898&amp;'TABLA PREVIOS'!J898,MATERIAS!A:H,7,FALSE)</f>
        <v>274</v>
      </c>
      <c r="F898">
        <f>VLOOKUP(PREVIOS!G898,CONDICION!A:B,2,FALSE)</f>
        <v>1</v>
      </c>
      <c r="G898">
        <f>IF(PREVIOS!AG898=1,1,VLOOKUP(PREVIOS!AG898,CALIFICACION!A:C,3,FALSE))</f>
        <v>1</v>
      </c>
      <c r="H898" s="1" t="s">
        <v>534</v>
      </c>
      <c r="I898" s="1" t="s">
        <v>534</v>
      </c>
      <c r="J898">
        <f>VLOOKUP(PREVIOS!F898&amp;VLOOKUP(PREVIOS!I898,PLAN!A:B,2,FALSE),CURSO!A:D,4,FALSE)</f>
        <v>21</v>
      </c>
      <c r="K898">
        <f>VLOOKUP(PREVIOS!H898,CICLO!A:B,2,FALSE)</f>
        <v>54</v>
      </c>
      <c r="L898">
        <f>VLOOKUP(PREVIOS!I898,PLAN!A:B,2,FALSE)</f>
        <v>6</v>
      </c>
    </row>
    <row r="899" spans="1:12" x14ac:dyDescent="0.25">
      <c r="A899" t="str">
        <f t="shared" ref="A899:A962" si="14">"A"&amp;D899&amp;"M"&amp;E899&amp;"C"&amp;F899</f>
        <v>A417M277C1</v>
      </c>
      <c r="C899">
        <v>898</v>
      </c>
      <c r="D899">
        <f>VLOOKUP(PREVIOS!C899,ALUMNOS!A:B,2,FALSE)</f>
        <v>417</v>
      </c>
      <c r="E899">
        <f>VLOOKUP(PREVIOS!E899&amp;'TABLA PREVIOS'!J899,MATERIAS!A:H,7,FALSE)</f>
        <v>277</v>
      </c>
      <c r="F899">
        <f>VLOOKUP(PREVIOS!G899,CONDICION!A:B,2,FALSE)</f>
        <v>1</v>
      </c>
      <c r="G899">
        <f>IF(PREVIOS!AG899=1,1,VLOOKUP(PREVIOS!AG899,CALIFICACION!A:C,3,FALSE))</f>
        <v>1</v>
      </c>
      <c r="H899" s="1" t="s">
        <v>534</v>
      </c>
      <c r="I899" s="1" t="s">
        <v>534</v>
      </c>
      <c r="J899">
        <f>VLOOKUP(PREVIOS!F899&amp;VLOOKUP(PREVIOS!I899,PLAN!A:B,2,FALSE),CURSO!A:D,4,FALSE)</f>
        <v>21</v>
      </c>
      <c r="K899">
        <f>VLOOKUP(PREVIOS!H899,CICLO!A:B,2,FALSE)</f>
        <v>54</v>
      </c>
      <c r="L899">
        <f>VLOOKUP(PREVIOS!I899,PLAN!A:B,2,FALSE)</f>
        <v>6</v>
      </c>
    </row>
    <row r="900" spans="1:12" x14ac:dyDescent="0.25">
      <c r="A900" t="str">
        <f t="shared" si="14"/>
        <v>A417M276C1</v>
      </c>
      <c r="C900">
        <v>899</v>
      </c>
      <c r="D900">
        <f>VLOOKUP(PREVIOS!C900,ALUMNOS!A:B,2,FALSE)</f>
        <v>417</v>
      </c>
      <c r="E900">
        <f>VLOOKUP(PREVIOS!E900&amp;'TABLA PREVIOS'!J900,MATERIAS!A:H,7,FALSE)</f>
        <v>276</v>
      </c>
      <c r="F900">
        <f>VLOOKUP(PREVIOS!G900,CONDICION!A:B,2,FALSE)</f>
        <v>1</v>
      </c>
      <c r="G900">
        <f>IF(PREVIOS!AG900=1,1,VLOOKUP(PREVIOS!AG900,CALIFICACION!A:C,3,FALSE))</f>
        <v>1</v>
      </c>
      <c r="H900" s="1" t="s">
        <v>534</v>
      </c>
      <c r="I900" s="1" t="s">
        <v>534</v>
      </c>
      <c r="J900">
        <f>VLOOKUP(PREVIOS!F900&amp;VLOOKUP(PREVIOS!I900,PLAN!A:B,2,FALSE),CURSO!A:D,4,FALSE)</f>
        <v>21</v>
      </c>
      <c r="K900">
        <f>VLOOKUP(PREVIOS!H900,CICLO!A:B,2,FALSE)</f>
        <v>54</v>
      </c>
      <c r="L900">
        <f>VLOOKUP(PREVIOS!I900,PLAN!A:B,2,FALSE)</f>
        <v>6</v>
      </c>
    </row>
    <row r="901" spans="1:12" x14ac:dyDescent="0.25">
      <c r="A901" t="str">
        <f t="shared" si="14"/>
        <v>A417M275C1</v>
      </c>
      <c r="C901">
        <v>900</v>
      </c>
      <c r="D901">
        <f>VLOOKUP(PREVIOS!C901,ALUMNOS!A:B,2,FALSE)</f>
        <v>417</v>
      </c>
      <c r="E901">
        <f>VLOOKUP(PREVIOS!E901&amp;'TABLA PREVIOS'!J901,MATERIAS!A:H,7,FALSE)</f>
        <v>275</v>
      </c>
      <c r="F901">
        <f>VLOOKUP(PREVIOS!G901,CONDICION!A:B,2,FALSE)</f>
        <v>1</v>
      </c>
      <c r="G901">
        <f>IF(PREVIOS!AG901=1,1,VLOOKUP(PREVIOS!AG901,CALIFICACION!A:C,3,FALSE))</f>
        <v>1</v>
      </c>
      <c r="H901" s="1" t="s">
        <v>534</v>
      </c>
      <c r="I901" s="1" t="s">
        <v>534</v>
      </c>
      <c r="J901">
        <f>VLOOKUP(PREVIOS!F901&amp;VLOOKUP(PREVIOS!I901,PLAN!A:B,2,FALSE),CURSO!A:D,4,FALSE)</f>
        <v>21</v>
      </c>
      <c r="K901">
        <f>VLOOKUP(PREVIOS!H901,CICLO!A:B,2,FALSE)</f>
        <v>54</v>
      </c>
      <c r="L901">
        <f>VLOOKUP(PREVIOS!I901,PLAN!A:B,2,FALSE)</f>
        <v>6</v>
      </c>
    </row>
    <row r="902" spans="1:12" x14ac:dyDescent="0.25">
      <c r="A902" t="str">
        <f t="shared" si="14"/>
        <v>A417M273C1</v>
      </c>
      <c r="C902">
        <v>901</v>
      </c>
      <c r="D902">
        <f>VLOOKUP(PREVIOS!C902,ALUMNOS!A:B,2,FALSE)</f>
        <v>417</v>
      </c>
      <c r="E902">
        <f>VLOOKUP(PREVIOS!E902&amp;'TABLA PREVIOS'!J902,MATERIAS!A:H,7,FALSE)</f>
        <v>273</v>
      </c>
      <c r="F902">
        <f>VLOOKUP(PREVIOS!G902,CONDICION!A:B,2,FALSE)</f>
        <v>1</v>
      </c>
      <c r="G902">
        <f>IF(PREVIOS!AG902=1,1,VLOOKUP(PREVIOS!AG902,CALIFICACION!A:C,3,FALSE))</f>
        <v>1</v>
      </c>
      <c r="H902" s="1" t="s">
        <v>534</v>
      </c>
      <c r="I902" s="1" t="s">
        <v>534</v>
      </c>
      <c r="J902">
        <f>VLOOKUP(PREVIOS!F902&amp;VLOOKUP(PREVIOS!I902,PLAN!A:B,2,FALSE),CURSO!A:D,4,FALSE)</f>
        <v>21</v>
      </c>
      <c r="K902">
        <f>VLOOKUP(PREVIOS!H902,CICLO!A:B,2,FALSE)</f>
        <v>54</v>
      </c>
      <c r="L902">
        <f>VLOOKUP(PREVIOS!I902,PLAN!A:B,2,FALSE)</f>
        <v>6</v>
      </c>
    </row>
    <row r="903" spans="1:12" x14ac:dyDescent="0.25">
      <c r="A903" t="str">
        <f t="shared" si="14"/>
        <v>A417M285C1</v>
      </c>
      <c r="C903">
        <v>902</v>
      </c>
      <c r="D903">
        <f>VLOOKUP(PREVIOS!C903,ALUMNOS!A:B,2,FALSE)</f>
        <v>417</v>
      </c>
      <c r="E903">
        <f>VLOOKUP(PREVIOS!E903&amp;'TABLA PREVIOS'!J903,MATERIAS!A:H,7,FALSE)</f>
        <v>285</v>
      </c>
      <c r="F903">
        <f>VLOOKUP(PREVIOS!G903,CONDICION!A:B,2,FALSE)</f>
        <v>1</v>
      </c>
      <c r="G903">
        <f>IF(PREVIOS!AG903=1,1,VLOOKUP(PREVIOS!AG903,CALIFICACION!A:C,3,FALSE))</f>
        <v>1</v>
      </c>
      <c r="H903" s="1" t="s">
        <v>534</v>
      </c>
      <c r="I903" s="1" t="s">
        <v>534</v>
      </c>
      <c r="J903">
        <f>VLOOKUP(PREVIOS!F903&amp;VLOOKUP(PREVIOS!I903,PLAN!A:B,2,FALSE),CURSO!A:D,4,FALSE)</f>
        <v>22</v>
      </c>
      <c r="K903">
        <f>VLOOKUP(PREVIOS!H903,CICLO!A:B,2,FALSE)</f>
        <v>55</v>
      </c>
      <c r="L903">
        <f>VLOOKUP(PREVIOS!I903,PLAN!A:B,2,FALSE)</f>
        <v>6</v>
      </c>
    </row>
    <row r="904" spans="1:12" x14ac:dyDescent="0.25">
      <c r="A904" t="str">
        <f t="shared" si="14"/>
        <v>A417M284C1</v>
      </c>
      <c r="C904">
        <v>903</v>
      </c>
      <c r="D904">
        <f>VLOOKUP(PREVIOS!C904,ALUMNOS!A:B,2,FALSE)</f>
        <v>417</v>
      </c>
      <c r="E904">
        <f>VLOOKUP(PREVIOS!E904&amp;'TABLA PREVIOS'!J904,MATERIAS!A:H,7,FALSE)</f>
        <v>284</v>
      </c>
      <c r="F904">
        <f>VLOOKUP(PREVIOS!G904,CONDICION!A:B,2,FALSE)</f>
        <v>1</v>
      </c>
      <c r="G904">
        <f>IF(PREVIOS!AG904=1,1,VLOOKUP(PREVIOS!AG904,CALIFICACION!A:C,3,FALSE))</f>
        <v>1</v>
      </c>
      <c r="H904" s="1" t="s">
        <v>534</v>
      </c>
      <c r="I904" s="1" t="s">
        <v>534</v>
      </c>
      <c r="J904">
        <f>VLOOKUP(PREVIOS!F904&amp;VLOOKUP(PREVIOS!I904,PLAN!A:B,2,FALSE),CURSO!A:D,4,FALSE)</f>
        <v>22</v>
      </c>
      <c r="K904">
        <f>VLOOKUP(PREVIOS!H904,CICLO!A:B,2,FALSE)</f>
        <v>55</v>
      </c>
      <c r="L904">
        <f>VLOOKUP(PREVIOS!I904,PLAN!A:B,2,FALSE)</f>
        <v>6</v>
      </c>
    </row>
    <row r="905" spans="1:12" x14ac:dyDescent="0.25">
      <c r="A905" t="str">
        <f t="shared" si="14"/>
        <v>A417M287C1</v>
      </c>
      <c r="C905">
        <v>904</v>
      </c>
      <c r="D905">
        <f>VLOOKUP(PREVIOS!C905,ALUMNOS!A:B,2,FALSE)</f>
        <v>417</v>
      </c>
      <c r="E905">
        <f>VLOOKUP(PREVIOS!E905&amp;'TABLA PREVIOS'!J905,MATERIAS!A:H,7,FALSE)</f>
        <v>287</v>
      </c>
      <c r="F905">
        <f>VLOOKUP(PREVIOS!G905,CONDICION!A:B,2,FALSE)</f>
        <v>1</v>
      </c>
      <c r="G905">
        <f>IF(PREVIOS!AG905=1,1,VLOOKUP(PREVIOS!AG905,CALIFICACION!A:C,3,FALSE))</f>
        <v>1</v>
      </c>
      <c r="H905" s="1" t="s">
        <v>534</v>
      </c>
      <c r="I905" s="1" t="s">
        <v>534</v>
      </c>
      <c r="J905">
        <f>VLOOKUP(PREVIOS!F905&amp;VLOOKUP(PREVIOS!I905,PLAN!A:B,2,FALSE),CURSO!A:D,4,FALSE)</f>
        <v>22</v>
      </c>
      <c r="K905">
        <f>VLOOKUP(PREVIOS!H905,CICLO!A:B,2,FALSE)</f>
        <v>55</v>
      </c>
      <c r="L905">
        <f>VLOOKUP(PREVIOS!I905,PLAN!A:B,2,FALSE)</f>
        <v>6</v>
      </c>
    </row>
    <row r="906" spans="1:12" x14ac:dyDescent="0.25">
      <c r="A906" t="str">
        <f t="shared" si="14"/>
        <v>A417M286C1</v>
      </c>
      <c r="C906">
        <v>905</v>
      </c>
      <c r="D906">
        <f>VLOOKUP(PREVIOS!C906,ALUMNOS!A:B,2,FALSE)</f>
        <v>417</v>
      </c>
      <c r="E906">
        <f>VLOOKUP(PREVIOS!E906&amp;'TABLA PREVIOS'!J906,MATERIAS!A:H,7,FALSE)</f>
        <v>286</v>
      </c>
      <c r="F906">
        <f>VLOOKUP(PREVIOS!G906,CONDICION!A:B,2,FALSE)</f>
        <v>1</v>
      </c>
      <c r="G906">
        <f>IF(PREVIOS!AG906=1,1,VLOOKUP(PREVIOS!AG906,CALIFICACION!A:C,3,FALSE))</f>
        <v>1</v>
      </c>
      <c r="H906" s="1" t="s">
        <v>534</v>
      </c>
      <c r="I906" s="1" t="s">
        <v>534</v>
      </c>
      <c r="J906">
        <f>VLOOKUP(PREVIOS!F906&amp;VLOOKUP(PREVIOS!I906,PLAN!A:B,2,FALSE),CURSO!A:D,4,FALSE)</f>
        <v>22</v>
      </c>
      <c r="K906">
        <f>VLOOKUP(PREVIOS!H906,CICLO!A:B,2,FALSE)</f>
        <v>55</v>
      </c>
      <c r="L906">
        <f>VLOOKUP(PREVIOS!I906,PLAN!A:B,2,FALSE)</f>
        <v>6</v>
      </c>
    </row>
    <row r="907" spans="1:12" x14ac:dyDescent="0.25">
      <c r="A907" t="str">
        <f t="shared" si="14"/>
        <v>A417M292C1</v>
      </c>
      <c r="C907">
        <v>906</v>
      </c>
      <c r="D907">
        <f>VLOOKUP(PREVIOS!C907,ALUMNOS!A:B,2,FALSE)</f>
        <v>417</v>
      </c>
      <c r="E907">
        <f>VLOOKUP(PREVIOS!E907&amp;'TABLA PREVIOS'!J907,MATERIAS!A:H,7,FALSE)</f>
        <v>292</v>
      </c>
      <c r="F907">
        <f>VLOOKUP(PREVIOS!G907,CONDICION!A:B,2,FALSE)</f>
        <v>1</v>
      </c>
      <c r="G907">
        <f>IF(PREVIOS!AG907=1,1,VLOOKUP(PREVIOS!AG907,CALIFICACION!A:C,3,FALSE))</f>
        <v>1</v>
      </c>
      <c r="H907" s="1" t="s">
        <v>534</v>
      </c>
      <c r="I907" s="1" t="s">
        <v>534</v>
      </c>
      <c r="J907">
        <f>VLOOKUP(PREVIOS!F907&amp;VLOOKUP(PREVIOS!I907,PLAN!A:B,2,FALSE),CURSO!A:D,4,FALSE)</f>
        <v>22</v>
      </c>
      <c r="K907">
        <f>VLOOKUP(PREVIOS!H907,CICLO!A:B,2,FALSE)</f>
        <v>55</v>
      </c>
      <c r="L907">
        <f>VLOOKUP(PREVIOS!I907,PLAN!A:B,2,FALSE)</f>
        <v>6</v>
      </c>
    </row>
    <row r="908" spans="1:12" x14ac:dyDescent="0.25">
      <c r="A908" t="str">
        <f t="shared" si="14"/>
        <v>A417M291C1</v>
      </c>
      <c r="C908">
        <v>907</v>
      </c>
      <c r="D908">
        <f>VLOOKUP(PREVIOS!C908,ALUMNOS!A:B,2,FALSE)</f>
        <v>417</v>
      </c>
      <c r="E908">
        <f>VLOOKUP(PREVIOS!E908&amp;'TABLA PREVIOS'!J908,MATERIAS!A:H,7,FALSE)</f>
        <v>291</v>
      </c>
      <c r="F908">
        <f>VLOOKUP(PREVIOS!G908,CONDICION!A:B,2,FALSE)</f>
        <v>1</v>
      </c>
      <c r="G908">
        <f>IF(PREVIOS!AG908=1,1,VLOOKUP(PREVIOS!AG908,CALIFICACION!A:C,3,FALSE))</f>
        <v>1</v>
      </c>
      <c r="H908" s="1" t="s">
        <v>534</v>
      </c>
      <c r="I908" s="1" t="s">
        <v>534</v>
      </c>
      <c r="J908">
        <f>VLOOKUP(PREVIOS!F908&amp;VLOOKUP(PREVIOS!I908,PLAN!A:B,2,FALSE),CURSO!A:D,4,FALSE)</f>
        <v>22</v>
      </c>
      <c r="K908">
        <f>VLOOKUP(PREVIOS!H908,CICLO!A:B,2,FALSE)</f>
        <v>55</v>
      </c>
      <c r="L908">
        <f>VLOOKUP(PREVIOS!I908,PLAN!A:B,2,FALSE)</f>
        <v>6</v>
      </c>
    </row>
    <row r="909" spans="1:12" x14ac:dyDescent="0.25">
      <c r="A909" t="str">
        <f t="shared" si="14"/>
        <v>A417M282C1</v>
      </c>
      <c r="C909">
        <v>908</v>
      </c>
      <c r="D909">
        <f>VLOOKUP(PREVIOS!C909,ALUMNOS!A:B,2,FALSE)</f>
        <v>417</v>
      </c>
      <c r="E909">
        <f>VLOOKUP(PREVIOS!E909&amp;'TABLA PREVIOS'!J909,MATERIAS!A:H,7,FALSE)</f>
        <v>282</v>
      </c>
      <c r="F909">
        <f>VLOOKUP(PREVIOS!G909,CONDICION!A:B,2,FALSE)</f>
        <v>1</v>
      </c>
      <c r="G909">
        <f>IF(PREVIOS!AG909=1,1,VLOOKUP(PREVIOS!AG909,CALIFICACION!A:C,3,FALSE))</f>
        <v>1</v>
      </c>
      <c r="H909" s="1" t="s">
        <v>534</v>
      </c>
      <c r="I909" s="1" t="s">
        <v>534</v>
      </c>
      <c r="J909">
        <f>VLOOKUP(PREVIOS!F909&amp;VLOOKUP(PREVIOS!I909,PLAN!A:B,2,FALSE),CURSO!A:D,4,FALSE)</f>
        <v>22</v>
      </c>
      <c r="K909">
        <f>VLOOKUP(PREVIOS!H909,CICLO!A:B,2,FALSE)</f>
        <v>55</v>
      </c>
      <c r="L909">
        <f>VLOOKUP(PREVIOS!I909,PLAN!A:B,2,FALSE)</f>
        <v>6</v>
      </c>
    </row>
    <row r="910" spans="1:12" x14ac:dyDescent="0.25">
      <c r="A910" t="str">
        <f t="shared" si="14"/>
        <v>A417M279C1</v>
      </c>
      <c r="C910">
        <v>909</v>
      </c>
      <c r="D910">
        <f>VLOOKUP(PREVIOS!C910,ALUMNOS!A:B,2,FALSE)</f>
        <v>417</v>
      </c>
      <c r="E910">
        <f>VLOOKUP(PREVIOS!E910&amp;'TABLA PREVIOS'!J910,MATERIAS!A:H,7,FALSE)</f>
        <v>279</v>
      </c>
      <c r="F910">
        <f>VLOOKUP(PREVIOS!G910,CONDICION!A:B,2,FALSE)</f>
        <v>1</v>
      </c>
      <c r="G910">
        <f>IF(PREVIOS!AG910=1,1,VLOOKUP(PREVIOS!AG910,CALIFICACION!A:C,3,FALSE))</f>
        <v>1</v>
      </c>
      <c r="H910" s="1" t="s">
        <v>534</v>
      </c>
      <c r="I910" s="1" t="s">
        <v>534</v>
      </c>
      <c r="J910">
        <f>VLOOKUP(PREVIOS!F910&amp;VLOOKUP(PREVIOS!I910,PLAN!A:B,2,FALSE),CURSO!A:D,4,FALSE)</f>
        <v>22</v>
      </c>
      <c r="K910">
        <f>VLOOKUP(PREVIOS!H910,CICLO!A:B,2,FALSE)</f>
        <v>55</v>
      </c>
      <c r="L910">
        <f>VLOOKUP(PREVIOS!I910,PLAN!A:B,2,FALSE)</f>
        <v>6</v>
      </c>
    </row>
    <row r="911" spans="1:12" x14ac:dyDescent="0.25">
      <c r="A911" t="str">
        <f t="shared" si="14"/>
        <v>A417M280C1</v>
      </c>
      <c r="C911">
        <v>910</v>
      </c>
      <c r="D911">
        <f>VLOOKUP(PREVIOS!C911,ALUMNOS!A:B,2,FALSE)</f>
        <v>417</v>
      </c>
      <c r="E911">
        <f>VLOOKUP(PREVIOS!E911&amp;'TABLA PREVIOS'!J911,MATERIAS!A:H,7,FALSE)</f>
        <v>280</v>
      </c>
      <c r="F911">
        <f>VLOOKUP(PREVIOS!G911,CONDICION!A:B,2,FALSE)</f>
        <v>1</v>
      </c>
      <c r="G911">
        <f>IF(PREVIOS!AG911=1,1,VLOOKUP(PREVIOS!AG911,CALIFICACION!A:C,3,FALSE))</f>
        <v>1</v>
      </c>
      <c r="H911" s="1" t="s">
        <v>534</v>
      </c>
      <c r="I911" s="1" t="s">
        <v>534</v>
      </c>
      <c r="J911">
        <f>VLOOKUP(PREVIOS!F911&amp;VLOOKUP(PREVIOS!I911,PLAN!A:B,2,FALSE),CURSO!A:D,4,FALSE)</f>
        <v>22</v>
      </c>
      <c r="K911">
        <f>VLOOKUP(PREVIOS!H911,CICLO!A:B,2,FALSE)</f>
        <v>55</v>
      </c>
      <c r="L911">
        <f>VLOOKUP(PREVIOS!I911,PLAN!A:B,2,FALSE)</f>
        <v>6</v>
      </c>
    </row>
    <row r="912" spans="1:12" x14ac:dyDescent="0.25">
      <c r="A912" t="str">
        <f t="shared" si="14"/>
        <v>A417M281C1</v>
      </c>
      <c r="C912">
        <v>911</v>
      </c>
      <c r="D912">
        <f>VLOOKUP(PREVIOS!C912,ALUMNOS!A:B,2,FALSE)</f>
        <v>417</v>
      </c>
      <c r="E912">
        <f>VLOOKUP(PREVIOS!E912&amp;'TABLA PREVIOS'!J912,MATERIAS!A:H,7,FALSE)</f>
        <v>281</v>
      </c>
      <c r="F912">
        <f>VLOOKUP(PREVIOS!G912,CONDICION!A:B,2,FALSE)</f>
        <v>1</v>
      </c>
      <c r="G912">
        <f>IF(PREVIOS!AG912=1,1,VLOOKUP(PREVIOS!AG912,CALIFICACION!A:C,3,FALSE))</f>
        <v>1</v>
      </c>
      <c r="H912" s="1" t="s">
        <v>534</v>
      </c>
      <c r="I912" s="1" t="s">
        <v>534</v>
      </c>
      <c r="J912">
        <f>VLOOKUP(PREVIOS!F912&amp;VLOOKUP(PREVIOS!I912,PLAN!A:B,2,FALSE),CURSO!A:D,4,FALSE)</f>
        <v>22</v>
      </c>
      <c r="K912">
        <f>VLOOKUP(PREVIOS!H912,CICLO!A:B,2,FALSE)</f>
        <v>55</v>
      </c>
      <c r="L912">
        <f>VLOOKUP(PREVIOS!I912,PLAN!A:B,2,FALSE)</f>
        <v>6</v>
      </c>
    </row>
    <row r="913" spans="1:12" x14ac:dyDescent="0.25">
      <c r="A913" t="str">
        <f t="shared" si="14"/>
        <v>A417M288C1</v>
      </c>
      <c r="C913">
        <v>912</v>
      </c>
      <c r="D913">
        <f>VLOOKUP(PREVIOS!C913,ALUMNOS!A:B,2,FALSE)</f>
        <v>417</v>
      </c>
      <c r="E913">
        <f>VLOOKUP(PREVIOS!E913&amp;'TABLA PREVIOS'!J913,MATERIAS!A:H,7,FALSE)</f>
        <v>288</v>
      </c>
      <c r="F913">
        <f>VLOOKUP(PREVIOS!G913,CONDICION!A:B,2,FALSE)</f>
        <v>1</v>
      </c>
      <c r="G913">
        <f>IF(PREVIOS!AG913=1,1,VLOOKUP(PREVIOS!AG913,CALIFICACION!A:C,3,FALSE))</f>
        <v>1</v>
      </c>
      <c r="H913" s="1" t="s">
        <v>534</v>
      </c>
      <c r="I913" s="1" t="s">
        <v>534</v>
      </c>
      <c r="J913">
        <f>VLOOKUP(PREVIOS!F913&amp;VLOOKUP(PREVIOS!I913,PLAN!A:B,2,FALSE),CURSO!A:D,4,FALSE)</f>
        <v>22</v>
      </c>
      <c r="K913">
        <f>VLOOKUP(PREVIOS!H913,CICLO!A:B,2,FALSE)</f>
        <v>55</v>
      </c>
      <c r="L913">
        <f>VLOOKUP(PREVIOS!I913,PLAN!A:B,2,FALSE)</f>
        <v>6</v>
      </c>
    </row>
    <row r="914" spans="1:12" x14ac:dyDescent="0.25">
      <c r="A914" t="str">
        <f t="shared" si="14"/>
        <v>A417M290C1</v>
      </c>
      <c r="C914">
        <v>913</v>
      </c>
      <c r="D914">
        <f>VLOOKUP(PREVIOS!C914,ALUMNOS!A:B,2,FALSE)</f>
        <v>417</v>
      </c>
      <c r="E914">
        <f>VLOOKUP(PREVIOS!E914&amp;'TABLA PREVIOS'!J914,MATERIAS!A:H,7,FALSE)</f>
        <v>290</v>
      </c>
      <c r="F914">
        <f>VLOOKUP(PREVIOS!G914,CONDICION!A:B,2,FALSE)</f>
        <v>1</v>
      </c>
      <c r="G914">
        <f>IF(PREVIOS!AG914=1,1,VLOOKUP(PREVIOS!AG914,CALIFICACION!A:C,3,FALSE))</f>
        <v>1</v>
      </c>
      <c r="H914" s="1" t="s">
        <v>534</v>
      </c>
      <c r="I914" s="1" t="s">
        <v>534</v>
      </c>
      <c r="J914">
        <f>VLOOKUP(PREVIOS!F914&amp;VLOOKUP(PREVIOS!I914,PLAN!A:B,2,FALSE),CURSO!A:D,4,FALSE)</f>
        <v>22</v>
      </c>
      <c r="K914">
        <f>VLOOKUP(PREVIOS!H914,CICLO!A:B,2,FALSE)</f>
        <v>55</v>
      </c>
      <c r="L914">
        <f>VLOOKUP(PREVIOS!I914,PLAN!A:B,2,FALSE)</f>
        <v>6</v>
      </c>
    </row>
    <row r="915" spans="1:12" x14ac:dyDescent="0.25">
      <c r="A915" t="str">
        <f t="shared" si="14"/>
        <v>A428M247C1</v>
      </c>
      <c r="C915">
        <v>914</v>
      </c>
      <c r="D915">
        <f>VLOOKUP(PREVIOS!C915,ALUMNOS!A:B,2,FALSE)</f>
        <v>428</v>
      </c>
      <c r="E915">
        <f>VLOOKUP(PREVIOS!E915&amp;'TABLA PREVIOS'!J915,MATERIAS!A:H,7,FALSE)</f>
        <v>247</v>
      </c>
      <c r="F915">
        <f>VLOOKUP(PREVIOS!G915,CONDICION!A:B,2,FALSE)</f>
        <v>1</v>
      </c>
      <c r="G915">
        <f>IF(PREVIOS!AG915=1,1,VLOOKUP(PREVIOS!AG915,CALIFICACION!A:C,3,FALSE))</f>
        <v>1</v>
      </c>
      <c r="H915" s="1" t="s">
        <v>534</v>
      </c>
      <c r="I915" s="1" t="s">
        <v>534</v>
      </c>
      <c r="J915">
        <f>VLOOKUP(PREVIOS!F915&amp;VLOOKUP(PREVIOS!I915,PLAN!A:B,2,FALSE),CURSO!A:D,4,FALSE)</f>
        <v>19</v>
      </c>
      <c r="K915">
        <f>VLOOKUP(PREVIOS!H915,CICLO!A:B,2,FALSE)</f>
        <v>52</v>
      </c>
      <c r="L915">
        <f>VLOOKUP(PREVIOS!I915,PLAN!A:B,2,FALSE)</f>
        <v>5</v>
      </c>
    </row>
    <row r="916" spans="1:12" x14ac:dyDescent="0.25">
      <c r="A916" t="str">
        <f t="shared" si="14"/>
        <v>A428M245C1</v>
      </c>
      <c r="C916">
        <v>915</v>
      </c>
      <c r="D916">
        <f>VLOOKUP(PREVIOS!C916,ALUMNOS!A:B,2,FALSE)</f>
        <v>428</v>
      </c>
      <c r="E916">
        <f>VLOOKUP(PREVIOS!E916&amp;'TABLA PREVIOS'!J916,MATERIAS!A:H,7,FALSE)</f>
        <v>245</v>
      </c>
      <c r="F916">
        <f>VLOOKUP(PREVIOS!G916,CONDICION!A:B,2,FALSE)</f>
        <v>1</v>
      </c>
      <c r="G916">
        <f>IF(PREVIOS!AG916=1,1,VLOOKUP(PREVIOS!AG916,CALIFICACION!A:C,3,FALSE))</f>
        <v>1</v>
      </c>
      <c r="H916" s="1" t="s">
        <v>534</v>
      </c>
      <c r="I916" s="1" t="s">
        <v>534</v>
      </c>
      <c r="J916">
        <f>VLOOKUP(PREVIOS!F916&amp;VLOOKUP(PREVIOS!I916,PLAN!A:B,2,FALSE),CURSO!A:D,4,FALSE)</f>
        <v>19</v>
      </c>
      <c r="K916">
        <f>VLOOKUP(PREVIOS!H916,CICLO!A:B,2,FALSE)</f>
        <v>52</v>
      </c>
      <c r="L916">
        <f>VLOOKUP(PREVIOS!I916,PLAN!A:B,2,FALSE)</f>
        <v>5</v>
      </c>
    </row>
    <row r="917" spans="1:12" x14ac:dyDescent="0.25">
      <c r="A917" t="str">
        <f t="shared" si="14"/>
        <v>A428M274C1</v>
      </c>
      <c r="C917">
        <v>916</v>
      </c>
      <c r="D917">
        <f>VLOOKUP(PREVIOS!C917,ALUMNOS!A:B,2,FALSE)</f>
        <v>428</v>
      </c>
      <c r="E917">
        <f>VLOOKUP(PREVIOS!E917&amp;'TABLA PREVIOS'!J917,MATERIAS!A:H,7,FALSE)</f>
        <v>274</v>
      </c>
      <c r="F917">
        <f>VLOOKUP(PREVIOS!G917,CONDICION!A:B,2,FALSE)</f>
        <v>1</v>
      </c>
      <c r="G917">
        <f>IF(PREVIOS!AG917=1,1,VLOOKUP(PREVIOS!AG917,CALIFICACION!A:C,3,FALSE))</f>
        <v>1</v>
      </c>
      <c r="H917" s="1" t="s">
        <v>534</v>
      </c>
      <c r="I917" s="1" t="s">
        <v>534</v>
      </c>
      <c r="J917">
        <f>VLOOKUP(PREVIOS!F917&amp;VLOOKUP(PREVIOS!I917,PLAN!A:B,2,FALSE),CURSO!A:D,4,FALSE)</f>
        <v>21</v>
      </c>
      <c r="K917">
        <f>VLOOKUP(PREVIOS!H917,CICLO!A:B,2,FALSE)</f>
        <v>54</v>
      </c>
      <c r="L917">
        <f>VLOOKUP(PREVIOS!I917,PLAN!A:B,2,FALSE)</f>
        <v>6</v>
      </c>
    </row>
    <row r="918" spans="1:12" x14ac:dyDescent="0.25">
      <c r="A918" t="str">
        <f t="shared" si="14"/>
        <v>A428M277C1</v>
      </c>
      <c r="C918">
        <v>917</v>
      </c>
      <c r="D918">
        <f>VLOOKUP(PREVIOS!C918,ALUMNOS!A:B,2,FALSE)</f>
        <v>428</v>
      </c>
      <c r="E918">
        <f>VLOOKUP(PREVIOS!E918&amp;'TABLA PREVIOS'!J918,MATERIAS!A:H,7,FALSE)</f>
        <v>277</v>
      </c>
      <c r="F918">
        <f>VLOOKUP(PREVIOS!G918,CONDICION!A:B,2,FALSE)</f>
        <v>1</v>
      </c>
      <c r="G918">
        <f>IF(PREVIOS!AG918=1,1,VLOOKUP(PREVIOS!AG918,CALIFICACION!A:C,3,FALSE))</f>
        <v>1</v>
      </c>
      <c r="H918" s="1" t="s">
        <v>534</v>
      </c>
      <c r="I918" s="1" t="s">
        <v>534</v>
      </c>
      <c r="J918">
        <f>VLOOKUP(PREVIOS!F918&amp;VLOOKUP(PREVIOS!I918,PLAN!A:B,2,FALSE),CURSO!A:D,4,FALSE)</f>
        <v>21</v>
      </c>
      <c r="K918">
        <f>VLOOKUP(PREVIOS!H918,CICLO!A:B,2,FALSE)</f>
        <v>54</v>
      </c>
      <c r="L918">
        <f>VLOOKUP(PREVIOS!I918,PLAN!A:B,2,FALSE)</f>
        <v>6</v>
      </c>
    </row>
    <row r="919" spans="1:12" x14ac:dyDescent="0.25">
      <c r="A919" t="str">
        <f t="shared" si="14"/>
        <v>A428M276C1</v>
      </c>
      <c r="C919">
        <v>918</v>
      </c>
      <c r="D919">
        <f>VLOOKUP(PREVIOS!C919,ALUMNOS!A:B,2,FALSE)</f>
        <v>428</v>
      </c>
      <c r="E919">
        <f>VLOOKUP(PREVIOS!E919&amp;'TABLA PREVIOS'!J919,MATERIAS!A:H,7,FALSE)</f>
        <v>276</v>
      </c>
      <c r="F919">
        <f>VLOOKUP(PREVIOS!G919,CONDICION!A:B,2,FALSE)</f>
        <v>1</v>
      </c>
      <c r="G919">
        <f>IF(PREVIOS!AG919=1,1,VLOOKUP(PREVIOS!AG919,CALIFICACION!A:C,3,FALSE))</f>
        <v>1</v>
      </c>
      <c r="H919" s="1" t="s">
        <v>534</v>
      </c>
      <c r="I919" s="1" t="s">
        <v>534</v>
      </c>
      <c r="J919">
        <f>VLOOKUP(PREVIOS!F919&amp;VLOOKUP(PREVIOS!I919,PLAN!A:B,2,FALSE),CURSO!A:D,4,FALSE)</f>
        <v>21</v>
      </c>
      <c r="K919">
        <f>VLOOKUP(PREVIOS!H919,CICLO!A:B,2,FALSE)</f>
        <v>54</v>
      </c>
      <c r="L919">
        <f>VLOOKUP(PREVIOS!I919,PLAN!A:B,2,FALSE)</f>
        <v>6</v>
      </c>
    </row>
    <row r="920" spans="1:12" x14ac:dyDescent="0.25">
      <c r="A920" t="str">
        <f t="shared" si="14"/>
        <v>A428M275C1</v>
      </c>
      <c r="C920">
        <v>919</v>
      </c>
      <c r="D920">
        <f>VLOOKUP(PREVIOS!C920,ALUMNOS!A:B,2,FALSE)</f>
        <v>428</v>
      </c>
      <c r="E920">
        <f>VLOOKUP(PREVIOS!E920&amp;'TABLA PREVIOS'!J920,MATERIAS!A:H,7,FALSE)</f>
        <v>275</v>
      </c>
      <c r="F920">
        <f>VLOOKUP(PREVIOS!G920,CONDICION!A:B,2,FALSE)</f>
        <v>1</v>
      </c>
      <c r="G920">
        <f>IF(PREVIOS!AG920=1,1,VLOOKUP(PREVIOS!AG920,CALIFICACION!A:C,3,FALSE))</f>
        <v>1</v>
      </c>
      <c r="H920" s="1" t="s">
        <v>534</v>
      </c>
      <c r="I920" s="1" t="s">
        <v>534</v>
      </c>
      <c r="J920">
        <f>VLOOKUP(PREVIOS!F920&amp;VLOOKUP(PREVIOS!I920,PLAN!A:B,2,FALSE),CURSO!A:D,4,FALSE)</f>
        <v>21</v>
      </c>
      <c r="K920">
        <f>VLOOKUP(PREVIOS!H920,CICLO!A:B,2,FALSE)</f>
        <v>54</v>
      </c>
      <c r="L920">
        <f>VLOOKUP(PREVIOS!I920,PLAN!A:B,2,FALSE)</f>
        <v>6</v>
      </c>
    </row>
    <row r="921" spans="1:12" x14ac:dyDescent="0.25">
      <c r="A921" t="str">
        <f t="shared" si="14"/>
        <v>A428M273C1</v>
      </c>
      <c r="C921">
        <v>920</v>
      </c>
      <c r="D921">
        <f>VLOOKUP(PREVIOS!C921,ALUMNOS!A:B,2,FALSE)</f>
        <v>428</v>
      </c>
      <c r="E921">
        <f>VLOOKUP(PREVIOS!E921&amp;'TABLA PREVIOS'!J921,MATERIAS!A:H,7,FALSE)</f>
        <v>273</v>
      </c>
      <c r="F921">
        <f>VLOOKUP(PREVIOS!G921,CONDICION!A:B,2,FALSE)</f>
        <v>1</v>
      </c>
      <c r="G921">
        <f>IF(PREVIOS!AG921=1,1,VLOOKUP(PREVIOS!AG921,CALIFICACION!A:C,3,FALSE))</f>
        <v>1</v>
      </c>
      <c r="H921" s="1" t="s">
        <v>534</v>
      </c>
      <c r="I921" s="1" t="s">
        <v>534</v>
      </c>
      <c r="J921">
        <f>VLOOKUP(PREVIOS!F921&amp;VLOOKUP(PREVIOS!I921,PLAN!A:B,2,FALSE),CURSO!A:D,4,FALSE)</f>
        <v>21</v>
      </c>
      <c r="K921">
        <f>VLOOKUP(PREVIOS!H921,CICLO!A:B,2,FALSE)</f>
        <v>54</v>
      </c>
      <c r="L921">
        <f>VLOOKUP(PREVIOS!I921,PLAN!A:B,2,FALSE)</f>
        <v>6</v>
      </c>
    </row>
    <row r="922" spans="1:12" x14ac:dyDescent="0.25">
      <c r="A922" t="str">
        <f t="shared" si="14"/>
        <v>A428M280C1</v>
      </c>
      <c r="C922">
        <v>921</v>
      </c>
      <c r="D922">
        <f>VLOOKUP(PREVIOS!C922,ALUMNOS!A:B,2,FALSE)</f>
        <v>428</v>
      </c>
      <c r="E922">
        <f>VLOOKUP(PREVIOS!E922&amp;'TABLA PREVIOS'!J922,MATERIAS!A:H,7,FALSE)</f>
        <v>280</v>
      </c>
      <c r="F922">
        <f>VLOOKUP(PREVIOS!G922,CONDICION!A:B,2,FALSE)</f>
        <v>1</v>
      </c>
      <c r="G922">
        <f>IF(PREVIOS!AG922=1,1,VLOOKUP(PREVIOS!AG922,CALIFICACION!A:C,3,FALSE))</f>
        <v>1</v>
      </c>
      <c r="H922" s="1" t="s">
        <v>534</v>
      </c>
      <c r="I922" s="1" t="s">
        <v>534</v>
      </c>
      <c r="J922">
        <f>VLOOKUP(PREVIOS!F922&amp;VLOOKUP(PREVIOS!I922,PLAN!A:B,2,FALSE),CURSO!A:D,4,FALSE)</f>
        <v>22</v>
      </c>
      <c r="K922">
        <f>VLOOKUP(PREVIOS!H922,CICLO!A:B,2,FALSE)</f>
        <v>55</v>
      </c>
      <c r="L922">
        <f>VLOOKUP(PREVIOS!I922,PLAN!A:B,2,FALSE)</f>
        <v>6</v>
      </c>
    </row>
    <row r="923" spans="1:12" x14ac:dyDescent="0.25">
      <c r="A923" t="str">
        <f t="shared" si="14"/>
        <v>A495M260C2</v>
      </c>
      <c r="C923">
        <v>922</v>
      </c>
      <c r="D923">
        <f>VLOOKUP(PREVIOS!C923,ALUMNOS!A:B,2,FALSE)</f>
        <v>495</v>
      </c>
      <c r="E923">
        <f>VLOOKUP(PREVIOS!E923&amp;'TABLA PREVIOS'!J923,MATERIAS!A:H,7,FALSE)</f>
        <v>260</v>
      </c>
      <c r="F923">
        <f>VLOOKUP(PREVIOS!G923,CONDICION!A:B,2,FALSE)</f>
        <v>2</v>
      </c>
      <c r="G923">
        <f>IF(PREVIOS!AG923=1,1,VLOOKUP(PREVIOS!AG923,CALIFICACION!A:C,3,FALSE))</f>
        <v>9</v>
      </c>
      <c r="H923" s="1" t="s">
        <v>534</v>
      </c>
      <c r="I923" s="1" t="s">
        <v>534</v>
      </c>
      <c r="J923">
        <f>VLOOKUP(PREVIOS!F923&amp;VLOOKUP(PREVIOS!I923,PLAN!A:B,2,FALSE),CURSO!A:D,4,FALSE)</f>
        <v>20</v>
      </c>
      <c r="K923">
        <f>VLOOKUP(PREVIOS!H923,CICLO!A:B,2,FALSE)</f>
        <v>54</v>
      </c>
      <c r="L923">
        <f>VLOOKUP(PREVIOS!I923,PLAN!A:B,2,FALSE)</f>
        <v>6</v>
      </c>
    </row>
    <row r="924" spans="1:12" x14ac:dyDescent="0.25">
      <c r="A924" t="str">
        <f t="shared" si="14"/>
        <v>A495M290C1</v>
      </c>
      <c r="C924">
        <v>923</v>
      </c>
      <c r="D924">
        <f>VLOOKUP(PREVIOS!C924,ALUMNOS!A:B,2,FALSE)</f>
        <v>495</v>
      </c>
      <c r="E924">
        <f>VLOOKUP(PREVIOS!E924&amp;'TABLA PREVIOS'!J924,MATERIAS!A:H,7,FALSE)</f>
        <v>290</v>
      </c>
      <c r="F924">
        <f>VLOOKUP(PREVIOS!G924,CONDICION!A:B,2,FALSE)</f>
        <v>1</v>
      </c>
      <c r="G924">
        <f>IF(PREVIOS!AG924=1,1,VLOOKUP(PREVIOS!AG924,CALIFICACION!A:C,3,FALSE))</f>
        <v>1</v>
      </c>
      <c r="H924" s="1" t="s">
        <v>534</v>
      </c>
      <c r="I924" s="1" t="s">
        <v>534</v>
      </c>
      <c r="J924">
        <f>VLOOKUP(PREVIOS!F924&amp;VLOOKUP(PREVIOS!I924,PLAN!A:B,2,FALSE),CURSO!A:D,4,FALSE)</f>
        <v>22</v>
      </c>
      <c r="K924">
        <f>VLOOKUP(PREVIOS!H924,CICLO!A:B,2,FALSE)</f>
        <v>55</v>
      </c>
      <c r="L924">
        <f>VLOOKUP(PREVIOS!I924,PLAN!A:B,2,FALSE)</f>
        <v>6</v>
      </c>
    </row>
    <row r="925" spans="1:12" x14ac:dyDescent="0.25">
      <c r="A925" t="str">
        <f t="shared" si="14"/>
        <v>A525M255C1</v>
      </c>
      <c r="C925">
        <v>924</v>
      </c>
      <c r="D925">
        <f>VLOOKUP(PREVIOS!C925,ALUMNOS!A:B,2,FALSE)</f>
        <v>525</v>
      </c>
      <c r="E925">
        <f>VLOOKUP(PREVIOS!E925&amp;'TABLA PREVIOS'!J925,MATERIAS!A:H,7,FALSE)</f>
        <v>255</v>
      </c>
      <c r="F925">
        <f>VLOOKUP(PREVIOS!G925,CONDICION!A:B,2,FALSE)</f>
        <v>1</v>
      </c>
      <c r="G925">
        <f>IF(PREVIOS!AG925=1,1,VLOOKUP(PREVIOS!AG925,CALIFICACION!A:C,3,FALSE))</f>
        <v>1</v>
      </c>
      <c r="H925" s="1" t="s">
        <v>534</v>
      </c>
      <c r="I925" s="1" t="s">
        <v>534</v>
      </c>
      <c r="J925">
        <f>VLOOKUP(PREVIOS!F925&amp;VLOOKUP(PREVIOS!I925,PLAN!A:B,2,FALSE),CURSO!A:D,4,FALSE)</f>
        <v>20</v>
      </c>
      <c r="K925">
        <f>VLOOKUP(PREVIOS!H925,CICLO!A:B,2,FALSE)</f>
        <v>53</v>
      </c>
      <c r="L925">
        <f>VLOOKUP(PREVIOS!I925,PLAN!A:B,2,FALSE)</f>
        <v>6</v>
      </c>
    </row>
    <row r="926" spans="1:12" x14ac:dyDescent="0.25">
      <c r="A926" t="str">
        <f t="shared" si="14"/>
        <v>A525M274C1</v>
      </c>
      <c r="C926">
        <v>925</v>
      </c>
      <c r="D926">
        <f>VLOOKUP(PREVIOS!C926,ALUMNOS!A:B,2,FALSE)</f>
        <v>525</v>
      </c>
      <c r="E926">
        <f>VLOOKUP(PREVIOS!E926&amp;'TABLA PREVIOS'!J926,MATERIAS!A:H,7,FALSE)</f>
        <v>274</v>
      </c>
      <c r="F926">
        <f>VLOOKUP(PREVIOS!G926,CONDICION!A:B,2,FALSE)</f>
        <v>1</v>
      </c>
      <c r="G926">
        <f>IF(PREVIOS!AG926=1,1,VLOOKUP(PREVIOS!AG926,CALIFICACION!A:C,3,FALSE))</f>
        <v>1</v>
      </c>
      <c r="H926" s="1" t="s">
        <v>534</v>
      </c>
      <c r="I926" s="1" t="s">
        <v>534</v>
      </c>
      <c r="J926">
        <f>VLOOKUP(PREVIOS!F926&amp;VLOOKUP(PREVIOS!I926,PLAN!A:B,2,FALSE),CURSO!A:D,4,FALSE)</f>
        <v>21</v>
      </c>
      <c r="K926">
        <f>VLOOKUP(PREVIOS!H926,CICLO!A:B,2,FALSE)</f>
        <v>54</v>
      </c>
      <c r="L926">
        <f>VLOOKUP(PREVIOS!I926,PLAN!A:B,2,FALSE)</f>
        <v>6</v>
      </c>
    </row>
    <row r="927" spans="1:12" x14ac:dyDescent="0.25">
      <c r="A927" t="str">
        <f t="shared" si="14"/>
        <v>A525M277C1</v>
      </c>
      <c r="C927">
        <v>926</v>
      </c>
      <c r="D927">
        <f>VLOOKUP(PREVIOS!C927,ALUMNOS!A:B,2,FALSE)</f>
        <v>525</v>
      </c>
      <c r="E927">
        <f>VLOOKUP(PREVIOS!E927&amp;'TABLA PREVIOS'!J927,MATERIAS!A:H,7,FALSE)</f>
        <v>277</v>
      </c>
      <c r="F927">
        <f>VLOOKUP(PREVIOS!G927,CONDICION!A:B,2,FALSE)</f>
        <v>1</v>
      </c>
      <c r="G927">
        <f>IF(PREVIOS!AG927=1,1,VLOOKUP(PREVIOS!AG927,CALIFICACION!A:C,3,FALSE))</f>
        <v>1</v>
      </c>
      <c r="H927" s="1" t="s">
        <v>534</v>
      </c>
      <c r="I927" s="1" t="s">
        <v>534</v>
      </c>
      <c r="J927">
        <f>VLOOKUP(PREVIOS!F927&amp;VLOOKUP(PREVIOS!I927,PLAN!A:B,2,FALSE),CURSO!A:D,4,FALSE)</f>
        <v>21</v>
      </c>
      <c r="K927">
        <f>VLOOKUP(PREVIOS!H927,CICLO!A:B,2,FALSE)</f>
        <v>54</v>
      </c>
      <c r="L927">
        <f>VLOOKUP(PREVIOS!I927,PLAN!A:B,2,FALSE)</f>
        <v>6</v>
      </c>
    </row>
    <row r="928" spans="1:12" x14ac:dyDescent="0.25">
      <c r="A928" t="str">
        <f t="shared" si="14"/>
        <v>A525M276C1</v>
      </c>
      <c r="C928">
        <v>927</v>
      </c>
      <c r="D928">
        <f>VLOOKUP(PREVIOS!C928,ALUMNOS!A:B,2,FALSE)</f>
        <v>525</v>
      </c>
      <c r="E928">
        <f>VLOOKUP(PREVIOS!E928&amp;'TABLA PREVIOS'!J928,MATERIAS!A:H,7,FALSE)</f>
        <v>276</v>
      </c>
      <c r="F928">
        <f>VLOOKUP(PREVIOS!G928,CONDICION!A:B,2,FALSE)</f>
        <v>1</v>
      </c>
      <c r="G928">
        <f>IF(PREVIOS!AG928=1,1,VLOOKUP(PREVIOS!AG928,CALIFICACION!A:C,3,FALSE))</f>
        <v>1</v>
      </c>
      <c r="H928" s="1" t="s">
        <v>534</v>
      </c>
      <c r="I928" s="1" t="s">
        <v>534</v>
      </c>
      <c r="J928">
        <f>VLOOKUP(PREVIOS!F928&amp;VLOOKUP(PREVIOS!I928,PLAN!A:B,2,FALSE),CURSO!A:D,4,FALSE)</f>
        <v>21</v>
      </c>
      <c r="K928">
        <f>VLOOKUP(PREVIOS!H928,CICLO!A:B,2,FALSE)</f>
        <v>54</v>
      </c>
      <c r="L928">
        <f>VLOOKUP(PREVIOS!I928,PLAN!A:B,2,FALSE)</f>
        <v>6</v>
      </c>
    </row>
    <row r="929" spans="1:12" x14ac:dyDescent="0.25">
      <c r="A929" t="str">
        <f t="shared" si="14"/>
        <v>A525M275C1</v>
      </c>
      <c r="C929">
        <v>928</v>
      </c>
      <c r="D929">
        <f>VLOOKUP(PREVIOS!C929,ALUMNOS!A:B,2,FALSE)</f>
        <v>525</v>
      </c>
      <c r="E929">
        <f>VLOOKUP(PREVIOS!E929&amp;'TABLA PREVIOS'!J929,MATERIAS!A:H,7,FALSE)</f>
        <v>275</v>
      </c>
      <c r="F929">
        <f>VLOOKUP(PREVIOS!G929,CONDICION!A:B,2,FALSE)</f>
        <v>1</v>
      </c>
      <c r="G929">
        <f>IF(PREVIOS!AG929=1,1,VLOOKUP(PREVIOS!AG929,CALIFICACION!A:C,3,FALSE))</f>
        <v>1</v>
      </c>
      <c r="H929" s="1" t="s">
        <v>534</v>
      </c>
      <c r="I929" s="1" t="s">
        <v>534</v>
      </c>
      <c r="J929">
        <f>VLOOKUP(PREVIOS!F929&amp;VLOOKUP(PREVIOS!I929,PLAN!A:B,2,FALSE),CURSO!A:D,4,FALSE)</f>
        <v>21</v>
      </c>
      <c r="K929">
        <f>VLOOKUP(PREVIOS!H929,CICLO!A:B,2,FALSE)</f>
        <v>54</v>
      </c>
      <c r="L929">
        <f>VLOOKUP(PREVIOS!I929,PLAN!A:B,2,FALSE)</f>
        <v>6</v>
      </c>
    </row>
    <row r="930" spans="1:12" x14ac:dyDescent="0.25">
      <c r="A930" t="str">
        <f t="shared" si="14"/>
        <v>A525M273C1</v>
      </c>
      <c r="C930">
        <v>929</v>
      </c>
      <c r="D930">
        <f>VLOOKUP(PREVIOS!C930,ALUMNOS!A:B,2,FALSE)</f>
        <v>525</v>
      </c>
      <c r="E930">
        <f>VLOOKUP(PREVIOS!E930&amp;'TABLA PREVIOS'!J930,MATERIAS!A:H,7,FALSE)</f>
        <v>273</v>
      </c>
      <c r="F930">
        <f>VLOOKUP(PREVIOS!G930,CONDICION!A:B,2,FALSE)</f>
        <v>1</v>
      </c>
      <c r="G930">
        <f>IF(PREVIOS!AG930=1,1,VLOOKUP(PREVIOS!AG930,CALIFICACION!A:C,3,FALSE))</f>
        <v>1</v>
      </c>
      <c r="H930" s="1" t="s">
        <v>534</v>
      </c>
      <c r="I930" s="1" t="s">
        <v>534</v>
      </c>
      <c r="J930">
        <f>VLOOKUP(PREVIOS!F930&amp;VLOOKUP(PREVIOS!I930,PLAN!A:B,2,FALSE),CURSO!A:D,4,FALSE)</f>
        <v>21</v>
      </c>
      <c r="K930">
        <f>VLOOKUP(PREVIOS!H930,CICLO!A:B,2,FALSE)</f>
        <v>54</v>
      </c>
      <c r="L930">
        <f>VLOOKUP(PREVIOS!I930,PLAN!A:B,2,FALSE)</f>
        <v>6</v>
      </c>
    </row>
    <row r="931" spans="1:12" x14ac:dyDescent="0.25">
      <c r="A931" t="str">
        <f t="shared" si="14"/>
        <v>A525M286C1</v>
      </c>
      <c r="C931">
        <v>930</v>
      </c>
      <c r="D931">
        <f>VLOOKUP(PREVIOS!C931,ALUMNOS!A:B,2,FALSE)</f>
        <v>525</v>
      </c>
      <c r="E931">
        <f>VLOOKUP(PREVIOS!E931&amp;'TABLA PREVIOS'!J931,MATERIAS!A:H,7,FALSE)</f>
        <v>286</v>
      </c>
      <c r="F931">
        <f>VLOOKUP(PREVIOS!G931,CONDICION!A:B,2,FALSE)</f>
        <v>1</v>
      </c>
      <c r="G931">
        <f>IF(PREVIOS!AG931=1,1,VLOOKUP(PREVIOS!AG931,CALIFICACION!A:C,3,FALSE))</f>
        <v>1</v>
      </c>
      <c r="H931" s="1" t="s">
        <v>534</v>
      </c>
      <c r="I931" s="1" t="s">
        <v>534</v>
      </c>
      <c r="J931">
        <f>VLOOKUP(PREVIOS!F931&amp;VLOOKUP(PREVIOS!I931,PLAN!A:B,2,FALSE),CURSO!A:D,4,FALSE)</f>
        <v>22</v>
      </c>
      <c r="K931">
        <f>VLOOKUP(PREVIOS!H931,CICLO!A:B,2,FALSE)</f>
        <v>55</v>
      </c>
      <c r="L931">
        <f>VLOOKUP(PREVIOS!I931,PLAN!A:B,2,FALSE)</f>
        <v>6</v>
      </c>
    </row>
    <row r="932" spans="1:12" x14ac:dyDescent="0.25">
      <c r="A932" t="str">
        <f t="shared" si="14"/>
        <v>A525M278C1</v>
      </c>
      <c r="C932">
        <v>931</v>
      </c>
      <c r="D932">
        <f>VLOOKUP(PREVIOS!C932,ALUMNOS!A:B,2,FALSE)</f>
        <v>525</v>
      </c>
      <c r="E932">
        <f>VLOOKUP(PREVIOS!E932&amp;'TABLA PREVIOS'!J932,MATERIAS!A:H,7,FALSE)</f>
        <v>278</v>
      </c>
      <c r="F932">
        <f>VLOOKUP(PREVIOS!G932,CONDICION!A:B,2,FALSE)</f>
        <v>1</v>
      </c>
      <c r="G932">
        <f>IF(PREVIOS!AG932=1,1,VLOOKUP(PREVIOS!AG932,CALIFICACION!A:C,3,FALSE))</f>
        <v>1</v>
      </c>
      <c r="H932" s="1" t="s">
        <v>534</v>
      </c>
      <c r="I932" s="1" t="s">
        <v>534</v>
      </c>
      <c r="J932">
        <f>VLOOKUP(PREVIOS!F932&amp;VLOOKUP(PREVIOS!I932,PLAN!A:B,2,FALSE),CURSO!A:D,4,FALSE)</f>
        <v>22</v>
      </c>
      <c r="K932">
        <f>VLOOKUP(PREVIOS!H932,CICLO!A:B,2,FALSE)</f>
        <v>55</v>
      </c>
      <c r="L932">
        <f>VLOOKUP(PREVIOS!I932,PLAN!A:B,2,FALSE)</f>
        <v>6</v>
      </c>
    </row>
    <row r="933" spans="1:12" x14ac:dyDescent="0.25">
      <c r="A933" t="str">
        <f t="shared" si="14"/>
        <v>A525M292C1</v>
      </c>
      <c r="C933">
        <v>932</v>
      </c>
      <c r="D933">
        <f>VLOOKUP(PREVIOS!C933,ALUMNOS!A:B,2,FALSE)</f>
        <v>525</v>
      </c>
      <c r="E933">
        <f>VLOOKUP(PREVIOS!E933&amp;'TABLA PREVIOS'!J933,MATERIAS!A:H,7,FALSE)</f>
        <v>292</v>
      </c>
      <c r="F933">
        <f>VLOOKUP(PREVIOS!G933,CONDICION!A:B,2,FALSE)</f>
        <v>1</v>
      </c>
      <c r="G933">
        <f>IF(PREVIOS!AG933=1,1,VLOOKUP(PREVIOS!AG933,CALIFICACION!A:C,3,FALSE))</f>
        <v>1</v>
      </c>
      <c r="H933" s="1" t="s">
        <v>534</v>
      </c>
      <c r="I933" s="1" t="s">
        <v>534</v>
      </c>
      <c r="J933">
        <f>VLOOKUP(PREVIOS!F933&amp;VLOOKUP(PREVIOS!I933,PLAN!A:B,2,FALSE),CURSO!A:D,4,FALSE)</f>
        <v>22</v>
      </c>
      <c r="K933">
        <f>VLOOKUP(PREVIOS!H933,CICLO!A:B,2,FALSE)</f>
        <v>55</v>
      </c>
      <c r="L933">
        <f>VLOOKUP(PREVIOS!I933,PLAN!A:B,2,FALSE)</f>
        <v>6</v>
      </c>
    </row>
    <row r="934" spans="1:12" x14ac:dyDescent="0.25">
      <c r="A934" t="str">
        <f t="shared" si="14"/>
        <v>A525M290C1</v>
      </c>
      <c r="C934">
        <v>933</v>
      </c>
      <c r="D934">
        <f>VLOOKUP(PREVIOS!C934,ALUMNOS!A:B,2,FALSE)</f>
        <v>525</v>
      </c>
      <c r="E934">
        <f>VLOOKUP(PREVIOS!E934&amp;'TABLA PREVIOS'!J934,MATERIAS!A:H,7,FALSE)</f>
        <v>290</v>
      </c>
      <c r="F934">
        <f>VLOOKUP(PREVIOS!G934,CONDICION!A:B,2,FALSE)</f>
        <v>1</v>
      </c>
      <c r="G934">
        <f>IF(PREVIOS!AG934=1,1,VLOOKUP(PREVIOS!AG934,CALIFICACION!A:C,3,FALSE))</f>
        <v>1</v>
      </c>
      <c r="H934" s="1" t="s">
        <v>534</v>
      </c>
      <c r="I934" s="1" t="s">
        <v>534</v>
      </c>
      <c r="J934">
        <f>VLOOKUP(PREVIOS!F934&amp;VLOOKUP(PREVIOS!I934,PLAN!A:B,2,FALSE),CURSO!A:D,4,FALSE)</f>
        <v>22</v>
      </c>
      <c r="K934">
        <f>VLOOKUP(PREVIOS!H934,CICLO!A:B,2,FALSE)</f>
        <v>55</v>
      </c>
      <c r="L934">
        <f>VLOOKUP(PREVIOS!I934,PLAN!A:B,2,FALSE)</f>
        <v>6</v>
      </c>
    </row>
    <row r="935" spans="1:12" x14ac:dyDescent="0.25">
      <c r="A935" t="str">
        <f t="shared" si="14"/>
        <v>A526M282C1</v>
      </c>
      <c r="C935">
        <v>934</v>
      </c>
      <c r="D935">
        <f>VLOOKUP(PREVIOS!C935,ALUMNOS!A:B,2,FALSE)</f>
        <v>526</v>
      </c>
      <c r="E935">
        <f>VLOOKUP(PREVIOS!E935&amp;'TABLA PREVIOS'!J935,MATERIAS!A:H,7,FALSE)</f>
        <v>282</v>
      </c>
      <c r="F935">
        <f>VLOOKUP(PREVIOS!G935,CONDICION!A:B,2,FALSE)</f>
        <v>1</v>
      </c>
      <c r="G935">
        <f>IF(PREVIOS!AG935=1,1,VLOOKUP(PREVIOS!AG935,CALIFICACION!A:C,3,FALSE))</f>
        <v>1</v>
      </c>
      <c r="H935" s="1" t="s">
        <v>534</v>
      </c>
      <c r="I935" s="1" t="s">
        <v>534</v>
      </c>
      <c r="J935">
        <f>VLOOKUP(PREVIOS!F935&amp;VLOOKUP(PREVIOS!I935,PLAN!A:B,2,FALSE),CURSO!A:D,4,FALSE)</f>
        <v>22</v>
      </c>
      <c r="K935">
        <f>VLOOKUP(PREVIOS!H935,CICLO!A:B,2,FALSE)</f>
        <v>55</v>
      </c>
      <c r="L935">
        <f>VLOOKUP(PREVIOS!I935,PLAN!A:B,2,FALSE)</f>
        <v>6</v>
      </c>
    </row>
    <row r="936" spans="1:12" x14ac:dyDescent="0.25">
      <c r="A936" t="str">
        <f t="shared" si="14"/>
        <v>A541M286C1</v>
      </c>
      <c r="C936">
        <v>935</v>
      </c>
      <c r="D936">
        <f>VLOOKUP(PREVIOS!C936,ALUMNOS!A:B,2,FALSE)</f>
        <v>541</v>
      </c>
      <c r="E936">
        <f>VLOOKUP(PREVIOS!E936&amp;'TABLA PREVIOS'!J936,MATERIAS!A:H,7,FALSE)</f>
        <v>286</v>
      </c>
      <c r="F936">
        <f>VLOOKUP(PREVIOS!G936,CONDICION!A:B,2,FALSE)</f>
        <v>1</v>
      </c>
      <c r="G936">
        <f>IF(PREVIOS!AG936=1,1,VLOOKUP(PREVIOS!AG936,CALIFICACION!A:C,3,FALSE))</f>
        <v>1</v>
      </c>
      <c r="H936" s="1" t="s">
        <v>534</v>
      </c>
      <c r="I936" s="1" t="s">
        <v>534</v>
      </c>
      <c r="J936">
        <f>VLOOKUP(PREVIOS!F936&amp;VLOOKUP(PREVIOS!I936,PLAN!A:B,2,FALSE),CURSO!A:D,4,FALSE)</f>
        <v>22</v>
      </c>
      <c r="K936">
        <f>VLOOKUP(PREVIOS!H936,CICLO!A:B,2,FALSE)</f>
        <v>55</v>
      </c>
      <c r="L936">
        <f>VLOOKUP(PREVIOS!I936,PLAN!A:B,2,FALSE)</f>
        <v>6</v>
      </c>
    </row>
    <row r="937" spans="1:12" x14ac:dyDescent="0.25">
      <c r="A937" t="str">
        <f t="shared" si="14"/>
        <v>A551M286C1</v>
      </c>
      <c r="C937">
        <v>936</v>
      </c>
      <c r="D937">
        <f>VLOOKUP(PREVIOS!C937,ALUMNOS!A:B,2,FALSE)</f>
        <v>551</v>
      </c>
      <c r="E937">
        <f>VLOOKUP(PREVIOS!E937&amp;'TABLA PREVIOS'!J937,MATERIAS!A:H,7,FALSE)</f>
        <v>286</v>
      </c>
      <c r="F937">
        <f>VLOOKUP(PREVIOS!G937,CONDICION!A:B,2,FALSE)</f>
        <v>1</v>
      </c>
      <c r="G937">
        <f>IF(PREVIOS!AG937=1,1,VLOOKUP(PREVIOS!AG937,CALIFICACION!A:C,3,FALSE))</f>
        <v>1</v>
      </c>
      <c r="H937" s="1" t="s">
        <v>534</v>
      </c>
      <c r="I937" s="1" t="s">
        <v>534</v>
      </c>
      <c r="J937">
        <f>VLOOKUP(PREVIOS!F937&amp;VLOOKUP(PREVIOS!I937,PLAN!A:B,2,FALSE),CURSO!A:D,4,FALSE)</f>
        <v>22</v>
      </c>
      <c r="K937">
        <f>VLOOKUP(PREVIOS!H937,CICLO!A:B,2,FALSE)</f>
        <v>55</v>
      </c>
      <c r="L937">
        <f>VLOOKUP(PREVIOS!I937,PLAN!A:B,2,FALSE)</f>
        <v>6</v>
      </c>
    </row>
    <row r="938" spans="1:12" x14ac:dyDescent="0.25">
      <c r="A938" t="str">
        <f t="shared" si="14"/>
        <v>A551M279C1</v>
      </c>
      <c r="C938">
        <v>937</v>
      </c>
      <c r="D938">
        <f>VLOOKUP(PREVIOS!C938,ALUMNOS!A:B,2,FALSE)</f>
        <v>551</v>
      </c>
      <c r="E938">
        <f>VLOOKUP(PREVIOS!E938&amp;'TABLA PREVIOS'!J938,MATERIAS!A:H,7,FALSE)</f>
        <v>279</v>
      </c>
      <c r="F938">
        <f>VLOOKUP(PREVIOS!G938,CONDICION!A:B,2,FALSE)</f>
        <v>1</v>
      </c>
      <c r="G938">
        <f>IF(PREVIOS!AG938=1,1,VLOOKUP(PREVIOS!AG938,CALIFICACION!A:C,3,FALSE))</f>
        <v>1</v>
      </c>
      <c r="H938" s="1" t="s">
        <v>534</v>
      </c>
      <c r="I938" s="1" t="s">
        <v>534</v>
      </c>
      <c r="J938">
        <f>VLOOKUP(PREVIOS!F938&amp;VLOOKUP(PREVIOS!I938,PLAN!A:B,2,FALSE),CURSO!A:D,4,FALSE)</f>
        <v>22</v>
      </c>
      <c r="K938">
        <f>VLOOKUP(PREVIOS!H938,CICLO!A:B,2,FALSE)</f>
        <v>55</v>
      </c>
      <c r="L938">
        <f>VLOOKUP(PREVIOS!I938,PLAN!A:B,2,FALSE)</f>
        <v>6</v>
      </c>
    </row>
    <row r="939" spans="1:12" x14ac:dyDescent="0.25">
      <c r="A939" t="str">
        <f t="shared" si="14"/>
        <v>A551M280C1</v>
      </c>
      <c r="C939">
        <v>938</v>
      </c>
      <c r="D939">
        <f>VLOOKUP(PREVIOS!C939,ALUMNOS!A:B,2,FALSE)</f>
        <v>551</v>
      </c>
      <c r="E939">
        <f>VLOOKUP(PREVIOS!E939&amp;'TABLA PREVIOS'!J939,MATERIAS!A:H,7,FALSE)</f>
        <v>280</v>
      </c>
      <c r="F939">
        <f>VLOOKUP(PREVIOS!G939,CONDICION!A:B,2,FALSE)</f>
        <v>1</v>
      </c>
      <c r="G939">
        <f>IF(PREVIOS!AG939=1,1,VLOOKUP(PREVIOS!AG939,CALIFICACION!A:C,3,FALSE))</f>
        <v>1</v>
      </c>
      <c r="H939" s="1" t="s">
        <v>534</v>
      </c>
      <c r="I939" s="1" t="s">
        <v>534</v>
      </c>
      <c r="J939">
        <f>VLOOKUP(PREVIOS!F939&amp;VLOOKUP(PREVIOS!I939,PLAN!A:B,2,FALSE),CURSO!A:D,4,FALSE)</f>
        <v>22</v>
      </c>
      <c r="K939">
        <f>VLOOKUP(PREVIOS!H939,CICLO!A:B,2,FALSE)</f>
        <v>55</v>
      </c>
      <c r="L939">
        <f>VLOOKUP(PREVIOS!I939,PLAN!A:B,2,FALSE)</f>
        <v>6</v>
      </c>
    </row>
    <row r="940" spans="1:12" x14ac:dyDescent="0.25">
      <c r="A940" t="str">
        <f t="shared" si="14"/>
        <v>A551M290C1</v>
      </c>
      <c r="C940">
        <v>939</v>
      </c>
      <c r="D940">
        <f>VLOOKUP(PREVIOS!C940,ALUMNOS!A:B,2,FALSE)</f>
        <v>551</v>
      </c>
      <c r="E940">
        <f>VLOOKUP(PREVIOS!E940&amp;'TABLA PREVIOS'!J940,MATERIAS!A:H,7,FALSE)</f>
        <v>290</v>
      </c>
      <c r="F940">
        <f>VLOOKUP(PREVIOS!G940,CONDICION!A:B,2,FALSE)</f>
        <v>1</v>
      </c>
      <c r="G940">
        <f>IF(PREVIOS!AG940=1,1,VLOOKUP(PREVIOS!AG940,CALIFICACION!A:C,3,FALSE))</f>
        <v>1</v>
      </c>
      <c r="H940" s="1" t="s">
        <v>534</v>
      </c>
      <c r="I940" s="1" t="s">
        <v>534</v>
      </c>
      <c r="J940">
        <f>VLOOKUP(PREVIOS!F940&amp;VLOOKUP(PREVIOS!I940,PLAN!A:B,2,FALSE),CURSO!A:D,4,FALSE)</f>
        <v>22</v>
      </c>
      <c r="K940">
        <f>VLOOKUP(PREVIOS!H940,CICLO!A:B,2,FALSE)</f>
        <v>55</v>
      </c>
      <c r="L940">
        <f>VLOOKUP(PREVIOS!I940,PLAN!A:B,2,FALSE)</f>
        <v>6</v>
      </c>
    </row>
    <row r="941" spans="1:12" x14ac:dyDescent="0.25">
      <c r="A941" t="str">
        <f t="shared" si="14"/>
        <v>A575M244C1</v>
      </c>
      <c r="C941">
        <v>940</v>
      </c>
      <c r="D941">
        <f>VLOOKUP(PREVIOS!C941,ALUMNOS!A:B,2,FALSE)</f>
        <v>575</v>
      </c>
      <c r="E941">
        <f>VLOOKUP(PREVIOS!E941&amp;'TABLA PREVIOS'!J941,MATERIAS!A:H,7,FALSE)</f>
        <v>244</v>
      </c>
      <c r="F941">
        <f>VLOOKUP(PREVIOS!G941,CONDICION!A:B,2,FALSE)</f>
        <v>1</v>
      </c>
      <c r="G941">
        <f>IF(PREVIOS!AG941=1,1,VLOOKUP(PREVIOS!AG941,CALIFICACION!A:C,3,FALSE))</f>
        <v>1</v>
      </c>
      <c r="H941" s="1" t="s">
        <v>534</v>
      </c>
      <c r="I941" s="1" t="s">
        <v>534</v>
      </c>
      <c r="J941">
        <f>VLOOKUP(PREVIOS!F941&amp;VLOOKUP(PREVIOS!I941,PLAN!A:B,2,FALSE),CURSO!A:D,4,FALSE)</f>
        <v>19</v>
      </c>
      <c r="K941">
        <f>VLOOKUP(PREVIOS!H941,CICLO!A:B,2,FALSE)</f>
        <v>52</v>
      </c>
      <c r="L941">
        <f>VLOOKUP(PREVIOS!I941,PLAN!A:B,2,FALSE)</f>
        <v>5</v>
      </c>
    </row>
    <row r="942" spans="1:12" x14ac:dyDescent="0.25">
      <c r="A942" t="str">
        <f t="shared" si="14"/>
        <v>A575M257C1</v>
      </c>
      <c r="C942">
        <v>941</v>
      </c>
      <c r="D942">
        <f>VLOOKUP(PREVIOS!C942,ALUMNOS!A:B,2,FALSE)</f>
        <v>575</v>
      </c>
      <c r="E942">
        <f>VLOOKUP(PREVIOS!E942&amp;'TABLA PREVIOS'!J942,MATERIAS!A:H,7,FALSE)</f>
        <v>257</v>
      </c>
      <c r="F942">
        <f>VLOOKUP(PREVIOS!G942,CONDICION!A:B,2,FALSE)</f>
        <v>1</v>
      </c>
      <c r="G942">
        <f>IF(PREVIOS!AG942=1,1,VLOOKUP(PREVIOS!AG942,CALIFICACION!A:C,3,FALSE))</f>
        <v>1</v>
      </c>
      <c r="H942" s="1" t="s">
        <v>534</v>
      </c>
      <c r="I942" s="1" t="s">
        <v>534</v>
      </c>
      <c r="J942">
        <f>VLOOKUP(PREVIOS!F942&amp;VLOOKUP(PREVIOS!I942,PLAN!A:B,2,FALSE),CURSO!A:D,4,FALSE)</f>
        <v>20</v>
      </c>
      <c r="K942">
        <f>VLOOKUP(PREVIOS!H942,CICLO!A:B,2,FALSE)</f>
        <v>53</v>
      </c>
      <c r="L942">
        <f>VLOOKUP(PREVIOS!I942,PLAN!A:B,2,FALSE)</f>
        <v>6</v>
      </c>
    </row>
    <row r="943" spans="1:12" x14ac:dyDescent="0.25">
      <c r="A943" t="str">
        <f t="shared" si="14"/>
        <v>A575M265C1</v>
      </c>
      <c r="C943">
        <v>942</v>
      </c>
      <c r="D943">
        <f>VLOOKUP(PREVIOS!C943,ALUMNOS!A:B,2,FALSE)</f>
        <v>575</v>
      </c>
      <c r="E943">
        <f>VLOOKUP(PREVIOS!E943&amp;'TABLA PREVIOS'!J943,MATERIAS!A:H,7,FALSE)</f>
        <v>265</v>
      </c>
      <c r="F943">
        <f>VLOOKUP(PREVIOS!G943,CONDICION!A:B,2,FALSE)</f>
        <v>1</v>
      </c>
      <c r="G943">
        <f>IF(PREVIOS!AG943=1,1,VLOOKUP(PREVIOS!AG943,CALIFICACION!A:C,3,FALSE))</f>
        <v>1</v>
      </c>
      <c r="H943" s="1" t="s">
        <v>534</v>
      </c>
      <c r="I943" s="1" t="s">
        <v>534</v>
      </c>
      <c r="J943">
        <f>VLOOKUP(PREVIOS!F943&amp;VLOOKUP(PREVIOS!I943,PLAN!A:B,2,FALSE),CURSO!A:D,4,FALSE)</f>
        <v>21</v>
      </c>
      <c r="K943">
        <f>VLOOKUP(PREVIOS!H943,CICLO!A:B,2,FALSE)</f>
        <v>54</v>
      </c>
      <c r="L943">
        <f>VLOOKUP(PREVIOS!I943,PLAN!A:B,2,FALSE)</f>
        <v>6</v>
      </c>
    </row>
    <row r="944" spans="1:12" x14ac:dyDescent="0.25">
      <c r="A944" t="str">
        <f t="shared" si="14"/>
        <v>A575M286C1</v>
      </c>
      <c r="C944">
        <v>943</v>
      </c>
      <c r="D944">
        <f>VLOOKUP(PREVIOS!C944,ALUMNOS!A:B,2,FALSE)</f>
        <v>575</v>
      </c>
      <c r="E944">
        <f>VLOOKUP(PREVIOS!E944&amp;'TABLA PREVIOS'!J944,MATERIAS!A:H,7,FALSE)</f>
        <v>286</v>
      </c>
      <c r="F944">
        <f>VLOOKUP(PREVIOS!G944,CONDICION!A:B,2,FALSE)</f>
        <v>1</v>
      </c>
      <c r="G944">
        <f>IF(PREVIOS!AG944=1,1,VLOOKUP(PREVIOS!AG944,CALIFICACION!A:C,3,FALSE))</f>
        <v>1</v>
      </c>
      <c r="H944" s="1" t="s">
        <v>534</v>
      </c>
      <c r="I944" s="1" t="s">
        <v>534</v>
      </c>
      <c r="J944">
        <f>VLOOKUP(PREVIOS!F944&amp;VLOOKUP(PREVIOS!I944,PLAN!A:B,2,FALSE),CURSO!A:D,4,FALSE)</f>
        <v>22</v>
      </c>
      <c r="K944">
        <f>VLOOKUP(PREVIOS!H944,CICLO!A:B,2,FALSE)</f>
        <v>55</v>
      </c>
      <c r="L944">
        <f>VLOOKUP(PREVIOS!I944,PLAN!A:B,2,FALSE)</f>
        <v>6</v>
      </c>
    </row>
    <row r="945" spans="1:12" x14ac:dyDescent="0.25">
      <c r="A945" t="str">
        <f t="shared" si="14"/>
        <v>A575M292C1</v>
      </c>
      <c r="C945">
        <v>944</v>
      </c>
      <c r="D945">
        <f>VLOOKUP(PREVIOS!C945,ALUMNOS!A:B,2,FALSE)</f>
        <v>575</v>
      </c>
      <c r="E945">
        <f>VLOOKUP(PREVIOS!E945&amp;'TABLA PREVIOS'!J945,MATERIAS!A:H,7,FALSE)</f>
        <v>292</v>
      </c>
      <c r="F945">
        <f>VLOOKUP(PREVIOS!G945,CONDICION!A:B,2,FALSE)</f>
        <v>1</v>
      </c>
      <c r="G945">
        <f>IF(PREVIOS!AG945=1,1,VLOOKUP(PREVIOS!AG945,CALIFICACION!A:C,3,FALSE))</f>
        <v>1</v>
      </c>
      <c r="H945" s="1" t="s">
        <v>534</v>
      </c>
      <c r="I945" s="1" t="s">
        <v>534</v>
      </c>
      <c r="J945">
        <f>VLOOKUP(PREVIOS!F945&amp;VLOOKUP(PREVIOS!I945,PLAN!A:B,2,FALSE),CURSO!A:D,4,FALSE)</f>
        <v>22</v>
      </c>
      <c r="K945">
        <f>VLOOKUP(PREVIOS!H945,CICLO!A:B,2,FALSE)</f>
        <v>55</v>
      </c>
      <c r="L945">
        <f>VLOOKUP(PREVIOS!I945,PLAN!A:B,2,FALSE)</f>
        <v>6</v>
      </c>
    </row>
    <row r="946" spans="1:12" x14ac:dyDescent="0.25">
      <c r="A946" t="str">
        <f t="shared" si="14"/>
        <v>A575M282C1</v>
      </c>
      <c r="C946">
        <v>945</v>
      </c>
      <c r="D946">
        <f>VLOOKUP(PREVIOS!C946,ALUMNOS!A:B,2,FALSE)</f>
        <v>575</v>
      </c>
      <c r="E946">
        <f>VLOOKUP(PREVIOS!E946&amp;'TABLA PREVIOS'!J946,MATERIAS!A:H,7,FALSE)</f>
        <v>282</v>
      </c>
      <c r="F946">
        <f>VLOOKUP(PREVIOS!G946,CONDICION!A:B,2,FALSE)</f>
        <v>1</v>
      </c>
      <c r="G946">
        <f>IF(PREVIOS!AG946=1,1,VLOOKUP(PREVIOS!AG946,CALIFICACION!A:C,3,FALSE))</f>
        <v>1</v>
      </c>
      <c r="H946" s="1" t="s">
        <v>534</v>
      </c>
      <c r="I946" s="1" t="s">
        <v>534</v>
      </c>
      <c r="J946">
        <f>VLOOKUP(PREVIOS!F946&amp;VLOOKUP(PREVIOS!I946,PLAN!A:B,2,FALSE),CURSO!A:D,4,FALSE)</f>
        <v>22</v>
      </c>
      <c r="K946">
        <f>VLOOKUP(PREVIOS!H946,CICLO!A:B,2,FALSE)</f>
        <v>55</v>
      </c>
      <c r="L946">
        <f>VLOOKUP(PREVIOS!I946,PLAN!A:B,2,FALSE)</f>
        <v>6</v>
      </c>
    </row>
    <row r="947" spans="1:12" x14ac:dyDescent="0.25">
      <c r="A947" t="str">
        <f t="shared" si="14"/>
        <v>A575M279C1</v>
      </c>
      <c r="C947">
        <v>946</v>
      </c>
      <c r="D947">
        <f>VLOOKUP(PREVIOS!C947,ALUMNOS!A:B,2,FALSE)</f>
        <v>575</v>
      </c>
      <c r="E947">
        <f>VLOOKUP(PREVIOS!E947&amp;'TABLA PREVIOS'!J947,MATERIAS!A:H,7,FALSE)</f>
        <v>279</v>
      </c>
      <c r="F947">
        <f>VLOOKUP(PREVIOS!G947,CONDICION!A:B,2,FALSE)</f>
        <v>1</v>
      </c>
      <c r="G947">
        <f>IF(PREVIOS!AG947=1,1,VLOOKUP(PREVIOS!AG947,CALIFICACION!A:C,3,FALSE))</f>
        <v>1</v>
      </c>
      <c r="H947" s="1" t="s">
        <v>534</v>
      </c>
      <c r="I947" s="1" t="s">
        <v>534</v>
      </c>
      <c r="J947">
        <f>VLOOKUP(PREVIOS!F947&amp;VLOOKUP(PREVIOS!I947,PLAN!A:B,2,FALSE),CURSO!A:D,4,FALSE)</f>
        <v>22</v>
      </c>
      <c r="K947">
        <f>VLOOKUP(PREVIOS!H947,CICLO!A:B,2,FALSE)</f>
        <v>55</v>
      </c>
      <c r="L947">
        <f>VLOOKUP(PREVIOS!I947,PLAN!A:B,2,FALSE)</f>
        <v>6</v>
      </c>
    </row>
    <row r="948" spans="1:12" x14ac:dyDescent="0.25">
      <c r="A948" t="str">
        <f t="shared" si="14"/>
        <v>A575M280C1</v>
      </c>
      <c r="C948">
        <v>947</v>
      </c>
      <c r="D948">
        <f>VLOOKUP(PREVIOS!C948,ALUMNOS!A:B,2,FALSE)</f>
        <v>575</v>
      </c>
      <c r="E948">
        <f>VLOOKUP(PREVIOS!E948&amp;'TABLA PREVIOS'!J948,MATERIAS!A:H,7,FALSE)</f>
        <v>280</v>
      </c>
      <c r="F948">
        <f>VLOOKUP(PREVIOS!G948,CONDICION!A:B,2,FALSE)</f>
        <v>1</v>
      </c>
      <c r="G948">
        <f>IF(PREVIOS!AG948=1,1,VLOOKUP(PREVIOS!AG948,CALIFICACION!A:C,3,FALSE))</f>
        <v>1</v>
      </c>
      <c r="H948" s="1" t="s">
        <v>534</v>
      </c>
      <c r="I948" s="1" t="s">
        <v>534</v>
      </c>
      <c r="J948">
        <f>VLOOKUP(PREVIOS!F948&amp;VLOOKUP(PREVIOS!I948,PLAN!A:B,2,FALSE),CURSO!A:D,4,FALSE)</f>
        <v>22</v>
      </c>
      <c r="K948">
        <f>VLOOKUP(PREVIOS!H948,CICLO!A:B,2,FALSE)</f>
        <v>55</v>
      </c>
      <c r="L948">
        <f>VLOOKUP(PREVIOS!I948,PLAN!A:B,2,FALSE)</f>
        <v>6</v>
      </c>
    </row>
    <row r="949" spans="1:12" x14ac:dyDescent="0.25">
      <c r="A949" t="str">
        <f t="shared" si="14"/>
        <v>A575M288C1</v>
      </c>
      <c r="C949">
        <v>948</v>
      </c>
      <c r="D949">
        <f>VLOOKUP(PREVIOS!C949,ALUMNOS!A:B,2,FALSE)</f>
        <v>575</v>
      </c>
      <c r="E949">
        <f>VLOOKUP(PREVIOS!E949&amp;'TABLA PREVIOS'!J949,MATERIAS!A:H,7,FALSE)</f>
        <v>288</v>
      </c>
      <c r="F949">
        <f>VLOOKUP(PREVIOS!G949,CONDICION!A:B,2,FALSE)</f>
        <v>1</v>
      </c>
      <c r="G949">
        <f>IF(PREVIOS!AG949=1,1,VLOOKUP(PREVIOS!AG949,CALIFICACION!A:C,3,FALSE))</f>
        <v>1</v>
      </c>
      <c r="H949" s="1" t="s">
        <v>534</v>
      </c>
      <c r="I949" s="1" t="s">
        <v>534</v>
      </c>
      <c r="J949">
        <f>VLOOKUP(PREVIOS!F949&amp;VLOOKUP(PREVIOS!I949,PLAN!A:B,2,FALSE),CURSO!A:D,4,FALSE)</f>
        <v>22</v>
      </c>
      <c r="K949">
        <f>VLOOKUP(PREVIOS!H949,CICLO!A:B,2,FALSE)</f>
        <v>55</v>
      </c>
      <c r="L949">
        <f>VLOOKUP(PREVIOS!I949,PLAN!A:B,2,FALSE)</f>
        <v>6</v>
      </c>
    </row>
    <row r="950" spans="1:12" x14ac:dyDescent="0.25">
      <c r="A950" t="str">
        <f t="shared" si="14"/>
        <v>A575M290C1</v>
      </c>
      <c r="C950">
        <v>949</v>
      </c>
      <c r="D950">
        <f>VLOOKUP(PREVIOS!C950,ALUMNOS!A:B,2,FALSE)</f>
        <v>575</v>
      </c>
      <c r="E950">
        <f>VLOOKUP(PREVIOS!E950&amp;'TABLA PREVIOS'!J950,MATERIAS!A:H,7,FALSE)</f>
        <v>290</v>
      </c>
      <c r="F950">
        <f>VLOOKUP(PREVIOS!G950,CONDICION!A:B,2,FALSE)</f>
        <v>1</v>
      </c>
      <c r="G950">
        <f>IF(PREVIOS!AG950=1,1,VLOOKUP(PREVIOS!AG950,CALIFICACION!A:C,3,FALSE))</f>
        <v>1</v>
      </c>
      <c r="H950" s="1" t="s">
        <v>534</v>
      </c>
      <c r="I950" s="1" t="s">
        <v>534</v>
      </c>
      <c r="J950">
        <f>VLOOKUP(PREVIOS!F950&amp;VLOOKUP(PREVIOS!I950,PLAN!A:B,2,FALSE),CURSO!A:D,4,FALSE)</f>
        <v>22</v>
      </c>
      <c r="K950">
        <f>VLOOKUP(PREVIOS!H950,CICLO!A:B,2,FALSE)</f>
        <v>55</v>
      </c>
      <c r="L950">
        <f>VLOOKUP(PREVIOS!I950,PLAN!A:B,2,FALSE)</f>
        <v>6</v>
      </c>
    </row>
    <row r="951" spans="1:12" x14ac:dyDescent="0.25">
      <c r="A951" t="str">
        <f t="shared" si="14"/>
        <v>A580M240C1</v>
      </c>
      <c r="C951">
        <v>950</v>
      </c>
      <c r="D951">
        <f>VLOOKUP(PREVIOS!C951,ALUMNOS!A:B,2,FALSE)</f>
        <v>580</v>
      </c>
      <c r="E951">
        <f>VLOOKUP(PREVIOS!E951&amp;'TABLA PREVIOS'!J951,MATERIAS!A:H,7,FALSE)</f>
        <v>240</v>
      </c>
      <c r="F951">
        <f>VLOOKUP(PREVIOS!G951,CONDICION!A:B,2,FALSE)</f>
        <v>1</v>
      </c>
      <c r="G951">
        <f>IF(PREVIOS!AG951=1,1,VLOOKUP(PREVIOS!AG951,CALIFICACION!A:C,3,FALSE))</f>
        <v>1</v>
      </c>
      <c r="H951" s="1" t="s">
        <v>534</v>
      </c>
      <c r="I951" s="1" t="s">
        <v>534</v>
      </c>
      <c r="J951">
        <f>VLOOKUP(PREVIOS!F951&amp;VLOOKUP(PREVIOS!I951,PLAN!A:B,2,FALSE),CURSO!A:D,4,FALSE)</f>
        <v>19</v>
      </c>
      <c r="K951">
        <f>VLOOKUP(PREVIOS!H951,CICLO!A:B,2,FALSE)</f>
        <v>52</v>
      </c>
      <c r="L951">
        <f>VLOOKUP(PREVIOS!I951,PLAN!A:B,2,FALSE)</f>
        <v>5</v>
      </c>
    </row>
    <row r="952" spans="1:12" x14ac:dyDescent="0.25">
      <c r="A952" t="str">
        <f t="shared" si="14"/>
        <v>A580M252C1</v>
      </c>
      <c r="C952">
        <v>951</v>
      </c>
      <c r="D952">
        <f>VLOOKUP(PREVIOS!C952,ALUMNOS!A:B,2,FALSE)</f>
        <v>580</v>
      </c>
      <c r="E952">
        <f>VLOOKUP(PREVIOS!E952&amp;'TABLA PREVIOS'!J952,MATERIAS!A:H,7,FALSE)</f>
        <v>252</v>
      </c>
      <c r="F952">
        <f>VLOOKUP(PREVIOS!G952,CONDICION!A:B,2,FALSE)</f>
        <v>1</v>
      </c>
      <c r="G952">
        <f>IF(PREVIOS!AG952=1,1,VLOOKUP(PREVIOS!AG952,CALIFICACION!A:C,3,FALSE))</f>
        <v>1</v>
      </c>
      <c r="H952" s="1" t="s">
        <v>534</v>
      </c>
      <c r="I952" s="1" t="s">
        <v>534</v>
      </c>
      <c r="J952">
        <f>VLOOKUP(PREVIOS!F952&amp;VLOOKUP(PREVIOS!I952,PLAN!A:B,2,FALSE),CURSO!A:D,4,FALSE)</f>
        <v>20</v>
      </c>
      <c r="K952">
        <f>VLOOKUP(PREVIOS!H952,CICLO!A:B,2,FALSE)</f>
        <v>53</v>
      </c>
      <c r="L952">
        <f>VLOOKUP(PREVIOS!I952,PLAN!A:B,2,FALSE)</f>
        <v>6</v>
      </c>
    </row>
    <row r="953" spans="1:12" x14ac:dyDescent="0.25">
      <c r="A953" t="str">
        <f t="shared" si="14"/>
        <v>A580M274C1</v>
      </c>
      <c r="C953">
        <v>952</v>
      </c>
      <c r="D953">
        <f>VLOOKUP(PREVIOS!C953,ALUMNOS!A:B,2,FALSE)</f>
        <v>580</v>
      </c>
      <c r="E953">
        <f>VLOOKUP(PREVIOS!E953&amp;'TABLA PREVIOS'!J953,MATERIAS!A:H,7,FALSE)</f>
        <v>274</v>
      </c>
      <c r="F953">
        <f>VLOOKUP(PREVIOS!G953,CONDICION!A:B,2,FALSE)</f>
        <v>1</v>
      </c>
      <c r="G953">
        <f>IF(PREVIOS!AG953=1,1,VLOOKUP(PREVIOS!AG953,CALIFICACION!A:C,3,FALSE))</f>
        <v>1</v>
      </c>
      <c r="H953" s="1" t="s">
        <v>534</v>
      </c>
      <c r="I953" s="1" t="s">
        <v>534</v>
      </c>
      <c r="J953">
        <f>VLOOKUP(PREVIOS!F953&amp;VLOOKUP(PREVIOS!I953,PLAN!A:B,2,FALSE),CURSO!A:D,4,FALSE)</f>
        <v>21</v>
      </c>
      <c r="K953">
        <f>VLOOKUP(PREVIOS!H953,CICLO!A:B,2,FALSE)</f>
        <v>54</v>
      </c>
      <c r="L953">
        <f>VLOOKUP(PREVIOS!I953,PLAN!A:B,2,FALSE)</f>
        <v>6</v>
      </c>
    </row>
    <row r="954" spans="1:12" x14ac:dyDescent="0.25">
      <c r="A954" t="str">
        <f t="shared" si="14"/>
        <v>A580M277C1</v>
      </c>
      <c r="C954">
        <v>953</v>
      </c>
      <c r="D954">
        <f>VLOOKUP(PREVIOS!C954,ALUMNOS!A:B,2,FALSE)</f>
        <v>580</v>
      </c>
      <c r="E954">
        <f>VLOOKUP(PREVIOS!E954&amp;'TABLA PREVIOS'!J954,MATERIAS!A:H,7,FALSE)</f>
        <v>277</v>
      </c>
      <c r="F954">
        <f>VLOOKUP(PREVIOS!G954,CONDICION!A:B,2,FALSE)</f>
        <v>1</v>
      </c>
      <c r="G954">
        <f>IF(PREVIOS!AG954=1,1,VLOOKUP(PREVIOS!AG954,CALIFICACION!A:C,3,FALSE))</f>
        <v>1</v>
      </c>
      <c r="H954" s="1" t="s">
        <v>534</v>
      </c>
      <c r="I954" s="1" t="s">
        <v>534</v>
      </c>
      <c r="J954">
        <f>VLOOKUP(PREVIOS!F954&amp;VLOOKUP(PREVIOS!I954,PLAN!A:B,2,FALSE),CURSO!A:D,4,FALSE)</f>
        <v>21</v>
      </c>
      <c r="K954">
        <f>VLOOKUP(PREVIOS!H954,CICLO!A:B,2,FALSE)</f>
        <v>54</v>
      </c>
      <c r="L954">
        <f>VLOOKUP(PREVIOS!I954,PLAN!A:B,2,FALSE)</f>
        <v>6</v>
      </c>
    </row>
    <row r="955" spans="1:12" x14ac:dyDescent="0.25">
      <c r="A955" t="str">
        <f t="shared" si="14"/>
        <v>A580M276C1</v>
      </c>
      <c r="C955">
        <v>954</v>
      </c>
      <c r="D955">
        <f>VLOOKUP(PREVIOS!C955,ALUMNOS!A:B,2,FALSE)</f>
        <v>580</v>
      </c>
      <c r="E955">
        <f>VLOOKUP(PREVIOS!E955&amp;'TABLA PREVIOS'!J955,MATERIAS!A:H,7,FALSE)</f>
        <v>276</v>
      </c>
      <c r="F955">
        <f>VLOOKUP(PREVIOS!G955,CONDICION!A:B,2,FALSE)</f>
        <v>1</v>
      </c>
      <c r="G955">
        <f>IF(PREVIOS!AG955=1,1,VLOOKUP(PREVIOS!AG955,CALIFICACION!A:C,3,FALSE))</f>
        <v>1</v>
      </c>
      <c r="H955" s="1" t="s">
        <v>534</v>
      </c>
      <c r="I955" s="1" t="s">
        <v>534</v>
      </c>
      <c r="J955">
        <f>VLOOKUP(PREVIOS!F955&amp;VLOOKUP(PREVIOS!I955,PLAN!A:B,2,FALSE),CURSO!A:D,4,FALSE)</f>
        <v>21</v>
      </c>
      <c r="K955">
        <f>VLOOKUP(PREVIOS!H955,CICLO!A:B,2,FALSE)</f>
        <v>54</v>
      </c>
      <c r="L955">
        <f>VLOOKUP(PREVIOS!I955,PLAN!A:B,2,FALSE)</f>
        <v>6</v>
      </c>
    </row>
    <row r="956" spans="1:12" x14ac:dyDescent="0.25">
      <c r="A956" t="str">
        <f t="shared" si="14"/>
        <v>A580M275C1</v>
      </c>
      <c r="C956">
        <v>955</v>
      </c>
      <c r="D956">
        <f>VLOOKUP(PREVIOS!C956,ALUMNOS!A:B,2,FALSE)</f>
        <v>580</v>
      </c>
      <c r="E956">
        <f>VLOOKUP(PREVIOS!E956&amp;'TABLA PREVIOS'!J956,MATERIAS!A:H,7,FALSE)</f>
        <v>275</v>
      </c>
      <c r="F956">
        <f>VLOOKUP(PREVIOS!G956,CONDICION!A:B,2,FALSE)</f>
        <v>1</v>
      </c>
      <c r="G956">
        <f>IF(PREVIOS!AG956=1,1,VLOOKUP(PREVIOS!AG956,CALIFICACION!A:C,3,FALSE))</f>
        <v>1</v>
      </c>
      <c r="H956" s="1" t="s">
        <v>534</v>
      </c>
      <c r="I956" s="1" t="s">
        <v>534</v>
      </c>
      <c r="J956">
        <f>VLOOKUP(PREVIOS!F956&amp;VLOOKUP(PREVIOS!I956,PLAN!A:B,2,FALSE),CURSO!A:D,4,FALSE)</f>
        <v>21</v>
      </c>
      <c r="K956">
        <f>VLOOKUP(PREVIOS!H956,CICLO!A:B,2,FALSE)</f>
        <v>54</v>
      </c>
      <c r="L956">
        <f>VLOOKUP(PREVIOS!I956,PLAN!A:B,2,FALSE)</f>
        <v>6</v>
      </c>
    </row>
    <row r="957" spans="1:12" x14ac:dyDescent="0.25">
      <c r="A957" t="str">
        <f t="shared" si="14"/>
        <v>A580M273C1</v>
      </c>
      <c r="C957">
        <v>956</v>
      </c>
      <c r="D957">
        <f>VLOOKUP(PREVIOS!C957,ALUMNOS!A:B,2,FALSE)</f>
        <v>580</v>
      </c>
      <c r="E957">
        <f>VLOOKUP(PREVIOS!E957&amp;'TABLA PREVIOS'!J957,MATERIAS!A:H,7,FALSE)</f>
        <v>273</v>
      </c>
      <c r="F957">
        <f>VLOOKUP(PREVIOS!G957,CONDICION!A:B,2,FALSE)</f>
        <v>1</v>
      </c>
      <c r="G957">
        <f>IF(PREVIOS!AG957=1,1,VLOOKUP(PREVIOS!AG957,CALIFICACION!A:C,3,FALSE))</f>
        <v>1</v>
      </c>
      <c r="H957" s="1" t="s">
        <v>534</v>
      </c>
      <c r="I957" s="1" t="s">
        <v>534</v>
      </c>
      <c r="J957">
        <f>VLOOKUP(PREVIOS!F957&amp;VLOOKUP(PREVIOS!I957,PLAN!A:B,2,FALSE),CURSO!A:D,4,FALSE)</f>
        <v>21</v>
      </c>
      <c r="K957">
        <f>VLOOKUP(PREVIOS!H957,CICLO!A:B,2,FALSE)</f>
        <v>54</v>
      </c>
      <c r="L957">
        <f>VLOOKUP(PREVIOS!I957,PLAN!A:B,2,FALSE)</f>
        <v>6</v>
      </c>
    </row>
    <row r="958" spans="1:12" x14ac:dyDescent="0.25">
      <c r="A958" t="str">
        <f t="shared" si="14"/>
        <v>A580M286C1</v>
      </c>
      <c r="C958">
        <v>957</v>
      </c>
      <c r="D958">
        <f>VLOOKUP(PREVIOS!C958,ALUMNOS!A:B,2,FALSE)</f>
        <v>580</v>
      </c>
      <c r="E958">
        <f>VLOOKUP(PREVIOS!E958&amp;'TABLA PREVIOS'!J958,MATERIAS!A:H,7,FALSE)</f>
        <v>286</v>
      </c>
      <c r="F958">
        <f>VLOOKUP(PREVIOS!G958,CONDICION!A:B,2,FALSE)</f>
        <v>1</v>
      </c>
      <c r="G958">
        <f>IF(PREVIOS!AG958=1,1,VLOOKUP(PREVIOS!AG958,CALIFICACION!A:C,3,FALSE))</f>
        <v>1</v>
      </c>
      <c r="H958" s="1" t="s">
        <v>534</v>
      </c>
      <c r="I958" s="1" t="s">
        <v>534</v>
      </c>
      <c r="J958">
        <f>VLOOKUP(PREVIOS!F958&amp;VLOOKUP(PREVIOS!I958,PLAN!A:B,2,FALSE),CURSO!A:D,4,FALSE)</f>
        <v>22</v>
      </c>
      <c r="K958">
        <f>VLOOKUP(PREVIOS!H958,CICLO!A:B,2,FALSE)</f>
        <v>55</v>
      </c>
      <c r="L958">
        <f>VLOOKUP(PREVIOS!I958,PLAN!A:B,2,FALSE)</f>
        <v>6</v>
      </c>
    </row>
    <row r="959" spans="1:12" x14ac:dyDescent="0.25">
      <c r="A959" t="str">
        <f t="shared" si="14"/>
        <v>A580M292C1</v>
      </c>
      <c r="C959">
        <v>958</v>
      </c>
      <c r="D959">
        <f>VLOOKUP(PREVIOS!C959,ALUMNOS!A:B,2,FALSE)</f>
        <v>580</v>
      </c>
      <c r="E959">
        <f>VLOOKUP(PREVIOS!E959&amp;'TABLA PREVIOS'!J959,MATERIAS!A:H,7,FALSE)</f>
        <v>292</v>
      </c>
      <c r="F959">
        <f>VLOOKUP(PREVIOS!G959,CONDICION!A:B,2,FALSE)</f>
        <v>1</v>
      </c>
      <c r="G959">
        <f>IF(PREVIOS!AG959=1,1,VLOOKUP(PREVIOS!AG959,CALIFICACION!A:C,3,FALSE))</f>
        <v>1</v>
      </c>
      <c r="H959" s="1" t="s">
        <v>534</v>
      </c>
      <c r="I959" s="1" t="s">
        <v>534</v>
      </c>
      <c r="J959">
        <f>VLOOKUP(PREVIOS!F959&amp;VLOOKUP(PREVIOS!I959,PLAN!A:B,2,FALSE),CURSO!A:D,4,FALSE)</f>
        <v>22</v>
      </c>
      <c r="K959">
        <f>VLOOKUP(PREVIOS!H959,CICLO!A:B,2,FALSE)</f>
        <v>55</v>
      </c>
      <c r="L959">
        <f>VLOOKUP(PREVIOS!I959,PLAN!A:B,2,FALSE)</f>
        <v>6</v>
      </c>
    </row>
    <row r="960" spans="1:12" x14ac:dyDescent="0.25">
      <c r="A960" t="str">
        <f t="shared" si="14"/>
        <v>A580M291C1</v>
      </c>
      <c r="C960">
        <v>959</v>
      </c>
      <c r="D960">
        <f>VLOOKUP(PREVIOS!C960,ALUMNOS!A:B,2,FALSE)</f>
        <v>580</v>
      </c>
      <c r="E960">
        <f>VLOOKUP(PREVIOS!E960&amp;'TABLA PREVIOS'!J960,MATERIAS!A:H,7,FALSE)</f>
        <v>291</v>
      </c>
      <c r="F960">
        <f>VLOOKUP(PREVIOS!G960,CONDICION!A:B,2,FALSE)</f>
        <v>1</v>
      </c>
      <c r="G960">
        <f>IF(PREVIOS!AG960=1,1,VLOOKUP(PREVIOS!AG960,CALIFICACION!A:C,3,FALSE))</f>
        <v>9</v>
      </c>
      <c r="H960" s="1" t="s">
        <v>534</v>
      </c>
      <c r="I960" s="1" t="s">
        <v>534</v>
      </c>
      <c r="J960">
        <f>VLOOKUP(PREVIOS!F960&amp;VLOOKUP(PREVIOS!I960,PLAN!A:B,2,FALSE),CURSO!A:D,4,FALSE)</f>
        <v>22</v>
      </c>
      <c r="K960">
        <f>VLOOKUP(PREVIOS!H960,CICLO!A:B,2,FALSE)</f>
        <v>55</v>
      </c>
      <c r="L960">
        <f>VLOOKUP(PREVIOS!I960,PLAN!A:B,2,FALSE)</f>
        <v>6</v>
      </c>
    </row>
    <row r="961" spans="1:12" x14ac:dyDescent="0.25">
      <c r="A961" t="str">
        <f t="shared" si="14"/>
        <v>A580M282C1</v>
      </c>
      <c r="C961">
        <v>960</v>
      </c>
      <c r="D961">
        <f>VLOOKUP(PREVIOS!C961,ALUMNOS!A:B,2,FALSE)</f>
        <v>580</v>
      </c>
      <c r="E961">
        <f>VLOOKUP(PREVIOS!E961&amp;'TABLA PREVIOS'!J961,MATERIAS!A:H,7,FALSE)</f>
        <v>282</v>
      </c>
      <c r="F961">
        <f>VLOOKUP(PREVIOS!G961,CONDICION!A:B,2,FALSE)</f>
        <v>1</v>
      </c>
      <c r="G961">
        <f>IF(PREVIOS!AG961=1,1,VLOOKUP(PREVIOS!AG961,CALIFICACION!A:C,3,FALSE))</f>
        <v>1</v>
      </c>
      <c r="H961" s="1" t="s">
        <v>534</v>
      </c>
      <c r="I961" s="1" t="s">
        <v>534</v>
      </c>
      <c r="J961">
        <f>VLOOKUP(PREVIOS!F961&amp;VLOOKUP(PREVIOS!I961,PLAN!A:B,2,FALSE),CURSO!A:D,4,FALSE)</f>
        <v>22</v>
      </c>
      <c r="K961">
        <f>VLOOKUP(PREVIOS!H961,CICLO!A:B,2,FALSE)</f>
        <v>55</v>
      </c>
      <c r="L961">
        <f>VLOOKUP(PREVIOS!I961,PLAN!A:B,2,FALSE)</f>
        <v>6</v>
      </c>
    </row>
    <row r="962" spans="1:12" x14ac:dyDescent="0.25">
      <c r="A962" t="str">
        <f t="shared" si="14"/>
        <v>A580M280C1</v>
      </c>
      <c r="C962">
        <v>961</v>
      </c>
      <c r="D962">
        <f>VLOOKUP(PREVIOS!C962,ALUMNOS!A:B,2,FALSE)</f>
        <v>580</v>
      </c>
      <c r="E962">
        <f>VLOOKUP(PREVIOS!E962&amp;'TABLA PREVIOS'!J962,MATERIAS!A:H,7,FALSE)</f>
        <v>280</v>
      </c>
      <c r="F962">
        <f>VLOOKUP(PREVIOS!G962,CONDICION!A:B,2,FALSE)</f>
        <v>1</v>
      </c>
      <c r="G962">
        <f>IF(PREVIOS!AG962=1,1,VLOOKUP(PREVIOS!AG962,CALIFICACION!A:C,3,FALSE))</f>
        <v>1</v>
      </c>
      <c r="H962" s="1" t="s">
        <v>534</v>
      </c>
      <c r="I962" s="1" t="s">
        <v>534</v>
      </c>
      <c r="J962">
        <f>VLOOKUP(PREVIOS!F962&amp;VLOOKUP(PREVIOS!I962,PLAN!A:B,2,FALSE),CURSO!A:D,4,FALSE)</f>
        <v>22</v>
      </c>
      <c r="K962">
        <f>VLOOKUP(PREVIOS!H962,CICLO!A:B,2,FALSE)</f>
        <v>55</v>
      </c>
      <c r="L962">
        <f>VLOOKUP(PREVIOS!I962,PLAN!A:B,2,FALSE)</f>
        <v>6</v>
      </c>
    </row>
    <row r="963" spans="1:12" x14ac:dyDescent="0.25">
      <c r="A963" t="str">
        <f t="shared" ref="A963:A1026" si="15">"A"&amp;D963&amp;"M"&amp;E963&amp;"C"&amp;F963</f>
        <v>A580M290C1</v>
      </c>
      <c r="C963">
        <v>962</v>
      </c>
      <c r="D963">
        <f>VLOOKUP(PREVIOS!C963,ALUMNOS!A:B,2,FALSE)</f>
        <v>580</v>
      </c>
      <c r="E963">
        <f>VLOOKUP(PREVIOS!E963&amp;'TABLA PREVIOS'!J963,MATERIAS!A:H,7,FALSE)</f>
        <v>290</v>
      </c>
      <c r="F963">
        <f>VLOOKUP(PREVIOS!G963,CONDICION!A:B,2,FALSE)</f>
        <v>1</v>
      </c>
      <c r="G963">
        <f>IF(PREVIOS!AG963=1,1,VLOOKUP(PREVIOS!AG963,CALIFICACION!A:C,3,FALSE))</f>
        <v>1</v>
      </c>
      <c r="H963" s="1" t="s">
        <v>534</v>
      </c>
      <c r="I963" s="1" t="s">
        <v>534</v>
      </c>
      <c r="J963">
        <f>VLOOKUP(PREVIOS!F963&amp;VLOOKUP(PREVIOS!I963,PLAN!A:B,2,FALSE),CURSO!A:D,4,FALSE)</f>
        <v>22</v>
      </c>
      <c r="K963">
        <f>VLOOKUP(PREVIOS!H963,CICLO!A:B,2,FALSE)</f>
        <v>55</v>
      </c>
      <c r="L963">
        <f>VLOOKUP(PREVIOS!I963,PLAN!A:B,2,FALSE)</f>
        <v>6</v>
      </c>
    </row>
    <row r="964" spans="1:12" x14ac:dyDescent="0.25">
      <c r="A964" t="str">
        <f t="shared" si="15"/>
        <v>A582M259C2</v>
      </c>
      <c r="C964">
        <v>963</v>
      </c>
      <c r="D964">
        <f>VLOOKUP(PREVIOS!C964,ALUMNOS!A:B,2,FALSE)</f>
        <v>582</v>
      </c>
      <c r="E964">
        <f>VLOOKUP(PREVIOS!E964&amp;'TABLA PREVIOS'!J964,MATERIAS!A:H,7,FALSE)</f>
        <v>259</v>
      </c>
      <c r="F964">
        <f>VLOOKUP(PREVIOS!G964,CONDICION!A:B,2,FALSE)</f>
        <v>2</v>
      </c>
      <c r="G964">
        <f>IF(PREVIOS!AG964=1,1,VLOOKUP(PREVIOS!AG964,CALIFICACION!A:C,3,FALSE))</f>
        <v>1</v>
      </c>
      <c r="H964" s="1" t="s">
        <v>534</v>
      </c>
      <c r="I964" s="1" t="s">
        <v>534</v>
      </c>
      <c r="J964">
        <f>VLOOKUP(PREVIOS!F964&amp;VLOOKUP(PREVIOS!I964,PLAN!A:B,2,FALSE),CURSO!A:D,4,FALSE)</f>
        <v>20</v>
      </c>
      <c r="K964">
        <f>VLOOKUP(PREVIOS!H964,CICLO!A:B,2,FALSE)</f>
        <v>54</v>
      </c>
      <c r="L964">
        <f>VLOOKUP(PREVIOS!I964,PLAN!A:B,2,FALSE)</f>
        <v>6</v>
      </c>
    </row>
    <row r="965" spans="1:12" x14ac:dyDescent="0.25">
      <c r="A965" t="str">
        <f t="shared" si="15"/>
        <v>A582M274C2</v>
      </c>
      <c r="C965">
        <v>964</v>
      </c>
      <c r="D965">
        <f>VLOOKUP(PREVIOS!C965,ALUMNOS!A:B,2,FALSE)</f>
        <v>582</v>
      </c>
      <c r="E965">
        <f>VLOOKUP(PREVIOS!E965&amp;'TABLA PREVIOS'!J965,MATERIAS!A:H,7,FALSE)</f>
        <v>274</v>
      </c>
      <c r="F965">
        <f>VLOOKUP(PREVIOS!G965,CONDICION!A:B,2,FALSE)</f>
        <v>2</v>
      </c>
      <c r="G965">
        <f>IF(PREVIOS!AG965=1,1,VLOOKUP(PREVIOS!AG965,CALIFICACION!A:C,3,FALSE))</f>
        <v>1</v>
      </c>
      <c r="H965" s="1" t="s">
        <v>534</v>
      </c>
      <c r="I965" s="1" t="s">
        <v>534</v>
      </c>
      <c r="J965">
        <f>VLOOKUP(PREVIOS!F965&amp;VLOOKUP(PREVIOS!I965,PLAN!A:B,2,FALSE),CURSO!A:D,4,FALSE)</f>
        <v>21</v>
      </c>
      <c r="K965">
        <f>VLOOKUP(PREVIOS!H965,CICLO!A:B,2,FALSE)</f>
        <v>54</v>
      </c>
      <c r="L965">
        <f>VLOOKUP(PREVIOS!I965,PLAN!A:B,2,FALSE)</f>
        <v>6</v>
      </c>
    </row>
    <row r="966" spans="1:12" x14ac:dyDescent="0.25">
      <c r="A966" t="str">
        <f t="shared" si="15"/>
        <v>A582M275C2</v>
      </c>
      <c r="C966">
        <v>965</v>
      </c>
      <c r="D966">
        <f>VLOOKUP(PREVIOS!C966,ALUMNOS!A:B,2,FALSE)</f>
        <v>582</v>
      </c>
      <c r="E966">
        <f>VLOOKUP(PREVIOS!E966&amp;'TABLA PREVIOS'!J966,MATERIAS!A:H,7,FALSE)</f>
        <v>275</v>
      </c>
      <c r="F966">
        <f>VLOOKUP(PREVIOS!G966,CONDICION!A:B,2,FALSE)</f>
        <v>2</v>
      </c>
      <c r="G966">
        <f>IF(PREVIOS!AG966=1,1,VLOOKUP(PREVIOS!AG966,CALIFICACION!A:C,3,FALSE))</f>
        <v>1</v>
      </c>
      <c r="H966" s="1" t="s">
        <v>534</v>
      </c>
      <c r="I966" s="1" t="s">
        <v>534</v>
      </c>
      <c r="J966">
        <f>VLOOKUP(PREVIOS!F966&amp;VLOOKUP(PREVIOS!I966,PLAN!A:B,2,FALSE),CURSO!A:D,4,FALSE)</f>
        <v>21</v>
      </c>
      <c r="K966">
        <f>VLOOKUP(PREVIOS!H966,CICLO!A:B,2,FALSE)</f>
        <v>54</v>
      </c>
      <c r="L966">
        <f>VLOOKUP(PREVIOS!I966,PLAN!A:B,2,FALSE)</f>
        <v>6</v>
      </c>
    </row>
    <row r="967" spans="1:12" x14ac:dyDescent="0.25">
      <c r="A967" t="str">
        <f t="shared" si="15"/>
        <v>A582M273C2</v>
      </c>
      <c r="C967">
        <v>966</v>
      </c>
      <c r="D967">
        <f>VLOOKUP(PREVIOS!C967,ALUMNOS!A:B,2,FALSE)</f>
        <v>582</v>
      </c>
      <c r="E967">
        <f>VLOOKUP(PREVIOS!E967&amp;'TABLA PREVIOS'!J967,MATERIAS!A:H,7,FALSE)</f>
        <v>273</v>
      </c>
      <c r="F967">
        <f>VLOOKUP(PREVIOS!G967,CONDICION!A:B,2,FALSE)</f>
        <v>2</v>
      </c>
      <c r="G967">
        <f>IF(PREVIOS!AG967=1,1,VLOOKUP(PREVIOS!AG967,CALIFICACION!A:C,3,FALSE))</f>
        <v>1</v>
      </c>
      <c r="H967" s="1" t="s">
        <v>534</v>
      </c>
      <c r="I967" s="1" t="s">
        <v>534</v>
      </c>
      <c r="J967">
        <f>VLOOKUP(PREVIOS!F967&amp;VLOOKUP(PREVIOS!I967,PLAN!A:B,2,FALSE),CURSO!A:D,4,FALSE)</f>
        <v>21</v>
      </c>
      <c r="K967">
        <f>VLOOKUP(PREVIOS!H967,CICLO!A:B,2,FALSE)</f>
        <v>54</v>
      </c>
      <c r="L967">
        <f>VLOOKUP(PREVIOS!I967,PLAN!A:B,2,FALSE)</f>
        <v>6</v>
      </c>
    </row>
    <row r="968" spans="1:12" x14ac:dyDescent="0.25">
      <c r="A968" t="str">
        <f t="shared" si="15"/>
        <v>A582M286C1</v>
      </c>
      <c r="C968">
        <v>967</v>
      </c>
      <c r="D968">
        <f>VLOOKUP(PREVIOS!C968,ALUMNOS!A:B,2,FALSE)</f>
        <v>582</v>
      </c>
      <c r="E968">
        <f>VLOOKUP(PREVIOS!E968&amp;'TABLA PREVIOS'!J968,MATERIAS!A:H,7,FALSE)</f>
        <v>286</v>
      </c>
      <c r="F968">
        <f>VLOOKUP(PREVIOS!G968,CONDICION!A:B,2,FALSE)</f>
        <v>1</v>
      </c>
      <c r="G968">
        <f>IF(PREVIOS!AG968=1,1,VLOOKUP(PREVIOS!AG968,CALIFICACION!A:C,3,FALSE))</f>
        <v>1</v>
      </c>
      <c r="H968" s="1" t="s">
        <v>534</v>
      </c>
      <c r="I968" s="1" t="s">
        <v>534</v>
      </c>
      <c r="J968">
        <f>VLOOKUP(PREVIOS!F968&amp;VLOOKUP(PREVIOS!I968,PLAN!A:B,2,FALSE),CURSO!A:D,4,FALSE)</f>
        <v>22</v>
      </c>
      <c r="K968">
        <f>VLOOKUP(PREVIOS!H968,CICLO!A:B,2,FALSE)</f>
        <v>55</v>
      </c>
      <c r="L968">
        <f>VLOOKUP(PREVIOS!I968,PLAN!A:B,2,FALSE)</f>
        <v>6</v>
      </c>
    </row>
    <row r="969" spans="1:12" x14ac:dyDescent="0.25">
      <c r="A969" t="str">
        <f t="shared" si="15"/>
        <v>A582M291C1</v>
      </c>
      <c r="C969">
        <v>968</v>
      </c>
      <c r="D969">
        <f>VLOOKUP(PREVIOS!C969,ALUMNOS!A:B,2,FALSE)</f>
        <v>582</v>
      </c>
      <c r="E969">
        <f>VLOOKUP(PREVIOS!E969&amp;'TABLA PREVIOS'!J969,MATERIAS!A:H,7,FALSE)</f>
        <v>291</v>
      </c>
      <c r="F969">
        <f>VLOOKUP(PREVIOS!G969,CONDICION!A:B,2,FALSE)</f>
        <v>1</v>
      </c>
      <c r="G969">
        <f>IF(PREVIOS!AG969=1,1,VLOOKUP(PREVIOS!AG969,CALIFICACION!A:C,3,FALSE))</f>
        <v>1</v>
      </c>
      <c r="H969" s="1" t="s">
        <v>534</v>
      </c>
      <c r="I969" s="1" t="s">
        <v>534</v>
      </c>
      <c r="J969">
        <f>VLOOKUP(PREVIOS!F969&amp;VLOOKUP(PREVIOS!I969,PLAN!A:B,2,FALSE),CURSO!A:D,4,FALSE)</f>
        <v>22</v>
      </c>
      <c r="K969">
        <f>VLOOKUP(PREVIOS!H969,CICLO!A:B,2,FALSE)</f>
        <v>55</v>
      </c>
      <c r="L969">
        <f>VLOOKUP(PREVIOS!I969,PLAN!A:B,2,FALSE)</f>
        <v>6</v>
      </c>
    </row>
    <row r="970" spans="1:12" x14ac:dyDescent="0.25">
      <c r="A970" t="str">
        <f t="shared" si="15"/>
        <v>A582M280C1</v>
      </c>
      <c r="C970">
        <v>969</v>
      </c>
      <c r="D970">
        <f>VLOOKUP(PREVIOS!C970,ALUMNOS!A:B,2,FALSE)</f>
        <v>582</v>
      </c>
      <c r="E970">
        <f>VLOOKUP(PREVIOS!E970&amp;'TABLA PREVIOS'!J970,MATERIAS!A:H,7,FALSE)</f>
        <v>280</v>
      </c>
      <c r="F970">
        <f>VLOOKUP(PREVIOS!G970,CONDICION!A:B,2,FALSE)</f>
        <v>1</v>
      </c>
      <c r="G970">
        <f>IF(PREVIOS!AG970=1,1,VLOOKUP(PREVIOS!AG970,CALIFICACION!A:C,3,FALSE))</f>
        <v>1</v>
      </c>
      <c r="H970" s="1" t="s">
        <v>534</v>
      </c>
      <c r="I970" s="1" t="s">
        <v>534</v>
      </c>
      <c r="J970">
        <f>VLOOKUP(PREVIOS!F970&amp;VLOOKUP(PREVIOS!I970,PLAN!A:B,2,FALSE),CURSO!A:D,4,FALSE)</f>
        <v>22</v>
      </c>
      <c r="K970">
        <f>VLOOKUP(PREVIOS!H970,CICLO!A:B,2,FALSE)</f>
        <v>55</v>
      </c>
      <c r="L970">
        <f>VLOOKUP(PREVIOS!I970,PLAN!A:B,2,FALSE)</f>
        <v>6</v>
      </c>
    </row>
    <row r="971" spans="1:12" x14ac:dyDescent="0.25">
      <c r="A971" t="str">
        <f t="shared" si="15"/>
        <v>A582M290C1</v>
      </c>
      <c r="C971">
        <v>970</v>
      </c>
      <c r="D971">
        <f>VLOOKUP(PREVIOS!C971,ALUMNOS!A:B,2,FALSE)</f>
        <v>582</v>
      </c>
      <c r="E971">
        <f>VLOOKUP(PREVIOS!E971&amp;'TABLA PREVIOS'!J971,MATERIAS!A:H,7,FALSE)</f>
        <v>290</v>
      </c>
      <c r="F971">
        <f>VLOOKUP(PREVIOS!G971,CONDICION!A:B,2,FALSE)</f>
        <v>1</v>
      </c>
      <c r="G971">
        <f>IF(PREVIOS!AG971=1,1,VLOOKUP(PREVIOS!AG971,CALIFICACION!A:C,3,FALSE))</f>
        <v>1</v>
      </c>
      <c r="H971" s="1" t="s">
        <v>534</v>
      </c>
      <c r="I971" s="1" t="s">
        <v>534</v>
      </c>
      <c r="J971">
        <f>VLOOKUP(PREVIOS!F971&amp;VLOOKUP(PREVIOS!I971,PLAN!A:B,2,FALSE),CURSO!A:D,4,FALSE)</f>
        <v>22</v>
      </c>
      <c r="K971">
        <f>VLOOKUP(PREVIOS!H971,CICLO!A:B,2,FALSE)</f>
        <v>55</v>
      </c>
      <c r="L971">
        <f>VLOOKUP(PREVIOS!I971,PLAN!A:B,2,FALSE)</f>
        <v>6</v>
      </c>
    </row>
    <row r="972" spans="1:12" x14ac:dyDescent="0.25">
      <c r="A972" t="str">
        <f t="shared" si="15"/>
        <v>A593M277C1</v>
      </c>
      <c r="C972">
        <v>971</v>
      </c>
      <c r="D972">
        <f>VLOOKUP(PREVIOS!C972,ALUMNOS!A:B,2,FALSE)</f>
        <v>593</v>
      </c>
      <c r="E972">
        <f>VLOOKUP(PREVIOS!E972&amp;'TABLA PREVIOS'!J972,MATERIAS!A:H,7,FALSE)</f>
        <v>277</v>
      </c>
      <c r="F972">
        <f>VLOOKUP(PREVIOS!G972,CONDICION!A:B,2,FALSE)</f>
        <v>1</v>
      </c>
      <c r="G972">
        <f>IF(PREVIOS!AG972=1,1,VLOOKUP(PREVIOS!AG972,CALIFICACION!A:C,3,FALSE))</f>
        <v>1</v>
      </c>
      <c r="H972" s="1" t="s">
        <v>534</v>
      </c>
      <c r="I972" s="1" t="s">
        <v>534</v>
      </c>
      <c r="J972">
        <f>VLOOKUP(PREVIOS!F972&amp;VLOOKUP(PREVIOS!I972,PLAN!A:B,2,FALSE),CURSO!A:D,4,FALSE)</f>
        <v>21</v>
      </c>
      <c r="K972">
        <f>VLOOKUP(PREVIOS!H972,CICLO!A:B,2,FALSE)</f>
        <v>54</v>
      </c>
      <c r="L972">
        <f>VLOOKUP(PREVIOS!I972,PLAN!A:B,2,FALSE)</f>
        <v>6</v>
      </c>
    </row>
    <row r="973" spans="1:12" x14ac:dyDescent="0.25">
      <c r="A973" t="str">
        <f t="shared" si="15"/>
        <v>A593M275C1</v>
      </c>
      <c r="C973">
        <v>972</v>
      </c>
      <c r="D973">
        <f>VLOOKUP(PREVIOS!C973,ALUMNOS!A:B,2,FALSE)</f>
        <v>593</v>
      </c>
      <c r="E973">
        <f>VLOOKUP(PREVIOS!E973&amp;'TABLA PREVIOS'!J973,MATERIAS!A:H,7,FALSE)</f>
        <v>275</v>
      </c>
      <c r="F973">
        <f>VLOOKUP(PREVIOS!G973,CONDICION!A:B,2,FALSE)</f>
        <v>1</v>
      </c>
      <c r="G973">
        <f>IF(PREVIOS!AG973=1,1,VLOOKUP(PREVIOS!AG973,CALIFICACION!A:C,3,FALSE))</f>
        <v>1</v>
      </c>
      <c r="H973" s="1" t="s">
        <v>534</v>
      </c>
      <c r="I973" s="1" t="s">
        <v>534</v>
      </c>
      <c r="J973">
        <f>VLOOKUP(PREVIOS!F973&amp;VLOOKUP(PREVIOS!I973,PLAN!A:B,2,FALSE),CURSO!A:D,4,FALSE)</f>
        <v>21</v>
      </c>
      <c r="K973">
        <f>VLOOKUP(PREVIOS!H973,CICLO!A:B,2,FALSE)</f>
        <v>54</v>
      </c>
      <c r="L973">
        <f>VLOOKUP(PREVIOS!I973,PLAN!A:B,2,FALSE)</f>
        <v>6</v>
      </c>
    </row>
    <row r="974" spans="1:12" x14ac:dyDescent="0.25">
      <c r="A974" t="str">
        <f t="shared" si="15"/>
        <v>A603M229C1</v>
      </c>
      <c r="C974">
        <v>973</v>
      </c>
      <c r="D974">
        <f>VLOOKUP(PREVIOS!C974,ALUMNOS!A:B,2,FALSE)</f>
        <v>603</v>
      </c>
      <c r="E974">
        <f>VLOOKUP(PREVIOS!E974&amp;'TABLA PREVIOS'!J974,MATERIAS!A:H,7,FALSE)</f>
        <v>229</v>
      </c>
      <c r="F974">
        <f>VLOOKUP(PREVIOS!G974,CONDICION!A:B,2,FALSE)</f>
        <v>1</v>
      </c>
      <c r="G974">
        <f>IF(PREVIOS!AG974=1,1,VLOOKUP(PREVIOS!AG974,CALIFICACION!A:C,3,FALSE))</f>
        <v>1</v>
      </c>
      <c r="H974" s="1" t="s">
        <v>534</v>
      </c>
      <c r="I974" s="1" t="s">
        <v>534</v>
      </c>
      <c r="J974">
        <f>VLOOKUP(PREVIOS!F974&amp;VLOOKUP(PREVIOS!I974,PLAN!A:B,2,FALSE),CURSO!A:D,4,FALSE)</f>
        <v>18</v>
      </c>
      <c r="K974">
        <f>VLOOKUP(PREVIOS!H974,CICLO!A:B,2,FALSE)</f>
        <v>51</v>
      </c>
      <c r="L974">
        <f>VLOOKUP(PREVIOS!I974,PLAN!A:B,2,FALSE)</f>
        <v>5</v>
      </c>
    </row>
    <row r="975" spans="1:12" x14ac:dyDescent="0.25">
      <c r="A975" t="str">
        <f t="shared" si="15"/>
        <v>A603M240C1</v>
      </c>
      <c r="C975">
        <v>974</v>
      </c>
      <c r="D975">
        <f>VLOOKUP(PREVIOS!C975,ALUMNOS!A:B,2,FALSE)</f>
        <v>603</v>
      </c>
      <c r="E975">
        <f>VLOOKUP(PREVIOS!E975&amp;'TABLA PREVIOS'!J975,MATERIAS!A:H,7,FALSE)</f>
        <v>240</v>
      </c>
      <c r="F975">
        <f>VLOOKUP(PREVIOS!G975,CONDICION!A:B,2,FALSE)</f>
        <v>1</v>
      </c>
      <c r="G975">
        <f>IF(PREVIOS!AG975=1,1,VLOOKUP(PREVIOS!AG975,CALIFICACION!A:C,3,FALSE))</f>
        <v>1</v>
      </c>
      <c r="H975" s="1" t="s">
        <v>534</v>
      </c>
      <c r="I975" s="1" t="s">
        <v>534</v>
      </c>
      <c r="J975">
        <f>VLOOKUP(PREVIOS!F975&amp;VLOOKUP(PREVIOS!I975,PLAN!A:B,2,FALSE),CURSO!A:D,4,FALSE)</f>
        <v>19</v>
      </c>
      <c r="K975">
        <f>VLOOKUP(PREVIOS!H975,CICLO!A:B,2,FALSE)</f>
        <v>52</v>
      </c>
      <c r="L975">
        <f>VLOOKUP(PREVIOS!I975,PLAN!A:B,2,FALSE)</f>
        <v>5</v>
      </c>
    </row>
    <row r="976" spans="1:12" x14ac:dyDescent="0.25">
      <c r="A976" t="str">
        <f t="shared" si="15"/>
        <v>A603M274C1</v>
      </c>
      <c r="C976">
        <v>975</v>
      </c>
      <c r="D976">
        <f>VLOOKUP(PREVIOS!C976,ALUMNOS!A:B,2,FALSE)</f>
        <v>603</v>
      </c>
      <c r="E976">
        <f>VLOOKUP(PREVIOS!E976&amp;'TABLA PREVIOS'!J976,MATERIAS!A:H,7,FALSE)</f>
        <v>274</v>
      </c>
      <c r="F976">
        <f>VLOOKUP(PREVIOS!G976,CONDICION!A:B,2,FALSE)</f>
        <v>1</v>
      </c>
      <c r="G976">
        <f>IF(PREVIOS!AG976=1,1,VLOOKUP(PREVIOS!AG976,CALIFICACION!A:C,3,FALSE))</f>
        <v>1</v>
      </c>
      <c r="H976" s="1" t="s">
        <v>534</v>
      </c>
      <c r="I976" s="1" t="s">
        <v>534</v>
      </c>
      <c r="J976">
        <f>VLOOKUP(PREVIOS!F976&amp;VLOOKUP(PREVIOS!I976,PLAN!A:B,2,FALSE),CURSO!A:D,4,FALSE)</f>
        <v>21</v>
      </c>
      <c r="K976">
        <f>VLOOKUP(PREVIOS!H976,CICLO!A:B,2,FALSE)</f>
        <v>54</v>
      </c>
      <c r="L976">
        <f>VLOOKUP(PREVIOS!I976,PLAN!A:B,2,FALSE)</f>
        <v>6</v>
      </c>
    </row>
    <row r="977" spans="1:12" x14ac:dyDescent="0.25">
      <c r="A977" t="str">
        <f t="shared" si="15"/>
        <v>A603M277C1</v>
      </c>
      <c r="C977">
        <v>976</v>
      </c>
      <c r="D977">
        <f>VLOOKUP(PREVIOS!C977,ALUMNOS!A:B,2,FALSE)</f>
        <v>603</v>
      </c>
      <c r="E977">
        <f>VLOOKUP(PREVIOS!E977&amp;'TABLA PREVIOS'!J977,MATERIAS!A:H,7,FALSE)</f>
        <v>277</v>
      </c>
      <c r="F977">
        <f>VLOOKUP(PREVIOS!G977,CONDICION!A:B,2,FALSE)</f>
        <v>1</v>
      </c>
      <c r="G977">
        <f>IF(PREVIOS!AG977=1,1,VLOOKUP(PREVIOS!AG977,CALIFICACION!A:C,3,FALSE))</f>
        <v>1</v>
      </c>
      <c r="H977" s="1" t="s">
        <v>534</v>
      </c>
      <c r="I977" s="1" t="s">
        <v>534</v>
      </c>
      <c r="J977">
        <f>VLOOKUP(PREVIOS!F977&amp;VLOOKUP(PREVIOS!I977,PLAN!A:B,2,FALSE),CURSO!A:D,4,FALSE)</f>
        <v>21</v>
      </c>
      <c r="K977">
        <f>VLOOKUP(PREVIOS!H977,CICLO!A:B,2,FALSE)</f>
        <v>54</v>
      </c>
      <c r="L977">
        <f>VLOOKUP(PREVIOS!I977,PLAN!A:B,2,FALSE)</f>
        <v>6</v>
      </c>
    </row>
    <row r="978" spans="1:12" x14ac:dyDescent="0.25">
      <c r="A978" t="str">
        <f t="shared" si="15"/>
        <v>A603M276C1</v>
      </c>
      <c r="C978">
        <v>977</v>
      </c>
      <c r="D978">
        <f>VLOOKUP(PREVIOS!C978,ALUMNOS!A:B,2,FALSE)</f>
        <v>603</v>
      </c>
      <c r="E978">
        <f>VLOOKUP(PREVIOS!E978&amp;'TABLA PREVIOS'!J978,MATERIAS!A:H,7,FALSE)</f>
        <v>276</v>
      </c>
      <c r="F978">
        <f>VLOOKUP(PREVIOS!G978,CONDICION!A:B,2,FALSE)</f>
        <v>1</v>
      </c>
      <c r="G978">
        <f>IF(PREVIOS!AG978=1,1,VLOOKUP(PREVIOS!AG978,CALIFICACION!A:C,3,FALSE))</f>
        <v>1</v>
      </c>
      <c r="H978" s="1" t="s">
        <v>534</v>
      </c>
      <c r="I978" s="1" t="s">
        <v>534</v>
      </c>
      <c r="J978">
        <f>VLOOKUP(PREVIOS!F978&amp;VLOOKUP(PREVIOS!I978,PLAN!A:B,2,FALSE),CURSO!A:D,4,FALSE)</f>
        <v>21</v>
      </c>
      <c r="K978">
        <f>VLOOKUP(PREVIOS!H978,CICLO!A:B,2,FALSE)</f>
        <v>54</v>
      </c>
      <c r="L978">
        <f>VLOOKUP(PREVIOS!I978,PLAN!A:B,2,FALSE)</f>
        <v>6</v>
      </c>
    </row>
    <row r="979" spans="1:12" x14ac:dyDescent="0.25">
      <c r="A979" t="str">
        <f t="shared" si="15"/>
        <v>A603M275C1</v>
      </c>
      <c r="C979">
        <v>978</v>
      </c>
      <c r="D979">
        <f>VLOOKUP(PREVIOS!C979,ALUMNOS!A:B,2,FALSE)</f>
        <v>603</v>
      </c>
      <c r="E979">
        <f>VLOOKUP(PREVIOS!E979&amp;'TABLA PREVIOS'!J979,MATERIAS!A:H,7,FALSE)</f>
        <v>275</v>
      </c>
      <c r="F979">
        <f>VLOOKUP(PREVIOS!G979,CONDICION!A:B,2,FALSE)</f>
        <v>1</v>
      </c>
      <c r="G979">
        <f>IF(PREVIOS!AG979=1,1,VLOOKUP(PREVIOS!AG979,CALIFICACION!A:C,3,FALSE))</f>
        <v>1</v>
      </c>
      <c r="H979" s="1" t="s">
        <v>534</v>
      </c>
      <c r="I979" s="1" t="s">
        <v>534</v>
      </c>
      <c r="J979">
        <f>VLOOKUP(PREVIOS!F979&amp;VLOOKUP(PREVIOS!I979,PLAN!A:B,2,FALSE),CURSO!A:D,4,FALSE)</f>
        <v>21</v>
      </c>
      <c r="K979">
        <f>VLOOKUP(PREVIOS!H979,CICLO!A:B,2,FALSE)</f>
        <v>54</v>
      </c>
      <c r="L979">
        <f>VLOOKUP(PREVIOS!I979,PLAN!A:B,2,FALSE)</f>
        <v>6</v>
      </c>
    </row>
    <row r="980" spans="1:12" x14ac:dyDescent="0.25">
      <c r="A980" t="str">
        <f t="shared" si="15"/>
        <v>A603M273C1</v>
      </c>
      <c r="C980">
        <v>979</v>
      </c>
      <c r="D980">
        <f>VLOOKUP(PREVIOS!C980,ALUMNOS!A:B,2,FALSE)</f>
        <v>603</v>
      </c>
      <c r="E980">
        <f>VLOOKUP(PREVIOS!E980&amp;'TABLA PREVIOS'!J980,MATERIAS!A:H,7,FALSE)</f>
        <v>273</v>
      </c>
      <c r="F980">
        <f>VLOOKUP(PREVIOS!G980,CONDICION!A:B,2,FALSE)</f>
        <v>1</v>
      </c>
      <c r="G980">
        <f>IF(PREVIOS!AG980=1,1,VLOOKUP(PREVIOS!AG980,CALIFICACION!A:C,3,FALSE))</f>
        <v>1</v>
      </c>
      <c r="H980" s="1" t="s">
        <v>534</v>
      </c>
      <c r="I980" s="1" t="s">
        <v>534</v>
      </c>
      <c r="J980">
        <f>VLOOKUP(PREVIOS!F980&amp;VLOOKUP(PREVIOS!I980,PLAN!A:B,2,FALSE),CURSO!A:D,4,FALSE)</f>
        <v>21</v>
      </c>
      <c r="K980">
        <f>VLOOKUP(PREVIOS!H980,CICLO!A:B,2,FALSE)</f>
        <v>54</v>
      </c>
      <c r="L980">
        <f>VLOOKUP(PREVIOS!I980,PLAN!A:B,2,FALSE)</f>
        <v>6</v>
      </c>
    </row>
    <row r="981" spans="1:12" x14ac:dyDescent="0.25">
      <c r="A981" t="str">
        <f t="shared" si="15"/>
        <v>A603M286C1</v>
      </c>
      <c r="C981">
        <v>980</v>
      </c>
      <c r="D981">
        <f>VLOOKUP(PREVIOS!C981,ALUMNOS!A:B,2,FALSE)</f>
        <v>603</v>
      </c>
      <c r="E981">
        <f>VLOOKUP(PREVIOS!E981&amp;'TABLA PREVIOS'!J981,MATERIAS!A:H,7,FALSE)</f>
        <v>286</v>
      </c>
      <c r="F981">
        <f>VLOOKUP(PREVIOS!G981,CONDICION!A:B,2,FALSE)</f>
        <v>1</v>
      </c>
      <c r="G981">
        <f>IF(PREVIOS!AG981=1,1,VLOOKUP(PREVIOS!AG981,CALIFICACION!A:C,3,FALSE))</f>
        <v>1</v>
      </c>
      <c r="H981" s="1" t="s">
        <v>534</v>
      </c>
      <c r="I981" s="1" t="s">
        <v>534</v>
      </c>
      <c r="J981">
        <f>VLOOKUP(PREVIOS!F981&amp;VLOOKUP(PREVIOS!I981,PLAN!A:B,2,FALSE),CURSO!A:D,4,FALSE)</f>
        <v>22</v>
      </c>
      <c r="K981">
        <f>VLOOKUP(PREVIOS!H981,CICLO!A:B,2,FALSE)</f>
        <v>55</v>
      </c>
      <c r="L981">
        <f>VLOOKUP(PREVIOS!I981,PLAN!A:B,2,FALSE)</f>
        <v>6</v>
      </c>
    </row>
    <row r="982" spans="1:12" x14ac:dyDescent="0.25">
      <c r="A982" t="str">
        <f t="shared" si="15"/>
        <v>A603M291C1</v>
      </c>
      <c r="C982">
        <v>981</v>
      </c>
      <c r="D982">
        <f>VLOOKUP(PREVIOS!C982,ALUMNOS!A:B,2,FALSE)</f>
        <v>603</v>
      </c>
      <c r="E982">
        <f>VLOOKUP(PREVIOS!E982&amp;'TABLA PREVIOS'!J982,MATERIAS!A:H,7,FALSE)</f>
        <v>291</v>
      </c>
      <c r="F982">
        <f>VLOOKUP(PREVIOS!G982,CONDICION!A:B,2,FALSE)</f>
        <v>1</v>
      </c>
      <c r="G982">
        <f>IF(PREVIOS!AG982=1,1,VLOOKUP(PREVIOS!AG982,CALIFICACION!A:C,3,FALSE))</f>
        <v>1</v>
      </c>
      <c r="H982" s="1" t="s">
        <v>534</v>
      </c>
      <c r="I982" s="1" t="s">
        <v>534</v>
      </c>
      <c r="J982">
        <f>VLOOKUP(PREVIOS!F982&amp;VLOOKUP(PREVIOS!I982,PLAN!A:B,2,FALSE),CURSO!A:D,4,FALSE)</f>
        <v>22</v>
      </c>
      <c r="K982">
        <f>VLOOKUP(PREVIOS!H982,CICLO!A:B,2,FALSE)</f>
        <v>55</v>
      </c>
      <c r="L982">
        <f>VLOOKUP(PREVIOS!I982,PLAN!A:B,2,FALSE)</f>
        <v>6</v>
      </c>
    </row>
    <row r="983" spans="1:12" x14ac:dyDescent="0.25">
      <c r="A983" t="str">
        <f t="shared" si="15"/>
        <v>A603M280C1</v>
      </c>
      <c r="C983">
        <v>982</v>
      </c>
      <c r="D983">
        <f>VLOOKUP(PREVIOS!C983,ALUMNOS!A:B,2,FALSE)</f>
        <v>603</v>
      </c>
      <c r="E983">
        <f>VLOOKUP(PREVIOS!E983&amp;'TABLA PREVIOS'!J983,MATERIAS!A:H,7,FALSE)</f>
        <v>280</v>
      </c>
      <c r="F983">
        <f>VLOOKUP(PREVIOS!G983,CONDICION!A:B,2,FALSE)</f>
        <v>1</v>
      </c>
      <c r="G983">
        <f>IF(PREVIOS!AG983=1,1,VLOOKUP(PREVIOS!AG983,CALIFICACION!A:C,3,FALSE))</f>
        <v>1</v>
      </c>
      <c r="H983" s="1" t="s">
        <v>534</v>
      </c>
      <c r="I983" s="1" t="s">
        <v>534</v>
      </c>
      <c r="J983">
        <f>VLOOKUP(PREVIOS!F983&amp;VLOOKUP(PREVIOS!I983,PLAN!A:B,2,FALSE),CURSO!A:D,4,FALSE)</f>
        <v>22</v>
      </c>
      <c r="K983">
        <f>VLOOKUP(PREVIOS!H983,CICLO!A:B,2,FALSE)</f>
        <v>55</v>
      </c>
      <c r="L983">
        <f>VLOOKUP(PREVIOS!I983,PLAN!A:B,2,FALSE)</f>
        <v>6</v>
      </c>
    </row>
    <row r="984" spans="1:12" x14ac:dyDescent="0.25">
      <c r="A984" t="str">
        <f t="shared" si="15"/>
        <v>A603M288C1</v>
      </c>
      <c r="C984">
        <v>983</v>
      </c>
      <c r="D984">
        <f>VLOOKUP(PREVIOS!C984,ALUMNOS!A:B,2,FALSE)</f>
        <v>603</v>
      </c>
      <c r="E984">
        <f>VLOOKUP(PREVIOS!E984&amp;'TABLA PREVIOS'!J984,MATERIAS!A:H,7,FALSE)</f>
        <v>288</v>
      </c>
      <c r="F984">
        <f>VLOOKUP(PREVIOS!G984,CONDICION!A:B,2,FALSE)</f>
        <v>1</v>
      </c>
      <c r="G984">
        <f>IF(PREVIOS!AG984=1,1,VLOOKUP(PREVIOS!AG984,CALIFICACION!A:C,3,FALSE))</f>
        <v>1</v>
      </c>
      <c r="H984" s="1" t="s">
        <v>534</v>
      </c>
      <c r="I984" s="1" t="s">
        <v>534</v>
      </c>
      <c r="J984">
        <f>VLOOKUP(PREVIOS!F984&amp;VLOOKUP(PREVIOS!I984,PLAN!A:B,2,FALSE),CURSO!A:D,4,FALSE)</f>
        <v>22</v>
      </c>
      <c r="K984">
        <f>VLOOKUP(PREVIOS!H984,CICLO!A:B,2,FALSE)</f>
        <v>55</v>
      </c>
      <c r="L984">
        <f>VLOOKUP(PREVIOS!I984,PLAN!A:B,2,FALSE)</f>
        <v>6</v>
      </c>
    </row>
    <row r="985" spans="1:12" x14ac:dyDescent="0.25">
      <c r="A985" t="str">
        <f t="shared" si="15"/>
        <v>A603M290C1</v>
      </c>
      <c r="C985">
        <v>984</v>
      </c>
      <c r="D985">
        <f>VLOOKUP(PREVIOS!C985,ALUMNOS!A:B,2,FALSE)</f>
        <v>603</v>
      </c>
      <c r="E985">
        <f>VLOOKUP(PREVIOS!E985&amp;'TABLA PREVIOS'!J985,MATERIAS!A:H,7,FALSE)</f>
        <v>290</v>
      </c>
      <c r="F985">
        <f>VLOOKUP(PREVIOS!G985,CONDICION!A:B,2,FALSE)</f>
        <v>1</v>
      </c>
      <c r="G985">
        <f>IF(PREVIOS!AG985=1,1,VLOOKUP(PREVIOS!AG985,CALIFICACION!A:C,3,FALSE))</f>
        <v>1</v>
      </c>
      <c r="H985" s="1" t="s">
        <v>534</v>
      </c>
      <c r="I985" s="1" t="s">
        <v>534</v>
      </c>
      <c r="J985">
        <f>VLOOKUP(PREVIOS!F985&amp;VLOOKUP(PREVIOS!I985,PLAN!A:B,2,FALSE),CURSO!A:D,4,FALSE)</f>
        <v>22</v>
      </c>
      <c r="K985">
        <f>VLOOKUP(PREVIOS!H985,CICLO!A:B,2,FALSE)</f>
        <v>55</v>
      </c>
      <c r="L985">
        <f>VLOOKUP(PREVIOS!I985,PLAN!A:B,2,FALSE)</f>
        <v>6</v>
      </c>
    </row>
    <row r="986" spans="1:12" x14ac:dyDescent="0.25">
      <c r="A986" t="str">
        <f t="shared" si="15"/>
        <v>A632M274C1</v>
      </c>
      <c r="C986">
        <v>985</v>
      </c>
      <c r="D986">
        <f>VLOOKUP(PREVIOS!C986,ALUMNOS!A:B,2,FALSE)</f>
        <v>632</v>
      </c>
      <c r="E986">
        <f>VLOOKUP(PREVIOS!E986&amp;'TABLA PREVIOS'!J986,MATERIAS!A:H,7,FALSE)</f>
        <v>274</v>
      </c>
      <c r="F986">
        <f>VLOOKUP(PREVIOS!G986,CONDICION!A:B,2,FALSE)</f>
        <v>1</v>
      </c>
      <c r="G986">
        <f>IF(PREVIOS!AG986=1,1,VLOOKUP(PREVIOS!AG986,CALIFICACION!A:C,3,FALSE))</f>
        <v>1</v>
      </c>
      <c r="H986" s="1" t="s">
        <v>534</v>
      </c>
      <c r="I986" s="1" t="s">
        <v>534</v>
      </c>
      <c r="J986">
        <f>VLOOKUP(PREVIOS!F986&amp;VLOOKUP(PREVIOS!I986,PLAN!A:B,2,FALSE),CURSO!A:D,4,FALSE)</f>
        <v>21</v>
      </c>
      <c r="K986">
        <f>VLOOKUP(PREVIOS!H986,CICLO!A:B,2,FALSE)</f>
        <v>54</v>
      </c>
      <c r="L986">
        <f>VLOOKUP(PREVIOS!I986,PLAN!A:B,2,FALSE)</f>
        <v>6</v>
      </c>
    </row>
    <row r="987" spans="1:12" x14ac:dyDescent="0.25">
      <c r="A987" t="str">
        <f t="shared" si="15"/>
        <v>A632M277C1</v>
      </c>
      <c r="C987">
        <v>986</v>
      </c>
      <c r="D987">
        <f>VLOOKUP(PREVIOS!C987,ALUMNOS!A:B,2,FALSE)</f>
        <v>632</v>
      </c>
      <c r="E987">
        <f>VLOOKUP(PREVIOS!E987&amp;'TABLA PREVIOS'!J987,MATERIAS!A:H,7,FALSE)</f>
        <v>277</v>
      </c>
      <c r="F987">
        <f>VLOOKUP(PREVIOS!G987,CONDICION!A:B,2,FALSE)</f>
        <v>1</v>
      </c>
      <c r="G987">
        <f>IF(PREVIOS!AG987=1,1,VLOOKUP(PREVIOS!AG987,CALIFICACION!A:C,3,FALSE))</f>
        <v>1</v>
      </c>
      <c r="H987" s="1" t="s">
        <v>534</v>
      </c>
      <c r="I987" s="1" t="s">
        <v>534</v>
      </c>
      <c r="J987">
        <f>VLOOKUP(PREVIOS!F987&amp;VLOOKUP(PREVIOS!I987,PLAN!A:B,2,FALSE),CURSO!A:D,4,FALSE)</f>
        <v>21</v>
      </c>
      <c r="K987">
        <f>VLOOKUP(PREVIOS!H987,CICLO!A:B,2,FALSE)</f>
        <v>54</v>
      </c>
      <c r="L987">
        <f>VLOOKUP(PREVIOS!I987,PLAN!A:B,2,FALSE)</f>
        <v>6</v>
      </c>
    </row>
    <row r="988" spans="1:12" x14ac:dyDescent="0.25">
      <c r="A988" t="str">
        <f t="shared" si="15"/>
        <v>A632M276C1</v>
      </c>
      <c r="C988">
        <v>987</v>
      </c>
      <c r="D988">
        <f>VLOOKUP(PREVIOS!C988,ALUMNOS!A:B,2,FALSE)</f>
        <v>632</v>
      </c>
      <c r="E988">
        <f>VLOOKUP(PREVIOS!E988&amp;'TABLA PREVIOS'!J988,MATERIAS!A:H,7,FALSE)</f>
        <v>276</v>
      </c>
      <c r="F988">
        <f>VLOOKUP(PREVIOS!G988,CONDICION!A:B,2,FALSE)</f>
        <v>1</v>
      </c>
      <c r="G988">
        <f>IF(PREVIOS!AG988=1,1,VLOOKUP(PREVIOS!AG988,CALIFICACION!A:C,3,FALSE))</f>
        <v>1</v>
      </c>
      <c r="H988" s="1" t="s">
        <v>534</v>
      </c>
      <c r="I988" s="1" t="s">
        <v>534</v>
      </c>
      <c r="J988">
        <f>VLOOKUP(PREVIOS!F988&amp;VLOOKUP(PREVIOS!I988,PLAN!A:B,2,FALSE),CURSO!A:D,4,FALSE)</f>
        <v>21</v>
      </c>
      <c r="K988">
        <f>VLOOKUP(PREVIOS!H988,CICLO!A:B,2,FALSE)</f>
        <v>54</v>
      </c>
      <c r="L988">
        <f>VLOOKUP(PREVIOS!I988,PLAN!A:B,2,FALSE)</f>
        <v>6</v>
      </c>
    </row>
    <row r="989" spans="1:12" x14ac:dyDescent="0.25">
      <c r="A989" t="str">
        <f t="shared" si="15"/>
        <v>A632M275C1</v>
      </c>
      <c r="C989">
        <v>988</v>
      </c>
      <c r="D989">
        <f>VLOOKUP(PREVIOS!C989,ALUMNOS!A:B,2,FALSE)</f>
        <v>632</v>
      </c>
      <c r="E989">
        <f>VLOOKUP(PREVIOS!E989&amp;'TABLA PREVIOS'!J989,MATERIAS!A:H,7,FALSE)</f>
        <v>275</v>
      </c>
      <c r="F989">
        <f>VLOOKUP(PREVIOS!G989,CONDICION!A:B,2,FALSE)</f>
        <v>1</v>
      </c>
      <c r="G989">
        <f>IF(PREVIOS!AG989=1,1,VLOOKUP(PREVIOS!AG989,CALIFICACION!A:C,3,FALSE))</f>
        <v>1</v>
      </c>
      <c r="H989" s="1" t="s">
        <v>534</v>
      </c>
      <c r="I989" s="1" t="s">
        <v>534</v>
      </c>
      <c r="J989">
        <f>VLOOKUP(PREVIOS!F989&amp;VLOOKUP(PREVIOS!I989,PLAN!A:B,2,FALSE),CURSO!A:D,4,FALSE)</f>
        <v>21</v>
      </c>
      <c r="K989">
        <f>VLOOKUP(PREVIOS!H989,CICLO!A:B,2,FALSE)</f>
        <v>54</v>
      </c>
      <c r="L989">
        <f>VLOOKUP(PREVIOS!I989,PLAN!A:B,2,FALSE)</f>
        <v>6</v>
      </c>
    </row>
    <row r="990" spans="1:12" x14ac:dyDescent="0.25">
      <c r="A990" t="str">
        <f t="shared" si="15"/>
        <v>A632M264C1</v>
      </c>
      <c r="C990">
        <v>989</v>
      </c>
      <c r="D990">
        <f>VLOOKUP(PREVIOS!C990,ALUMNOS!A:B,2,FALSE)</f>
        <v>632</v>
      </c>
      <c r="E990">
        <f>VLOOKUP(PREVIOS!E990&amp;'TABLA PREVIOS'!J990,MATERIAS!A:H,7,FALSE)</f>
        <v>264</v>
      </c>
      <c r="F990">
        <f>VLOOKUP(PREVIOS!G990,CONDICION!A:B,2,FALSE)</f>
        <v>1</v>
      </c>
      <c r="G990">
        <f>IF(PREVIOS!AG990=1,1,VLOOKUP(PREVIOS!AG990,CALIFICACION!A:C,3,FALSE))</f>
        <v>1</v>
      </c>
      <c r="H990" s="1" t="s">
        <v>534</v>
      </c>
      <c r="I990" s="1" t="s">
        <v>534</v>
      </c>
      <c r="J990">
        <f>VLOOKUP(PREVIOS!F990&amp;VLOOKUP(PREVIOS!I990,PLAN!A:B,2,FALSE),CURSO!A:D,4,FALSE)</f>
        <v>21</v>
      </c>
      <c r="K990">
        <f>VLOOKUP(PREVIOS!H990,CICLO!A:B,2,FALSE)</f>
        <v>54</v>
      </c>
      <c r="L990">
        <f>VLOOKUP(PREVIOS!I990,PLAN!A:B,2,FALSE)</f>
        <v>6</v>
      </c>
    </row>
    <row r="991" spans="1:12" x14ac:dyDescent="0.25">
      <c r="A991" t="str">
        <f t="shared" si="15"/>
        <v>A632M265C1</v>
      </c>
      <c r="C991">
        <v>990</v>
      </c>
      <c r="D991">
        <f>VLOOKUP(PREVIOS!C991,ALUMNOS!A:B,2,FALSE)</f>
        <v>632</v>
      </c>
      <c r="E991">
        <f>VLOOKUP(PREVIOS!E991&amp;'TABLA PREVIOS'!J991,MATERIAS!A:H,7,FALSE)</f>
        <v>265</v>
      </c>
      <c r="F991">
        <f>VLOOKUP(PREVIOS!G991,CONDICION!A:B,2,FALSE)</f>
        <v>1</v>
      </c>
      <c r="G991">
        <f>IF(PREVIOS!AG991=1,1,VLOOKUP(PREVIOS!AG991,CALIFICACION!A:C,3,FALSE))</f>
        <v>1</v>
      </c>
      <c r="H991" s="1" t="s">
        <v>534</v>
      </c>
      <c r="I991" s="1" t="s">
        <v>534</v>
      </c>
      <c r="J991">
        <f>VLOOKUP(PREVIOS!F991&amp;VLOOKUP(PREVIOS!I991,PLAN!A:B,2,FALSE),CURSO!A:D,4,FALSE)</f>
        <v>21</v>
      </c>
      <c r="K991">
        <f>VLOOKUP(PREVIOS!H991,CICLO!A:B,2,FALSE)</f>
        <v>54</v>
      </c>
      <c r="L991">
        <f>VLOOKUP(PREVIOS!I991,PLAN!A:B,2,FALSE)</f>
        <v>6</v>
      </c>
    </row>
    <row r="992" spans="1:12" x14ac:dyDescent="0.25">
      <c r="A992" t="str">
        <f t="shared" si="15"/>
        <v>A632M273C1</v>
      </c>
      <c r="C992">
        <v>991</v>
      </c>
      <c r="D992">
        <f>VLOOKUP(PREVIOS!C992,ALUMNOS!A:B,2,FALSE)</f>
        <v>632</v>
      </c>
      <c r="E992">
        <f>VLOOKUP(PREVIOS!E992&amp;'TABLA PREVIOS'!J992,MATERIAS!A:H,7,FALSE)</f>
        <v>273</v>
      </c>
      <c r="F992">
        <f>VLOOKUP(PREVIOS!G992,CONDICION!A:B,2,FALSE)</f>
        <v>1</v>
      </c>
      <c r="G992">
        <f>IF(PREVIOS!AG992=1,1,VLOOKUP(PREVIOS!AG992,CALIFICACION!A:C,3,FALSE))</f>
        <v>1</v>
      </c>
      <c r="H992" s="1" t="s">
        <v>534</v>
      </c>
      <c r="I992" s="1" t="s">
        <v>534</v>
      </c>
      <c r="J992">
        <f>VLOOKUP(PREVIOS!F992&amp;VLOOKUP(PREVIOS!I992,PLAN!A:B,2,FALSE),CURSO!A:D,4,FALSE)</f>
        <v>21</v>
      </c>
      <c r="K992">
        <f>VLOOKUP(PREVIOS!H992,CICLO!A:B,2,FALSE)</f>
        <v>54</v>
      </c>
      <c r="L992">
        <f>VLOOKUP(PREVIOS!I992,PLAN!A:B,2,FALSE)</f>
        <v>6</v>
      </c>
    </row>
    <row r="993" spans="1:12" x14ac:dyDescent="0.25">
      <c r="A993" t="str">
        <f t="shared" si="15"/>
        <v>A632M284C1</v>
      </c>
      <c r="C993">
        <v>992</v>
      </c>
      <c r="D993">
        <f>VLOOKUP(PREVIOS!C993,ALUMNOS!A:B,2,FALSE)</f>
        <v>632</v>
      </c>
      <c r="E993">
        <f>VLOOKUP(PREVIOS!E993&amp;'TABLA PREVIOS'!J993,MATERIAS!A:H,7,FALSE)</f>
        <v>284</v>
      </c>
      <c r="F993">
        <f>VLOOKUP(PREVIOS!G993,CONDICION!A:B,2,FALSE)</f>
        <v>1</v>
      </c>
      <c r="G993">
        <f>IF(PREVIOS!AG993=1,1,VLOOKUP(PREVIOS!AG993,CALIFICACION!A:C,3,FALSE))</f>
        <v>1</v>
      </c>
      <c r="H993" s="1" t="s">
        <v>534</v>
      </c>
      <c r="I993" s="1" t="s">
        <v>534</v>
      </c>
      <c r="J993">
        <f>VLOOKUP(PREVIOS!F993&amp;VLOOKUP(PREVIOS!I993,PLAN!A:B,2,FALSE),CURSO!A:D,4,FALSE)</f>
        <v>22</v>
      </c>
      <c r="K993">
        <f>VLOOKUP(PREVIOS!H993,CICLO!A:B,2,FALSE)</f>
        <v>55</v>
      </c>
      <c r="L993">
        <f>VLOOKUP(PREVIOS!I993,PLAN!A:B,2,FALSE)</f>
        <v>6</v>
      </c>
    </row>
    <row r="994" spans="1:12" x14ac:dyDescent="0.25">
      <c r="A994" t="str">
        <f t="shared" si="15"/>
        <v>A632M286C1</v>
      </c>
      <c r="C994">
        <v>993</v>
      </c>
      <c r="D994">
        <f>VLOOKUP(PREVIOS!C994,ALUMNOS!A:B,2,FALSE)</f>
        <v>632</v>
      </c>
      <c r="E994">
        <f>VLOOKUP(PREVIOS!E994&amp;'TABLA PREVIOS'!J994,MATERIAS!A:H,7,FALSE)</f>
        <v>286</v>
      </c>
      <c r="F994">
        <f>VLOOKUP(PREVIOS!G994,CONDICION!A:B,2,FALSE)</f>
        <v>1</v>
      </c>
      <c r="G994">
        <f>IF(PREVIOS!AG994=1,1,VLOOKUP(PREVIOS!AG994,CALIFICACION!A:C,3,FALSE))</f>
        <v>1</v>
      </c>
      <c r="H994" s="1" t="s">
        <v>534</v>
      </c>
      <c r="I994" s="1" t="s">
        <v>534</v>
      </c>
      <c r="J994">
        <f>VLOOKUP(PREVIOS!F994&amp;VLOOKUP(PREVIOS!I994,PLAN!A:B,2,FALSE),CURSO!A:D,4,FALSE)</f>
        <v>22</v>
      </c>
      <c r="K994">
        <f>VLOOKUP(PREVIOS!H994,CICLO!A:B,2,FALSE)</f>
        <v>55</v>
      </c>
      <c r="L994">
        <f>VLOOKUP(PREVIOS!I994,PLAN!A:B,2,FALSE)</f>
        <v>6</v>
      </c>
    </row>
    <row r="995" spans="1:12" x14ac:dyDescent="0.25">
      <c r="A995" t="str">
        <f t="shared" si="15"/>
        <v>A632M278C1</v>
      </c>
      <c r="C995">
        <v>994</v>
      </c>
      <c r="D995">
        <f>VLOOKUP(PREVIOS!C995,ALUMNOS!A:B,2,FALSE)</f>
        <v>632</v>
      </c>
      <c r="E995">
        <f>VLOOKUP(PREVIOS!E995&amp;'TABLA PREVIOS'!J995,MATERIAS!A:H,7,FALSE)</f>
        <v>278</v>
      </c>
      <c r="F995">
        <f>VLOOKUP(PREVIOS!G995,CONDICION!A:B,2,FALSE)</f>
        <v>1</v>
      </c>
      <c r="G995">
        <f>IF(PREVIOS!AG995=1,1,VLOOKUP(PREVIOS!AG995,CALIFICACION!A:C,3,FALSE))</f>
        <v>1</v>
      </c>
      <c r="H995" s="1" t="s">
        <v>534</v>
      </c>
      <c r="I995" s="1" t="s">
        <v>534</v>
      </c>
      <c r="J995">
        <f>VLOOKUP(PREVIOS!F995&amp;VLOOKUP(PREVIOS!I995,PLAN!A:B,2,FALSE),CURSO!A:D,4,FALSE)</f>
        <v>22</v>
      </c>
      <c r="K995">
        <f>VLOOKUP(PREVIOS!H995,CICLO!A:B,2,FALSE)</f>
        <v>55</v>
      </c>
      <c r="L995">
        <f>VLOOKUP(PREVIOS!I995,PLAN!A:B,2,FALSE)</f>
        <v>6</v>
      </c>
    </row>
    <row r="996" spans="1:12" x14ac:dyDescent="0.25">
      <c r="A996" t="str">
        <f t="shared" si="15"/>
        <v>A632M291C1</v>
      </c>
      <c r="C996">
        <v>995</v>
      </c>
      <c r="D996">
        <f>VLOOKUP(PREVIOS!C996,ALUMNOS!A:B,2,FALSE)</f>
        <v>632</v>
      </c>
      <c r="E996">
        <f>VLOOKUP(PREVIOS!E996&amp;'TABLA PREVIOS'!J996,MATERIAS!A:H,7,FALSE)</f>
        <v>291</v>
      </c>
      <c r="F996">
        <f>VLOOKUP(PREVIOS!G996,CONDICION!A:B,2,FALSE)</f>
        <v>1</v>
      </c>
      <c r="G996">
        <f>IF(PREVIOS!AG996=1,1,VLOOKUP(PREVIOS!AG996,CALIFICACION!A:C,3,FALSE))</f>
        <v>1</v>
      </c>
      <c r="H996" s="1" t="s">
        <v>534</v>
      </c>
      <c r="I996" s="1" t="s">
        <v>534</v>
      </c>
      <c r="J996">
        <f>VLOOKUP(PREVIOS!F996&amp;VLOOKUP(PREVIOS!I996,PLAN!A:B,2,FALSE),CURSO!A:D,4,FALSE)</f>
        <v>22</v>
      </c>
      <c r="K996">
        <f>VLOOKUP(PREVIOS!H996,CICLO!A:B,2,FALSE)</f>
        <v>55</v>
      </c>
      <c r="L996">
        <f>VLOOKUP(PREVIOS!I996,PLAN!A:B,2,FALSE)</f>
        <v>6</v>
      </c>
    </row>
    <row r="997" spans="1:12" x14ac:dyDescent="0.25">
      <c r="A997" t="str">
        <f t="shared" si="15"/>
        <v>A632M279C1</v>
      </c>
      <c r="C997">
        <v>996</v>
      </c>
      <c r="D997">
        <f>VLOOKUP(PREVIOS!C997,ALUMNOS!A:B,2,FALSE)</f>
        <v>632</v>
      </c>
      <c r="E997">
        <f>VLOOKUP(PREVIOS!E997&amp;'TABLA PREVIOS'!J997,MATERIAS!A:H,7,FALSE)</f>
        <v>279</v>
      </c>
      <c r="F997">
        <f>VLOOKUP(PREVIOS!G997,CONDICION!A:B,2,FALSE)</f>
        <v>1</v>
      </c>
      <c r="G997">
        <f>IF(PREVIOS!AG997=1,1,VLOOKUP(PREVIOS!AG997,CALIFICACION!A:C,3,FALSE))</f>
        <v>1</v>
      </c>
      <c r="H997" s="1" t="s">
        <v>534</v>
      </c>
      <c r="I997" s="1" t="s">
        <v>534</v>
      </c>
      <c r="J997">
        <f>VLOOKUP(PREVIOS!F997&amp;VLOOKUP(PREVIOS!I997,PLAN!A:B,2,FALSE),CURSO!A:D,4,FALSE)</f>
        <v>22</v>
      </c>
      <c r="K997">
        <f>VLOOKUP(PREVIOS!H997,CICLO!A:B,2,FALSE)</f>
        <v>55</v>
      </c>
      <c r="L997">
        <f>VLOOKUP(PREVIOS!I997,PLAN!A:B,2,FALSE)</f>
        <v>6</v>
      </c>
    </row>
    <row r="998" spans="1:12" x14ac:dyDescent="0.25">
      <c r="A998" t="str">
        <f t="shared" si="15"/>
        <v>A632M280C1</v>
      </c>
      <c r="C998">
        <v>997</v>
      </c>
      <c r="D998">
        <f>VLOOKUP(PREVIOS!C998,ALUMNOS!A:B,2,FALSE)</f>
        <v>632</v>
      </c>
      <c r="E998">
        <f>VLOOKUP(PREVIOS!E998&amp;'TABLA PREVIOS'!J998,MATERIAS!A:H,7,FALSE)</f>
        <v>280</v>
      </c>
      <c r="F998">
        <f>VLOOKUP(PREVIOS!G998,CONDICION!A:B,2,FALSE)</f>
        <v>1</v>
      </c>
      <c r="G998">
        <f>IF(PREVIOS!AG998=1,1,VLOOKUP(PREVIOS!AG998,CALIFICACION!A:C,3,FALSE))</f>
        <v>1</v>
      </c>
      <c r="H998" s="1" t="s">
        <v>534</v>
      </c>
      <c r="I998" s="1" t="s">
        <v>534</v>
      </c>
      <c r="J998">
        <f>VLOOKUP(PREVIOS!F998&amp;VLOOKUP(PREVIOS!I998,PLAN!A:B,2,FALSE),CURSO!A:D,4,FALSE)</f>
        <v>22</v>
      </c>
      <c r="K998">
        <f>VLOOKUP(PREVIOS!H998,CICLO!A:B,2,FALSE)</f>
        <v>55</v>
      </c>
      <c r="L998">
        <f>VLOOKUP(PREVIOS!I998,PLAN!A:B,2,FALSE)</f>
        <v>6</v>
      </c>
    </row>
    <row r="999" spans="1:12" x14ac:dyDescent="0.25">
      <c r="A999" t="str">
        <f t="shared" si="15"/>
        <v>A632M281C1</v>
      </c>
      <c r="C999">
        <v>998</v>
      </c>
      <c r="D999">
        <f>VLOOKUP(PREVIOS!C999,ALUMNOS!A:B,2,FALSE)</f>
        <v>632</v>
      </c>
      <c r="E999">
        <f>VLOOKUP(PREVIOS!E999&amp;'TABLA PREVIOS'!J999,MATERIAS!A:H,7,FALSE)</f>
        <v>281</v>
      </c>
      <c r="F999">
        <f>VLOOKUP(PREVIOS!G999,CONDICION!A:B,2,FALSE)</f>
        <v>1</v>
      </c>
      <c r="G999">
        <f>IF(PREVIOS!AG999=1,1,VLOOKUP(PREVIOS!AG999,CALIFICACION!A:C,3,FALSE))</f>
        <v>1</v>
      </c>
      <c r="H999" s="1" t="s">
        <v>534</v>
      </c>
      <c r="I999" s="1" t="s">
        <v>534</v>
      </c>
      <c r="J999">
        <f>VLOOKUP(PREVIOS!F999&amp;VLOOKUP(PREVIOS!I999,PLAN!A:B,2,FALSE),CURSO!A:D,4,FALSE)</f>
        <v>22</v>
      </c>
      <c r="K999">
        <f>VLOOKUP(PREVIOS!H999,CICLO!A:B,2,FALSE)</f>
        <v>55</v>
      </c>
      <c r="L999">
        <f>VLOOKUP(PREVIOS!I999,PLAN!A:B,2,FALSE)</f>
        <v>6</v>
      </c>
    </row>
    <row r="1000" spans="1:12" x14ac:dyDescent="0.25">
      <c r="A1000" t="str">
        <f t="shared" si="15"/>
        <v>A632M288C1</v>
      </c>
      <c r="C1000">
        <v>999</v>
      </c>
      <c r="D1000">
        <f>VLOOKUP(PREVIOS!C1000,ALUMNOS!A:B,2,FALSE)</f>
        <v>632</v>
      </c>
      <c r="E1000">
        <f>VLOOKUP(PREVIOS!E1000&amp;'TABLA PREVIOS'!J1000,MATERIAS!A:H,7,FALSE)</f>
        <v>288</v>
      </c>
      <c r="F1000">
        <f>VLOOKUP(PREVIOS!G1000,CONDICION!A:B,2,FALSE)</f>
        <v>1</v>
      </c>
      <c r="G1000">
        <f>IF(PREVIOS!AG1000=1,1,VLOOKUP(PREVIOS!AG1000,CALIFICACION!A:C,3,FALSE))</f>
        <v>1</v>
      </c>
      <c r="H1000" s="1" t="s">
        <v>534</v>
      </c>
      <c r="I1000" s="1" t="s">
        <v>534</v>
      </c>
      <c r="J1000">
        <f>VLOOKUP(PREVIOS!F1000&amp;VLOOKUP(PREVIOS!I1000,PLAN!A:B,2,FALSE),CURSO!A:D,4,FALSE)</f>
        <v>22</v>
      </c>
      <c r="K1000">
        <f>VLOOKUP(PREVIOS!H1000,CICLO!A:B,2,FALSE)</f>
        <v>55</v>
      </c>
      <c r="L1000">
        <f>VLOOKUP(PREVIOS!I1000,PLAN!A:B,2,FALSE)</f>
        <v>6</v>
      </c>
    </row>
    <row r="1001" spans="1:12" x14ac:dyDescent="0.25">
      <c r="A1001" t="str">
        <f t="shared" si="15"/>
        <v>A632M290C1</v>
      </c>
      <c r="C1001">
        <v>1000</v>
      </c>
      <c r="D1001">
        <f>VLOOKUP(PREVIOS!C1001,ALUMNOS!A:B,2,FALSE)</f>
        <v>632</v>
      </c>
      <c r="E1001">
        <f>VLOOKUP(PREVIOS!E1001&amp;'TABLA PREVIOS'!J1001,MATERIAS!A:H,7,FALSE)</f>
        <v>290</v>
      </c>
      <c r="F1001">
        <f>VLOOKUP(PREVIOS!G1001,CONDICION!A:B,2,FALSE)</f>
        <v>1</v>
      </c>
      <c r="G1001">
        <f>IF(PREVIOS!AG1001=1,1,VLOOKUP(PREVIOS!AG1001,CALIFICACION!A:C,3,FALSE))</f>
        <v>1</v>
      </c>
      <c r="H1001" s="1" t="s">
        <v>534</v>
      </c>
      <c r="I1001" s="1" t="s">
        <v>534</v>
      </c>
      <c r="J1001">
        <f>VLOOKUP(PREVIOS!F1001&amp;VLOOKUP(PREVIOS!I1001,PLAN!A:B,2,FALSE),CURSO!A:D,4,FALSE)</f>
        <v>22</v>
      </c>
      <c r="K1001">
        <f>VLOOKUP(PREVIOS!H1001,CICLO!A:B,2,FALSE)</f>
        <v>55</v>
      </c>
      <c r="L1001">
        <f>VLOOKUP(PREVIOS!I1001,PLAN!A:B,2,FALSE)</f>
        <v>6</v>
      </c>
    </row>
    <row r="1002" spans="1:12" x14ac:dyDescent="0.25">
      <c r="A1002" t="str">
        <f t="shared" si="15"/>
        <v>A648M286C1</v>
      </c>
      <c r="C1002">
        <v>1001</v>
      </c>
      <c r="D1002">
        <f>VLOOKUP(PREVIOS!C1002,ALUMNOS!A:B,2,FALSE)</f>
        <v>648</v>
      </c>
      <c r="E1002">
        <f>VLOOKUP(PREVIOS!E1002&amp;'TABLA PREVIOS'!J1002,MATERIAS!A:H,7,FALSE)</f>
        <v>286</v>
      </c>
      <c r="F1002">
        <f>VLOOKUP(PREVIOS!G1002,CONDICION!A:B,2,FALSE)</f>
        <v>1</v>
      </c>
      <c r="G1002">
        <f>IF(PREVIOS!AG1002=1,1,VLOOKUP(PREVIOS!AG1002,CALIFICACION!A:C,3,FALSE))</f>
        <v>1</v>
      </c>
      <c r="H1002" s="1" t="s">
        <v>534</v>
      </c>
      <c r="I1002" s="1" t="s">
        <v>534</v>
      </c>
      <c r="J1002">
        <f>VLOOKUP(PREVIOS!F1002&amp;VLOOKUP(PREVIOS!I1002,PLAN!A:B,2,FALSE),CURSO!A:D,4,FALSE)</f>
        <v>22</v>
      </c>
      <c r="K1002">
        <f>VLOOKUP(PREVIOS!H1002,CICLO!A:B,2,FALSE)</f>
        <v>55</v>
      </c>
      <c r="L1002">
        <f>VLOOKUP(PREVIOS!I1002,PLAN!A:B,2,FALSE)</f>
        <v>6</v>
      </c>
    </row>
    <row r="1003" spans="1:12" x14ac:dyDescent="0.25">
      <c r="A1003" t="str">
        <f t="shared" si="15"/>
        <v>A648M292C1</v>
      </c>
      <c r="C1003">
        <v>1002</v>
      </c>
      <c r="D1003">
        <f>VLOOKUP(PREVIOS!C1003,ALUMNOS!A:B,2,FALSE)</f>
        <v>648</v>
      </c>
      <c r="E1003">
        <f>VLOOKUP(PREVIOS!E1003&amp;'TABLA PREVIOS'!J1003,MATERIAS!A:H,7,FALSE)</f>
        <v>292</v>
      </c>
      <c r="F1003">
        <f>VLOOKUP(PREVIOS!G1003,CONDICION!A:B,2,FALSE)</f>
        <v>1</v>
      </c>
      <c r="G1003">
        <f>IF(PREVIOS!AG1003=1,1,VLOOKUP(PREVIOS!AG1003,CALIFICACION!A:C,3,FALSE))</f>
        <v>1</v>
      </c>
      <c r="H1003" s="1" t="s">
        <v>534</v>
      </c>
      <c r="I1003" s="1" t="s">
        <v>534</v>
      </c>
      <c r="J1003">
        <f>VLOOKUP(PREVIOS!F1003&amp;VLOOKUP(PREVIOS!I1003,PLAN!A:B,2,FALSE),CURSO!A:D,4,FALSE)</f>
        <v>22</v>
      </c>
      <c r="K1003">
        <f>VLOOKUP(PREVIOS!H1003,CICLO!A:B,2,FALSE)</f>
        <v>55</v>
      </c>
      <c r="L1003">
        <f>VLOOKUP(PREVIOS!I1003,PLAN!A:B,2,FALSE)</f>
        <v>6</v>
      </c>
    </row>
    <row r="1004" spans="1:12" x14ac:dyDescent="0.25">
      <c r="A1004" t="str">
        <f t="shared" si="15"/>
        <v>A648M282C1</v>
      </c>
      <c r="C1004">
        <v>1003</v>
      </c>
      <c r="D1004">
        <f>VLOOKUP(PREVIOS!C1004,ALUMNOS!A:B,2,FALSE)</f>
        <v>648</v>
      </c>
      <c r="E1004">
        <f>VLOOKUP(PREVIOS!E1004&amp;'TABLA PREVIOS'!J1004,MATERIAS!A:H,7,FALSE)</f>
        <v>282</v>
      </c>
      <c r="F1004">
        <f>VLOOKUP(PREVIOS!G1004,CONDICION!A:B,2,FALSE)</f>
        <v>1</v>
      </c>
      <c r="G1004">
        <f>IF(PREVIOS!AG1004=1,1,VLOOKUP(PREVIOS!AG1004,CALIFICACION!A:C,3,FALSE))</f>
        <v>1</v>
      </c>
      <c r="H1004" s="1" t="s">
        <v>534</v>
      </c>
      <c r="I1004" s="1" t="s">
        <v>534</v>
      </c>
      <c r="J1004">
        <f>VLOOKUP(PREVIOS!F1004&amp;VLOOKUP(PREVIOS!I1004,PLAN!A:B,2,FALSE),CURSO!A:D,4,FALSE)</f>
        <v>22</v>
      </c>
      <c r="K1004">
        <f>VLOOKUP(PREVIOS!H1004,CICLO!A:B,2,FALSE)</f>
        <v>55</v>
      </c>
      <c r="L1004">
        <f>VLOOKUP(PREVIOS!I1004,PLAN!A:B,2,FALSE)</f>
        <v>6</v>
      </c>
    </row>
    <row r="1005" spans="1:12" x14ac:dyDescent="0.25">
      <c r="A1005" t="str">
        <f t="shared" si="15"/>
        <v>A648M279C1</v>
      </c>
      <c r="C1005">
        <v>1004</v>
      </c>
      <c r="D1005">
        <f>VLOOKUP(PREVIOS!C1005,ALUMNOS!A:B,2,FALSE)</f>
        <v>648</v>
      </c>
      <c r="E1005">
        <f>VLOOKUP(PREVIOS!E1005&amp;'TABLA PREVIOS'!J1005,MATERIAS!A:H,7,FALSE)</f>
        <v>279</v>
      </c>
      <c r="F1005">
        <f>VLOOKUP(PREVIOS!G1005,CONDICION!A:B,2,FALSE)</f>
        <v>1</v>
      </c>
      <c r="G1005">
        <f>IF(PREVIOS!AG1005=1,1,VLOOKUP(PREVIOS!AG1005,CALIFICACION!A:C,3,FALSE))</f>
        <v>1</v>
      </c>
      <c r="H1005" s="1" t="s">
        <v>534</v>
      </c>
      <c r="I1005" s="1" t="s">
        <v>534</v>
      </c>
      <c r="J1005">
        <f>VLOOKUP(PREVIOS!F1005&amp;VLOOKUP(PREVIOS!I1005,PLAN!A:B,2,FALSE),CURSO!A:D,4,FALSE)</f>
        <v>22</v>
      </c>
      <c r="K1005">
        <f>VLOOKUP(PREVIOS!H1005,CICLO!A:B,2,FALSE)</f>
        <v>55</v>
      </c>
      <c r="L1005">
        <f>VLOOKUP(PREVIOS!I1005,PLAN!A:B,2,FALSE)</f>
        <v>6</v>
      </c>
    </row>
    <row r="1006" spans="1:12" x14ac:dyDescent="0.25">
      <c r="A1006" t="str">
        <f t="shared" si="15"/>
        <v>A648M280C1</v>
      </c>
      <c r="C1006">
        <v>1005</v>
      </c>
      <c r="D1006">
        <f>VLOOKUP(PREVIOS!C1006,ALUMNOS!A:B,2,FALSE)</f>
        <v>648</v>
      </c>
      <c r="E1006">
        <f>VLOOKUP(PREVIOS!E1006&amp;'TABLA PREVIOS'!J1006,MATERIAS!A:H,7,FALSE)</f>
        <v>280</v>
      </c>
      <c r="F1006">
        <f>VLOOKUP(PREVIOS!G1006,CONDICION!A:B,2,FALSE)</f>
        <v>1</v>
      </c>
      <c r="G1006">
        <f>IF(PREVIOS!AG1006=1,1,VLOOKUP(PREVIOS!AG1006,CALIFICACION!A:C,3,FALSE))</f>
        <v>1</v>
      </c>
      <c r="H1006" s="1" t="s">
        <v>534</v>
      </c>
      <c r="I1006" s="1" t="s">
        <v>534</v>
      </c>
      <c r="J1006">
        <f>VLOOKUP(PREVIOS!F1006&amp;VLOOKUP(PREVIOS!I1006,PLAN!A:B,2,FALSE),CURSO!A:D,4,FALSE)</f>
        <v>22</v>
      </c>
      <c r="K1006">
        <f>VLOOKUP(PREVIOS!H1006,CICLO!A:B,2,FALSE)</f>
        <v>55</v>
      </c>
      <c r="L1006">
        <f>VLOOKUP(PREVIOS!I1006,PLAN!A:B,2,FALSE)</f>
        <v>6</v>
      </c>
    </row>
    <row r="1007" spans="1:12" x14ac:dyDescent="0.25">
      <c r="A1007" t="str">
        <f t="shared" si="15"/>
        <v>A648M281C1</v>
      </c>
      <c r="C1007">
        <v>1006</v>
      </c>
      <c r="D1007">
        <f>VLOOKUP(PREVIOS!C1007,ALUMNOS!A:B,2,FALSE)</f>
        <v>648</v>
      </c>
      <c r="E1007">
        <f>VLOOKUP(PREVIOS!E1007&amp;'TABLA PREVIOS'!J1007,MATERIAS!A:H,7,FALSE)</f>
        <v>281</v>
      </c>
      <c r="F1007">
        <f>VLOOKUP(PREVIOS!G1007,CONDICION!A:B,2,FALSE)</f>
        <v>1</v>
      </c>
      <c r="G1007">
        <f>IF(PREVIOS!AG1007=1,1,VLOOKUP(PREVIOS!AG1007,CALIFICACION!A:C,3,FALSE))</f>
        <v>1</v>
      </c>
      <c r="H1007" s="1" t="s">
        <v>534</v>
      </c>
      <c r="I1007" s="1" t="s">
        <v>534</v>
      </c>
      <c r="J1007">
        <f>VLOOKUP(PREVIOS!F1007&amp;VLOOKUP(PREVIOS!I1007,PLAN!A:B,2,FALSE),CURSO!A:D,4,FALSE)</f>
        <v>22</v>
      </c>
      <c r="K1007">
        <f>VLOOKUP(PREVIOS!H1007,CICLO!A:B,2,FALSE)</f>
        <v>55</v>
      </c>
      <c r="L1007">
        <f>VLOOKUP(PREVIOS!I1007,PLAN!A:B,2,FALSE)</f>
        <v>6</v>
      </c>
    </row>
    <row r="1008" spans="1:12" x14ac:dyDescent="0.25">
      <c r="A1008" t="str">
        <f t="shared" si="15"/>
        <v>A648M288C1</v>
      </c>
      <c r="C1008">
        <v>1007</v>
      </c>
      <c r="D1008">
        <f>VLOOKUP(PREVIOS!C1008,ALUMNOS!A:B,2,FALSE)</f>
        <v>648</v>
      </c>
      <c r="E1008">
        <f>VLOOKUP(PREVIOS!E1008&amp;'TABLA PREVIOS'!J1008,MATERIAS!A:H,7,FALSE)</f>
        <v>288</v>
      </c>
      <c r="F1008">
        <f>VLOOKUP(PREVIOS!G1008,CONDICION!A:B,2,FALSE)</f>
        <v>1</v>
      </c>
      <c r="G1008">
        <f>IF(PREVIOS!AG1008=1,1,VLOOKUP(PREVIOS!AG1008,CALIFICACION!A:C,3,FALSE))</f>
        <v>1</v>
      </c>
      <c r="H1008" s="1" t="s">
        <v>534</v>
      </c>
      <c r="I1008" s="1" t="s">
        <v>534</v>
      </c>
      <c r="J1008">
        <f>VLOOKUP(PREVIOS!F1008&amp;VLOOKUP(PREVIOS!I1008,PLAN!A:B,2,FALSE),CURSO!A:D,4,FALSE)</f>
        <v>22</v>
      </c>
      <c r="K1008">
        <f>VLOOKUP(PREVIOS!H1008,CICLO!A:B,2,FALSE)</f>
        <v>55</v>
      </c>
      <c r="L1008">
        <f>VLOOKUP(PREVIOS!I1008,PLAN!A:B,2,FALSE)</f>
        <v>6</v>
      </c>
    </row>
    <row r="1009" spans="1:12" x14ac:dyDescent="0.25">
      <c r="A1009" t="str">
        <f t="shared" si="15"/>
        <v>A648M290C1</v>
      </c>
      <c r="C1009">
        <v>1008</v>
      </c>
      <c r="D1009">
        <f>VLOOKUP(PREVIOS!C1009,ALUMNOS!A:B,2,FALSE)</f>
        <v>648</v>
      </c>
      <c r="E1009">
        <f>VLOOKUP(PREVIOS!E1009&amp;'TABLA PREVIOS'!J1009,MATERIAS!A:H,7,FALSE)</f>
        <v>290</v>
      </c>
      <c r="F1009">
        <f>VLOOKUP(PREVIOS!G1009,CONDICION!A:B,2,FALSE)</f>
        <v>1</v>
      </c>
      <c r="G1009">
        <f>IF(PREVIOS!AG1009=1,1,VLOOKUP(PREVIOS!AG1009,CALIFICACION!A:C,3,FALSE))</f>
        <v>1</v>
      </c>
      <c r="H1009" s="1" t="s">
        <v>534</v>
      </c>
      <c r="I1009" s="1" t="s">
        <v>534</v>
      </c>
      <c r="J1009">
        <f>VLOOKUP(PREVIOS!F1009&amp;VLOOKUP(PREVIOS!I1009,PLAN!A:B,2,FALSE),CURSO!A:D,4,FALSE)</f>
        <v>22</v>
      </c>
      <c r="K1009">
        <f>VLOOKUP(PREVIOS!H1009,CICLO!A:B,2,FALSE)</f>
        <v>55</v>
      </c>
      <c r="L1009">
        <f>VLOOKUP(PREVIOS!I1009,PLAN!A:B,2,FALSE)</f>
        <v>6</v>
      </c>
    </row>
    <row r="1010" spans="1:12" x14ac:dyDescent="0.25">
      <c r="A1010" t="str">
        <f t="shared" si="15"/>
        <v>A651M274C1</v>
      </c>
      <c r="C1010">
        <v>1009</v>
      </c>
      <c r="D1010">
        <f>VLOOKUP(PREVIOS!C1010,ALUMNOS!A:B,2,FALSE)</f>
        <v>651</v>
      </c>
      <c r="E1010">
        <f>VLOOKUP(PREVIOS!E1010&amp;'TABLA PREVIOS'!J1010,MATERIAS!A:H,7,FALSE)</f>
        <v>274</v>
      </c>
      <c r="F1010">
        <f>VLOOKUP(PREVIOS!G1010,CONDICION!A:B,2,FALSE)</f>
        <v>1</v>
      </c>
      <c r="G1010">
        <f>IF(PREVIOS!AG1010=1,1,VLOOKUP(PREVIOS!AG1010,CALIFICACION!A:C,3,FALSE))</f>
        <v>1</v>
      </c>
      <c r="H1010" s="1" t="s">
        <v>534</v>
      </c>
      <c r="I1010" s="1" t="s">
        <v>534</v>
      </c>
      <c r="J1010">
        <f>VLOOKUP(PREVIOS!F1010&amp;VLOOKUP(PREVIOS!I1010,PLAN!A:B,2,FALSE),CURSO!A:D,4,FALSE)</f>
        <v>21</v>
      </c>
      <c r="K1010">
        <f>VLOOKUP(PREVIOS!H1010,CICLO!A:B,2,FALSE)</f>
        <v>54</v>
      </c>
      <c r="L1010">
        <f>VLOOKUP(PREVIOS!I1010,PLAN!A:B,2,FALSE)</f>
        <v>6</v>
      </c>
    </row>
    <row r="1011" spans="1:12" x14ac:dyDescent="0.25">
      <c r="A1011" t="str">
        <f t="shared" si="15"/>
        <v>A651M277C1</v>
      </c>
      <c r="C1011">
        <v>1010</v>
      </c>
      <c r="D1011">
        <f>VLOOKUP(PREVIOS!C1011,ALUMNOS!A:B,2,FALSE)</f>
        <v>651</v>
      </c>
      <c r="E1011">
        <f>VLOOKUP(PREVIOS!E1011&amp;'TABLA PREVIOS'!J1011,MATERIAS!A:H,7,FALSE)</f>
        <v>277</v>
      </c>
      <c r="F1011">
        <f>VLOOKUP(PREVIOS!G1011,CONDICION!A:B,2,FALSE)</f>
        <v>1</v>
      </c>
      <c r="G1011">
        <f>IF(PREVIOS!AG1011=1,1,VLOOKUP(PREVIOS!AG1011,CALIFICACION!A:C,3,FALSE))</f>
        <v>1</v>
      </c>
      <c r="H1011" s="1" t="s">
        <v>534</v>
      </c>
      <c r="I1011" s="1" t="s">
        <v>534</v>
      </c>
      <c r="J1011">
        <f>VLOOKUP(PREVIOS!F1011&amp;VLOOKUP(PREVIOS!I1011,PLAN!A:B,2,FALSE),CURSO!A:D,4,FALSE)</f>
        <v>21</v>
      </c>
      <c r="K1011">
        <f>VLOOKUP(PREVIOS!H1011,CICLO!A:B,2,FALSE)</f>
        <v>54</v>
      </c>
      <c r="L1011">
        <f>VLOOKUP(PREVIOS!I1011,PLAN!A:B,2,FALSE)</f>
        <v>6</v>
      </c>
    </row>
    <row r="1012" spans="1:12" x14ac:dyDescent="0.25">
      <c r="A1012" t="str">
        <f t="shared" si="15"/>
        <v>A651M276C1</v>
      </c>
      <c r="C1012">
        <v>1011</v>
      </c>
      <c r="D1012">
        <f>VLOOKUP(PREVIOS!C1012,ALUMNOS!A:B,2,FALSE)</f>
        <v>651</v>
      </c>
      <c r="E1012">
        <f>VLOOKUP(PREVIOS!E1012&amp;'TABLA PREVIOS'!J1012,MATERIAS!A:H,7,FALSE)</f>
        <v>276</v>
      </c>
      <c r="F1012">
        <f>VLOOKUP(PREVIOS!G1012,CONDICION!A:B,2,FALSE)</f>
        <v>1</v>
      </c>
      <c r="G1012">
        <f>IF(PREVIOS!AG1012=1,1,VLOOKUP(PREVIOS!AG1012,CALIFICACION!A:C,3,FALSE))</f>
        <v>1</v>
      </c>
      <c r="H1012" s="1" t="s">
        <v>534</v>
      </c>
      <c r="I1012" s="1" t="s">
        <v>534</v>
      </c>
      <c r="J1012">
        <f>VLOOKUP(PREVIOS!F1012&amp;VLOOKUP(PREVIOS!I1012,PLAN!A:B,2,FALSE),CURSO!A:D,4,FALSE)</f>
        <v>21</v>
      </c>
      <c r="K1012">
        <f>VLOOKUP(PREVIOS!H1012,CICLO!A:B,2,FALSE)</f>
        <v>54</v>
      </c>
      <c r="L1012">
        <f>VLOOKUP(PREVIOS!I1012,PLAN!A:B,2,FALSE)</f>
        <v>6</v>
      </c>
    </row>
    <row r="1013" spans="1:12" x14ac:dyDescent="0.25">
      <c r="A1013" t="str">
        <f t="shared" si="15"/>
        <v>A651M275C1</v>
      </c>
      <c r="C1013">
        <v>1012</v>
      </c>
      <c r="D1013">
        <f>VLOOKUP(PREVIOS!C1013,ALUMNOS!A:B,2,FALSE)</f>
        <v>651</v>
      </c>
      <c r="E1013">
        <f>VLOOKUP(PREVIOS!E1013&amp;'TABLA PREVIOS'!J1013,MATERIAS!A:H,7,FALSE)</f>
        <v>275</v>
      </c>
      <c r="F1013">
        <f>VLOOKUP(PREVIOS!G1013,CONDICION!A:B,2,FALSE)</f>
        <v>1</v>
      </c>
      <c r="G1013">
        <f>IF(PREVIOS!AG1013=1,1,VLOOKUP(PREVIOS!AG1013,CALIFICACION!A:C,3,FALSE))</f>
        <v>1</v>
      </c>
      <c r="H1013" s="1" t="s">
        <v>534</v>
      </c>
      <c r="I1013" s="1" t="s">
        <v>534</v>
      </c>
      <c r="J1013">
        <f>VLOOKUP(PREVIOS!F1013&amp;VLOOKUP(PREVIOS!I1013,PLAN!A:B,2,FALSE),CURSO!A:D,4,FALSE)</f>
        <v>21</v>
      </c>
      <c r="K1013">
        <f>VLOOKUP(PREVIOS!H1013,CICLO!A:B,2,FALSE)</f>
        <v>54</v>
      </c>
      <c r="L1013">
        <f>VLOOKUP(PREVIOS!I1013,PLAN!A:B,2,FALSE)</f>
        <v>6</v>
      </c>
    </row>
    <row r="1014" spans="1:12" x14ac:dyDescent="0.25">
      <c r="A1014" t="str">
        <f t="shared" si="15"/>
        <v>A651M267C1</v>
      </c>
      <c r="C1014">
        <v>1013</v>
      </c>
      <c r="D1014">
        <f>VLOOKUP(PREVIOS!C1014,ALUMNOS!A:B,2,FALSE)</f>
        <v>651</v>
      </c>
      <c r="E1014">
        <f>VLOOKUP(PREVIOS!E1014&amp;'TABLA PREVIOS'!J1014,MATERIAS!A:H,7,FALSE)</f>
        <v>267</v>
      </c>
      <c r="F1014">
        <f>VLOOKUP(PREVIOS!G1014,CONDICION!A:B,2,FALSE)</f>
        <v>1</v>
      </c>
      <c r="G1014">
        <f>IF(PREVIOS!AG1014=1,1,VLOOKUP(PREVIOS!AG1014,CALIFICACION!A:C,3,FALSE))</f>
        <v>1</v>
      </c>
      <c r="H1014" s="1" t="s">
        <v>534</v>
      </c>
      <c r="I1014" s="1" t="s">
        <v>534</v>
      </c>
      <c r="J1014">
        <f>VLOOKUP(PREVIOS!F1014&amp;VLOOKUP(PREVIOS!I1014,PLAN!A:B,2,FALSE),CURSO!A:D,4,FALSE)</f>
        <v>21</v>
      </c>
      <c r="K1014">
        <f>VLOOKUP(PREVIOS!H1014,CICLO!A:B,2,FALSE)</f>
        <v>54</v>
      </c>
      <c r="L1014">
        <f>VLOOKUP(PREVIOS!I1014,PLAN!A:B,2,FALSE)</f>
        <v>6</v>
      </c>
    </row>
    <row r="1015" spans="1:12" x14ac:dyDescent="0.25">
      <c r="A1015" t="str">
        <f t="shared" si="15"/>
        <v>A651M268C1</v>
      </c>
      <c r="C1015">
        <v>1014</v>
      </c>
      <c r="D1015">
        <f>VLOOKUP(PREVIOS!C1015,ALUMNOS!A:B,2,FALSE)</f>
        <v>651</v>
      </c>
      <c r="E1015">
        <f>VLOOKUP(PREVIOS!E1015&amp;'TABLA PREVIOS'!J1015,MATERIAS!A:H,7,FALSE)</f>
        <v>268</v>
      </c>
      <c r="F1015">
        <f>VLOOKUP(PREVIOS!G1015,CONDICION!A:B,2,FALSE)</f>
        <v>1</v>
      </c>
      <c r="G1015">
        <f>IF(PREVIOS!AG1015=1,1,VLOOKUP(PREVIOS!AG1015,CALIFICACION!A:C,3,FALSE))</f>
        <v>1</v>
      </c>
      <c r="H1015" s="1" t="s">
        <v>534</v>
      </c>
      <c r="I1015" s="1" t="s">
        <v>534</v>
      </c>
      <c r="J1015">
        <f>VLOOKUP(PREVIOS!F1015&amp;VLOOKUP(PREVIOS!I1015,PLAN!A:B,2,FALSE),CURSO!A:D,4,FALSE)</f>
        <v>21</v>
      </c>
      <c r="K1015">
        <f>VLOOKUP(PREVIOS!H1015,CICLO!A:B,2,FALSE)</f>
        <v>54</v>
      </c>
      <c r="L1015">
        <f>VLOOKUP(PREVIOS!I1015,PLAN!A:B,2,FALSE)</f>
        <v>6</v>
      </c>
    </row>
    <row r="1016" spans="1:12" x14ac:dyDescent="0.25">
      <c r="A1016" t="str">
        <f t="shared" si="15"/>
        <v>A651M265C1</v>
      </c>
      <c r="C1016">
        <v>1015</v>
      </c>
      <c r="D1016">
        <f>VLOOKUP(PREVIOS!C1016,ALUMNOS!A:B,2,FALSE)</f>
        <v>651</v>
      </c>
      <c r="E1016">
        <f>VLOOKUP(PREVIOS!E1016&amp;'TABLA PREVIOS'!J1016,MATERIAS!A:H,7,FALSE)</f>
        <v>265</v>
      </c>
      <c r="F1016">
        <f>VLOOKUP(PREVIOS!G1016,CONDICION!A:B,2,FALSE)</f>
        <v>1</v>
      </c>
      <c r="G1016">
        <f>IF(PREVIOS!AG1016=1,1,VLOOKUP(PREVIOS!AG1016,CALIFICACION!A:C,3,FALSE))</f>
        <v>1</v>
      </c>
      <c r="H1016" s="1" t="s">
        <v>534</v>
      </c>
      <c r="I1016" s="1" t="s">
        <v>534</v>
      </c>
      <c r="J1016">
        <f>VLOOKUP(PREVIOS!F1016&amp;VLOOKUP(PREVIOS!I1016,PLAN!A:B,2,FALSE),CURSO!A:D,4,FALSE)</f>
        <v>21</v>
      </c>
      <c r="K1016">
        <f>VLOOKUP(PREVIOS!H1016,CICLO!A:B,2,FALSE)</f>
        <v>54</v>
      </c>
      <c r="L1016">
        <f>VLOOKUP(PREVIOS!I1016,PLAN!A:B,2,FALSE)</f>
        <v>6</v>
      </c>
    </row>
    <row r="1017" spans="1:12" x14ac:dyDescent="0.25">
      <c r="A1017" t="str">
        <f t="shared" si="15"/>
        <v>A651M271C1</v>
      </c>
      <c r="C1017">
        <v>1016</v>
      </c>
      <c r="D1017">
        <f>VLOOKUP(PREVIOS!C1017,ALUMNOS!A:B,2,FALSE)</f>
        <v>651</v>
      </c>
      <c r="E1017">
        <f>VLOOKUP(PREVIOS!E1017&amp;'TABLA PREVIOS'!J1017,MATERIAS!A:H,7,FALSE)</f>
        <v>271</v>
      </c>
      <c r="F1017">
        <f>VLOOKUP(PREVIOS!G1017,CONDICION!A:B,2,FALSE)</f>
        <v>1</v>
      </c>
      <c r="G1017">
        <f>IF(PREVIOS!AG1017=1,1,VLOOKUP(PREVIOS!AG1017,CALIFICACION!A:C,3,FALSE))</f>
        <v>1</v>
      </c>
      <c r="H1017" s="1" t="s">
        <v>534</v>
      </c>
      <c r="I1017" s="1" t="s">
        <v>534</v>
      </c>
      <c r="J1017">
        <f>VLOOKUP(PREVIOS!F1017&amp;VLOOKUP(PREVIOS!I1017,PLAN!A:B,2,FALSE),CURSO!A:D,4,FALSE)</f>
        <v>21</v>
      </c>
      <c r="K1017">
        <f>VLOOKUP(PREVIOS!H1017,CICLO!A:B,2,FALSE)</f>
        <v>54</v>
      </c>
      <c r="L1017">
        <f>VLOOKUP(PREVIOS!I1017,PLAN!A:B,2,FALSE)</f>
        <v>6</v>
      </c>
    </row>
    <row r="1018" spans="1:12" x14ac:dyDescent="0.25">
      <c r="A1018" t="str">
        <f t="shared" si="15"/>
        <v>A651M273C1</v>
      </c>
      <c r="C1018">
        <v>1017</v>
      </c>
      <c r="D1018">
        <f>VLOOKUP(PREVIOS!C1018,ALUMNOS!A:B,2,FALSE)</f>
        <v>651</v>
      </c>
      <c r="E1018">
        <f>VLOOKUP(PREVIOS!E1018&amp;'TABLA PREVIOS'!J1018,MATERIAS!A:H,7,FALSE)</f>
        <v>273</v>
      </c>
      <c r="F1018">
        <f>VLOOKUP(PREVIOS!G1018,CONDICION!A:B,2,FALSE)</f>
        <v>1</v>
      </c>
      <c r="G1018">
        <f>IF(PREVIOS!AG1018=1,1,VLOOKUP(PREVIOS!AG1018,CALIFICACION!A:C,3,FALSE))</f>
        <v>1</v>
      </c>
      <c r="H1018" s="1" t="s">
        <v>534</v>
      </c>
      <c r="I1018" s="1" t="s">
        <v>534</v>
      </c>
      <c r="J1018">
        <f>VLOOKUP(PREVIOS!F1018&amp;VLOOKUP(PREVIOS!I1018,PLAN!A:B,2,FALSE),CURSO!A:D,4,FALSE)</f>
        <v>21</v>
      </c>
      <c r="K1018">
        <f>VLOOKUP(PREVIOS!H1018,CICLO!A:B,2,FALSE)</f>
        <v>54</v>
      </c>
      <c r="L1018">
        <f>VLOOKUP(PREVIOS!I1018,PLAN!A:B,2,FALSE)</f>
        <v>6</v>
      </c>
    </row>
    <row r="1019" spans="1:12" x14ac:dyDescent="0.25">
      <c r="A1019" t="str">
        <f t="shared" si="15"/>
        <v>A651M285C1</v>
      </c>
      <c r="C1019">
        <v>1018</v>
      </c>
      <c r="D1019">
        <f>VLOOKUP(PREVIOS!C1019,ALUMNOS!A:B,2,FALSE)</f>
        <v>651</v>
      </c>
      <c r="E1019">
        <f>VLOOKUP(PREVIOS!E1019&amp;'TABLA PREVIOS'!J1019,MATERIAS!A:H,7,FALSE)</f>
        <v>285</v>
      </c>
      <c r="F1019">
        <f>VLOOKUP(PREVIOS!G1019,CONDICION!A:B,2,FALSE)</f>
        <v>1</v>
      </c>
      <c r="G1019">
        <f>IF(PREVIOS!AG1019=1,1,VLOOKUP(PREVIOS!AG1019,CALIFICACION!A:C,3,FALSE))</f>
        <v>1</v>
      </c>
      <c r="H1019" s="1" t="s">
        <v>534</v>
      </c>
      <c r="I1019" s="1" t="s">
        <v>534</v>
      </c>
      <c r="J1019">
        <f>VLOOKUP(PREVIOS!F1019&amp;VLOOKUP(PREVIOS!I1019,PLAN!A:B,2,FALSE),CURSO!A:D,4,FALSE)</f>
        <v>22</v>
      </c>
      <c r="K1019">
        <f>VLOOKUP(PREVIOS!H1019,CICLO!A:B,2,FALSE)</f>
        <v>55</v>
      </c>
      <c r="L1019">
        <f>VLOOKUP(PREVIOS!I1019,PLAN!A:B,2,FALSE)</f>
        <v>6</v>
      </c>
    </row>
    <row r="1020" spans="1:12" x14ac:dyDescent="0.25">
      <c r="A1020" t="str">
        <f t="shared" si="15"/>
        <v>A651M287C1</v>
      </c>
      <c r="C1020">
        <v>1019</v>
      </c>
      <c r="D1020">
        <f>VLOOKUP(PREVIOS!C1020,ALUMNOS!A:B,2,FALSE)</f>
        <v>651</v>
      </c>
      <c r="E1020">
        <f>VLOOKUP(PREVIOS!E1020&amp;'TABLA PREVIOS'!J1020,MATERIAS!A:H,7,FALSE)</f>
        <v>287</v>
      </c>
      <c r="F1020">
        <f>VLOOKUP(PREVIOS!G1020,CONDICION!A:B,2,FALSE)</f>
        <v>1</v>
      </c>
      <c r="G1020">
        <f>IF(PREVIOS!AG1020=1,1,VLOOKUP(PREVIOS!AG1020,CALIFICACION!A:C,3,FALSE))</f>
        <v>1</v>
      </c>
      <c r="H1020" s="1" t="s">
        <v>534</v>
      </c>
      <c r="I1020" s="1" t="s">
        <v>534</v>
      </c>
      <c r="J1020">
        <f>VLOOKUP(PREVIOS!F1020&amp;VLOOKUP(PREVIOS!I1020,PLAN!A:B,2,FALSE),CURSO!A:D,4,FALSE)</f>
        <v>22</v>
      </c>
      <c r="K1020">
        <f>VLOOKUP(PREVIOS!H1020,CICLO!A:B,2,FALSE)</f>
        <v>55</v>
      </c>
      <c r="L1020">
        <f>VLOOKUP(PREVIOS!I1020,PLAN!A:B,2,FALSE)</f>
        <v>6</v>
      </c>
    </row>
    <row r="1021" spans="1:12" x14ac:dyDescent="0.25">
      <c r="A1021" t="str">
        <f t="shared" si="15"/>
        <v>A651M286C1</v>
      </c>
      <c r="C1021">
        <v>1020</v>
      </c>
      <c r="D1021">
        <f>VLOOKUP(PREVIOS!C1021,ALUMNOS!A:B,2,FALSE)</f>
        <v>651</v>
      </c>
      <c r="E1021">
        <f>VLOOKUP(PREVIOS!E1021&amp;'TABLA PREVIOS'!J1021,MATERIAS!A:H,7,FALSE)</f>
        <v>286</v>
      </c>
      <c r="F1021">
        <f>VLOOKUP(PREVIOS!G1021,CONDICION!A:B,2,FALSE)</f>
        <v>1</v>
      </c>
      <c r="G1021">
        <f>IF(PREVIOS!AG1021=1,1,VLOOKUP(PREVIOS!AG1021,CALIFICACION!A:C,3,FALSE))</f>
        <v>1</v>
      </c>
      <c r="H1021" s="1" t="s">
        <v>534</v>
      </c>
      <c r="I1021" s="1" t="s">
        <v>534</v>
      </c>
      <c r="J1021">
        <f>VLOOKUP(PREVIOS!F1021&amp;VLOOKUP(PREVIOS!I1021,PLAN!A:B,2,FALSE),CURSO!A:D,4,FALSE)</f>
        <v>22</v>
      </c>
      <c r="K1021">
        <f>VLOOKUP(PREVIOS!H1021,CICLO!A:B,2,FALSE)</f>
        <v>55</v>
      </c>
      <c r="L1021">
        <f>VLOOKUP(PREVIOS!I1021,PLAN!A:B,2,FALSE)</f>
        <v>6</v>
      </c>
    </row>
    <row r="1022" spans="1:12" x14ac:dyDescent="0.25">
      <c r="A1022" t="str">
        <f t="shared" si="15"/>
        <v>A651M278C1</v>
      </c>
      <c r="C1022">
        <v>1021</v>
      </c>
      <c r="D1022">
        <f>VLOOKUP(PREVIOS!C1022,ALUMNOS!A:B,2,FALSE)</f>
        <v>651</v>
      </c>
      <c r="E1022">
        <f>VLOOKUP(PREVIOS!E1022&amp;'TABLA PREVIOS'!J1022,MATERIAS!A:H,7,FALSE)</f>
        <v>278</v>
      </c>
      <c r="F1022">
        <f>VLOOKUP(PREVIOS!G1022,CONDICION!A:B,2,FALSE)</f>
        <v>1</v>
      </c>
      <c r="G1022">
        <f>IF(PREVIOS!AG1022=1,1,VLOOKUP(PREVIOS!AG1022,CALIFICACION!A:C,3,FALSE))</f>
        <v>1</v>
      </c>
      <c r="H1022" s="1" t="s">
        <v>534</v>
      </c>
      <c r="I1022" s="1" t="s">
        <v>534</v>
      </c>
      <c r="J1022">
        <f>VLOOKUP(PREVIOS!F1022&amp;VLOOKUP(PREVIOS!I1022,PLAN!A:B,2,FALSE),CURSO!A:D,4,FALSE)</f>
        <v>22</v>
      </c>
      <c r="K1022">
        <f>VLOOKUP(PREVIOS!H1022,CICLO!A:B,2,FALSE)</f>
        <v>55</v>
      </c>
      <c r="L1022">
        <f>VLOOKUP(PREVIOS!I1022,PLAN!A:B,2,FALSE)</f>
        <v>6</v>
      </c>
    </row>
    <row r="1023" spans="1:12" x14ac:dyDescent="0.25">
      <c r="A1023" t="str">
        <f t="shared" si="15"/>
        <v>A651M291C1</v>
      </c>
      <c r="C1023">
        <v>1022</v>
      </c>
      <c r="D1023">
        <f>VLOOKUP(PREVIOS!C1023,ALUMNOS!A:B,2,FALSE)</f>
        <v>651</v>
      </c>
      <c r="E1023">
        <f>VLOOKUP(PREVIOS!E1023&amp;'TABLA PREVIOS'!J1023,MATERIAS!A:H,7,FALSE)</f>
        <v>291</v>
      </c>
      <c r="F1023">
        <f>VLOOKUP(PREVIOS!G1023,CONDICION!A:B,2,FALSE)</f>
        <v>1</v>
      </c>
      <c r="G1023">
        <f>IF(PREVIOS!AG1023=1,1,VLOOKUP(PREVIOS!AG1023,CALIFICACION!A:C,3,FALSE))</f>
        <v>1</v>
      </c>
      <c r="H1023" s="1" t="s">
        <v>534</v>
      </c>
      <c r="I1023" s="1" t="s">
        <v>534</v>
      </c>
      <c r="J1023">
        <f>VLOOKUP(PREVIOS!F1023&amp;VLOOKUP(PREVIOS!I1023,PLAN!A:B,2,FALSE),CURSO!A:D,4,FALSE)</f>
        <v>22</v>
      </c>
      <c r="K1023">
        <f>VLOOKUP(PREVIOS!H1023,CICLO!A:B,2,FALSE)</f>
        <v>55</v>
      </c>
      <c r="L1023">
        <f>VLOOKUP(PREVIOS!I1023,PLAN!A:B,2,FALSE)</f>
        <v>6</v>
      </c>
    </row>
    <row r="1024" spans="1:12" x14ac:dyDescent="0.25">
      <c r="A1024" t="str">
        <f t="shared" si="15"/>
        <v>A651M279C1</v>
      </c>
      <c r="C1024">
        <v>1023</v>
      </c>
      <c r="D1024">
        <f>VLOOKUP(PREVIOS!C1024,ALUMNOS!A:B,2,FALSE)</f>
        <v>651</v>
      </c>
      <c r="E1024">
        <f>VLOOKUP(PREVIOS!E1024&amp;'TABLA PREVIOS'!J1024,MATERIAS!A:H,7,FALSE)</f>
        <v>279</v>
      </c>
      <c r="F1024">
        <f>VLOOKUP(PREVIOS!G1024,CONDICION!A:B,2,FALSE)</f>
        <v>1</v>
      </c>
      <c r="G1024">
        <f>IF(PREVIOS!AG1024=1,1,VLOOKUP(PREVIOS!AG1024,CALIFICACION!A:C,3,FALSE))</f>
        <v>1</v>
      </c>
      <c r="H1024" s="1" t="s">
        <v>534</v>
      </c>
      <c r="I1024" s="1" t="s">
        <v>534</v>
      </c>
      <c r="J1024">
        <f>VLOOKUP(PREVIOS!F1024&amp;VLOOKUP(PREVIOS!I1024,PLAN!A:B,2,FALSE),CURSO!A:D,4,FALSE)</f>
        <v>22</v>
      </c>
      <c r="K1024">
        <f>VLOOKUP(PREVIOS!H1024,CICLO!A:B,2,FALSE)</f>
        <v>55</v>
      </c>
      <c r="L1024">
        <f>VLOOKUP(PREVIOS!I1024,PLAN!A:B,2,FALSE)</f>
        <v>6</v>
      </c>
    </row>
    <row r="1025" spans="1:12" x14ac:dyDescent="0.25">
      <c r="A1025" t="str">
        <f t="shared" si="15"/>
        <v>A651M280C1</v>
      </c>
      <c r="C1025">
        <v>1024</v>
      </c>
      <c r="D1025">
        <f>VLOOKUP(PREVIOS!C1025,ALUMNOS!A:B,2,FALSE)</f>
        <v>651</v>
      </c>
      <c r="E1025">
        <f>VLOOKUP(PREVIOS!E1025&amp;'TABLA PREVIOS'!J1025,MATERIAS!A:H,7,FALSE)</f>
        <v>280</v>
      </c>
      <c r="F1025">
        <f>VLOOKUP(PREVIOS!G1025,CONDICION!A:B,2,FALSE)</f>
        <v>1</v>
      </c>
      <c r="G1025">
        <f>IF(PREVIOS!AG1025=1,1,VLOOKUP(PREVIOS!AG1025,CALIFICACION!A:C,3,FALSE))</f>
        <v>1</v>
      </c>
      <c r="H1025" s="1" t="s">
        <v>534</v>
      </c>
      <c r="I1025" s="1" t="s">
        <v>534</v>
      </c>
      <c r="J1025">
        <f>VLOOKUP(PREVIOS!F1025&amp;VLOOKUP(PREVIOS!I1025,PLAN!A:B,2,FALSE),CURSO!A:D,4,FALSE)</f>
        <v>22</v>
      </c>
      <c r="K1025">
        <f>VLOOKUP(PREVIOS!H1025,CICLO!A:B,2,FALSE)</f>
        <v>55</v>
      </c>
      <c r="L1025">
        <f>VLOOKUP(PREVIOS!I1025,PLAN!A:B,2,FALSE)</f>
        <v>6</v>
      </c>
    </row>
    <row r="1026" spans="1:12" x14ac:dyDescent="0.25">
      <c r="A1026" t="str">
        <f t="shared" si="15"/>
        <v>A651M281C1</v>
      </c>
      <c r="C1026">
        <v>1025</v>
      </c>
      <c r="D1026">
        <f>VLOOKUP(PREVIOS!C1026,ALUMNOS!A:B,2,FALSE)</f>
        <v>651</v>
      </c>
      <c r="E1026">
        <f>VLOOKUP(PREVIOS!E1026&amp;'TABLA PREVIOS'!J1026,MATERIAS!A:H,7,FALSE)</f>
        <v>281</v>
      </c>
      <c r="F1026">
        <f>VLOOKUP(PREVIOS!G1026,CONDICION!A:B,2,FALSE)</f>
        <v>1</v>
      </c>
      <c r="G1026">
        <f>IF(PREVIOS!AG1026=1,1,VLOOKUP(PREVIOS!AG1026,CALIFICACION!A:C,3,FALSE))</f>
        <v>1</v>
      </c>
      <c r="H1026" s="1" t="s">
        <v>534</v>
      </c>
      <c r="I1026" s="1" t="s">
        <v>534</v>
      </c>
      <c r="J1026">
        <f>VLOOKUP(PREVIOS!F1026&amp;VLOOKUP(PREVIOS!I1026,PLAN!A:B,2,FALSE),CURSO!A:D,4,FALSE)</f>
        <v>22</v>
      </c>
      <c r="K1026">
        <f>VLOOKUP(PREVIOS!H1026,CICLO!A:B,2,FALSE)</f>
        <v>55</v>
      </c>
      <c r="L1026">
        <f>VLOOKUP(PREVIOS!I1026,PLAN!A:B,2,FALSE)</f>
        <v>6</v>
      </c>
    </row>
    <row r="1027" spans="1:12" x14ac:dyDescent="0.25">
      <c r="A1027" t="str">
        <f t="shared" ref="A1027:A1090" si="16">"A"&amp;D1027&amp;"M"&amp;E1027&amp;"C"&amp;F1027</f>
        <v>A651M288C1</v>
      </c>
      <c r="C1027">
        <v>1026</v>
      </c>
      <c r="D1027">
        <f>VLOOKUP(PREVIOS!C1027,ALUMNOS!A:B,2,FALSE)</f>
        <v>651</v>
      </c>
      <c r="E1027">
        <f>VLOOKUP(PREVIOS!E1027&amp;'TABLA PREVIOS'!J1027,MATERIAS!A:H,7,FALSE)</f>
        <v>288</v>
      </c>
      <c r="F1027">
        <f>VLOOKUP(PREVIOS!G1027,CONDICION!A:B,2,FALSE)</f>
        <v>1</v>
      </c>
      <c r="G1027">
        <f>IF(PREVIOS!AG1027=1,1,VLOOKUP(PREVIOS!AG1027,CALIFICACION!A:C,3,FALSE))</f>
        <v>1</v>
      </c>
      <c r="H1027" s="1" t="s">
        <v>534</v>
      </c>
      <c r="I1027" s="1" t="s">
        <v>534</v>
      </c>
      <c r="J1027">
        <f>VLOOKUP(PREVIOS!F1027&amp;VLOOKUP(PREVIOS!I1027,PLAN!A:B,2,FALSE),CURSO!A:D,4,FALSE)</f>
        <v>22</v>
      </c>
      <c r="K1027">
        <f>VLOOKUP(PREVIOS!H1027,CICLO!A:B,2,FALSE)</f>
        <v>55</v>
      </c>
      <c r="L1027">
        <f>VLOOKUP(PREVIOS!I1027,PLAN!A:B,2,FALSE)</f>
        <v>6</v>
      </c>
    </row>
    <row r="1028" spans="1:12" x14ac:dyDescent="0.25">
      <c r="A1028" t="str">
        <f t="shared" si="16"/>
        <v>A651M290C1</v>
      </c>
      <c r="C1028">
        <v>1027</v>
      </c>
      <c r="D1028">
        <f>VLOOKUP(PREVIOS!C1028,ALUMNOS!A:B,2,FALSE)</f>
        <v>651</v>
      </c>
      <c r="E1028">
        <f>VLOOKUP(PREVIOS!E1028&amp;'TABLA PREVIOS'!J1028,MATERIAS!A:H,7,FALSE)</f>
        <v>290</v>
      </c>
      <c r="F1028">
        <f>VLOOKUP(PREVIOS!G1028,CONDICION!A:B,2,FALSE)</f>
        <v>1</v>
      </c>
      <c r="G1028">
        <f>IF(PREVIOS!AG1028=1,1,VLOOKUP(PREVIOS!AG1028,CALIFICACION!A:C,3,FALSE))</f>
        <v>1</v>
      </c>
      <c r="H1028" s="1" t="s">
        <v>534</v>
      </c>
      <c r="I1028" s="1" t="s">
        <v>534</v>
      </c>
      <c r="J1028">
        <f>VLOOKUP(PREVIOS!F1028&amp;VLOOKUP(PREVIOS!I1028,PLAN!A:B,2,FALSE),CURSO!A:D,4,FALSE)</f>
        <v>22</v>
      </c>
      <c r="K1028">
        <f>VLOOKUP(PREVIOS!H1028,CICLO!A:B,2,FALSE)</f>
        <v>55</v>
      </c>
      <c r="L1028">
        <f>VLOOKUP(PREVIOS!I1028,PLAN!A:B,2,FALSE)</f>
        <v>6</v>
      </c>
    </row>
    <row r="1029" spans="1:12" x14ac:dyDescent="0.25">
      <c r="A1029" t="str">
        <f t="shared" si="16"/>
        <v>A765M260C1</v>
      </c>
      <c r="C1029">
        <v>1028</v>
      </c>
      <c r="D1029">
        <f>VLOOKUP(PREVIOS!C1029,ALUMNOS!A:B,2,FALSE)</f>
        <v>765</v>
      </c>
      <c r="E1029">
        <f>VLOOKUP(PREVIOS!E1029&amp;'TABLA PREVIOS'!J1029,MATERIAS!A:H,7,FALSE)</f>
        <v>260</v>
      </c>
      <c r="F1029">
        <f>VLOOKUP(PREVIOS!G1029,CONDICION!A:B,2,FALSE)</f>
        <v>1</v>
      </c>
      <c r="G1029">
        <f>IF(PREVIOS!AG1029=1,1,VLOOKUP(PREVIOS!AG1029,CALIFICACION!A:C,3,FALSE))</f>
        <v>1</v>
      </c>
      <c r="H1029" s="1" t="s">
        <v>534</v>
      </c>
      <c r="I1029" s="1" t="s">
        <v>534</v>
      </c>
      <c r="J1029">
        <f>VLOOKUP(PREVIOS!F1029&amp;VLOOKUP(PREVIOS!I1029,PLAN!A:B,2,FALSE),CURSO!A:D,4,FALSE)</f>
        <v>20</v>
      </c>
      <c r="K1029">
        <f>VLOOKUP(PREVIOS!H1029,CICLO!A:B,2,FALSE)</f>
        <v>53</v>
      </c>
      <c r="L1029">
        <f>VLOOKUP(PREVIOS!I1029,PLAN!A:B,2,FALSE)</f>
        <v>6</v>
      </c>
    </row>
    <row r="1030" spans="1:12" x14ac:dyDescent="0.25">
      <c r="A1030" t="str">
        <f t="shared" si="16"/>
        <v>A768M280C1</v>
      </c>
      <c r="C1030">
        <v>1029</v>
      </c>
      <c r="D1030">
        <f>VLOOKUP(PREVIOS!C1030,ALUMNOS!A:B,2,FALSE)</f>
        <v>768</v>
      </c>
      <c r="E1030">
        <f>VLOOKUP(PREVIOS!E1030&amp;'TABLA PREVIOS'!J1030,MATERIAS!A:H,7,FALSE)</f>
        <v>280</v>
      </c>
      <c r="F1030">
        <f>VLOOKUP(PREVIOS!G1030,CONDICION!A:B,2,FALSE)</f>
        <v>1</v>
      </c>
      <c r="G1030">
        <f>IF(PREVIOS!AG1030=1,1,VLOOKUP(PREVIOS!AG1030,CALIFICACION!A:C,3,FALSE))</f>
        <v>9</v>
      </c>
      <c r="H1030" s="1" t="s">
        <v>534</v>
      </c>
      <c r="I1030" s="1" t="s">
        <v>534</v>
      </c>
      <c r="J1030">
        <f>VLOOKUP(PREVIOS!F1030&amp;VLOOKUP(PREVIOS!I1030,PLAN!A:B,2,FALSE),CURSO!A:D,4,FALSE)</f>
        <v>22</v>
      </c>
      <c r="K1030">
        <f>VLOOKUP(PREVIOS!H1030,CICLO!A:B,2,FALSE)</f>
        <v>55</v>
      </c>
      <c r="L1030">
        <f>VLOOKUP(PREVIOS!I1030,PLAN!A:B,2,FALSE)</f>
        <v>6</v>
      </c>
    </row>
    <row r="1031" spans="1:12" x14ac:dyDescent="0.25">
      <c r="A1031" t="str">
        <f t="shared" si="16"/>
        <v>A66M239C1</v>
      </c>
      <c r="C1031">
        <v>1030</v>
      </c>
      <c r="D1031">
        <f>VLOOKUP(PREVIOS!C1031,ALUMNOS!A:B,2,FALSE)</f>
        <v>66</v>
      </c>
      <c r="E1031">
        <f>VLOOKUP(PREVIOS!E1031&amp;'TABLA PREVIOS'!J1031,MATERIAS!A:H,7,FALSE)</f>
        <v>239</v>
      </c>
      <c r="F1031">
        <f>VLOOKUP(PREVIOS!G1031,CONDICION!A:B,2,FALSE)</f>
        <v>1</v>
      </c>
      <c r="G1031">
        <f>IF(PREVIOS!AG1031=1,1,VLOOKUP(PREVIOS!AG1031,CALIFICACION!A:C,3,FALSE))</f>
        <v>1</v>
      </c>
      <c r="H1031" s="1" t="s">
        <v>534</v>
      </c>
      <c r="I1031" s="1" t="s">
        <v>534</v>
      </c>
      <c r="J1031">
        <f>VLOOKUP(PREVIOS!F1031&amp;VLOOKUP(PREVIOS!I1031,PLAN!A:B,2,FALSE),CURSO!A:D,4,FALSE)</f>
        <v>19</v>
      </c>
      <c r="K1031">
        <f>VLOOKUP(PREVIOS!H1031,CICLO!A:B,2,FALSE)</f>
        <v>53</v>
      </c>
      <c r="L1031">
        <f>VLOOKUP(PREVIOS!I1031,PLAN!A:B,2,FALSE)</f>
        <v>5</v>
      </c>
    </row>
    <row r="1032" spans="1:12" x14ac:dyDescent="0.25">
      <c r="A1032" t="str">
        <f t="shared" si="16"/>
        <v>A358M251C1</v>
      </c>
      <c r="C1032">
        <v>1031</v>
      </c>
      <c r="D1032">
        <f>VLOOKUP(PREVIOS!C1032,ALUMNOS!A:B,2,FALSE)</f>
        <v>358</v>
      </c>
      <c r="E1032">
        <f>VLOOKUP(PREVIOS!E1032&amp;'TABLA PREVIOS'!J1032,MATERIAS!A:H,7,FALSE)</f>
        <v>251</v>
      </c>
      <c r="F1032">
        <f>VLOOKUP(PREVIOS!G1032,CONDICION!A:B,2,FALSE)</f>
        <v>1</v>
      </c>
      <c r="G1032">
        <f>IF(PREVIOS!AG1032=1,1,VLOOKUP(PREVIOS!AG1032,CALIFICACION!A:C,3,FALSE))</f>
        <v>1</v>
      </c>
      <c r="H1032" s="1" t="s">
        <v>534</v>
      </c>
      <c r="I1032" s="1" t="s">
        <v>534</v>
      </c>
      <c r="J1032">
        <f>VLOOKUP(PREVIOS!F1032&amp;VLOOKUP(PREVIOS!I1032,PLAN!A:B,2,FALSE),CURSO!A:D,4,FALSE)</f>
        <v>20</v>
      </c>
      <c r="K1032">
        <f>VLOOKUP(PREVIOS!H1032,CICLO!A:B,2,FALSE)</f>
        <v>54</v>
      </c>
      <c r="L1032">
        <f>VLOOKUP(PREVIOS!I1032,PLAN!A:B,2,FALSE)</f>
        <v>6</v>
      </c>
    </row>
    <row r="1033" spans="1:12" x14ac:dyDescent="0.25">
      <c r="A1033" t="str">
        <f t="shared" si="16"/>
        <v>A358M275C1</v>
      </c>
      <c r="C1033">
        <v>1032</v>
      </c>
      <c r="D1033">
        <f>VLOOKUP(PREVIOS!C1033,ALUMNOS!A:B,2,FALSE)</f>
        <v>358</v>
      </c>
      <c r="E1033">
        <f>VLOOKUP(PREVIOS!E1033&amp;'TABLA PREVIOS'!J1033,MATERIAS!A:H,7,FALSE)</f>
        <v>275</v>
      </c>
      <c r="F1033">
        <f>VLOOKUP(PREVIOS!G1033,CONDICION!A:B,2,FALSE)</f>
        <v>1</v>
      </c>
      <c r="G1033">
        <f>IF(PREVIOS!AG1033=1,1,VLOOKUP(PREVIOS!AG1033,CALIFICACION!A:C,3,FALSE))</f>
        <v>1</v>
      </c>
      <c r="H1033" s="1" t="s">
        <v>534</v>
      </c>
      <c r="I1033" s="1" t="s">
        <v>534</v>
      </c>
      <c r="J1033">
        <f>VLOOKUP(PREVIOS!F1033&amp;VLOOKUP(PREVIOS!I1033,PLAN!A:B,2,FALSE),CURSO!A:D,4,FALSE)</f>
        <v>21</v>
      </c>
      <c r="K1033">
        <f>VLOOKUP(PREVIOS!H1033,CICLO!A:B,2,FALSE)</f>
        <v>55</v>
      </c>
      <c r="L1033">
        <f>VLOOKUP(PREVIOS!I1033,PLAN!A:B,2,FALSE)</f>
        <v>6</v>
      </c>
    </row>
    <row r="1034" spans="1:12" x14ac:dyDescent="0.25">
      <c r="A1034" t="str">
        <f t="shared" si="16"/>
        <v>A358M271C1</v>
      </c>
      <c r="C1034">
        <v>1033</v>
      </c>
      <c r="D1034">
        <f>VLOOKUP(PREVIOS!C1034,ALUMNOS!A:B,2,FALSE)</f>
        <v>358</v>
      </c>
      <c r="E1034">
        <f>VLOOKUP(PREVIOS!E1034&amp;'TABLA PREVIOS'!J1034,MATERIAS!A:H,7,FALSE)</f>
        <v>271</v>
      </c>
      <c r="F1034">
        <f>VLOOKUP(PREVIOS!G1034,CONDICION!A:B,2,FALSE)</f>
        <v>1</v>
      </c>
      <c r="G1034">
        <f>IF(PREVIOS!AG1034=1,1,VLOOKUP(PREVIOS!AG1034,CALIFICACION!A:C,3,FALSE))</f>
        <v>1</v>
      </c>
      <c r="H1034" s="1" t="s">
        <v>534</v>
      </c>
      <c r="I1034" s="1" t="s">
        <v>534</v>
      </c>
      <c r="J1034">
        <f>VLOOKUP(PREVIOS!F1034&amp;VLOOKUP(PREVIOS!I1034,PLAN!A:B,2,FALSE),CURSO!A:D,4,FALSE)</f>
        <v>21</v>
      </c>
      <c r="K1034">
        <f>VLOOKUP(PREVIOS!H1034,CICLO!A:B,2,FALSE)</f>
        <v>55</v>
      </c>
      <c r="L1034">
        <f>VLOOKUP(PREVIOS!I1034,PLAN!A:B,2,FALSE)</f>
        <v>6</v>
      </c>
    </row>
    <row r="1035" spans="1:12" x14ac:dyDescent="0.25">
      <c r="A1035" t="str">
        <f t="shared" si="16"/>
        <v>A358M286C1</v>
      </c>
      <c r="C1035">
        <v>1034</v>
      </c>
      <c r="D1035">
        <f>VLOOKUP(PREVIOS!C1035,ALUMNOS!A:B,2,FALSE)</f>
        <v>358</v>
      </c>
      <c r="E1035">
        <f>VLOOKUP(PREVIOS!E1035&amp;'TABLA PREVIOS'!J1035,MATERIAS!A:H,7,FALSE)</f>
        <v>286</v>
      </c>
      <c r="F1035">
        <f>VLOOKUP(PREVIOS!G1035,CONDICION!A:B,2,FALSE)</f>
        <v>1</v>
      </c>
      <c r="G1035">
        <f>IF(PREVIOS!AG1035=1,1,VLOOKUP(PREVIOS!AG1035,CALIFICACION!A:C,3,FALSE))</f>
        <v>1</v>
      </c>
      <c r="H1035" s="1" t="s">
        <v>534</v>
      </c>
      <c r="I1035" s="1" t="s">
        <v>534</v>
      </c>
      <c r="J1035">
        <f>VLOOKUP(PREVIOS!F1035&amp;VLOOKUP(PREVIOS!I1035,PLAN!A:B,2,FALSE),CURSO!A:D,4,FALSE)</f>
        <v>22</v>
      </c>
      <c r="K1035">
        <f>VLOOKUP(PREVIOS!H1035,CICLO!A:B,2,FALSE)</f>
        <v>56</v>
      </c>
      <c r="L1035">
        <f>VLOOKUP(PREVIOS!I1035,PLAN!A:B,2,FALSE)</f>
        <v>6</v>
      </c>
    </row>
    <row r="1036" spans="1:12" x14ac:dyDescent="0.25">
      <c r="A1036" t="str">
        <f t="shared" si="16"/>
        <v>A358M279C1</v>
      </c>
      <c r="C1036">
        <v>1035</v>
      </c>
      <c r="D1036">
        <f>VLOOKUP(PREVIOS!C1036,ALUMNOS!A:B,2,FALSE)</f>
        <v>358</v>
      </c>
      <c r="E1036">
        <f>VLOOKUP(PREVIOS!E1036&amp;'TABLA PREVIOS'!J1036,MATERIAS!A:H,7,FALSE)</f>
        <v>279</v>
      </c>
      <c r="F1036">
        <f>VLOOKUP(PREVIOS!G1036,CONDICION!A:B,2,FALSE)</f>
        <v>1</v>
      </c>
      <c r="G1036">
        <f>IF(PREVIOS!AG1036=1,1,VLOOKUP(PREVIOS!AG1036,CALIFICACION!A:C,3,FALSE))</f>
        <v>1</v>
      </c>
      <c r="H1036" s="1" t="s">
        <v>534</v>
      </c>
      <c r="I1036" s="1" t="s">
        <v>534</v>
      </c>
      <c r="J1036">
        <f>VLOOKUP(PREVIOS!F1036&amp;VLOOKUP(PREVIOS!I1036,PLAN!A:B,2,FALSE),CURSO!A:D,4,FALSE)</f>
        <v>22</v>
      </c>
      <c r="K1036">
        <f>VLOOKUP(PREVIOS!H1036,CICLO!A:B,2,FALSE)</f>
        <v>56</v>
      </c>
      <c r="L1036">
        <f>VLOOKUP(PREVIOS!I1036,PLAN!A:B,2,FALSE)</f>
        <v>6</v>
      </c>
    </row>
    <row r="1037" spans="1:12" x14ac:dyDescent="0.25">
      <c r="A1037" t="str">
        <f t="shared" si="16"/>
        <v>A358M280C1</v>
      </c>
      <c r="C1037">
        <v>1036</v>
      </c>
      <c r="D1037">
        <f>VLOOKUP(PREVIOS!C1037,ALUMNOS!A:B,2,FALSE)</f>
        <v>358</v>
      </c>
      <c r="E1037">
        <f>VLOOKUP(PREVIOS!E1037&amp;'TABLA PREVIOS'!J1037,MATERIAS!A:H,7,FALSE)</f>
        <v>280</v>
      </c>
      <c r="F1037">
        <f>VLOOKUP(PREVIOS!G1037,CONDICION!A:B,2,FALSE)</f>
        <v>1</v>
      </c>
      <c r="G1037">
        <f>IF(PREVIOS!AG1037=1,1,VLOOKUP(PREVIOS!AG1037,CALIFICACION!A:C,3,FALSE))</f>
        <v>1</v>
      </c>
      <c r="H1037" s="1" t="s">
        <v>534</v>
      </c>
      <c r="I1037" s="1" t="s">
        <v>534</v>
      </c>
      <c r="J1037">
        <f>VLOOKUP(PREVIOS!F1037&amp;VLOOKUP(PREVIOS!I1037,PLAN!A:B,2,FALSE),CURSO!A:D,4,FALSE)</f>
        <v>22</v>
      </c>
      <c r="K1037">
        <f>VLOOKUP(PREVIOS!H1037,CICLO!A:B,2,FALSE)</f>
        <v>56</v>
      </c>
      <c r="L1037">
        <f>VLOOKUP(PREVIOS!I1037,PLAN!A:B,2,FALSE)</f>
        <v>6</v>
      </c>
    </row>
    <row r="1038" spans="1:12" x14ac:dyDescent="0.25">
      <c r="A1038" t="str">
        <f t="shared" si="16"/>
        <v>A358M290C1</v>
      </c>
      <c r="C1038">
        <v>1037</v>
      </c>
      <c r="D1038">
        <f>VLOOKUP(PREVIOS!C1038,ALUMNOS!A:B,2,FALSE)</f>
        <v>358</v>
      </c>
      <c r="E1038">
        <f>VLOOKUP(PREVIOS!E1038&amp;'TABLA PREVIOS'!J1038,MATERIAS!A:H,7,FALSE)</f>
        <v>290</v>
      </c>
      <c r="F1038">
        <f>VLOOKUP(PREVIOS!G1038,CONDICION!A:B,2,FALSE)</f>
        <v>1</v>
      </c>
      <c r="G1038">
        <f>IF(PREVIOS!AG1038=1,1,VLOOKUP(PREVIOS!AG1038,CALIFICACION!A:C,3,FALSE))</f>
        <v>1</v>
      </c>
      <c r="H1038" s="1" t="s">
        <v>534</v>
      </c>
      <c r="I1038" s="1" t="s">
        <v>534</v>
      </c>
      <c r="J1038">
        <f>VLOOKUP(PREVIOS!F1038&amp;VLOOKUP(PREVIOS!I1038,PLAN!A:B,2,FALSE),CURSO!A:D,4,FALSE)</f>
        <v>22</v>
      </c>
      <c r="K1038">
        <f>VLOOKUP(PREVIOS!H1038,CICLO!A:B,2,FALSE)</f>
        <v>56</v>
      </c>
      <c r="L1038">
        <f>VLOOKUP(PREVIOS!I1038,PLAN!A:B,2,FALSE)</f>
        <v>6</v>
      </c>
    </row>
    <row r="1039" spans="1:12" x14ac:dyDescent="0.25">
      <c r="A1039" t="str">
        <f t="shared" si="16"/>
        <v>A368M279C1</v>
      </c>
      <c r="C1039">
        <v>1038</v>
      </c>
      <c r="D1039">
        <f>VLOOKUP(PREVIOS!C1039,ALUMNOS!A:B,2,FALSE)</f>
        <v>368</v>
      </c>
      <c r="E1039">
        <f>VLOOKUP(PREVIOS!E1039&amp;'TABLA PREVIOS'!J1039,MATERIAS!A:H,7,FALSE)</f>
        <v>279</v>
      </c>
      <c r="F1039">
        <f>VLOOKUP(PREVIOS!G1039,CONDICION!A:B,2,FALSE)</f>
        <v>1</v>
      </c>
      <c r="G1039">
        <f>IF(PREVIOS!AG1039=1,1,VLOOKUP(PREVIOS!AG1039,CALIFICACION!A:C,3,FALSE))</f>
        <v>9</v>
      </c>
      <c r="H1039" s="1" t="s">
        <v>534</v>
      </c>
      <c r="I1039" s="1" t="s">
        <v>534</v>
      </c>
      <c r="J1039">
        <f>VLOOKUP(PREVIOS!F1039&amp;VLOOKUP(PREVIOS!I1039,PLAN!A:B,2,FALSE),CURSO!A:D,4,FALSE)</f>
        <v>22</v>
      </c>
      <c r="K1039">
        <f>VLOOKUP(PREVIOS!H1039,CICLO!A:B,2,FALSE)</f>
        <v>56</v>
      </c>
      <c r="L1039">
        <f>VLOOKUP(PREVIOS!I1039,PLAN!A:B,2,FALSE)</f>
        <v>6</v>
      </c>
    </row>
    <row r="1040" spans="1:12" x14ac:dyDescent="0.25">
      <c r="A1040" t="str">
        <f t="shared" si="16"/>
        <v>A427M272C1</v>
      </c>
      <c r="C1040">
        <v>1039</v>
      </c>
      <c r="D1040">
        <f>VLOOKUP(PREVIOS!C1040,ALUMNOS!A:B,2,FALSE)</f>
        <v>427</v>
      </c>
      <c r="E1040">
        <f>VLOOKUP(PREVIOS!E1040&amp;'TABLA PREVIOS'!J1040,MATERIAS!A:H,7,FALSE)</f>
        <v>272</v>
      </c>
      <c r="F1040">
        <f>VLOOKUP(PREVIOS!G1040,CONDICION!A:B,2,FALSE)</f>
        <v>1</v>
      </c>
      <c r="G1040">
        <f>IF(PREVIOS!AG1040=1,1,VLOOKUP(PREVIOS!AG1040,CALIFICACION!A:C,3,FALSE))</f>
        <v>9</v>
      </c>
      <c r="H1040" s="1" t="s">
        <v>534</v>
      </c>
      <c r="I1040" s="1" t="s">
        <v>534</v>
      </c>
      <c r="J1040">
        <f>VLOOKUP(PREVIOS!F1040&amp;VLOOKUP(PREVIOS!I1040,PLAN!A:B,2,FALSE),CURSO!A:D,4,FALSE)</f>
        <v>21</v>
      </c>
      <c r="K1040">
        <f>VLOOKUP(PREVIOS!H1040,CICLO!A:B,2,FALSE)</f>
        <v>55</v>
      </c>
      <c r="L1040">
        <f>VLOOKUP(PREVIOS!I1040,PLAN!A:B,2,FALSE)</f>
        <v>6</v>
      </c>
    </row>
    <row r="1041" spans="1:12" x14ac:dyDescent="0.25">
      <c r="A1041" t="str">
        <f t="shared" si="16"/>
        <v>A427M273C1</v>
      </c>
      <c r="C1041">
        <v>1040</v>
      </c>
      <c r="D1041">
        <f>VLOOKUP(PREVIOS!C1041,ALUMNOS!A:B,2,FALSE)</f>
        <v>427</v>
      </c>
      <c r="E1041">
        <f>VLOOKUP(PREVIOS!E1041&amp;'TABLA PREVIOS'!J1041,MATERIAS!A:H,7,FALSE)</f>
        <v>273</v>
      </c>
      <c r="F1041">
        <f>VLOOKUP(PREVIOS!G1041,CONDICION!A:B,2,FALSE)</f>
        <v>1</v>
      </c>
      <c r="G1041">
        <f>IF(PREVIOS!AG1041=1,1,VLOOKUP(PREVIOS!AG1041,CALIFICACION!A:C,3,FALSE))</f>
        <v>1</v>
      </c>
      <c r="H1041" s="1" t="s">
        <v>534</v>
      </c>
      <c r="I1041" s="1" t="s">
        <v>534</v>
      </c>
      <c r="J1041">
        <f>VLOOKUP(PREVIOS!F1041&amp;VLOOKUP(PREVIOS!I1041,PLAN!A:B,2,FALSE),CURSO!A:D,4,FALSE)</f>
        <v>21</v>
      </c>
      <c r="K1041">
        <f>VLOOKUP(PREVIOS!H1041,CICLO!A:B,2,FALSE)</f>
        <v>55</v>
      </c>
      <c r="L1041">
        <f>VLOOKUP(PREVIOS!I1041,PLAN!A:B,2,FALSE)</f>
        <v>6</v>
      </c>
    </row>
    <row r="1042" spans="1:12" x14ac:dyDescent="0.25">
      <c r="A1042" t="str">
        <f t="shared" si="16"/>
        <v>A427M279C1</v>
      </c>
      <c r="C1042">
        <v>1041</v>
      </c>
      <c r="D1042">
        <f>VLOOKUP(PREVIOS!C1042,ALUMNOS!A:B,2,FALSE)</f>
        <v>427</v>
      </c>
      <c r="E1042">
        <f>VLOOKUP(PREVIOS!E1042&amp;'TABLA PREVIOS'!J1042,MATERIAS!A:H,7,FALSE)</f>
        <v>279</v>
      </c>
      <c r="F1042">
        <f>VLOOKUP(PREVIOS!G1042,CONDICION!A:B,2,FALSE)</f>
        <v>1</v>
      </c>
      <c r="G1042">
        <f>IF(PREVIOS!AG1042=1,1,VLOOKUP(PREVIOS!AG1042,CALIFICACION!A:C,3,FALSE))</f>
        <v>1</v>
      </c>
      <c r="H1042" s="1" t="s">
        <v>534</v>
      </c>
      <c r="I1042" s="1" t="s">
        <v>534</v>
      </c>
      <c r="J1042">
        <f>VLOOKUP(PREVIOS!F1042&amp;VLOOKUP(PREVIOS!I1042,PLAN!A:B,2,FALSE),CURSO!A:D,4,FALSE)</f>
        <v>22</v>
      </c>
      <c r="K1042">
        <f>VLOOKUP(PREVIOS!H1042,CICLO!A:B,2,FALSE)</f>
        <v>56</v>
      </c>
      <c r="L1042">
        <f>VLOOKUP(PREVIOS!I1042,PLAN!A:B,2,FALSE)</f>
        <v>6</v>
      </c>
    </row>
    <row r="1043" spans="1:12" x14ac:dyDescent="0.25">
      <c r="A1043" t="str">
        <f t="shared" si="16"/>
        <v>A427M280C1</v>
      </c>
      <c r="C1043">
        <v>1042</v>
      </c>
      <c r="D1043">
        <f>VLOOKUP(PREVIOS!C1043,ALUMNOS!A:B,2,FALSE)</f>
        <v>427</v>
      </c>
      <c r="E1043">
        <f>VLOOKUP(PREVIOS!E1043&amp;'TABLA PREVIOS'!J1043,MATERIAS!A:H,7,FALSE)</f>
        <v>280</v>
      </c>
      <c r="F1043">
        <f>VLOOKUP(PREVIOS!G1043,CONDICION!A:B,2,FALSE)</f>
        <v>1</v>
      </c>
      <c r="G1043">
        <f>IF(PREVIOS!AG1043=1,1,VLOOKUP(PREVIOS!AG1043,CALIFICACION!A:C,3,FALSE))</f>
        <v>1</v>
      </c>
      <c r="H1043" s="1" t="s">
        <v>534</v>
      </c>
      <c r="I1043" s="1" t="s">
        <v>534</v>
      </c>
      <c r="J1043">
        <f>VLOOKUP(PREVIOS!F1043&amp;VLOOKUP(PREVIOS!I1043,PLAN!A:B,2,FALSE),CURSO!A:D,4,FALSE)</f>
        <v>22</v>
      </c>
      <c r="K1043">
        <f>VLOOKUP(PREVIOS!H1043,CICLO!A:B,2,FALSE)</f>
        <v>56</v>
      </c>
      <c r="L1043">
        <f>VLOOKUP(PREVIOS!I1043,PLAN!A:B,2,FALSE)</f>
        <v>6</v>
      </c>
    </row>
    <row r="1044" spans="1:12" x14ac:dyDescent="0.25">
      <c r="A1044" t="str">
        <f t="shared" si="16"/>
        <v>A427M290C1</v>
      </c>
      <c r="C1044">
        <v>1043</v>
      </c>
      <c r="D1044">
        <f>VLOOKUP(PREVIOS!C1044,ALUMNOS!A:B,2,FALSE)</f>
        <v>427</v>
      </c>
      <c r="E1044">
        <f>VLOOKUP(PREVIOS!E1044&amp;'TABLA PREVIOS'!J1044,MATERIAS!A:H,7,FALSE)</f>
        <v>290</v>
      </c>
      <c r="F1044">
        <f>VLOOKUP(PREVIOS!G1044,CONDICION!A:B,2,FALSE)</f>
        <v>1</v>
      </c>
      <c r="G1044">
        <f>IF(PREVIOS!AG1044=1,1,VLOOKUP(PREVIOS!AG1044,CALIFICACION!A:C,3,FALSE))</f>
        <v>1</v>
      </c>
      <c r="H1044" s="1" t="s">
        <v>534</v>
      </c>
      <c r="I1044" s="1" t="s">
        <v>534</v>
      </c>
      <c r="J1044">
        <f>VLOOKUP(PREVIOS!F1044&amp;VLOOKUP(PREVIOS!I1044,PLAN!A:B,2,FALSE),CURSO!A:D,4,FALSE)</f>
        <v>22</v>
      </c>
      <c r="K1044">
        <f>VLOOKUP(PREVIOS!H1044,CICLO!A:B,2,FALSE)</f>
        <v>56</v>
      </c>
      <c r="L1044">
        <f>VLOOKUP(PREVIOS!I1044,PLAN!A:B,2,FALSE)</f>
        <v>6</v>
      </c>
    </row>
    <row r="1045" spans="1:12" x14ac:dyDescent="0.25">
      <c r="A1045" t="str">
        <f t="shared" si="16"/>
        <v>A438M272C1</v>
      </c>
      <c r="C1045">
        <v>1044</v>
      </c>
      <c r="D1045">
        <f>VLOOKUP(PREVIOS!C1045,ALUMNOS!A:B,2,FALSE)</f>
        <v>438</v>
      </c>
      <c r="E1045">
        <f>VLOOKUP(PREVIOS!E1045&amp;'TABLA PREVIOS'!J1045,MATERIAS!A:H,7,FALSE)</f>
        <v>272</v>
      </c>
      <c r="F1045">
        <f>VLOOKUP(PREVIOS!G1045,CONDICION!A:B,2,FALSE)</f>
        <v>1</v>
      </c>
      <c r="G1045">
        <f>IF(PREVIOS!AG1045=1,1,VLOOKUP(PREVIOS!AG1045,CALIFICACION!A:C,3,FALSE))</f>
        <v>1</v>
      </c>
      <c r="H1045" s="1" t="s">
        <v>534</v>
      </c>
      <c r="I1045" s="1" t="s">
        <v>534</v>
      </c>
      <c r="J1045">
        <f>VLOOKUP(PREVIOS!F1045&amp;VLOOKUP(PREVIOS!I1045,PLAN!A:B,2,FALSE),CURSO!A:D,4,FALSE)</f>
        <v>21</v>
      </c>
      <c r="K1045">
        <f>VLOOKUP(PREVIOS!H1045,CICLO!A:B,2,FALSE)</f>
        <v>55</v>
      </c>
      <c r="L1045">
        <f>VLOOKUP(PREVIOS!I1045,PLAN!A:B,2,FALSE)</f>
        <v>6</v>
      </c>
    </row>
    <row r="1046" spans="1:12" x14ac:dyDescent="0.25">
      <c r="A1046" t="str">
        <f t="shared" si="16"/>
        <v>A438M265C1</v>
      </c>
      <c r="C1046">
        <v>1045</v>
      </c>
      <c r="D1046">
        <f>VLOOKUP(PREVIOS!C1046,ALUMNOS!A:B,2,FALSE)</f>
        <v>438</v>
      </c>
      <c r="E1046">
        <f>VLOOKUP(PREVIOS!E1046&amp;'TABLA PREVIOS'!J1046,MATERIAS!A:H,7,FALSE)</f>
        <v>265</v>
      </c>
      <c r="F1046">
        <f>VLOOKUP(PREVIOS!G1046,CONDICION!A:B,2,FALSE)</f>
        <v>1</v>
      </c>
      <c r="G1046">
        <f>IF(PREVIOS!AG1046=1,1,VLOOKUP(PREVIOS!AG1046,CALIFICACION!A:C,3,FALSE))</f>
        <v>1</v>
      </c>
      <c r="H1046" s="1" t="s">
        <v>534</v>
      </c>
      <c r="I1046" s="1" t="s">
        <v>534</v>
      </c>
      <c r="J1046">
        <f>VLOOKUP(PREVIOS!F1046&amp;VLOOKUP(PREVIOS!I1046,PLAN!A:B,2,FALSE),CURSO!A:D,4,FALSE)</f>
        <v>21</v>
      </c>
      <c r="K1046">
        <f>VLOOKUP(PREVIOS!H1046,CICLO!A:B,2,FALSE)</f>
        <v>55</v>
      </c>
      <c r="L1046">
        <f>VLOOKUP(PREVIOS!I1046,PLAN!A:B,2,FALSE)</f>
        <v>6</v>
      </c>
    </row>
    <row r="1047" spans="1:12" x14ac:dyDescent="0.25">
      <c r="A1047" t="str">
        <f t="shared" si="16"/>
        <v>A438M273C1</v>
      </c>
      <c r="C1047">
        <v>1046</v>
      </c>
      <c r="D1047">
        <f>VLOOKUP(PREVIOS!C1047,ALUMNOS!A:B,2,FALSE)</f>
        <v>438</v>
      </c>
      <c r="E1047">
        <f>VLOOKUP(PREVIOS!E1047&amp;'TABLA PREVIOS'!J1047,MATERIAS!A:H,7,FALSE)</f>
        <v>273</v>
      </c>
      <c r="F1047">
        <f>VLOOKUP(PREVIOS!G1047,CONDICION!A:B,2,FALSE)</f>
        <v>1</v>
      </c>
      <c r="G1047">
        <f>IF(PREVIOS!AG1047=1,1,VLOOKUP(PREVIOS!AG1047,CALIFICACION!A:C,3,FALSE))</f>
        <v>1</v>
      </c>
      <c r="H1047" s="1" t="s">
        <v>534</v>
      </c>
      <c r="I1047" s="1" t="s">
        <v>534</v>
      </c>
      <c r="J1047">
        <f>VLOOKUP(PREVIOS!F1047&amp;VLOOKUP(PREVIOS!I1047,PLAN!A:B,2,FALSE),CURSO!A:D,4,FALSE)</f>
        <v>21</v>
      </c>
      <c r="K1047">
        <f>VLOOKUP(PREVIOS!H1047,CICLO!A:B,2,FALSE)</f>
        <v>55</v>
      </c>
      <c r="L1047">
        <f>VLOOKUP(PREVIOS!I1047,PLAN!A:B,2,FALSE)</f>
        <v>6</v>
      </c>
    </row>
    <row r="1048" spans="1:12" x14ac:dyDescent="0.25">
      <c r="A1048" t="str">
        <f t="shared" si="16"/>
        <v>A438M286C1</v>
      </c>
      <c r="C1048">
        <v>1047</v>
      </c>
      <c r="D1048">
        <f>VLOOKUP(PREVIOS!C1048,ALUMNOS!A:B,2,FALSE)</f>
        <v>438</v>
      </c>
      <c r="E1048">
        <f>VLOOKUP(PREVIOS!E1048&amp;'TABLA PREVIOS'!J1048,MATERIAS!A:H,7,FALSE)</f>
        <v>286</v>
      </c>
      <c r="F1048">
        <f>VLOOKUP(PREVIOS!G1048,CONDICION!A:B,2,FALSE)</f>
        <v>1</v>
      </c>
      <c r="G1048">
        <f>IF(PREVIOS!AG1048=1,1,VLOOKUP(PREVIOS!AG1048,CALIFICACION!A:C,3,FALSE))</f>
        <v>1</v>
      </c>
      <c r="H1048" s="1" t="s">
        <v>534</v>
      </c>
      <c r="I1048" s="1" t="s">
        <v>534</v>
      </c>
      <c r="J1048">
        <f>VLOOKUP(PREVIOS!F1048&amp;VLOOKUP(PREVIOS!I1048,PLAN!A:B,2,FALSE),CURSO!A:D,4,FALSE)</f>
        <v>22</v>
      </c>
      <c r="K1048">
        <f>VLOOKUP(PREVIOS!H1048,CICLO!A:B,2,FALSE)</f>
        <v>56</v>
      </c>
      <c r="L1048">
        <f>VLOOKUP(PREVIOS!I1048,PLAN!A:B,2,FALSE)</f>
        <v>6</v>
      </c>
    </row>
    <row r="1049" spans="1:12" x14ac:dyDescent="0.25">
      <c r="A1049" t="str">
        <f t="shared" si="16"/>
        <v>A438M279C1</v>
      </c>
      <c r="C1049">
        <v>1048</v>
      </c>
      <c r="D1049">
        <f>VLOOKUP(PREVIOS!C1049,ALUMNOS!A:B,2,FALSE)</f>
        <v>438</v>
      </c>
      <c r="E1049">
        <f>VLOOKUP(PREVIOS!E1049&amp;'TABLA PREVIOS'!J1049,MATERIAS!A:H,7,FALSE)</f>
        <v>279</v>
      </c>
      <c r="F1049">
        <f>VLOOKUP(PREVIOS!G1049,CONDICION!A:B,2,FALSE)</f>
        <v>1</v>
      </c>
      <c r="G1049">
        <f>IF(PREVIOS!AG1049=1,1,VLOOKUP(PREVIOS!AG1049,CALIFICACION!A:C,3,FALSE))</f>
        <v>1</v>
      </c>
      <c r="H1049" s="1" t="s">
        <v>534</v>
      </c>
      <c r="I1049" s="1" t="s">
        <v>534</v>
      </c>
      <c r="J1049">
        <f>VLOOKUP(PREVIOS!F1049&amp;VLOOKUP(PREVIOS!I1049,PLAN!A:B,2,FALSE),CURSO!A:D,4,FALSE)</f>
        <v>22</v>
      </c>
      <c r="K1049">
        <f>VLOOKUP(PREVIOS!H1049,CICLO!A:B,2,FALSE)</f>
        <v>56</v>
      </c>
      <c r="L1049">
        <f>VLOOKUP(PREVIOS!I1049,PLAN!A:B,2,FALSE)</f>
        <v>6</v>
      </c>
    </row>
    <row r="1050" spans="1:12" x14ac:dyDescent="0.25">
      <c r="A1050" t="str">
        <f t="shared" si="16"/>
        <v>A438M280C1</v>
      </c>
      <c r="C1050">
        <v>1049</v>
      </c>
      <c r="D1050">
        <f>VLOOKUP(PREVIOS!C1050,ALUMNOS!A:B,2,FALSE)</f>
        <v>438</v>
      </c>
      <c r="E1050">
        <f>VLOOKUP(PREVIOS!E1050&amp;'TABLA PREVIOS'!J1050,MATERIAS!A:H,7,FALSE)</f>
        <v>280</v>
      </c>
      <c r="F1050">
        <f>VLOOKUP(PREVIOS!G1050,CONDICION!A:B,2,FALSE)</f>
        <v>1</v>
      </c>
      <c r="G1050">
        <f>IF(PREVIOS!AG1050=1,1,VLOOKUP(PREVIOS!AG1050,CALIFICACION!A:C,3,FALSE))</f>
        <v>1</v>
      </c>
      <c r="H1050" s="1" t="s">
        <v>534</v>
      </c>
      <c r="I1050" s="1" t="s">
        <v>534</v>
      </c>
      <c r="J1050">
        <f>VLOOKUP(PREVIOS!F1050&amp;VLOOKUP(PREVIOS!I1050,PLAN!A:B,2,FALSE),CURSO!A:D,4,FALSE)</f>
        <v>22</v>
      </c>
      <c r="K1050">
        <f>VLOOKUP(PREVIOS!H1050,CICLO!A:B,2,FALSE)</f>
        <v>56</v>
      </c>
      <c r="L1050">
        <f>VLOOKUP(PREVIOS!I1050,PLAN!A:B,2,FALSE)</f>
        <v>6</v>
      </c>
    </row>
    <row r="1051" spans="1:12" x14ac:dyDescent="0.25">
      <c r="A1051" t="str">
        <f t="shared" si="16"/>
        <v>A438M290C1</v>
      </c>
      <c r="C1051">
        <v>1050</v>
      </c>
      <c r="D1051">
        <f>VLOOKUP(PREVIOS!C1051,ALUMNOS!A:B,2,FALSE)</f>
        <v>438</v>
      </c>
      <c r="E1051">
        <f>VLOOKUP(PREVIOS!E1051&amp;'TABLA PREVIOS'!J1051,MATERIAS!A:H,7,FALSE)</f>
        <v>290</v>
      </c>
      <c r="F1051">
        <f>VLOOKUP(PREVIOS!G1051,CONDICION!A:B,2,FALSE)</f>
        <v>1</v>
      </c>
      <c r="G1051">
        <f>IF(PREVIOS!AG1051=1,1,VLOOKUP(PREVIOS!AG1051,CALIFICACION!A:C,3,FALSE))</f>
        <v>1</v>
      </c>
      <c r="H1051" s="1" t="s">
        <v>534</v>
      </c>
      <c r="I1051" s="1" t="s">
        <v>534</v>
      </c>
      <c r="J1051">
        <f>VLOOKUP(PREVIOS!F1051&amp;VLOOKUP(PREVIOS!I1051,PLAN!A:B,2,FALSE),CURSO!A:D,4,FALSE)</f>
        <v>22</v>
      </c>
      <c r="K1051">
        <f>VLOOKUP(PREVIOS!H1051,CICLO!A:B,2,FALSE)</f>
        <v>56</v>
      </c>
      <c r="L1051">
        <f>VLOOKUP(PREVIOS!I1051,PLAN!A:B,2,FALSE)</f>
        <v>6</v>
      </c>
    </row>
    <row r="1052" spans="1:12" x14ac:dyDescent="0.25">
      <c r="A1052" t="str">
        <f t="shared" si="16"/>
        <v>A509M272C1</v>
      </c>
      <c r="C1052">
        <v>1051</v>
      </c>
      <c r="D1052">
        <f>VLOOKUP(PREVIOS!C1052,ALUMNOS!A:B,2,FALSE)</f>
        <v>509</v>
      </c>
      <c r="E1052">
        <f>VLOOKUP(PREVIOS!E1052&amp;'TABLA PREVIOS'!J1052,MATERIAS!A:H,7,FALSE)</f>
        <v>272</v>
      </c>
      <c r="F1052">
        <f>VLOOKUP(PREVIOS!G1052,CONDICION!A:B,2,FALSE)</f>
        <v>1</v>
      </c>
      <c r="G1052">
        <f>IF(PREVIOS!AG1052=1,1,VLOOKUP(PREVIOS!AG1052,CALIFICACION!A:C,3,FALSE))</f>
        <v>9</v>
      </c>
      <c r="H1052" s="1" t="s">
        <v>534</v>
      </c>
      <c r="I1052" s="1" t="s">
        <v>534</v>
      </c>
      <c r="J1052">
        <f>VLOOKUP(PREVIOS!F1052&amp;VLOOKUP(PREVIOS!I1052,PLAN!A:B,2,FALSE),CURSO!A:D,4,FALSE)</f>
        <v>21</v>
      </c>
      <c r="K1052">
        <f>VLOOKUP(PREVIOS!H1052,CICLO!A:B,2,FALSE)</f>
        <v>55</v>
      </c>
      <c r="L1052">
        <f>VLOOKUP(PREVIOS!I1052,PLAN!A:B,2,FALSE)</f>
        <v>6</v>
      </c>
    </row>
    <row r="1053" spans="1:12" x14ac:dyDescent="0.25">
      <c r="A1053" t="str">
        <f t="shared" si="16"/>
        <v>A509M273C1</v>
      </c>
      <c r="C1053">
        <v>1052</v>
      </c>
      <c r="D1053">
        <f>VLOOKUP(PREVIOS!C1053,ALUMNOS!A:B,2,FALSE)</f>
        <v>509</v>
      </c>
      <c r="E1053">
        <f>VLOOKUP(PREVIOS!E1053&amp;'TABLA PREVIOS'!J1053,MATERIAS!A:H,7,FALSE)</f>
        <v>273</v>
      </c>
      <c r="F1053">
        <f>VLOOKUP(PREVIOS!G1053,CONDICION!A:B,2,FALSE)</f>
        <v>1</v>
      </c>
      <c r="G1053">
        <f>IF(PREVIOS!AG1053=1,1,VLOOKUP(PREVIOS!AG1053,CALIFICACION!A:C,3,FALSE))</f>
        <v>1</v>
      </c>
      <c r="H1053" s="1" t="s">
        <v>534</v>
      </c>
      <c r="I1053" s="1" t="s">
        <v>534</v>
      </c>
      <c r="J1053">
        <f>VLOOKUP(PREVIOS!F1053&amp;VLOOKUP(PREVIOS!I1053,PLAN!A:B,2,FALSE),CURSO!A:D,4,FALSE)</f>
        <v>21</v>
      </c>
      <c r="K1053">
        <f>VLOOKUP(PREVIOS!H1053,CICLO!A:B,2,FALSE)</f>
        <v>55</v>
      </c>
      <c r="L1053">
        <f>VLOOKUP(PREVIOS!I1053,PLAN!A:B,2,FALSE)</f>
        <v>6</v>
      </c>
    </row>
    <row r="1054" spans="1:12" x14ac:dyDescent="0.25">
      <c r="A1054" t="str">
        <f t="shared" si="16"/>
        <v>A509M279C1</v>
      </c>
      <c r="C1054">
        <v>1053</v>
      </c>
      <c r="D1054">
        <f>VLOOKUP(PREVIOS!C1054,ALUMNOS!A:B,2,FALSE)</f>
        <v>509</v>
      </c>
      <c r="E1054">
        <f>VLOOKUP(PREVIOS!E1054&amp;'TABLA PREVIOS'!J1054,MATERIAS!A:H,7,FALSE)</f>
        <v>279</v>
      </c>
      <c r="F1054">
        <f>VLOOKUP(PREVIOS!G1054,CONDICION!A:B,2,FALSE)</f>
        <v>1</v>
      </c>
      <c r="G1054">
        <f>IF(PREVIOS!AG1054=1,1,VLOOKUP(PREVIOS!AG1054,CALIFICACION!A:C,3,FALSE))</f>
        <v>1</v>
      </c>
      <c r="H1054" s="1" t="s">
        <v>534</v>
      </c>
      <c r="I1054" s="1" t="s">
        <v>534</v>
      </c>
      <c r="J1054">
        <f>VLOOKUP(PREVIOS!F1054&amp;VLOOKUP(PREVIOS!I1054,PLAN!A:B,2,FALSE),CURSO!A:D,4,FALSE)</f>
        <v>22</v>
      </c>
      <c r="K1054">
        <f>VLOOKUP(PREVIOS!H1054,CICLO!A:B,2,FALSE)</f>
        <v>56</v>
      </c>
      <c r="L1054">
        <f>VLOOKUP(PREVIOS!I1054,PLAN!A:B,2,FALSE)</f>
        <v>6</v>
      </c>
    </row>
    <row r="1055" spans="1:12" x14ac:dyDescent="0.25">
      <c r="A1055" t="str">
        <f t="shared" si="16"/>
        <v>A509M288C1</v>
      </c>
      <c r="C1055">
        <v>1054</v>
      </c>
      <c r="D1055">
        <f>VLOOKUP(PREVIOS!C1055,ALUMNOS!A:B,2,FALSE)</f>
        <v>509</v>
      </c>
      <c r="E1055">
        <f>VLOOKUP(PREVIOS!E1055&amp;'TABLA PREVIOS'!J1055,MATERIAS!A:H,7,FALSE)</f>
        <v>288</v>
      </c>
      <c r="F1055">
        <f>VLOOKUP(PREVIOS!G1055,CONDICION!A:B,2,FALSE)</f>
        <v>1</v>
      </c>
      <c r="G1055">
        <f>IF(PREVIOS!AG1055=1,1,VLOOKUP(PREVIOS!AG1055,CALIFICACION!A:C,3,FALSE))</f>
        <v>9</v>
      </c>
      <c r="H1055" s="1" t="s">
        <v>534</v>
      </c>
      <c r="I1055" s="1" t="s">
        <v>534</v>
      </c>
      <c r="J1055">
        <f>VLOOKUP(PREVIOS!F1055&amp;VLOOKUP(PREVIOS!I1055,PLAN!A:B,2,FALSE),CURSO!A:D,4,FALSE)</f>
        <v>22</v>
      </c>
      <c r="K1055">
        <f>VLOOKUP(PREVIOS!H1055,CICLO!A:B,2,FALSE)</f>
        <v>56</v>
      </c>
      <c r="L1055">
        <f>VLOOKUP(PREVIOS!I1055,PLAN!A:B,2,FALSE)</f>
        <v>6</v>
      </c>
    </row>
    <row r="1056" spans="1:12" x14ac:dyDescent="0.25">
      <c r="A1056" t="str">
        <f t="shared" si="16"/>
        <v>A509M290C1</v>
      </c>
      <c r="C1056">
        <v>1055</v>
      </c>
      <c r="D1056">
        <f>VLOOKUP(PREVIOS!C1056,ALUMNOS!A:B,2,FALSE)</f>
        <v>509</v>
      </c>
      <c r="E1056">
        <f>VLOOKUP(PREVIOS!E1056&amp;'TABLA PREVIOS'!J1056,MATERIAS!A:H,7,FALSE)</f>
        <v>290</v>
      </c>
      <c r="F1056">
        <f>VLOOKUP(PREVIOS!G1056,CONDICION!A:B,2,FALSE)</f>
        <v>1</v>
      </c>
      <c r="G1056">
        <f>IF(PREVIOS!AG1056=1,1,VLOOKUP(PREVIOS!AG1056,CALIFICACION!A:C,3,FALSE))</f>
        <v>1</v>
      </c>
      <c r="H1056" s="1" t="s">
        <v>534</v>
      </c>
      <c r="I1056" s="1" t="s">
        <v>534</v>
      </c>
      <c r="J1056">
        <f>VLOOKUP(PREVIOS!F1056&amp;VLOOKUP(PREVIOS!I1056,PLAN!A:B,2,FALSE),CURSO!A:D,4,FALSE)</f>
        <v>22</v>
      </c>
      <c r="K1056">
        <f>VLOOKUP(PREVIOS!H1056,CICLO!A:B,2,FALSE)</f>
        <v>56</v>
      </c>
      <c r="L1056">
        <f>VLOOKUP(PREVIOS!I1056,PLAN!A:B,2,FALSE)</f>
        <v>6</v>
      </c>
    </row>
    <row r="1057" spans="1:12" x14ac:dyDescent="0.25">
      <c r="A1057" t="str">
        <f t="shared" si="16"/>
        <v>A686M273C1</v>
      </c>
      <c r="C1057">
        <v>1056</v>
      </c>
      <c r="D1057">
        <f>VLOOKUP(PREVIOS!C1057,ALUMNOS!A:B,2,FALSE)</f>
        <v>686</v>
      </c>
      <c r="E1057">
        <f>VLOOKUP(PREVIOS!E1057&amp;'TABLA PREVIOS'!J1057,MATERIAS!A:H,7,FALSE)</f>
        <v>273</v>
      </c>
      <c r="F1057">
        <f>VLOOKUP(PREVIOS!G1057,CONDICION!A:B,2,FALSE)</f>
        <v>1</v>
      </c>
      <c r="G1057">
        <f>IF(PREVIOS!AG1057=1,1,VLOOKUP(PREVIOS!AG1057,CALIFICACION!A:C,3,FALSE))</f>
        <v>9</v>
      </c>
      <c r="H1057" s="1" t="s">
        <v>534</v>
      </c>
      <c r="I1057" s="1" t="s">
        <v>534</v>
      </c>
      <c r="J1057">
        <f>VLOOKUP(PREVIOS!F1057&amp;VLOOKUP(PREVIOS!I1057,PLAN!A:B,2,FALSE),CURSO!A:D,4,FALSE)</f>
        <v>21</v>
      </c>
      <c r="K1057">
        <f>VLOOKUP(PREVIOS!H1057,CICLO!A:B,2,FALSE)</f>
        <v>55</v>
      </c>
      <c r="L1057">
        <f>VLOOKUP(PREVIOS!I1057,PLAN!A:B,2,FALSE)</f>
        <v>6</v>
      </c>
    </row>
    <row r="1058" spans="1:12" x14ac:dyDescent="0.25">
      <c r="A1058" t="str">
        <f t="shared" si="16"/>
        <v>A686M279C1</v>
      </c>
      <c r="C1058">
        <v>1057</v>
      </c>
      <c r="D1058">
        <f>VLOOKUP(PREVIOS!C1058,ALUMNOS!A:B,2,FALSE)</f>
        <v>686</v>
      </c>
      <c r="E1058">
        <f>VLOOKUP(PREVIOS!E1058&amp;'TABLA PREVIOS'!J1058,MATERIAS!A:H,7,FALSE)</f>
        <v>279</v>
      </c>
      <c r="F1058">
        <f>VLOOKUP(PREVIOS!G1058,CONDICION!A:B,2,FALSE)</f>
        <v>1</v>
      </c>
      <c r="G1058">
        <f>IF(PREVIOS!AG1058=1,1,VLOOKUP(PREVIOS!AG1058,CALIFICACION!A:C,3,FALSE))</f>
        <v>1</v>
      </c>
      <c r="H1058" s="1" t="s">
        <v>534</v>
      </c>
      <c r="I1058" s="1" t="s">
        <v>534</v>
      </c>
      <c r="J1058">
        <f>VLOOKUP(PREVIOS!F1058&amp;VLOOKUP(PREVIOS!I1058,PLAN!A:B,2,FALSE),CURSO!A:D,4,FALSE)</f>
        <v>22</v>
      </c>
      <c r="K1058">
        <f>VLOOKUP(PREVIOS!H1058,CICLO!A:B,2,FALSE)</f>
        <v>56</v>
      </c>
      <c r="L1058">
        <f>VLOOKUP(PREVIOS!I1058,PLAN!A:B,2,FALSE)</f>
        <v>6</v>
      </c>
    </row>
    <row r="1059" spans="1:12" x14ac:dyDescent="0.25">
      <c r="A1059" t="str">
        <f t="shared" si="16"/>
        <v>A686M290C1</v>
      </c>
      <c r="C1059">
        <v>1058</v>
      </c>
      <c r="D1059">
        <f>VLOOKUP(PREVIOS!C1059,ALUMNOS!A:B,2,FALSE)</f>
        <v>686</v>
      </c>
      <c r="E1059">
        <f>VLOOKUP(PREVIOS!E1059&amp;'TABLA PREVIOS'!J1059,MATERIAS!A:H,7,FALSE)</f>
        <v>290</v>
      </c>
      <c r="F1059">
        <f>VLOOKUP(PREVIOS!G1059,CONDICION!A:B,2,FALSE)</f>
        <v>1</v>
      </c>
      <c r="G1059">
        <f>IF(PREVIOS!AG1059=1,1,VLOOKUP(PREVIOS!AG1059,CALIFICACION!A:C,3,FALSE))</f>
        <v>9</v>
      </c>
      <c r="H1059" s="1" t="s">
        <v>534</v>
      </c>
      <c r="I1059" s="1" t="s">
        <v>534</v>
      </c>
      <c r="J1059">
        <f>VLOOKUP(PREVIOS!F1059&amp;VLOOKUP(PREVIOS!I1059,PLAN!A:B,2,FALSE),CURSO!A:D,4,FALSE)</f>
        <v>22</v>
      </c>
      <c r="K1059">
        <f>VLOOKUP(PREVIOS!H1059,CICLO!A:B,2,FALSE)</f>
        <v>56</v>
      </c>
      <c r="L1059">
        <f>VLOOKUP(PREVIOS!I1059,PLAN!A:B,2,FALSE)</f>
        <v>6</v>
      </c>
    </row>
    <row r="1060" spans="1:12" x14ac:dyDescent="0.25">
      <c r="A1060" t="str">
        <f t="shared" si="16"/>
        <v>A758M279C1</v>
      </c>
      <c r="C1060">
        <v>1059</v>
      </c>
      <c r="D1060">
        <f>VLOOKUP(PREVIOS!C1060,ALUMNOS!A:B,2,FALSE)</f>
        <v>758</v>
      </c>
      <c r="E1060">
        <f>VLOOKUP(PREVIOS!E1060&amp;'TABLA PREVIOS'!J1060,MATERIAS!A:H,7,FALSE)</f>
        <v>279</v>
      </c>
      <c r="F1060">
        <f>VLOOKUP(PREVIOS!G1060,CONDICION!A:B,2,FALSE)</f>
        <v>1</v>
      </c>
      <c r="G1060">
        <f>IF(PREVIOS!AG1060=1,1,VLOOKUP(PREVIOS!AG1060,CALIFICACION!A:C,3,FALSE))</f>
        <v>1</v>
      </c>
      <c r="H1060" s="1" t="s">
        <v>534</v>
      </c>
      <c r="I1060" s="1" t="s">
        <v>534</v>
      </c>
      <c r="J1060">
        <f>VLOOKUP(PREVIOS!F1060&amp;VLOOKUP(PREVIOS!I1060,PLAN!A:B,2,FALSE),CURSO!A:D,4,FALSE)</f>
        <v>22</v>
      </c>
      <c r="K1060">
        <f>VLOOKUP(PREVIOS!H1060,CICLO!A:B,2,FALSE)</f>
        <v>56</v>
      </c>
      <c r="L1060">
        <f>VLOOKUP(PREVIOS!I1060,PLAN!A:B,2,FALSE)</f>
        <v>6</v>
      </c>
    </row>
    <row r="1061" spans="1:12" x14ac:dyDescent="0.25">
      <c r="A1061" t="str">
        <f t="shared" si="16"/>
        <v>A758M290C1</v>
      </c>
      <c r="C1061">
        <v>1060</v>
      </c>
      <c r="D1061">
        <f>VLOOKUP(PREVIOS!C1061,ALUMNOS!A:B,2,FALSE)</f>
        <v>758</v>
      </c>
      <c r="E1061">
        <f>VLOOKUP(PREVIOS!E1061&amp;'TABLA PREVIOS'!J1061,MATERIAS!A:H,7,FALSE)</f>
        <v>290</v>
      </c>
      <c r="F1061">
        <f>VLOOKUP(PREVIOS!G1061,CONDICION!A:B,2,FALSE)</f>
        <v>1</v>
      </c>
      <c r="G1061">
        <f>IF(PREVIOS!AG1061=1,1,VLOOKUP(PREVIOS!AG1061,CALIFICACION!A:C,3,FALSE))</f>
        <v>1</v>
      </c>
      <c r="H1061" s="1" t="s">
        <v>534</v>
      </c>
      <c r="I1061" s="1" t="s">
        <v>534</v>
      </c>
      <c r="J1061">
        <f>VLOOKUP(PREVIOS!F1061&amp;VLOOKUP(PREVIOS!I1061,PLAN!A:B,2,FALSE),CURSO!A:D,4,FALSE)</f>
        <v>22</v>
      </c>
      <c r="K1061">
        <f>VLOOKUP(PREVIOS!H1061,CICLO!A:B,2,FALSE)</f>
        <v>56</v>
      </c>
      <c r="L1061">
        <f>VLOOKUP(PREVIOS!I1061,PLAN!A:B,2,FALSE)</f>
        <v>6</v>
      </c>
    </row>
    <row r="1062" spans="1:12" x14ac:dyDescent="0.25">
      <c r="A1062" t="str">
        <f t="shared" si="16"/>
        <v>A21M266C1</v>
      </c>
      <c r="C1062">
        <v>1061</v>
      </c>
      <c r="D1062">
        <f>VLOOKUP(PREVIOS!C1062,ALUMNOS!A:B,2,FALSE)</f>
        <v>21</v>
      </c>
      <c r="E1062">
        <f>VLOOKUP(PREVIOS!E1062&amp;'TABLA PREVIOS'!J1062,MATERIAS!A:H,7,FALSE)</f>
        <v>266</v>
      </c>
      <c r="F1062">
        <f>VLOOKUP(PREVIOS!G1062,CONDICION!A:B,2,FALSE)</f>
        <v>1</v>
      </c>
      <c r="G1062">
        <f>IF(PREVIOS!AG1062=1,1,VLOOKUP(PREVIOS!AG1062,CALIFICACION!A:C,3,FALSE))</f>
        <v>1</v>
      </c>
      <c r="H1062" s="1" t="s">
        <v>534</v>
      </c>
      <c r="I1062" s="1" t="s">
        <v>534</v>
      </c>
      <c r="J1062">
        <f>VLOOKUP(PREVIOS!F1062&amp;VLOOKUP(PREVIOS!I1062,PLAN!A:B,2,FALSE),CURSO!A:D,4,FALSE)</f>
        <v>21</v>
      </c>
      <c r="K1062">
        <f>VLOOKUP(PREVIOS!H1062,CICLO!A:B,2,FALSE)</f>
        <v>55</v>
      </c>
      <c r="L1062">
        <f>VLOOKUP(PREVIOS!I1062,PLAN!A:B,2,FALSE)</f>
        <v>6</v>
      </c>
    </row>
    <row r="1063" spans="1:12" x14ac:dyDescent="0.25">
      <c r="A1063" t="str">
        <f t="shared" si="16"/>
        <v>A21M269C1</v>
      </c>
      <c r="C1063">
        <v>1062</v>
      </c>
      <c r="D1063">
        <f>VLOOKUP(PREVIOS!C1063,ALUMNOS!A:B,2,FALSE)</f>
        <v>21</v>
      </c>
      <c r="E1063">
        <f>VLOOKUP(PREVIOS!E1063&amp;'TABLA PREVIOS'!J1063,MATERIAS!A:H,7,FALSE)</f>
        <v>269</v>
      </c>
      <c r="F1063">
        <f>VLOOKUP(PREVIOS!G1063,CONDICION!A:B,2,FALSE)</f>
        <v>1</v>
      </c>
      <c r="G1063">
        <f>IF(PREVIOS!AG1063=1,1,VLOOKUP(PREVIOS!AG1063,CALIFICACION!A:C,3,FALSE))</f>
        <v>1</v>
      </c>
      <c r="H1063" s="1" t="s">
        <v>534</v>
      </c>
      <c r="I1063" s="1" t="s">
        <v>534</v>
      </c>
      <c r="J1063">
        <f>VLOOKUP(PREVIOS!F1063&amp;VLOOKUP(PREVIOS!I1063,PLAN!A:B,2,FALSE),CURSO!A:D,4,FALSE)</f>
        <v>21</v>
      </c>
      <c r="K1063">
        <f>VLOOKUP(PREVIOS!H1063,CICLO!A:B,2,FALSE)</f>
        <v>55</v>
      </c>
      <c r="L1063">
        <f>VLOOKUP(PREVIOS!I1063,PLAN!A:B,2,FALSE)</f>
        <v>6</v>
      </c>
    </row>
    <row r="1064" spans="1:12" x14ac:dyDescent="0.25">
      <c r="A1064" t="str">
        <f t="shared" si="16"/>
        <v>A21M285C1</v>
      </c>
      <c r="C1064">
        <v>1063</v>
      </c>
      <c r="D1064">
        <f>VLOOKUP(PREVIOS!C1064,ALUMNOS!A:B,2,FALSE)</f>
        <v>21</v>
      </c>
      <c r="E1064">
        <f>VLOOKUP(PREVIOS!E1064&amp;'TABLA PREVIOS'!J1064,MATERIAS!A:H,7,FALSE)</f>
        <v>285</v>
      </c>
      <c r="F1064">
        <f>VLOOKUP(PREVIOS!G1064,CONDICION!A:B,2,FALSE)</f>
        <v>1</v>
      </c>
      <c r="G1064">
        <f>IF(PREVIOS!AG1064=1,1,VLOOKUP(PREVIOS!AG1064,CALIFICACION!A:C,3,FALSE))</f>
        <v>1</v>
      </c>
      <c r="H1064" s="1" t="s">
        <v>534</v>
      </c>
      <c r="I1064" s="1" t="s">
        <v>534</v>
      </c>
      <c r="J1064">
        <f>VLOOKUP(PREVIOS!F1064&amp;VLOOKUP(PREVIOS!I1064,PLAN!A:B,2,FALSE),CURSO!A:D,4,FALSE)</f>
        <v>22</v>
      </c>
      <c r="K1064">
        <f>VLOOKUP(PREVIOS!H1064,CICLO!A:B,2,FALSE)</f>
        <v>56</v>
      </c>
      <c r="L1064">
        <f>VLOOKUP(PREVIOS!I1064,PLAN!A:B,2,FALSE)</f>
        <v>6</v>
      </c>
    </row>
    <row r="1065" spans="1:12" x14ac:dyDescent="0.25">
      <c r="A1065" t="str">
        <f t="shared" si="16"/>
        <v>A21M284C1</v>
      </c>
      <c r="C1065">
        <v>1064</v>
      </c>
      <c r="D1065">
        <f>VLOOKUP(PREVIOS!C1065,ALUMNOS!A:B,2,FALSE)</f>
        <v>21</v>
      </c>
      <c r="E1065">
        <f>VLOOKUP(PREVIOS!E1065&amp;'TABLA PREVIOS'!J1065,MATERIAS!A:H,7,FALSE)</f>
        <v>284</v>
      </c>
      <c r="F1065">
        <f>VLOOKUP(PREVIOS!G1065,CONDICION!A:B,2,FALSE)</f>
        <v>1</v>
      </c>
      <c r="G1065">
        <f>IF(PREVIOS!AG1065=1,1,VLOOKUP(PREVIOS!AG1065,CALIFICACION!A:C,3,FALSE))</f>
        <v>1</v>
      </c>
      <c r="H1065" s="1" t="s">
        <v>534</v>
      </c>
      <c r="I1065" s="1" t="s">
        <v>534</v>
      </c>
      <c r="J1065">
        <f>VLOOKUP(PREVIOS!F1065&amp;VLOOKUP(PREVIOS!I1065,PLAN!A:B,2,FALSE),CURSO!A:D,4,FALSE)</f>
        <v>22</v>
      </c>
      <c r="K1065">
        <f>VLOOKUP(PREVIOS!H1065,CICLO!A:B,2,FALSE)</f>
        <v>56</v>
      </c>
      <c r="L1065">
        <f>VLOOKUP(PREVIOS!I1065,PLAN!A:B,2,FALSE)</f>
        <v>6</v>
      </c>
    </row>
    <row r="1066" spans="1:12" x14ac:dyDescent="0.25">
      <c r="A1066" t="str">
        <f t="shared" si="16"/>
        <v>A21M287C1</v>
      </c>
      <c r="C1066">
        <v>1065</v>
      </c>
      <c r="D1066">
        <f>VLOOKUP(PREVIOS!C1066,ALUMNOS!A:B,2,FALSE)</f>
        <v>21</v>
      </c>
      <c r="E1066">
        <f>VLOOKUP(PREVIOS!E1066&amp;'TABLA PREVIOS'!J1066,MATERIAS!A:H,7,FALSE)</f>
        <v>287</v>
      </c>
      <c r="F1066">
        <f>VLOOKUP(PREVIOS!G1066,CONDICION!A:B,2,FALSE)</f>
        <v>1</v>
      </c>
      <c r="G1066">
        <f>IF(PREVIOS!AG1066=1,1,VLOOKUP(PREVIOS!AG1066,CALIFICACION!A:C,3,FALSE))</f>
        <v>1</v>
      </c>
      <c r="H1066" s="1" t="s">
        <v>534</v>
      </c>
      <c r="I1066" s="1" t="s">
        <v>534</v>
      </c>
      <c r="J1066">
        <f>VLOOKUP(PREVIOS!F1066&amp;VLOOKUP(PREVIOS!I1066,PLAN!A:B,2,FALSE),CURSO!A:D,4,FALSE)</f>
        <v>22</v>
      </c>
      <c r="K1066">
        <f>VLOOKUP(PREVIOS!H1066,CICLO!A:B,2,FALSE)</f>
        <v>56</v>
      </c>
      <c r="L1066">
        <f>VLOOKUP(PREVIOS!I1066,PLAN!A:B,2,FALSE)</f>
        <v>6</v>
      </c>
    </row>
    <row r="1067" spans="1:12" x14ac:dyDescent="0.25">
      <c r="A1067" t="str">
        <f t="shared" si="16"/>
        <v>A21M286C1</v>
      </c>
      <c r="C1067">
        <v>1066</v>
      </c>
      <c r="D1067">
        <f>VLOOKUP(PREVIOS!C1067,ALUMNOS!A:B,2,FALSE)</f>
        <v>21</v>
      </c>
      <c r="E1067">
        <f>VLOOKUP(PREVIOS!E1067&amp;'TABLA PREVIOS'!J1067,MATERIAS!A:H,7,FALSE)</f>
        <v>286</v>
      </c>
      <c r="F1067">
        <f>VLOOKUP(PREVIOS!G1067,CONDICION!A:B,2,FALSE)</f>
        <v>1</v>
      </c>
      <c r="G1067">
        <f>IF(PREVIOS!AG1067=1,1,VLOOKUP(PREVIOS!AG1067,CALIFICACION!A:C,3,FALSE))</f>
        <v>1</v>
      </c>
      <c r="H1067" s="1" t="s">
        <v>534</v>
      </c>
      <c r="I1067" s="1" t="s">
        <v>534</v>
      </c>
      <c r="J1067">
        <f>VLOOKUP(PREVIOS!F1067&amp;VLOOKUP(PREVIOS!I1067,PLAN!A:B,2,FALSE),CURSO!A:D,4,FALSE)</f>
        <v>22</v>
      </c>
      <c r="K1067">
        <f>VLOOKUP(PREVIOS!H1067,CICLO!A:B,2,FALSE)</f>
        <v>56</v>
      </c>
      <c r="L1067">
        <f>VLOOKUP(PREVIOS!I1067,PLAN!A:B,2,FALSE)</f>
        <v>6</v>
      </c>
    </row>
    <row r="1068" spans="1:12" x14ac:dyDescent="0.25">
      <c r="A1068" t="str">
        <f t="shared" si="16"/>
        <v>A21M283C1</v>
      </c>
      <c r="C1068">
        <v>1067</v>
      </c>
      <c r="D1068">
        <f>VLOOKUP(PREVIOS!C1068,ALUMNOS!A:B,2,FALSE)</f>
        <v>21</v>
      </c>
      <c r="E1068">
        <f>VLOOKUP(PREVIOS!E1068&amp;'TABLA PREVIOS'!J1068,MATERIAS!A:H,7,FALSE)</f>
        <v>283</v>
      </c>
      <c r="F1068">
        <f>VLOOKUP(PREVIOS!G1068,CONDICION!A:B,2,FALSE)</f>
        <v>1</v>
      </c>
      <c r="G1068">
        <f>IF(PREVIOS!AG1068=1,1,VLOOKUP(PREVIOS!AG1068,CALIFICACION!A:C,3,FALSE))</f>
        <v>1</v>
      </c>
      <c r="H1068" s="1" t="s">
        <v>534</v>
      </c>
      <c r="I1068" s="1" t="s">
        <v>534</v>
      </c>
      <c r="J1068">
        <f>VLOOKUP(PREVIOS!F1068&amp;VLOOKUP(PREVIOS!I1068,PLAN!A:B,2,FALSE),CURSO!A:D,4,FALSE)</f>
        <v>22</v>
      </c>
      <c r="K1068">
        <f>VLOOKUP(PREVIOS!H1068,CICLO!A:B,2,FALSE)</f>
        <v>56</v>
      </c>
      <c r="L1068">
        <f>VLOOKUP(PREVIOS!I1068,PLAN!A:B,2,FALSE)</f>
        <v>6</v>
      </c>
    </row>
    <row r="1069" spans="1:12" x14ac:dyDescent="0.25">
      <c r="A1069" t="str">
        <f t="shared" si="16"/>
        <v>A21M278C1</v>
      </c>
      <c r="C1069">
        <v>1068</v>
      </c>
      <c r="D1069">
        <f>VLOOKUP(PREVIOS!C1069,ALUMNOS!A:B,2,FALSE)</f>
        <v>21</v>
      </c>
      <c r="E1069">
        <f>VLOOKUP(PREVIOS!E1069&amp;'TABLA PREVIOS'!J1069,MATERIAS!A:H,7,FALSE)</f>
        <v>278</v>
      </c>
      <c r="F1069">
        <f>VLOOKUP(PREVIOS!G1069,CONDICION!A:B,2,FALSE)</f>
        <v>1</v>
      </c>
      <c r="G1069">
        <f>IF(PREVIOS!AG1069=1,1,VLOOKUP(PREVIOS!AG1069,CALIFICACION!A:C,3,FALSE))</f>
        <v>1</v>
      </c>
      <c r="H1069" s="1" t="s">
        <v>534</v>
      </c>
      <c r="I1069" s="1" t="s">
        <v>534</v>
      </c>
      <c r="J1069">
        <f>VLOOKUP(PREVIOS!F1069&amp;VLOOKUP(PREVIOS!I1069,PLAN!A:B,2,FALSE),CURSO!A:D,4,FALSE)</f>
        <v>22</v>
      </c>
      <c r="K1069">
        <f>VLOOKUP(PREVIOS!H1069,CICLO!A:B,2,FALSE)</f>
        <v>56</v>
      </c>
      <c r="L1069">
        <f>VLOOKUP(PREVIOS!I1069,PLAN!A:B,2,FALSE)</f>
        <v>6</v>
      </c>
    </row>
    <row r="1070" spans="1:12" x14ac:dyDescent="0.25">
      <c r="A1070" t="str">
        <f t="shared" si="16"/>
        <v>A21M292C1</v>
      </c>
      <c r="C1070">
        <v>1069</v>
      </c>
      <c r="D1070">
        <f>VLOOKUP(PREVIOS!C1070,ALUMNOS!A:B,2,FALSE)</f>
        <v>21</v>
      </c>
      <c r="E1070">
        <f>VLOOKUP(PREVIOS!E1070&amp;'TABLA PREVIOS'!J1070,MATERIAS!A:H,7,FALSE)</f>
        <v>292</v>
      </c>
      <c r="F1070">
        <f>VLOOKUP(PREVIOS!G1070,CONDICION!A:B,2,FALSE)</f>
        <v>1</v>
      </c>
      <c r="G1070">
        <f>IF(PREVIOS!AG1070=1,1,VLOOKUP(PREVIOS!AG1070,CALIFICACION!A:C,3,FALSE))</f>
        <v>1</v>
      </c>
      <c r="H1070" s="1" t="s">
        <v>534</v>
      </c>
      <c r="I1070" s="1" t="s">
        <v>534</v>
      </c>
      <c r="J1070">
        <f>VLOOKUP(PREVIOS!F1070&amp;VLOOKUP(PREVIOS!I1070,PLAN!A:B,2,FALSE),CURSO!A:D,4,FALSE)</f>
        <v>22</v>
      </c>
      <c r="K1070">
        <f>VLOOKUP(PREVIOS!H1070,CICLO!A:B,2,FALSE)</f>
        <v>56</v>
      </c>
      <c r="L1070">
        <f>VLOOKUP(PREVIOS!I1070,PLAN!A:B,2,FALSE)</f>
        <v>6</v>
      </c>
    </row>
    <row r="1071" spans="1:12" x14ac:dyDescent="0.25">
      <c r="A1071" t="str">
        <f t="shared" si="16"/>
        <v>A21M291C1</v>
      </c>
      <c r="C1071">
        <v>1070</v>
      </c>
      <c r="D1071">
        <f>VLOOKUP(PREVIOS!C1071,ALUMNOS!A:B,2,FALSE)</f>
        <v>21</v>
      </c>
      <c r="E1071">
        <f>VLOOKUP(PREVIOS!E1071&amp;'TABLA PREVIOS'!J1071,MATERIAS!A:H,7,FALSE)</f>
        <v>291</v>
      </c>
      <c r="F1071">
        <f>VLOOKUP(PREVIOS!G1071,CONDICION!A:B,2,FALSE)</f>
        <v>1</v>
      </c>
      <c r="G1071">
        <f>IF(PREVIOS!AG1071=1,1,VLOOKUP(PREVIOS!AG1071,CALIFICACION!A:C,3,FALSE))</f>
        <v>1</v>
      </c>
      <c r="H1071" s="1" t="s">
        <v>534</v>
      </c>
      <c r="I1071" s="1" t="s">
        <v>534</v>
      </c>
      <c r="J1071">
        <f>VLOOKUP(PREVIOS!F1071&amp;VLOOKUP(PREVIOS!I1071,PLAN!A:B,2,FALSE),CURSO!A:D,4,FALSE)</f>
        <v>22</v>
      </c>
      <c r="K1071">
        <f>VLOOKUP(PREVIOS!H1071,CICLO!A:B,2,FALSE)</f>
        <v>56</v>
      </c>
      <c r="L1071">
        <f>VLOOKUP(PREVIOS!I1071,PLAN!A:B,2,FALSE)</f>
        <v>6</v>
      </c>
    </row>
    <row r="1072" spans="1:12" x14ac:dyDescent="0.25">
      <c r="A1072" t="str">
        <f t="shared" si="16"/>
        <v>A21M282C1</v>
      </c>
      <c r="C1072">
        <v>1071</v>
      </c>
      <c r="D1072">
        <f>VLOOKUP(PREVIOS!C1072,ALUMNOS!A:B,2,FALSE)</f>
        <v>21</v>
      </c>
      <c r="E1072">
        <f>VLOOKUP(PREVIOS!E1072&amp;'TABLA PREVIOS'!J1072,MATERIAS!A:H,7,FALSE)</f>
        <v>282</v>
      </c>
      <c r="F1072">
        <f>VLOOKUP(PREVIOS!G1072,CONDICION!A:B,2,FALSE)</f>
        <v>1</v>
      </c>
      <c r="G1072">
        <f>IF(PREVIOS!AG1072=1,1,VLOOKUP(PREVIOS!AG1072,CALIFICACION!A:C,3,FALSE))</f>
        <v>1</v>
      </c>
      <c r="H1072" s="1" t="s">
        <v>534</v>
      </c>
      <c r="I1072" s="1" t="s">
        <v>534</v>
      </c>
      <c r="J1072">
        <f>VLOOKUP(PREVIOS!F1072&amp;VLOOKUP(PREVIOS!I1072,PLAN!A:B,2,FALSE),CURSO!A:D,4,FALSE)</f>
        <v>22</v>
      </c>
      <c r="K1072">
        <f>VLOOKUP(PREVIOS!H1072,CICLO!A:B,2,FALSE)</f>
        <v>56</v>
      </c>
      <c r="L1072">
        <f>VLOOKUP(PREVIOS!I1072,PLAN!A:B,2,FALSE)</f>
        <v>6</v>
      </c>
    </row>
    <row r="1073" spans="1:12" x14ac:dyDescent="0.25">
      <c r="A1073" t="str">
        <f t="shared" si="16"/>
        <v>A21M279C1</v>
      </c>
      <c r="C1073">
        <v>1072</v>
      </c>
      <c r="D1073">
        <f>VLOOKUP(PREVIOS!C1073,ALUMNOS!A:B,2,FALSE)</f>
        <v>21</v>
      </c>
      <c r="E1073">
        <f>VLOOKUP(PREVIOS!E1073&amp;'TABLA PREVIOS'!J1073,MATERIAS!A:H,7,FALSE)</f>
        <v>279</v>
      </c>
      <c r="F1073">
        <f>VLOOKUP(PREVIOS!G1073,CONDICION!A:B,2,FALSE)</f>
        <v>1</v>
      </c>
      <c r="G1073">
        <f>IF(PREVIOS!AG1073=1,1,VLOOKUP(PREVIOS!AG1073,CALIFICACION!A:C,3,FALSE))</f>
        <v>1</v>
      </c>
      <c r="H1073" s="1" t="s">
        <v>534</v>
      </c>
      <c r="I1073" s="1" t="s">
        <v>534</v>
      </c>
      <c r="J1073">
        <f>VLOOKUP(PREVIOS!F1073&amp;VLOOKUP(PREVIOS!I1073,PLAN!A:B,2,FALSE),CURSO!A:D,4,FALSE)</f>
        <v>22</v>
      </c>
      <c r="K1073">
        <f>VLOOKUP(PREVIOS!H1073,CICLO!A:B,2,FALSE)</f>
        <v>56</v>
      </c>
      <c r="L1073">
        <f>VLOOKUP(PREVIOS!I1073,PLAN!A:B,2,FALSE)</f>
        <v>6</v>
      </c>
    </row>
    <row r="1074" spans="1:12" x14ac:dyDescent="0.25">
      <c r="A1074" t="str">
        <f t="shared" si="16"/>
        <v>A21M280C1</v>
      </c>
      <c r="C1074">
        <v>1073</v>
      </c>
      <c r="D1074">
        <f>VLOOKUP(PREVIOS!C1074,ALUMNOS!A:B,2,FALSE)</f>
        <v>21</v>
      </c>
      <c r="E1074">
        <f>VLOOKUP(PREVIOS!E1074&amp;'TABLA PREVIOS'!J1074,MATERIAS!A:H,7,FALSE)</f>
        <v>280</v>
      </c>
      <c r="F1074">
        <f>VLOOKUP(PREVIOS!G1074,CONDICION!A:B,2,FALSE)</f>
        <v>1</v>
      </c>
      <c r="G1074">
        <f>IF(PREVIOS!AG1074=1,1,VLOOKUP(PREVIOS!AG1074,CALIFICACION!A:C,3,FALSE))</f>
        <v>1</v>
      </c>
      <c r="H1074" s="1" t="s">
        <v>534</v>
      </c>
      <c r="I1074" s="1" t="s">
        <v>534</v>
      </c>
      <c r="J1074">
        <f>VLOOKUP(PREVIOS!F1074&amp;VLOOKUP(PREVIOS!I1074,PLAN!A:B,2,FALSE),CURSO!A:D,4,FALSE)</f>
        <v>22</v>
      </c>
      <c r="K1074">
        <f>VLOOKUP(PREVIOS!H1074,CICLO!A:B,2,FALSE)</f>
        <v>56</v>
      </c>
      <c r="L1074">
        <f>VLOOKUP(PREVIOS!I1074,PLAN!A:B,2,FALSE)</f>
        <v>6</v>
      </c>
    </row>
    <row r="1075" spans="1:12" x14ac:dyDescent="0.25">
      <c r="A1075" t="str">
        <f t="shared" si="16"/>
        <v>A21M281C1</v>
      </c>
      <c r="C1075">
        <v>1074</v>
      </c>
      <c r="D1075">
        <f>VLOOKUP(PREVIOS!C1075,ALUMNOS!A:B,2,FALSE)</f>
        <v>21</v>
      </c>
      <c r="E1075">
        <f>VLOOKUP(PREVIOS!E1075&amp;'TABLA PREVIOS'!J1075,MATERIAS!A:H,7,FALSE)</f>
        <v>281</v>
      </c>
      <c r="F1075">
        <f>VLOOKUP(PREVIOS!G1075,CONDICION!A:B,2,FALSE)</f>
        <v>1</v>
      </c>
      <c r="G1075">
        <f>IF(PREVIOS!AG1075=1,1,VLOOKUP(PREVIOS!AG1075,CALIFICACION!A:C,3,FALSE))</f>
        <v>1</v>
      </c>
      <c r="H1075" s="1" t="s">
        <v>534</v>
      </c>
      <c r="I1075" s="1" t="s">
        <v>534</v>
      </c>
      <c r="J1075">
        <f>VLOOKUP(PREVIOS!F1075&amp;VLOOKUP(PREVIOS!I1075,PLAN!A:B,2,FALSE),CURSO!A:D,4,FALSE)</f>
        <v>22</v>
      </c>
      <c r="K1075">
        <f>VLOOKUP(PREVIOS!H1075,CICLO!A:B,2,FALSE)</f>
        <v>56</v>
      </c>
      <c r="L1075">
        <f>VLOOKUP(PREVIOS!I1075,PLAN!A:B,2,FALSE)</f>
        <v>6</v>
      </c>
    </row>
    <row r="1076" spans="1:12" x14ac:dyDescent="0.25">
      <c r="A1076" t="str">
        <f t="shared" si="16"/>
        <v>A21M288C1</v>
      </c>
      <c r="C1076">
        <v>1075</v>
      </c>
      <c r="D1076">
        <f>VLOOKUP(PREVIOS!C1076,ALUMNOS!A:B,2,FALSE)</f>
        <v>21</v>
      </c>
      <c r="E1076">
        <f>VLOOKUP(PREVIOS!E1076&amp;'TABLA PREVIOS'!J1076,MATERIAS!A:H,7,FALSE)</f>
        <v>288</v>
      </c>
      <c r="F1076">
        <f>VLOOKUP(PREVIOS!G1076,CONDICION!A:B,2,FALSE)</f>
        <v>1</v>
      </c>
      <c r="G1076">
        <f>IF(PREVIOS!AG1076=1,1,VLOOKUP(PREVIOS!AG1076,CALIFICACION!A:C,3,FALSE))</f>
        <v>1</v>
      </c>
      <c r="H1076" s="1" t="s">
        <v>534</v>
      </c>
      <c r="I1076" s="1" t="s">
        <v>534</v>
      </c>
      <c r="J1076">
        <f>VLOOKUP(PREVIOS!F1076&amp;VLOOKUP(PREVIOS!I1076,PLAN!A:B,2,FALSE),CURSO!A:D,4,FALSE)</f>
        <v>22</v>
      </c>
      <c r="K1076">
        <f>VLOOKUP(PREVIOS!H1076,CICLO!A:B,2,FALSE)</f>
        <v>56</v>
      </c>
      <c r="L1076">
        <f>VLOOKUP(PREVIOS!I1076,PLAN!A:B,2,FALSE)</f>
        <v>6</v>
      </c>
    </row>
    <row r="1077" spans="1:12" x14ac:dyDescent="0.25">
      <c r="A1077" t="str">
        <f t="shared" si="16"/>
        <v>A21M290C1</v>
      </c>
      <c r="C1077">
        <v>1076</v>
      </c>
      <c r="D1077">
        <f>VLOOKUP(PREVIOS!C1077,ALUMNOS!A:B,2,FALSE)</f>
        <v>21</v>
      </c>
      <c r="E1077">
        <f>VLOOKUP(PREVIOS!E1077&amp;'TABLA PREVIOS'!J1077,MATERIAS!A:H,7,FALSE)</f>
        <v>290</v>
      </c>
      <c r="F1077">
        <f>VLOOKUP(PREVIOS!G1077,CONDICION!A:B,2,FALSE)</f>
        <v>1</v>
      </c>
      <c r="G1077">
        <f>IF(PREVIOS!AG1077=1,1,VLOOKUP(PREVIOS!AG1077,CALIFICACION!A:C,3,FALSE))</f>
        <v>1</v>
      </c>
      <c r="H1077" s="1" t="s">
        <v>534</v>
      </c>
      <c r="I1077" s="1" t="s">
        <v>534</v>
      </c>
      <c r="J1077">
        <f>VLOOKUP(PREVIOS!F1077&amp;VLOOKUP(PREVIOS!I1077,PLAN!A:B,2,FALSE),CURSO!A:D,4,FALSE)</f>
        <v>22</v>
      </c>
      <c r="K1077">
        <f>VLOOKUP(PREVIOS!H1077,CICLO!A:B,2,FALSE)</f>
        <v>56</v>
      </c>
      <c r="L1077">
        <f>VLOOKUP(PREVIOS!I1077,PLAN!A:B,2,FALSE)</f>
        <v>6</v>
      </c>
    </row>
    <row r="1078" spans="1:12" x14ac:dyDescent="0.25">
      <c r="A1078" t="str">
        <f t="shared" si="16"/>
        <v>A73M266C1</v>
      </c>
      <c r="C1078">
        <v>1077</v>
      </c>
      <c r="D1078">
        <f>VLOOKUP(PREVIOS!C1078,ALUMNOS!A:B,2,FALSE)</f>
        <v>73</v>
      </c>
      <c r="E1078">
        <f>VLOOKUP(PREVIOS!E1078&amp;'TABLA PREVIOS'!J1078,MATERIAS!A:H,7,FALSE)</f>
        <v>266</v>
      </c>
      <c r="F1078">
        <f>VLOOKUP(PREVIOS!G1078,CONDICION!A:B,2,FALSE)</f>
        <v>1</v>
      </c>
      <c r="G1078">
        <f>IF(PREVIOS!AG1078=1,1,VLOOKUP(PREVIOS!AG1078,CALIFICACION!A:C,3,FALSE))</f>
        <v>1</v>
      </c>
      <c r="H1078" s="1" t="s">
        <v>534</v>
      </c>
      <c r="I1078" s="1" t="s">
        <v>534</v>
      </c>
      <c r="J1078">
        <f>VLOOKUP(PREVIOS!F1078&amp;VLOOKUP(PREVIOS!I1078,PLAN!A:B,2,FALSE),CURSO!A:D,4,FALSE)</f>
        <v>21</v>
      </c>
      <c r="K1078">
        <f>VLOOKUP(PREVIOS!H1078,CICLO!A:B,2,FALSE)</f>
        <v>55</v>
      </c>
      <c r="L1078">
        <f>VLOOKUP(PREVIOS!I1078,PLAN!A:B,2,FALSE)</f>
        <v>6</v>
      </c>
    </row>
    <row r="1079" spans="1:12" x14ac:dyDescent="0.25">
      <c r="A1079" t="str">
        <f t="shared" si="16"/>
        <v>A73M269C1</v>
      </c>
      <c r="C1079">
        <v>1078</v>
      </c>
      <c r="D1079">
        <f>VLOOKUP(PREVIOS!C1079,ALUMNOS!A:B,2,FALSE)</f>
        <v>73</v>
      </c>
      <c r="E1079">
        <f>VLOOKUP(PREVIOS!E1079&amp;'TABLA PREVIOS'!J1079,MATERIAS!A:H,7,FALSE)</f>
        <v>269</v>
      </c>
      <c r="F1079">
        <f>VLOOKUP(PREVIOS!G1079,CONDICION!A:B,2,FALSE)</f>
        <v>1</v>
      </c>
      <c r="G1079">
        <f>IF(PREVIOS!AG1079=1,1,VLOOKUP(PREVIOS!AG1079,CALIFICACION!A:C,3,FALSE))</f>
        <v>1</v>
      </c>
      <c r="H1079" s="1" t="s">
        <v>534</v>
      </c>
      <c r="I1079" s="1" t="s">
        <v>534</v>
      </c>
      <c r="J1079">
        <f>VLOOKUP(PREVIOS!F1079&amp;VLOOKUP(PREVIOS!I1079,PLAN!A:B,2,FALSE),CURSO!A:D,4,FALSE)</f>
        <v>21</v>
      </c>
      <c r="K1079">
        <f>VLOOKUP(PREVIOS!H1079,CICLO!A:B,2,FALSE)</f>
        <v>55</v>
      </c>
      <c r="L1079">
        <f>VLOOKUP(PREVIOS!I1079,PLAN!A:B,2,FALSE)</f>
        <v>6</v>
      </c>
    </row>
    <row r="1080" spans="1:12" x14ac:dyDescent="0.25">
      <c r="A1080" t="str">
        <f t="shared" si="16"/>
        <v>A73M292C1</v>
      </c>
      <c r="C1080">
        <v>1079</v>
      </c>
      <c r="D1080">
        <f>VLOOKUP(PREVIOS!C1080,ALUMNOS!A:B,2,FALSE)</f>
        <v>73</v>
      </c>
      <c r="E1080">
        <f>VLOOKUP(PREVIOS!E1080&amp;'TABLA PREVIOS'!J1080,MATERIAS!A:H,7,FALSE)</f>
        <v>292</v>
      </c>
      <c r="F1080">
        <f>VLOOKUP(PREVIOS!G1080,CONDICION!A:B,2,FALSE)</f>
        <v>1</v>
      </c>
      <c r="G1080">
        <f>IF(PREVIOS!AG1080=1,1,VLOOKUP(PREVIOS!AG1080,CALIFICACION!A:C,3,FALSE))</f>
        <v>1</v>
      </c>
      <c r="H1080" s="1" t="s">
        <v>534</v>
      </c>
      <c r="I1080" s="1" t="s">
        <v>534</v>
      </c>
      <c r="J1080">
        <f>VLOOKUP(PREVIOS!F1080&amp;VLOOKUP(PREVIOS!I1080,PLAN!A:B,2,FALSE),CURSO!A:D,4,FALSE)</f>
        <v>22</v>
      </c>
      <c r="K1080">
        <f>VLOOKUP(PREVIOS!H1080,CICLO!A:B,2,FALSE)</f>
        <v>56</v>
      </c>
      <c r="L1080">
        <f>VLOOKUP(PREVIOS!I1080,PLAN!A:B,2,FALSE)</f>
        <v>6</v>
      </c>
    </row>
    <row r="1081" spans="1:12" x14ac:dyDescent="0.25">
      <c r="A1081" t="str">
        <f t="shared" si="16"/>
        <v>A73M282C1</v>
      </c>
      <c r="C1081">
        <v>1080</v>
      </c>
      <c r="D1081">
        <f>VLOOKUP(PREVIOS!C1081,ALUMNOS!A:B,2,FALSE)</f>
        <v>73</v>
      </c>
      <c r="E1081">
        <f>VLOOKUP(PREVIOS!E1081&amp;'TABLA PREVIOS'!J1081,MATERIAS!A:H,7,FALSE)</f>
        <v>282</v>
      </c>
      <c r="F1081">
        <f>VLOOKUP(PREVIOS!G1081,CONDICION!A:B,2,FALSE)</f>
        <v>1</v>
      </c>
      <c r="G1081">
        <f>IF(PREVIOS!AG1081=1,1,VLOOKUP(PREVIOS!AG1081,CALIFICACION!A:C,3,FALSE))</f>
        <v>1</v>
      </c>
      <c r="H1081" s="1" t="s">
        <v>534</v>
      </c>
      <c r="I1081" s="1" t="s">
        <v>534</v>
      </c>
      <c r="J1081">
        <f>VLOOKUP(PREVIOS!F1081&amp;VLOOKUP(PREVIOS!I1081,PLAN!A:B,2,FALSE),CURSO!A:D,4,FALSE)</f>
        <v>22</v>
      </c>
      <c r="K1081">
        <f>VLOOKUP(PREVIOS!H1081,CICLO!A:B,2,FALSE)</f>
        <v>56</v>
      </c>
      <c r="L1081">
        <f>VLOOKUP(PREVIOS!I1081,PLAN!A:B,2,FALSE)</f>
        <v>6</v>
      </c>
    </row>
    <row r="1082" spans="1:12" x14ac:dyDescent="0.25">
      <c r="A1082" t="str">
        <f t="shared" si="16"/>
        <v>A73M288C1</v>
      </c>
      <c r="C1082">
        <v>1081</v>
      </c>
      <c r="D1082">
        <f>VLOOKUP(PREVIOS!C1082,ALUMNOS!A:B,2,FALSE)</f>
        <v>73</v>
      </c>
      <c r="E1082">
        <f>VLOOKUP(PREVIOS!E1082&amp;'TABLA PREVIOS'!J1082,MATERIAS!A:H,7,FALSE)</f>
        <v>288</v>
      </c>
      <c r="F1082">
        <f>VLOOKUP(PREVIOS!G1082,CONDICION!A:B,2,FALSE)</f>
        <v>1</v>
      </c>
      <c r="G1082">
        <f>IF(PREVIOS!AG1082=1,1,VLOOKUP(PREVIOS!AG1082,CALIFICACION!A:C,3,FALSE))</f>
        <v>1</v>
      </c>
      <c r="H1082" s="1" t="s">
        <v>534</v>
      </c>
      <c r="I1082" s="1" t="s">
        <v>534</v>
      </c>
      <c r="J1082">
        <f>VLOOKUP(PREVIOS!F1082&amp;VLOOKUP(PREVIOS!I1082,PLAN!A:B,2,FALSE),CURSO!A:D,4,FALSE)</f>
        <v>22</v>
      </c>
      <c r="K1082">
        <f>VLOOKUP(PREVIOS!H1082,CICLO!A:B,2,FALSE)</f>
        <v>56</v>
      </c>
      <c r="L1082">
        <f>VLOOKUP(PREVIOS!I1082,PLAN!A:B,2,FALSE)</f>
        <v>6</v>
      </c>
    </row>
    <row r="1083" spans="1:12" x14ac:dyDescent="0.25">
      <c r="A1083" t="str">
        <f t="shared" si="16"/>
        <v>A73M290C1</v>
      </c>
      <c r="C1083">
        <v>1082</v>
      </c>
      <c r="D1083">
        <f>VLOOKUP(PREVIOS!C1083,ALUMNOS!A:B,2,FALSE)</f>
        <v>73</v>
      </c>
      <c r="E1083">
        <f>VLOOKUP(PREVIOS!E1083&amp;'TABLA PREVIOS'!J1083,MATERIAS!A:H,7,FALSE)</f>
        <v>290</v>
      </c>
      <c r="F1083">
        <f>VLOOKUP(PREVIOS!G1083,CONDICION!A:B,2,FALSE)</f>
        <v>1</v>
      </c>
      <c r="G1083">
        <f>IF(PREVIOS!AG1083=1,1,VLOOKUP(PREVIOS!AG1083,CALIFICACION!A:C,3,FALSE))</f>
        <v>1</v>
      </c>
      <c r="H1083" s="1" t="s">
        <v>534</v>
      </c>
      <c r="I1083" s="1" t="s">
        <v>534</v>
      </c>
      <c r="J1083">
        <f>VLOOKUP(PREVIOS!F1083&amp;VLOOKUP(PREVIOS!I1083,PLAN!A:B,2,FALSE),CURSO!A:D,4,FALSE)</f>
        <v>22</v>
      </c>
      <c r="K1083">
        <f>VLOOKUP(PREVIOS!H1083,CICLO!A:B,2,FALSE)</f>
        <v>56</v>
      </c>
      <c r="L1083">
        <f>VLOOKUP(PREVIOS!I1083,PLAN!A:B,2,FALSE)</f>
        <v>6</v>
      </c>
    </row>
    <row r="1084" spans="1:12" x14ac:dyDescent="0.25">
      <c r="A1084" t="str">
        <f t="shared" si="16"/>
        <v>A101M260C2</v>
      </c>
      <c r="C1084">
        <v>1083</v>
      </c>
      <c r="D1084">
        <f>VLOOKUP(PREVIOS!C1084,ALUMNOS!A:B,2,FALSE)</f>
        <v>101</v>
      </c>
      <c r="E1084">
        <f>VLOOKUP(PREVIOS!E1084&amp;'TABLA PREVIOS'!J1084,MATERIAS!A:H,7,FALSE)</f>
        <v>260</v>
      </c>
      <c r="F1084">
        <f>VLOOKUP(PREVIOS!G1084,CONDICION!A:B,2,FALSE)</f>
        <v>2</v>
      </c>
      <c r="G1084">
        <f>IF(PREVIOS!AG1084=1,1,VLOOKUP(PREVIOS!AG1084,CALIFICACION!A:C,3,FALSE))</f>
        <v>1</v>
      </c>
      <c r="H1084" s="1" t="s">
        <v>534</v>
      </c>
      <c r="I1084" s="1" t="s">
        <v>534</v>
      </c>
      <c r="J1084">
        <f>VLOOKUP(PREVIOS!F1084&amp;VLOOKUP(PREVIOS!I1084,PLAN!A:B,2,FALSE),CURSO!A:D,4,FALSE)</f>
        <v>20</v>
      </c>
      <c r="K1084">
        <f>VLOOKUP(PREVIOS!H1084,CICLO!A:B,2,FALSE)</f>
        <v>55</v>
      </c>
      <c r="L1084">
        <f>VLOOKUP(PREVIOS!I1084,PLAN!A:B,2,FALSE)</f>
        <v>6</v>
      </c>
    </row>
    <row r="1085" spans="1:12" x14ac:dyDescent="0.25">
      <c r="A1085" t="str">
        <f t="shared" si="16"/>
        <v>A101M292C1</v>
      </c>
      <c r="C1085">
        <v>1084</v>
      </c>
      <c r="D1085">
        <f>VLOOKUP(PREVIOS!C1085,ALUMNOS!A:B,2,FALSE)</f>
        <v>101</v>
      </c>
      <c r="E1085">
        <f>VLOOKUP(PREVIOS!E1085&amp;'TABLA PREVIOS'!J1085,MATERIAS!A:H,7,FALSE)</f>
        <v>292</v>
      </c>
      <c r="F1085">
        <f>VLOOKUP(PREVIOS!G1085,CONDICION!A:B,2,FALSE)</f>
        <v>1</v>
      </c>
      <c r="G1085">
        <f>IF(PREVIOS!AG1085=1,1,VLOOKUP(PREVIOS!AG1085,CALIFICACION!A:C,3,FALSE))</f>
        <v>1</v>
      </c>
      <c r="H1085" s="1" t="s">
        <v>534</v>
      </c>
      <c r="I1085" s="1" t="s">
        <v>534</v>
      </c>
      <c r="J1085">
        <f>VLOOKUP(PREVIOS!F1085&amp;VLOOKUP(PREVIOS!I1085,PLAN!A:B,2,FALSE),CURSO!A:D,4,FALSE)</f>
        <v>22</v>
      </c>
      <c r="K1085">
        <f>VLOOKUP(PREVIOS!H1085,CICLO!A:B,2,FALSE)</f>
        <v>56</v>
      </c>
      <c r="L1085">
        <f>VLOOKUP(PREVIOS!I1085,PLAN!A:B,2,FALSE)</f>
        <v>6</v>
      </c>
    </row>
    <row r="1086" spans="1:12" x14ac:dyDescent="0.25">
      <c r="A1086" t="str">
        <f t="shared" si="16"/>
        <v>A101M282C1</v>
      </c>
      <c r="C1086">
        <v>1085</v>
      </c>
      <c r="D1086">
        <f>VLOOKUP(PREVIOS!C1086,ALUMNOS!A:B,2,FALSE)</f>
        <v>101</v>
      </c>
      <c r="E1086">
        <f>VLOOKUP(PREVIOS!E1086&amp;'TABLA PREVIOS'!J1086,MATERIAS!A:H,7,FALSE)</f>
        <v>282</v>
      </c>
      <c r="F1086">
        <f>VLOOKUP(PREVIOS!G1086,CONDICION!A:B,2,FALSE)</f>
        <v>1</v>
      </c>
      <c r="G1086">
        <f>IF(PREVIOS!AG1086=1,1,VLOOKUP(PREVIOS!AG1086,CALIFICACION!A:C,3,FALSE))</f>
        <v>1</v>
      </c>
      <c r="H1086" s="1" t="s">
        <v>534</v>
      </c>
      <c r="I1086" s="1" t="s">
        <v>534</v>
      </c>
      <c r="J1086">
        <f>VLOOKUP(PREVIOS!F1086&amp;VLOOKUP(PREVIOS!I1086,PLAN!A:B,2,FALSE),CURSO!A:D,4,FALSE)</f>
        <v>22</v>
      </c>
      <c r="K1086">
        <f>VLOOKUP(PREVIOS!H1086,CICLO!A:B,2,FALSE)</f>
        <v>56</v>
      </c>
      <c r="L1086">
        <f>VLOOKUP(PREVIOS!I1086,PLAN!A:B,2,FALSE)</f>
        <v>6</v>
      </c>
    </row>
    <row r="1087" spans="1:12" x14ac:dyDescent="0.25">
      <c r="A1087" t="str">
        <f t="shared" si="16"/>
        <v>A101M281C1</v>
      </c>
      <c r="C1087">
        <v>1086</v>
      </c>
      <c r="D1087">
        <f>VLOOKUP(PREVIOS!C1087,ALUMNOS!A:B,2,FALSE)</f>
        <v>101</v>
      </c>
      <c r="E1087">
        <f>VLOOKUP(PREVIOS!E1087&amp;'TABLA PREVIOS'!J1087,MATERIAS!A:H,7,FALSE)</f>
        <v>281</v>
      </c>
      <c r="F1087">
        <f>VLOOKUP(PREVIOS!G1087,CONDICION!A:B,2,FALSE)</f>
        <v>1</v>
      </c>
      <c r="G1087">
        <f>IF(PREVIOS!AG1087=1,1,VLOOKUP(PREVIOS!AG1087,CALIFICACION!A:C,3,FALSE))</f>
        <v>1</v>
      </c>
      <c r="H1087" s="1" t="s">
        <v>534</v>
      </c>
      <c r="I1087" s="1" t="s">
        <v>534</v>
      </c>
      <c r="J1087">
        <f>VLOOKUP(PREVIOS!F1087&amp;VLOOKUP(PREVIOS!I1087,PLAN!A:B,2,FALSE),CURSO!A:D,4,FALSE)</f>
        <v>22</v>
      </c>
      <c r="K1087">
        <f>VLOOKUP(PREVIOS!H1087,CICLO!A:B,2,FALSE)</f>
        <v>56</v>
      </c>
      <c r="L1087">
        <f>VLOOKUP(PREVIOS!I1087,PLAN!A:B,2,FALSE)</f>
        <v>6</v>
      </c>
    </row>
    <row r="1088" spans="1:12" x14ac:dyDescent="0.25">
      <c r="A1088" t="str">
        <f t="shared" si="16"/>
        <v>A101M288C1</v>
      </c>
      <c r="C1088">
        <v>1087</v>
      </c>
      <c r="D1088">
        <f>VLOOKUP(PREVIOS!C1088,ALUMNOS!A:B,2,FALSE)</f>
        <v>101</v>
      </c>
      <c r="E1088">
        <f>VLOOKUP(PREVIOS!E1088&amp;'TABLA PREVIOS'!J1088,MATERIAS!A:H,7,FALSE)</f>
        <v>288</v>
      </c>
      <c r="F1088">
        <f>VLOOKUP(PREVIOS!G1088,CONDICION!A:B,2,FALSE)</f>
        <v>1</v>
      </c>
      <c r="G1088">
        <f>IF(PREVIOS!AG1088=1,1,VLOOKUP(PREVIOS!AG1088,CALIFICACION!A:C,3,FALSE))</f>
        <v>1</v>
      </c>
      <c r="H1088" s="1" t="s">
        <v>534</v>
      </c>
      <c r="I1088" s="1" t="s">
        <v>534</v>
      </c>
      <c r="J1088">
        <f>VLOOKUP(PREVIOS!F1088&amp;VLOOKUP(PREVIOS!I1088,PLAN!A:B,2,FALSE),CURSO!A:D,4,FALSE)</f>
        <v>22</v>
      </c>
      <c r="K1088">
        <f>VLOOKUP(PREVIOS!H1088,CICLO!A:B,2,FALSE)</f>
        <v>56</v>
      </c>
      <c r="L1088">
        <f>VLOOKUP(PREVIOS!I1088,PLAN!A:B,2,FALSE)</f>
        <v>6</v>
      </c>
    </row>
    <row r="1089" spans="1:12" x14ac:dyDescent="0.25">
      <c r="A1089" t="str">
        <f t="shared" si="16"/>
        <v>A101M290C1</v>
      </c>
      <c r="C1089">
        <v>1088</v>
      </c>
      <c r="D1089">
        <f>VLOOKUP(PREVIOS!C1089,ALUMNOS!A:B,2,FALSE)</f>
        <v>101</v>
      </c>
      <c r="E1089">
        <f>VLOOKUP(PREVIOS!E1089&amp;'TABLA PREVIOS'!J1089,MATERIAS!A:H,7,FALSE)</f>
        <v>290</v>
      </c>
      <c r="F1089">
        <f>VLOOKUP(PREVIOS!G1089,CONDICION!A:B,2,FALSE)</f>
        <v>1</v>
      </c>
      <c r="G1089">
        <f>IF(PREVIOS!AG1089=1,1,VLOOKUP(PREVIOS!AG1089,CALIFICACION!A:C,3,FALSE))</f>
        <v>1</v>
      </c>
      <c r="H1089" s="1" t="s">
        <v>534</v>
      </c>
      <c r="I1089" s="1" t="s">
        <v>534</v>
      </c>
      <c r="J1089">
        <f>VLOOKUP(PREVIOS!F1089&amp;VLOOKUP(PREVIOS!I1089,PLAN!A:B,2,FALSE),CURSO!A:D,4,FALSE)</f>
        <v>22</v>
      </c>
      <c r="K1089">
        <f>VLOOKUP(PREVIOS!H1089,CICLO!A:B,2,FALSE)</f>
        <v>56</v>
      </c>
      <c r="L1089">
        <f>VLOOKUP(PREVIOS!I1089,PLAN!A:B,2,FALSE)</f>
        <v>6</v>
      </c>
    </row>
    <row r="1090" spans="1:12" x14ac:dyDescent="0.25">
      <c r="A1090" t="str">
        <f t="shared" si="16"/>
        <v>A107M266C1</v>
      </c>
      <c r="C1090">
        <v>1089</v>
      </c>
      <c r="D1090">
        <f>VLOOKUP(PREVIOS!C1090,ALUMNOS!A:B,2,FALSE)</f>
        <v>107</v>
      </c>
      <c r="E1090">
        <f>VLOOKUP(PREVIOS!E1090&amp;'TABLA PREVIOS'!J1090,MATERIAS!A:H,7,FALSE)</f>
        <v>266</v>
      </c>
      <c r="F1090">
        <f>VLOOKUP(PREVIOS!G1090,CONDICION!A:B,2,FALSE)</f>
        <v>1</v>
      </c>
      <c r="G1090">
        <f>IF(PREVIOS!AG1090=1,1,VLOOKUP(PREVIOS!AG1090,CALIFICACION!A:C,3,FALSE))</f>
        <v>1</v>
      </c>
      <c r="H1090" s="1" t="s">
        <v>534</v>
      </c>
      <c r="I1090" s="1" t="s">
        <v>534</v>
      </c>
      <c r="J1090">
        <f>VLOOKUP(PREVIOS!F1090&amp;VLOOKUP(PREVIOS!I1090,PLAN!A:B,2,FALSE),CURSO!A:D,4,FALSE)</f>
        <v>21</v>
      </c>
      <c r="K1090">
        <f>VLOOKUP(PREVIOS!H1090,CICLO!A:B,2,FALSE)</f>
        <v>55</v>
      </c>
      <c r="L1090">
        <f>VLOOKUP(PREVIOS!I1090,PLAN!A:B,2,FALSE)</f>
        <v>6</v>
      </c>
    </row>
    <row r="1091" spans="1:12" x14ac:dyDescent="0.25">
      <c r="A1091" t="str">
        <f t="shared" ref="A1091:A1154" si="17">"A"&amp;D1091&amp;"M"&amp;E1091&amp;"C"&amp;F1091</f>
        <v>A107M271C1</v>
      </c>
      <c r="C1091">
        <v>1090</v>
      </c>
      <c r="D1091">
        <f>VLOOKUP(PREVIOS!C1091,ALUMNOS!A:B,2,FALSE)</f>
        <v>107</v>
      </c>
      <c r="E1091">
        <f>VLOOKUP(PREVIOS!E1091&amp;'TABLA PREVIOS'!J1091,MATERIAS!A:H,7,FALSE)</f>
        <v>271</v>
      </c>
      <c r="F1091">
        <f>VLOOKUP(PREVIOS!G1091,CONDICION!A:B,2,FALSE)</f>
        <v>1</v>
      </c>
      <c r="G1091">
        <f>IF(PREVIOS!AG1091=1,1,VLOOKUP(PREVIOS!AG1091,CALIFICACION!A:C,3,FALSE))</f>
        <v>1</v>
      </c>
      <c r="H1091" s="1" t="s">
        <v>534</v>
      </c>
      <c r="I1091" s="1" t="s">
        <v>534</v>
      </c>
      <c r="J1091">
        <f>VLOOKUP(PREVIOS!F1091&amp;VLOOKUP(PREVIOS!I1091,PLAN!A:B,2,FALSE),CURSO!A:D,4,FALSE)</f>
        <v>21</v>
      </c>
      <c r="K1091">
        <f>VLOOKUP(PREVIOS!H1091,CICLO!A:B,2,FALSE)</f>
        <v>55</v>
      </c>
      <c r="L1091">
        <f>VLOOKUP(PREVIOS!I1091,PLAN!A:B,2,FALSE)</f>
        <v>6</v>
      </c>
    </row>
    <row r="1092" spans="1:12" x14ac:dyDescent="0.25">
      <c r="A1092" t="str">
        <f t="shared" si="17"/>
        <v>A107M292C1</v>
      </c>
      <c r="C1092">
        <v>1091</v>
      </c>
      <c r="D1092">
        <f>VLOOKUP(PREVIOS!C1092,ALUMNOS!A:B,2,FALSE)</f>
        <v>107</v>
      </c>
      <c r="E1092">
        <f>VLOOKUP(PREVIOS!E1092&amp;'TABLA PREVIOS'!J1092,MATERIAS!A:H,7,FALSE)</f>
        <v>292</v>
      </c>
      <c r="F1092">
        <f>VLOOKUP(PREVIOS!G1092,CONDICION!A:B,2,FALSE)</f>
        <v>1</v>
      </c>
      <c r="G1092">
        <f>IF(PREVIOS!AG1092=1,1,VLOOKUP(PREVIOS!AG1092,CALIFICACION!A:C,3,FALSE))</f>
        <v>1</v>
      </c>
      <c r="H1092" s="1" t="s">
        <v>534</v>
      </c>
      <c r="I1092" s="1" t="s">
        <v>534</v>
      </c>
      <c r="J1092">
        <f>VLOOKUP(PREVIOS!F1092&amp;VLOOKUP(PREVIOS!I1092,PLAN!A:B,2,FALSE),CURSO!A:D,4,FALSE)</f>
        <v>22</v>
      </c>
      <c r="K1092">
        <f>VLOOKUP(PREVIOS!H1092,CICLO!A:B,2,FALSE)</f>
        <v>56</v>
      </c>
      <c r="L1092">
        <f>VLOOKUP(PREVIOS!I1092,PLAN!A:B,2,FALSE)</f>
        <v>6</v>
      </c>
    </row>
    <row r="1093" spans="1:12" x14ac:dyDescent="0.25">
      <c r="A1093" t="str">
        <f t="shared" si="17"/>
        <v>A107M282C1</v>
      </c>
      <c r="C1093">
        <v>1092</v>
      </c>
      <c r="D1093">
        <f>VLOOKUP(PREVIOS!C1093,ALUMNOS!A:B,2,FALSE)</f>
        <v>107</v>
      </c>
      <c r="E1093">
        <f>VLOOKUP(PREVIOS!E1093&amp;'TABLA PREVIOS'!J1093,MATERIAS!A:H,7,FALSE)</f>
        <v>282</v>
      </c>
      <c r="F1093">
        <f>VLOOKUP(PREVIOS!G1093,CONDICION!A:B,2,FALSE)</f>
        <v>1</v>
      </c>
      <c r="G1093">
        <f>IF(PREVIOS!AG1093=1,1,VLOOKUP(PREVIOS!AG1093,CALIFICACION!A:C,3,FALSE))</f>
        <v>1</v>
      </c>
      <c r="H1093" s="1" t="s">
        <v>534</v>
      </c>
      <c r="I1093" s="1" t="s">
        <v>534</v>
      </c>
      <c r="J1093">
        <f>VLOOKUP(PREVIOS!F1093&amp;VLOOKUP(PREVIOS!I1093,PLAN!A:B,2,FALSE),CURSO!A:D,4,FALSE)</f>
        <v>22</v>
      </c>
      <c r="K1093">
        <f>VLOOKUP(PREVIOS!H1093,CICLO!A:B,2,FALSE)</f>
        <v>56</v>
      </c>
      <c r="L1093">
        <f>VLOOKUP(PREVIOS!I1093,PLAN!A:B,2,FALSE)</f>
        <v>6</v>
      </c>
    </row>
    <row r="1094" spans="1:12" x14ac:dyDescent="0.25">
      <c r="A1094" t="str">
        <f t="shared" si="17"/>
        <v>A107M281C1</v>
      </c>
      <c r="C1094">
        <v>1093</v>
      </c>
      <c r="D1094">
        <f>VLOOKUP(PREVIOS!C1094,ALUMNOS!A:B,2,FALSE)</f>
        <v>107</v>
      </c>
      <c r="E1094">
        <f>VLOOKUP(PREVIOS!E1094&amp;'TABLA PREVIOS'!J1094,MATERIAS!A:H,7,FALSE)</f>
        <v>281</v>
      </c>
      <c r="F1094">
        <f>VLOOKUP(PREVIOS!G1094,CONDICION!A:B,2,FALSE)</f>
        <v>1</v>
      </c>
      <c r="G1094">
        <f>IF(PREVIOS!AG1094=1,1,VLOOKUP(PREVIOS!AG1094,CALIFICACION!A:C,3,FALSE))</f>
        <v>1</v>
      </c>
      <c r="H1094" s="1" t="s">
        <v>534</v>
      </c>
      <c r="I1094" s="1" t="s">
        <v>534</v>
      </c>
      <c r="J1094">
        <f>VLOOKUP(PREVIOS!F1094&amp;VLOOKUP(PREVIOS!I1094,PLAN!A:B,2,FALSE),CURSO!A:D,4,FALSE)</f>
        <v>22</v>
      </c>
      <c r="K1094">
        <f>VLOOKUP(PREVIOS!H1094,CICLO!A:B,2,FALSE)</f>
        <v>56</v>
      </c>
      <c r="L1094">
        <f>VLOOKUP(PREVIOS!I1094,PLAN!A:B,2,FALSE)</f>
        <v>6</v>
      </c>
    </row>
    <row r="1095" spans="1:12" x14ac:dyDescent="0.25">
      <c r="A1095" t="str">
        <f t="shared" si="17"/>
        <v>A107M288C1</v>
      </c>
      <c r="C1095">
        <v>1094</v>
      </c>
      <c r="D1095">
        <f>VLOOKUP(PREVIOS!C1095,ALUMNOS!A:B,2,FALSE)</f>
        <v>107</v>
      </c>
      <c r="E1095">
        <f>VLOOKUP(PREVIOS!E1095&amp;'TABLA PREVIOS'!J1095,MATERIAS!A:H,7,FALSE)</f>
        <v>288</v>
      </c>
      <c r="F1095">
        <f>VLOOKUP(PREVIOS!G1095,CONDICION!A:B,2,FALSE)</f>
        <v>1</v>
      </c>
      <c r="G1095">
        <f>IF(PREVIOS!AG1095=1,1,VLOOKUP(PREVIOS!AG1095,CALIFICACION!A:C,3,FALSE))</f>
        <v>1</v>
      </c>
      <c r="H1095" s="1" t="s">
        <v>534</v>
      </c>
      <c r="I1095" s="1" t="s">
        <v>534</v>
      </c>
      <c r="J1095">
        <f>VLOOKUP(PREVIOS!F1095&amp;VLOOKUP(PREVIOS!I1095,PLAN!A:B,2,FALSE),CURSO!A:D,4,FALSE)</f>
        <v>22</v>
      </c>
      <c r="K1095">
        <f>VLOOKUP(PREVIOS!H1095,CICLO!A:B,2,FALSE)</f>
        <v>56</v>
      </c>
      <c r="L1095">
        <f>VLOOKUP(PREVIOS!I1095,PLAN!A:B,2,FALSE)</f>
        <v>6</v>
      </c>
    </row>
    <row r="1096" spans="1:12" x14ac:dyDescent="0.25">
      <c r="A1096" t="str">
        <f t="shared" si="17"/>
        <v>A107M290C1</v>
      </c>
      <c r="C1096">
        <v>1095</v>
      </c>
      <c r="D1096">
        <f>VLOOKUP(PREVIOS!C1096,ALUMNOS!A:B,2,FALSE)</f>
        <v>107</v>
      </c>
      <c r="E1096">
        <f>VLOOKUP(PREVIOS!E1096&amp;'TABLA PREVIOS'!J1096,MATERIAS!A:H,7,FALSE)</f>
        <v>290</v>
      </c>
      <c r="F1096">
        <f>VLOOKUP(PREVIOS!G1096,CONDICION!A:B,2,FALSE)</f>
        <v>1</v>
      </c>
      <c r="G1096">
        <f>IF(PREVIOS!AG1096=1,1,VLOOKUP(PREVIOS!AG1096,CALIFICACION!A:C,3,FALSE))</f>
        <v>1</v>
      </c>
      <c r="H1096" s="1" t="s">
        <v>534</v>
      </c>
      <c r="I1096" s="1" t="s">
        <v>534</v>
      </c>
      <c r="J1096">
        <f>VLOOKUP(PREVIOS!F1096&amp;VLOOKUP(PREVIOS!I1096,PLAN!A:B,2,FALSE),CURSO!A:D,4,FALSE)</f>
        <v>22</v>
      </c>
      <c r="K1096">
        <f>VLOOKUP(PREVIOS!H1096,CICLO!A:B,2,FALSE)</f>
        <v>56</v>
      </c>
      <c r="L1096">
        <f>VLOOKUP(PREVIOS!I1096,PLAN!A:B,2,FALSE)</f>
        <v>6</v>
      </c>
    </row>
    <row r="1097" spans="1:12" x14ac:dyDescent="0.25">
      <c r="A1097" t="str">
        <f t="shared" si="17"/>
        <v>A235M274C2</v>
      </c>
      <c r="C1097">
        <v>1096</v>
      </c>
      <c r="D1097">
        <f>VLOOKUP(PREVIOS!C1097,ALUMNOS!A:B,2,FALSE)</f>
        <v>235</v>
      </c>
      <c r="E1097">
        <f>VLOOKUP(PREVIOS!E1097&amp;'TABLA PREVIOS'!J1097,MATERIAS!A:H,7,FALSE)</f>
        <v>274</v>
      </c>
      <c r="F1097">
        <f>VLOOKUP(PREVIOS!G1097,CONDICION!A:B,2,FALSE)</f>
        <v>2</v>
      </c>
      <c r="G1097">
        <f>IF(PREVIOS!AG1097=1,1,VLOOKUP(PREVIOS!AG1097,CALIFICACION!A:C,3,FALSE))</f>
        <v>10</v>
      </c>
      <c r="H1097" s="1" t="s">
        <v>534</v>
      </c>
      <c r="I1097" s="1" t="s">
        <v>534</v>
      </c>
      <c r="J1097">
        <f>VLOOKUP(PREVIOS!F1097&amp;VLOOKUP(PREVIOS!I1097,PLAN!A:B,2,FALSE),CURSO!A:D,4,FALSE)</f>
        <v>21</v>
      </c>
      <c r="K1097">
        <f>VLOOKUP(PREVIOS!H1097,CICLO!A:B,2,FALSE)</f>
        <v>56</v>
      </c>
      <c r="L1097">
        <f>VLOOKUP(PREVIOS!I1097,PLAN!A:B,2,FALSE)</f>
        <v>6</v>
      </c>
    </row>
    <row r="1098" spans="1:12" x14ac:dyDescent="0.25">
      <c r="A1098" t="str">
        <f t="shared" si="17"/>
        <v>A235M275C2</v>
      </c>
      <c r="C1098">
        <v>1097</v>
      </c>
      <c r="D1098">
        <f>VLOOKUP(PREVIOS!C1098,ALUMNOS!A:B,2,FALSE)</f>
        <v>235</v>
      </c>
      <c r="E1098">
        <f>VLOOKUP(PREVIOS!E1098&amp;'TABLA PREVIOS'!J1098,MATERIAS!A:H,7,FALSE)</f>
        <v>275</v>
      </c>
      <c r="F1098">
        <f>VLOOKUP(PREVIOS!G1098,CONDICION!A:B,2,FALSE)</f>
        <v>2</v>
      </c>
      <c r="G1098">
        <f>IF(PREVIOS!AG1098=1,1,VLOOKUP(PREVIOS!AG1098,CALIFICACION!A:C,3,FALSE))</f>
        <v>10</v>
      </c>
      <c r="H1098" s="1" t="s">
        <v>534</v>
      </c>
      <c r="I1098" s="1" t="s">
        <v>534</v>
      </c>
      <c r="J1098">
        <f>VLOOKUP(PREVIOS!F1098&amp;VLOOKUP(PREVIOS!I1098,PLAN!A:B,2,FALSE),CURSO!A:D,4,FALSE)</f>
        <v>21</v>
      </c>
      <c r="K1098">
        <f>VLOOKUP(PREVIOS!H1098,CICLO!A:B,2,FALSE)</f>
        <v>56</v>
      </c>
      <c r="L1098">
        <f>VLOOKUP(PREVIOS!I1098,PLAN!A:B,2,FALSE)</f>
        <v>6</v>
      </c>
    </row>
    <row r="1099" spans="1:12" x14ac:dyDescent="0.25">
      <c r="A1099" t="str">
        <f t="shared" si="17"/>
        <v>A235M273C2</v>
      </c>
      <c r="C1099">
        <v>1098</v>
      </c>
      <c r="D1099">
        <f>VLOOKUP(PREVIOS!C1099,ALUMNOS!A:B,2,FALSE)</f>
        <v>235</v>
      </c>
      <c r="E1099">
        <f>VLOOKUP(PREVIOS!E1099&amp;'TABLA PREVIOS'!J1099,MATERIAS!A:H,7,FALSE)</f>
        <v>273</v>
      </c>
      <c r="F1099">
        <f>VLOOKUP(PREVIOS!G1099,CONDICION!A:B,2,FALSE)</f>
        <v>2</v>
      </c>
      <c r="G1099">
        <f>IF(PREVIOS!AG1099=1,1,VLOOKUP(PREVIOS!AG1099,CALIFICACION!A:C,3,FALSE))</f>
        <v>9</v>
      </c>
      <c r="H1099" s="1" t="s">
        <v>534</v>
      </c>
      <c r="I1099" s="1" t="s">
        <v>534</v>
      </c>
      <c r="J1099">
        <f>VLOOKUP(PREVIOS!F1099&amp;VLOOKUP(PREVIOS!I1099,PLAN!A:B,2,FALSE),CURSO!A:D,4,FALSE)</f>
        <v>21</v>
      </c>
      <c r="K1099">
        <f>VLOOKUP(PREVIOS!H1099,CICLO!A:B,2,FALSE)</f>
        <v>56</v>
      </c>
      <c r="L1099">
        <f>VLOOKUP(PREVIOS!I1099,PLAN!A:B,2,FALSE)</f>
        <v>6</v>
      </c>
    </row>
    <row r="1100" spans="1:12" x14ac:dyDescent="0.25">
      <c r="A1100" t="str">
        <f t="shared" si="17"/>
        <v>A235M290C1</v>
      </c>
      <c r="C1100">
        <v>1099</v>
      </c>
      <c r="D1100">
        <f>VLOOKUP(PREVIOS!C1100,ALUMNOS!A:B,2,FALSE)</f>
        <v>235</v>
      </c>
      <c r="E1100">
        <f>VLOOKUP(PREVIOS!E1100&amp;'TABLA PREVIOS'!J1100,MATERIAS!A:H,7,FALSE)</f>
        <v>290</v>
      </c>
      <c r="F1100">
        <f>VLOOKUP(PREVIOS!G1100,CONDICION!A:B,2,FALSE)</f>
        <v>1</v>
      </c>
      <c r="G1100">
        <f>IF(PREVIOS!AG1100=1,1,VLOOKUP(PREVIOS!AG1100,CALIFICACION!A:C,3,FALSE))</f>
        <v>9</v>
      </c>
      <c r="H1100" s="1" t="s">
        <v>534</v>
      </c>
      <c r="I1100" s="1" t="s">
        <v>534</v>
      </c>
      <c r="J1100">
        <f>VLOOKUP(PREVIOS!F1100&amp;VLOOKUP(PREVIOS!I1100,PLAN!A:B,2,FALSE),CURSO!A:D,4,FALSE)</f>
        <v>22</v>
      </c>
      <c r="K1100">
        <f>VLOOKUP(PREVIOS!H1100,CICLO!A:B,2,FALSE)</f>
        <v>56</v>
      </c>
      <c r="L1100">
        <f>VLOOKUP(PREVIOS!I1100,PLAN!A:B,2,FALSE)</f>
        <v>6</v>
      </c>
    </row>
    <row r="1101" spans="1:12" x14ac:dyDescent="0.25">
      <c r="A1101" t="str">
        <f t="shared" si="17"/>
        <v>A338M253C1</v>
      </c>
      <c r="C1101">
        <v>1100</v>
      </c>
      <c r="D1101">
        <f>VLOOKUP(PREVIOS!C1101,ALUMNOS!A:B,2,FALSE)</f>
        <v>338</v>
      </c>
      <c r="E1101">
        <f>VLOOKUP(PREVIOS!E1101&amp;'TABLA PREVIOS'!J1101,MATERIAS!A:H,7,FALSE)</f>
        <v>253</v>
      </c>
      <c r="F1101">
        <f>VLOOKUP(PREVIOS!G1101,CONDICION!A:B,2,FALSE)</f>
        <v>1</v>
      </c>
      <c r="G1101">
        <f>IF(PREVIOS!AG1101=1,1,VLOOKUP(PREVIOS!AG1101,CALIFICACION!A:C,3,FALSE))</f>
        <v>9</v>
      </c>
      <c r="H1101" s="1" t="s">
        <v>534</v>
      </c>
      <c r="I1101" s="1" t="s">
        <v>534</v>
      </c>
      <c r="J1101">
        <f>VLOOKUP(PREVIOS!F1101&amp;VLOOKUP(PREVIOS!I1101,PLAN!A:B,2,FALSE),CURSO!A:D,4,FALSE)</f>
        <v>20</v>
      </c>
      <c r="K1101">
        <f>VLOOKUP(PREVIOS!H1101,CICLO!A:B,2,FALSE)</f>
        <v>54</v>
      </c>
      <c r="L1101">
        <f>VLOOKUP(PREVIOS!I1101,PLAN!A:B,2,FALSE)</f>
        <v>6</v>
      </c>
    </row>
    <row r="1102" spans="1:12" x14ac:dyDescent="0.25">
      <c r="A1102" t="str">
        <f t="shared" si="17"/>
        <v>A338M251C1</v>
      </c>
      <c r="C1102">
        <v>1101</v>
      </c>
      <c r="D1102">
        <f>VLOOKUP(PREVIOS!C1102,ALUMNOS!A:B,2,FALSE)</f>
        <v>338</v>
      </c>
      <c r="E1102">
        <f>VLOOKUP(PREVIOS!E1102&amp;'TABLA PREVIOS'!J1102,MATERIAS!A:H,7,FALSE)</f>
        <v>251</v>
      </c>
      <c r="F1102">
        <f>VLOOKUP(PREVIOS!G1102,CONDICION!A:B,2,FALSE)</f>
        <v>1</v>
      </c>
      <c r="G1102">
        <f>IF(PREVIOS!AG1102=1,1,VLOOKUP(PREVIOS!AG1102,CALIFICACION!A:C,3,FALSE))</f>
        <v>1</v>
      </c>
      <c r="H1102" s="1" t="s">
        <v>534</v>
      </c>
      <c r="I1102" s="1" t="s">
        <v>534</v>
      </c>
      <c r="J1102">
        <f>VLOOKUP(PREVIOS!F1102&amp;VLOOKUP(PREVIOS!I1102,PLAN!A:B,2,FALSE),CURSO!A:D,4,FALSE)</f>
        <v>20</v>
      </c>
      <c r="K1102">
        <f>VLOOKUP(PREVIOS!H1102,CICLO!A:B,2,FALSE)</f>
        <v>54</v>
      </c>
      <c r="L1102">
        <f>VLOOKUP(PREVIOS!I1102,PLAN!A:B,2,FALSE)</f>
        <v>6</v>
      </c>
    </row>
    <row r="1103" spans="1:12" x14ac:dyDescent="0.25">
      <c r="A1103" t="str">
        <f t="shared" si="17"/>
        <v>A338M264C1</v>
      </c>
      <c r="C1103">
        <v>1102</v>
      </c>
      <c r="D1103">
        <f>VLOOKUP(PREVIOS!C1103,ALUMNOS!A:B,2,FALSE)</f>
        <v>338</v>
      </c>
      <c r="E1103">
        <f>VLOOKUP(PREVIOS!E1103&amp;'TABLA PREVIOS'!J1103,MATERIAS!A:H,7,FALSE)</f>
        <v>264</v>
      </c>
      <c r="F1103">
        <f>VLOOKUP(PREVIOS!G1103,CONDICION!A:B,2,FALSE)</f>
        <v>1</v>
      </c>
      <c r="G1103">
        <f>IF(PREVIOS!AG1103=1,1,VLOOKUP(PREVIOS!AG1103,CALIFICACION!A:C,3,FALSE))</f>
        <v>1</v>
      </c>
      <c r="H1103" s="1" t="s">
        <v>534</v>
      </c>
      <c r="I1103" s="1" t="s">
        <v>534</v>
      </c>
      <c r="J1103">
        <f>VLOOKUP(PREVIOS!F1103&amp;VLOOKUP(PREVIOS!I1103,PLAN!A:B,2,FALSE),CURSO!A:D,4,FALSE)</f>
        <v>21</v>
      </c>
      <c r="K1103">
        <f>VLOOKUP(PREVIOS!H1103,CICLO!A:B,2,FALSE)</f>
        <v>55</v>
      </c>
      <c r="L1103">
        <f>VLOOKUP(PREVIOS!I1103,PLAN!A:B,2,FALSE)</f>
        <v>6</v>
      </c>
    </row>
    <row r="1104" spans="1:12" x14ac:dyDescent="0.25">
      <c r="A1104" t="str">
        <f t="shared" si="17"/>
        <v>A338M292C1</v>
      </c>
      <c r="C1104">
        <v>1103</v>
      </c>
      <c r="D1104">
        <f>VLOOKUP(PREVIOS!C1104,ALUMNOS!A:B,2,FALSE)</f>
        <v>338</v>
      </c>
      <c r="E1104">
        <f>VLOOKUP(PREVIOS!E1104&amp;'TABLA PREVIOS'!J1104,MATERIAS!A:H,7,FALSE)</f>
        <v>292</v>
      </c>
      <c r="F1104">
        <f>VLOOKUP(PREVIOS!G1104,CONDICION!A:B,2,FALSE)</f>
        <v>1</v>
      </c>
      <c r="G1104">
        <f>IF(PREVIOS!AG1104=1,1,VLOOKUP(PREVIOS!AG1104,CALIFICACION!A:C,3,FALSE))</f>
        <v>1</v>
      </c>
      <c r="H1104" s="1" t="s">
        <v>534</v>
      </c>
      <c r="I1104" s="1" t="s">
        <v>534</v>
      </c>
      <c r="J1104">
        <f>VLOOKUP(PREVIOS!F1104&amp;VLOOKUP(PREVIOS!I1104,PLAN!A:B,2,FALSE),CURSO!A:D,4,FALSE)</f>
        <v>22</v>
      </c>
      <c r="K1104">
        <f>VLOOKUP(PREVIOS!H1104,CICLO!A:B,2,FALSE)</f>
        <v>56</v>
      </c>
      <c r="L1104">
        <f>VLOOKUP(PREVIOS!I1104,PLAN!A:B,2,FALSE)</f>
        <v>6</v>
      </c>
    </row>
    <row r="1105" spans="1:12" x14ac:dyDescent="0.25">
      <c r="A1105" t="str">
        <f t="shared" si="17"/>
        <v>A338M279C1</v>
      </c>
      <c r="C1105">
        <v>1104</v>
      </c>
      <c r="D1105">
        <f>VLOOKUP(PREVIOS!C1105,ALUMNOS!A:B,2,FALSE)</f>
        <v>338</v>
      </c>
      <c r="E1105">
        <f>VLOOKUP(PREVIOS!E1105&amp;'TABLA PREVIOS'!J1105,MATERIAS!A:H,7,FALSE)</f>
        <v>279</v>
      </c>
      <c r="F1105">
        <f>VLOOKUP(PREVIOS!G1105,CONDICION!A:B,2,FALSE)</f>
        <v>1</v>
      </c>
      <c r="G1105">
        <f>IF(PREVIOS!AG1105=1,1,VLOOKUP(PREVIOS!AG1105,CALIFICACION!A:C,3,FALSE))</f>
        <v>1</v>
      </c>
      <c r="H1105" s="1" t="s">
        <v>534</v>
      </c>
      <c r="I1105" s="1" t="s">
        <v>534</v>
      </c>
      <c r="J1105">
        <f>VLOOKUP(PREVIOS!F1105&amp;VLOOKUP(PREVIOS!I1105,PLAN!A:B,2,FALSE),CURSO!A:D,4,FALSE)</f>
        <v>22</v>
      </c>
      <c r="K1105">
        <f>VLOOKUP(PREVIOS!H1105,CICLO!A:B,2,FALSE)</f>
        <v>56</v>
      </c>
      <c r="L1105">
        <f>VLOOKUP(PREVIOS!I1105,PLAN!A:B,2,FALSE)</f>
        <v>6</v>
      </c>
    </row>
    <row r="1106" spans="1:12" x14ac:dyDescent="0.25">
      <c r="A1106" t="str">
        <f t="shared" si="17"/>
        <v>A338M281C1</v>
      </c>
      <c r="C1106">
        <v>1105</v>
      </c>
      <c r="D1106">
        <f>VLOOKUP(PREVIOS!C1106,ALUMNOS!A:B,2,FALSE)</f>
        <v>338</v>
      </c>
      <c r="E1106">
        <f>VLOOKUP(PREVIOS!E1106&amp;'TABLA PREVIOS'!J1106,MATERIAS!A:H,7,FALSE)</f>
        <v>281</v>
      </c>
      <c r="F1106">
        <f>VLOOKUP(PREVIOS!G1106,CONDICION!A:B,2,FALSE)</f>
        <v>1</v>
      </c>
      <c r="G1106">
        <f>IF(PREVIOS!AG1106=1,1,VLOOKUP(PREVIOS!AG1106,CALIFICACION!A:C,3,FALSE))</f>
        <v>1</v>
      </c>
      <c r="H1106" s="1" t="s">
        <v>534</v>
      </c>
      <c r="I1106" s="1" t="s">
        <v>534</v>
      </c>
      <c r="J1106">
        <f>VLOOKUP(PREVIOS!F1106&amp;VLOOKUP(PREVIOS!I1106,PLAN!A:B,2,FALSE),CURSO!A:D,4,FALSE)</f>
        <v>22</v>
      </c>
      <c r="K1106">
        <f>VLOOKUP(PREVIOS!H1106,CICLO!A:B,2,FALSE)</f>
        <v>56</v>
      </c>
      <c r="L1106">
        <f>VLOOKUP(PREVIOS!I1106,PLAN!A:B,2,FALSE)</f>
        <v>6</v>
      </c>
    </row>
    <row r="1107" spans="1:12" x14ac:dyDescent="0.25">
      <c r="A1107" t="str">
        <f t="shared" si="17"/>
        <v>A338M288C1</v>
      </c>
      <c r="C1107">
        <v>1106</v>
      </c>
      <c r="D1107">
        <f>VLOOKUP(PREVIOS!C1107,ALUMNOS!A:B,2,FALSE)</f>
        <v>338</v>
      </c>
      <c r="E1107">
        <f>VLOOKUP(PREVIOS!E1107&amp;'TABLA PREVIOS'!J1107,MATERIAS!A:H,7,FALSE)</f>
        <v>288</v>
      </c>
      <c r="F1107">
        <f>VLOOKUP(PREVIOS!G1107,CONDICION!A:B,2,FALSE)</f>
        <v>1</v>
      </c>
      <c r="G1107">
        <f>IF(PREVIOS!AG1107=1,1,VLOOKUP(PREVIOS!AG1107,CALIFICACION!A:C,3,FALSE))</f>
        <v>1</v>
      </c>
      <c r="H1107" s="1" t="s">
        <v>534</v>
      </c>
      <c r="I1107" s="1" t="s">
        <v>534</v>
      </c>
      <c r="J1107">
        <f>VLOOKUP(PREVIOS!F1107&amp;VLOOKUP(PREVIOS!I1107,PLAN!A:B,2,FALSE),CURSO!A:D,4,FALSE)</f>
        <v>22</v>
      </c>
      <c r="K1107">
        <f>VLOOKUP(PREVIOS!H1107,CICLO!A:B,2,FALSE)</f>
        <v>56</v>
      </c>
      <c r="L1107">
        <f>VLOOKUP(PREVIOS!I1107,PLAN!A:B,2,FALSE)</f>
        <v>6</v>
      </c>
    </row>
    <row r="1108" spans="1:12" x14ac:dyDescent="0.25">
      <c r="A1108" t="str">
        <f t="shared" si="17"/>
        <v>A338M290C1</v>
      </c>
      <c r="C1108">
        <v>1107</v>
      </c>
      <c r="D1108">
        <f>VLOOKUP(PREVIOS!C1108,ALUMNOS!A:B,2,FALSE)</f>
        <v>338</v>
      </c>
      <c r="E1108">
        <f>VLOOKUP(PREVIOS!E1108&amp;'TABLA PREVIOS'!J1108,MATERIAS!A:H,7,FALSE)</f>
        <v>290</v>
      </c>
      <c r="F1108">
        <f>VLOOKUP(PREVIOS!G1108,CONDICION!A:B,2,FALSE)</f>
        <v>1</v>
      </c>
      <c r="G1108">
        <f>IF(PREVIOS!AG1108=1,1,VLOOKUP(PREVIOS!AG1108,CALIFICACION!A:C,3,FALSE))</f>
        <v>1</v>
      </c>
      <c r="H1108" s="1" t="s">
        <v>534</v>
      </c>
      <c r="I1108" s="1" t="s">
        <v>534</v>
      </c>
      <c r="J1108">
        <f>VLOOKUP(PREVIOS!F1108&amp;VLOOKUP(PREVIOS!I1108,PLAN!A:B,2,FALSE),CURSO!A:D,4,FALSE)</f>
        <v>22</v>
      </c>
      <c r="K1108">
        <f>VLOOKUP(PREVIOS!H1108,CICLO!A:B,2,FALSE)</f>
        <v>56</v>
      </c>
      <c r="L1108">
        <f>VLOOKUP(PREVIOS!I1108,PLAN!A:B,2,FALSE)</f>
        <v>6</v>
      </c>
    </row>
    <row r="1109" spans="1:12" x14ac:dyDescent="0.25">
      <c r="A1109" t="str">
        <f t="shared" si="17"/>
        <v>A536M252C1</v>
      </c>
      <c r="C1109">
        <v>1108</v>
      </c>
      <c r="D1109">
        <f>VLOOKUP(PREVIOS!C1109,ALUMNOS!A:B,2,FALSE)</f>
        <v>536</v>
      </c>
      <c r="E1109">
        <f>VLOOKUP(PREVIOS!E1109&amp;'TABLA PREVIOS'!J1109,MATERIAS!A:H,7,FALSE)</f>
        <v>252</v>
      </c>
      <c r="F1109">
        <f>VLOOKUP(PREVIOS!G1109,CONDICION!A:B,2,FALSE)</f>
        <v>1</v>
      </c>
      <c r="G1109">
        <f>IF(PREVIOS!AG1109=1,1,VLOOKUP(PREVIOS!AG1109,CALIFICACION!A:C,3,FALSE))</f>
        <v>1</v>
      </c>
      <c r="H1109" s="1" t="s">
        <v>534</v>
      </c>
      <c r="I1109" s="1" t="s">
        <v>534</v>
      </c>
      <c r="J1109">
        <f>VLOOKUP(PREVIOS!F1109&amp;VLOOKUP(PREVIOS!I1109,PLAN!A:B,2,FALSE),CURSO!A:D,4,FALSE)</f>
        <v>20</v>
      </c>
      <c r="K1109">
        <f>VLOOKUP(PREVIOS!H1109,CICLO!A:B,2,FALSE)</f>
        <v>55</v>
      </c>
      <c r="L1109">
        <f>VLOOKUP(PREVIOS!I1109,PLAN!A:B,2,FALSE)</f>
        <v>6</v>
      </c>
    </row>
    <row r="1110" spans="1:12" x14ac:dyDescent="0.25">
      <c r="A1110" t="str">
        <f t="shared" si="17"/>
        <v>A536M273C1</v>
      </c>
      <c r="C1110">
        <v>1109</v>
      </c>
      <c r="D1110">
        <f>VLOOKUP(PREVIOS!C1110,ALUMNOS!A:B,2,FALSE)</f>
        <v>536</v>
      </c>
      <c r="E1110">
        <f>VLOOKUP(PREVIOS!E1110&amp;'TABLA PREVIOS'!J1110,MATERIAS!A:H,7,FALSE)</f>
        <v>273</v>
      </c>
      <c r="F1110">
        <f>VLOOKUP(PREVIOS!G1110,CONDICION!A:B,2,FALSE)</f>
        <v>1</v>
      </c>
      <c r="G1110">
        <f>IF(PREVIOS!AG1110=1,1,VLOOKUP(PREVIOS!AG1110,CALIFICACION!A:C,3,FALSE))</f>
        <v>1</v>
      </c>
      <c r="H1110" s="1" t="s">
        <v>534</v>
      </c>
      <c r="I1110" s="1" t="s">
        <v>534</v>
      </c>
      <c r="J1110">
        <f>VLOOKUP(PREVIOS!F1110&amp;VLOOKUP(PREVIOS!I1110,PLAN!A:B,2,FALSE),CURSO!A:D,4,FALSE)</f>
        <v>21</v>
      </c>
      <c r="K1110">
        <f>VLOOKUP(PREVIOS!H1110,CICLO!A:B,2,FALSE)</f>
        <v>55</v>
      </c>
      <c r="L1110">
        <f>VLOOKUP(PREVIOS!I1110,PLAN!A:B,2,FALSE)</f>
        <v>6</v>
      </c>
    </row>
    <row r="1111" spans="1:12" x14ac:dyDescent="0.25">
      <c r="A1111" t="str">
        <f t="shared" si="17"/>
        <v>A536M292C1</v>
      </c>
      <c r="C1111">
        <v>1110</v>
      </c>
      <c r="D1111">
        <f>VLOOKUP(PREVIOS!C1111,ALUMNOS!A:B,2,FALSE)</f>
        <v>536</v>
      </c>
      <c r="E1111">
        <f>VLOOKUP(PREVIOS!E1111&amp;'TABLA PREVIOS'!J1111,MATERIAS!A:H,7,FALSE)</f>
        <v>292</v>
      </c>
      <c r="F1111">
        <f>VLOOKUP(PREVIOS!G1111,CONDICION!A:B,2,FALSE)</f>
        <v>1</v>
      </c>
      <c r="G1111">
        <f>IF(PREVIOS!AG1111=1,1,VLOOKUP(PREVIOS!AG1111,CALIFICACION!A:C,3,FALSE))</f>
        <v>1</v>
      </c>
      <c r="H1111" s="1" t="s">
        <v>534</v>
      </c>
      <c r="I1111" s="1" t="s">
        <v>534</v>
      </c>
      <c r="J1111">
        <f>VLOOKUP(PREVIOS!F1111&amp;VLOOKUP(PREVIOS!I1111,PLAN!A:B,2,FALSE),CURSO!A:D,4,FALSE)</f>
        <v>22</v>
      </c>
      <c r="K1111">
        <f>VLOOKUP(PREVIOS!H1111,CICLO!A:B,2,FALSE)</f>
        <v>56</v>
      </c>
      <c r="L1111">
        <f>VLOOKUP(PREVIOS!I1111,PLAN!A:B,2,FALSE)</f>
        <v>6</v>
      </c>
    </row>
    <row r="1112" spans="1:12" x14ac:dyDescent="0.25">
      <c r="A1112" t="str">
        <f t="shared" si="17"/>
        <v>A536M282C1</v>
      </c>
      <c r="C1112">
        <v>1111</v>
      </c>
      <c r="D1112">
        <f>VLOOKUP(PREVIOS!C1112,ALUMNOS!A:B,2,FALSE)</f>
        <v>536</v>
      </c>
      <c r="E1112">
        <f>VLOOKUP(PREVIOS!E1112&amp;'TABLA PREVIOS'!J1112,MATERIAS!A:H,7,FALSE)</f>
        <v>282</v>
      </c>
      <c r="F1112">
        <f>VLOOKUP(PREVIOS!G1112,CONDICION!A:B,2,FALSE)</f>
        <v>1</v>
      </c>
      <c r="G1112">
        <f>IF(PREVIOS!AG1112=1,1,VLOOKUP(PREVIOS!AG1112,CALIFICACION!A:C,3,FALSE))</f>
        <v>1</v>
      </c>
      <c r="H1112" s="1" t="s">
        <v>534</v>
      </c>
      <c r="I1112" s="1" t="s">
        <v>534</v>
      </c>
      <c r="J1112">
        <f>VLOOKUP(PREVIOS!F1112&amp;VLOOKUP(PREVIOS!I1112,PLAN!A:B,2,FALSE),CURSO!A:D,4,FALSE)</f>
        <v>22</v>
      </c>
      <c r="K1112">
        <f>VLOOKUP(PREVIOS!H1112,CICLO!A:B,2,FALSE)</f>
        <v>56</v>
      </c>
      <c r="L1112">
        <f>VLOOKUP(PREVIOS!I1112,PLAN!A:B,2,FALSE)</f>
        <v>6</v>
      </c>
    </row>
    <row r="1113" spans="1:12" x14ac:dyDescent="0.25">
      <c r="A1113" t="str">
        <f t="shared" si="17"/>
        <v>A536M281C1</v>
      </c>
      <c r="C1113">
        <v>1112</v>
      </c>
      <c r="D1113">
        <f>VLOOKUP(PREVIOS!C1113,ALUMNOS!A:B,2,FALSE)</f>
        <v>536</v>
      </c>
      <c r="E1113">
        <f>VLOOKUP(PREVIOS!E1113&amp;'TABLA PREVIOS'!J1113,MATERIAS!A:H,7,FALSE)</f>
        <v>281</v>
      </c>
      <c r="F1113">
        <f>VLOOKUP(PREVIOS!G1113,CONDICION!A:B,2,FALSE)</f>
        <v>1</v>
      </c>
      <c r="G1113">
        <f>IF(PREVIOS!AG1113=1,1,VLOOKUP(PREVIOS!AG1113,CALIFICACION!A:C,3,FALSE))</f>
        <v>1</v>
      </c>
      <c r="H1113" s="1" t="s">
        <v>534</v>
      </c>
      <c r="I1113" s="1" t="s">
        <v>534</v>
      </c>
      <c r="J1113">
        <f>VLOOKUP(PREVIOS!F1113&amp;VLOOKUP(PREVIOS!I1113,PLAN!A:B,2,FALSE),CURSO!A:D,4,FALSE)</f>
        <v>22</v>
      </c>
      <c r="K1113">
        <f>VLOOKUP(PREVIOS!H1113,CICLO!A:B,2,FALSE)</f>
        <v>56</v>
      </c>
      <c r="L1113">
        <f>VLOOKUP(PREVIOS!I1113,PLAN!A:B,2,FALSE)</f>
        <v>6</v>
      </c>
    </row>
    <row r="1114" spans="1:12" x14ac:dyDescent="0.25">
      <c r="A1114" t="str">
        <f t="shared" si="17"/>
        <v>A536M288C1</v>
      </c>
      <c r="C1114">
        <v>1113</v>
      </c>
      <c r="D1114">
        <f>VLOOKUP(PREVIOS!C1114,ALUMNOS!A:B,2,FALSE)</f>
        <v>536</v>
      </c>
      <c r="E1114">
        <f>VLOOKUP(PREVIOS!E1114&amp;'TABLA PREVIOS'!J1114,MATERIAS!A:H,7,FALSE)</f>
        <v>288</v>
      </c>
      <c r="F1114">
        <f>VLOOKUP(PREVIOS!G1114,CONDICION!A:B,2,FALSE)</f>
        <v>1</v>
      </c>
      <c r="G1114">
        <f>IF(PREVIOS!AG1114=1,1,VLOOKUP(PREVIOS!AG1114,CALIFICACION!A:C,3,FALSE))</f>
        <v>1</v>
      </c>
      <c r="H1114" s="1" t="s">
        <v>534</v>
      </c>
      <c r="I1114" s="1" t="s">
        <v>534</v>
      </c>
      <c r="J1114">
        <f>VLOOKUP(PREVIOS!F1114&amp;VLOOKUP(PREVIOS!I1114,PLAN!A:B,2,FALSE),CURSO!A:D,4,FALSE)</f>
        <v>22</v>
      </c>
      <c r="K1114">
        <f>VLOOKUP(PREVIOS!H1114,CICLO!A:B,2,FALSE)</f>
        <v>56</v>
      </c>
      <c r="L1114">
        <f>VLOOKUP(PREVIOS!I1114,PLAN!A:B,2,FALSE)</f>
        <v>6</v>
      </c>
    </row>
    <row r="1115" spans="1:12" x14ac:dyDescent="0.25">
      <c r="A1115" t="str">
        <f t="shared" si="17"/>
        <v>A536M290C1</v>
      </c>
      <c r="C1115">
        <v>1114</v>
      </c>
      <c r="D1115">
        <f>VLOOKUP(PREVIOS!C1115,ALUMNOS!A:B,2,FALSE)</f>
        <v>536</v>
      </c>
      <c r="E1115">
        <f>VLOOKUP(PREVIOS!E1115&amp;'TABLA PREVIOS'!J1115,MATERIAS!A:H,7,FALSE)</f>
        <v>290</v>
      </c>
      <c r="F1115">
        <f>VLOOKUP(PREVIOS!G1115,CONDICION!A:B,2,FALSE)</f>
        <v>1</v>
      </c>
      <c r="G1115">
        <f>IF(PREVIOS!AG1115=1,1,VLOOKUP(PREVIOS!AG1115,CALIFICACION!A:C,3,FALSE))</f>
        <v>1</v>
      </c>
      <c r="H1115" s="1" t="s">
        <v>534</v>
      </c>
      <c r="I1115" s="1" t="s">
        <v>534</v>
      </c>
      <c r="J1115">
        <f>VLOOKUP(PREVIOS!F1115&amp;VLOOKUP(PREVIOS!I1115,PLAN!A:B,2,FALSE),CURSO!A:D,4,FALSE)</f>
        <v>22</v>
      </c>
      <c r="K1115">
        <f>VLOOKUP(PREVIOS!H1115,CICLO!A:B,2,FALSE)</f>
        <v>56</v>
      </c>
      <c r="L1115">
        <f>VLOOKUP(PREVIOS!I1115,PLAN!A:B,2,FALSE)</f>
        <v>6</v>
      </c>
    </row>
    <row r="1116" spans="1:12" x14ac:dyDescent="0.25">
      <c r="A1116" t="str">
        <f t="shared" si="17"/>
        <v>A581M281C1</v>
      </c>
      <c r="C1116">
        <v>1115</v>
      </c>
      <c r="D1116">
        <f>VLOOKUP(PREVIOS!C1116,ALUMNOS!A:B,2,FALSE)</f>
        <v>581</v>
      </c>
      <c r="E1116">
        <f>VLOOKUP(PREVIOS!E1116&amp;'TABLA PREVIOS'!J1116,MATERIAS!A:H,7,FALSE)</f>
        <v>281</v>
      </c>
      <c r="F1116">
        <f>VLOOKUP(PREVIOS!G1116,CONDICION!A:B,2,FALSE)</f>
        <v>1</v>
      </c>
      <c r="G1116">
        <f>IF(PREVIOS!AG1116=1,1,VLOOKUP(PREVIOS!AG1116,CALIFICACION!A:C,3,FALSE))</f>
        <v>9</v>
      </c>
      <c r="H1116" s="1" t="s">
        <v>534</v>
      </c>
      <c r="I1116" s="1" t="s">
        <v>534</v>
      </c>
      <c r="J1116">
        <f>VLOOKUP(PREVIOS!F1116&amp;VLOOKUP(PREVIOS!I1116,PLAN!A:B,2,FALSE),CURSO!A:D,4,FALSE)</f>
        <v>22</v>
      </c>
      <c r="K1116">
        <f>VLOOKUP(PREVIOS!H1116,CICLO!A:B,2,FALSE)</f>
        <v>56</v>
      </c>
      <c r="L1116">
        <f>VLOOKUP(PREVIOS!I1116,PLAN!A:B,2,FALSE)</f>
        <v>6</v>
      </c>
    </row>
    <row r="1117" spans="1:12" x14ac:dyDescent="0.25">
      <c r="A1117" t="str">
        <f t="shared" si="17"/>
        <v>A716M230C1</v>
      </c>
      <c r="C1117">
        <v>1116</v>
      </c>
      <c r="D1117">
        <f>VLOOKUP(PREVIOS!C1117,ALUMNOS!A:B,2,FALSE)</f>
        <v>716</v>
      </c>
      <c r="E1117">
        <f>VLOOKUP(PREVIOS!E1117&amp;'TABLA PREVIOS'!J1117,MATERIAS!A:H,7,FALSE)</f>
        <v>230</v>
      </c>
      <c r="F1117">
        <f>VLOOKUP(PREVIOS!G1117,CONDICION!A:B,2,FALSE)</f>
        <v>1</v>
      </c>
      <c r="G1117">
        <f>IF(PREVIOS!AG1117=1,1,VLOOKUP(PREVIOS!AG1117,CALIFICACION!A:C,3,FALSE))</f>
        <v>9</v>
      </c>
      <c r="H1117" s="1" t="s">
        <v>534</v>
      </c>
      <c r="I1117" s="1" t="s">
        <v>534</v>
      </c>
      <c r="J1117">
        <f>VLOOKUP(PREVIOS!F1117&amp;VLOOKUP(PREVIOS!I1117,PLAN!A:B,2,FALSE),CURSO!A:D,4,FALSE)</f>
        <v>18</v>
      </c>
      <c r="K1117">
        <f>VLOOKUP(PREVIOS!H1117,CICLO!A:B,2,FALSE)</f>
        <v>52</v>
      </c>
      <c r="L1117">
        <f>VLOOKUP(PREVIOS!I1117,PLAN!A:B,2,FALSE)</f>
        <v>5</v>
      </c>
    </row>
    <row r="1118" spans="1:12" x14ac:dyDescent="0.25">
      <c r="A1118" t="str">
        <f t="shared" si="17"/>
        <v>A716M263C1</v>
      </c>
      <c r="C1118">
        <v>1117</v>
      </c>
      <c r="D1118">
        <f>VLOOKUP(PREVIOS!C1118,ALUMNOS!A:B,2,FALSE)</f>
        <v>716</v>
      </c>
      <c r="E1118">
        <f>VLOOKUP(PREVIOS!E1118&amp;'TABLA PREVIOS'!J1118,MATERIAS!A:H,7,FALSE)</f>
        <v>263</v>
      </c>
      <c r="F1118">
        <f>VLOOKUP(PREVIOS!G1118,CONDICION!A:B,2,FALSE)</f>
        <v>1</v>
      </c>
      <c r="G1118">
        <f>IF(PREVIOS!AG1118=1,1,VLOOKUP(PREVIOS!AG1118,CALIFICACION!A:C,3,FALSE))</f>
        <v>11</v>
      </c>
      <c r="H1118" s="1" t="s">
        <v>534</v>
      </c>
      <c r="I1118" s="1" t="s">
        <v>534</v>
      </c>
      <c r="J1118">
        <f>VLOOKUP(PREVIOS!F1118&amp;VLOOKUP(PREVIOS!I1118,PLAN!A:B,2,FALSE),CURSO!A:D,4,FALSE)</f>
        <v>21</v>
      </c>
      <c r="K1118">
        <f>VLOOKUP(PREVIOS!H1118,CICLO!A:B,2,FALSE)</f>
        <v>55</v>
      </c>
      <c r="L1118">
        <f>VLOOKUP(PREVIOS!I1118,PLAN!A:B,2,FALSE)</f>
        <v>6</v>
      </c>
    </row>
    <row r="1119" spans="1:12" x14ac:dyDescent="0.25">
      <c r="A1119" t="str">
        <f t="shared" si="17"/>
        <v>A716M288C1</v>
      </c>
      <c r="C1119">
        <v>1118</v>
      </c>
      <c r="D1119">
        <f>VLOOKUP(PREVIOS!C1119,ALUMNOS!A:B,2,FALSE)</f>
        <v>716</v>
      </c>
      <c r="E1119">
        <f>VLOOKUP(PREVIOS!E1119&amp;'TABLA PREVIOS'!J1119,MATERIAS!A:H,7,FALSE)</f>
        <v>288</v>
      </c>
      <c r="F1119">
        <f>VLOOKUP(PREVIOS!G1119,CONDICION!A:B,2,FALSE)</f>
        <v>1</v>
      </c>
      <c r="G1119">
        <f>IF(PREVIOS!AG1119=1,1,VLOOKUP(PREVIOS!AG1119,CALIFICACION!A:C,3,FALSE))</f>
        <v>1</v>
      </c>
      <c r="H1119" s="1" t="s">
        <v>534</v>
      </c>
      <c r="I1119" s="1" t="s">
        <v>534</v>
      </c>
      <c r="J1119">
        <f>VLOOKUP(PREVIOS!F1119&amp;VLOOKUP(PREVIOS!I1119,PLAN!A:B,2,FALSE),CURSO!A:D,4,FALSE)</f>
        <v>22</v>
      </c>
      <c r="K1119">
        <f>VLOOKUP(PREVIOS!H1119,CICLO!A:B,2,FALSE)</f>
        <v>56</v>
      </c>
      <c r="L1119">
        <f>VLOOKUP(PREVIOS!I1119,PLAN!A:B,2,FALSE)</f>
        <v>6</v>
      </c>
    </row>
    <row r="1120" spans="1:12" x14ac:dyDescent="0.25">
      <c r="A1120" t="str">
        <f t="shared" si="17"/>
        <v>A786M281C1</v>
      </c>
      <c r="C1120">
        <v>1119</v>
      </c>
      <c r="D1120">
        <f>VLOOKUP(PREVIOS!C1120,ALUMNOS!A:B,2,FALSE)</f>
        <v>786</v>
      </c>
      <c r="E1120">
        <f>VLOOKUP(PREVIOS!E1120&amp;'TABLA PREVIOS'!J1120,MATERIAS!A:H,7,FALSE)</f>
        <v>281</v>
      </c>
      <c r="F1120">
        <f>VLOOKUP(PREVIOS!G1120,CONDICION!A:B,2,FALSE)</f>
        <v>1</v>
      </c>
      <c r="G1120">
        <f>IF(PREVIOS!AG1120=1,1,VLOOKUP(PREVIOS!AG1120,CALIFICACION!A:C,3,FALSE))</f>
        <v>1</v>
      </c>
      <c r="H1120" s="1" t="s">
        <v>534</v>
      </c>
      <c r="I1120" s="1" t="s">
        <v>534</v>
      </c>
      <c r="J1120">
        <f>VLOOKUP(PREVIOS!F1120&amp;VLOOKUP(PREVIOS!I1120,PLAN!A:B,2,FALSE),CURSO!A:D,4,FALSE)</f>
        <v>22</v>
      </c>
      <c r="K1120">
        <f>VLOOKUP(PREVIOS!H1120,CICLO!A:B,2,FALSE)</f>
        <v>56</v>
      </c>
      <c r="L1120">
        <f>VLOOKUP(PREVIOS!I1120,PLAN!A:B,2,FALSE)</f>
        <v>6</v>
      </c>
    </row>
    <row r="1121" spans="1:12" x14ac:dyDescent="0.25">
      <c r="A1121" t="str">
        <f t="shared" si="17"/>
        <v>A786M288C1</v>
      </c>
      <c r="C1121">
        <v>1120</v>
      </c>
      <c r="D1121">
        <f>VLOOKUP(PREVIOS!C1121,ALUMNOS!A:B,2,FALSE)</f>
        <v>786</v>
      </c>
      <c r="E1121">
        <f>VLOOKUP(PREVIOS!E1121&amp;'TABLA PREVIOS'!J1121,MATERIAS!A:H,7,FALSE)</f>
        <v>288</v>
      </c>
      <c r="F1121">
        <f>VLOOKUP(PREVIOS!G1121,CONDICION!A:B,2,FALSE)</f>
        <v>1</v>
      </c>
      <c r="G1121">
        <f>IF(PREVIOS!AG1121=1,1,VLOOKUP(PREVIOS!AG1121,CALIFICACION!A:C,3,FALSE))</f>
        <v>9</v>
      </c>
      <c r="H1121" s="1" t="s">
        <v>534</v>
      </c>
      <c r="I1121" s="1" t="s">
        <v>534</v>
      </c>
      <c r="J1121">
        <f>VLOOKUP(PREVIOS!F1121&amp;VLOOKUP(PREVIOS!I1121,PLAN!A:B,2,FALSE),CURSO!A:D,4,FALSE)</f>
        <v>22</v>
      </c>
      <c r="K1121">
        <f>VLOOKUP(PREVIOS!H1121,CICLO!A:B,2,FALSE)</f>
        <v>56</v>
      </c>
      <c r="L1121">
        <f>VLOOKUP(PREVIOS!I1121,PLAN!A:B,2,FALSE)</f>
        <v>6</v>
      </c>
    </row>
    <row r="1122" spans="1:12" x14ac:dyDescent="0.25">
      <c r="A1122" t="str">
        <f t="shared" si="17"/>
        <v>A84M273C1</v>
      </c>
      <c r="C1122">
        <v>1121</v>
      </c>
      <c r="D1122">
        <f>VLOOKUP(PREVIOS!C1122,ALUMNOS!A:B,2,FALSE)</f>
        <v>84</v>
      </c>
      <c r="E1122">
        <f>VLOOKUP(PREVIOS!E1122&amp;'TABLA PREVIOS'!J1122,MATERIAS!A:H,7,FALSE)</f>
        <v>273</v>
      </c>
      <c r="F1122">
        <f>VLOOKUP(PREVIOS!G1122,CONDICION!A:B,2,FALSE)</f>
        <v>1</v>
      </c>
      <c r="G1122">
        <f>IF(PREVIOS!AG1122=1,1,VLOOKUP(PREVIOS!AG1122,CALIFICACION!A:C,3,FALSE))</f>
        <v>1</v>
      </c>
      <c r="H1122" s="1" t="s">
        <v>534</v>
      </c>
      <c r="I1122" s="1" t="s">
        <v>534</v>
      </c>
      <c r="J1122">
        <f>VLOOKUP(PREVIOS!F1122&amp;VLOOKUP(PREVIOS!I1122,PLAN!A:B,2,FALSE),CURSO!A:D,4,FALSE)</f>
        <v>21</v>
      </c>
      <c r="K1122">
        <f>VLOOKUP(PREVIOS!H1122,CICLO!A:B,2,FALSE)</f>
        <v>55</v>
      </c>
      <c r="L1122">
        <f>VLOOKUP(PREVIOS!I1122,PLAN!A:B,2,FALSE)</f>
        <v>6</v>
      </c>
    </row>
    <row r="1123" spans="1:12" x14ac:dyDescent="0.25">
      <c r="A1123" t="str">
        <f t="shared" si="17"/>
        <v>A84M281C1</v>
      </c>
      <c r="C1123">
        <v>1122</v>
      </c>
      <c r="D1123">
        <f>VLOOKUP(PREVIOS!C1123,ALUMNOS!A:B,2,FALSE)</f>
        <v>84</v>
      </c>
      <c r="E1123">
        <f>VLOOKUP(PREVIOS!E1123&amp;'TABLA PREVIOS'!J1123,MATERIAS!A:H,7,FALSE)</f>
        <v>281</v>
      </c>
      <c r="F1123">
        <f>VLOOKUP(PREVIOS!G1123,CONDICION!A:B,2,FALSE)</f>
        <v>1</v>
      </c>
      <c r="G1123">
        <f>IF(PREVIOS!AG1123=1,1,VLOOKUP(PREVIOS!AG1123,CALIFICACION!A:C,3,FALSE))</f>
        <v>1</v>
      </c>
      <c r="H1123" s="1" t="s">
        <v>534</v>
      </c>
      <c r="I1123" s="1" t="s">
        <v>534</v>
      </c>
      <c r="J1123">
        <f>VLOOKUP(PREVIOS!F1123&amp;VLOOKUP(PREVIOS!I1123,PLAN!A:B,2,FALSE),CURSO!A:D,4,FALSE)</f>
        <v>22</v>
      </c>
      <c r="K1123">
        <f>VLOOKUP(PREVIOS!H1123,CICLO!A:B,2,FALSE)</f>
        <v>56</v>
      </c>
      <c r="L1123">
        <f>VLOOKUP(PREVIOS!I1123,PLAN!A:B,2,FALSE)</f>
        <v>6</v>
      </c>
    </row>
    <row r="1124" spans="1:12" x14ac:dyDescent="0.25">
      <c r="A1124" t="str">
        <f t="shared" si="17"/>
        <v>A84M290C1</v>
      </c>
      <c r="C1124">
        <v>1123</v>
      </c>
      <c r="D1124">
        <f>VLOOKUP(PREVIOS!C1124,ALUMNOS!A:B,2,FALSE)</f>
        <v>84</v>
      </c>
      <c r="E1124">
        <f>VLOOKUP(PREVIOS!E1124&amp;'TABLA PREVIOS'!J1124,MATERIAS!A:H,7,FALSE)</f>
        <v>290</v>
      </c>
      <c r="F1124">
        <f>VLOOKUP(PREVIOS!G1124,CONDICION!A:B,2,FALSE)</f>
        <v>1</v>
      </c>
      <c r="G1124">
        <f>IF(PREVIOS!AG1124=1,1,VLOOKUP(PREVIOS!AG1124,CALIFICACION!A:C,3,FALSE))</f>
        <v>1</v>
      </c>
      <c r="H1124" s="1" t="s">
        <v>534</v>
      </c>
      <c r="I1124" s="1" t="s">
        <v>534</v>
      </c>
      <c r="J1124">
        <f>VLOOKUP(PREVIOS!F1124&amp;VLOOKUP(PREVIOS!I1124,PLAN!A:B,2,FALSE),CURSO!A:D,4,FALSE)</f>
        <v>22</v>
      </c>
      <c r="K1124">
        <f>VLOOKUP(PREVIOS!H1124,CICLO!A:B,2,FALSE)</f>
        <v>56</v>
      </c>
      <c r="L1124">
        <f>VLOOKUP(PREVIOS!I1124,PLAN!A:B,2,FALSE)</f>
        <v>6</v>
      </c>
    </row>
    <row r="1125" spans="1:12" x14ac:dyDescent="0.25">
      <c r="A1125" t="str">
        <f t="shared" si="17"/>
        <v>A86M269C1</v>
      </c>
      <c r="C1125">
        <v>1124</v>
      </c>
      <c r="D1125">
        <f>VLOOKUP(PREVIOS!C1125,ALUMNOS!A:B,2,FALSE)</f>
        <v>86</v>
      </c>
      <c r="E1125">
        <f>VLOOKUP(PREVIOS!E1125&amp;'TABLA PREVIOS'!J1125,MATERIAS!A:H,7,FALSE)</f>
        <v>269</v>
      </c>
      <c r="F1125">
        <f>VLOOKUP(PREVIOS!G1125,CONDICION!A:B,2,FALSE)</f>
        <v>1</v>
      </c>
      <c r="G1125">
        <f>IF(PREVIOS!AG1125=1,1,VLOOKUP(PREVIOS!AG1125,CALIFICACION!A:C,3,FALSE))</f>
        <v>1</v>
      </c>
      <c r="H1125" s="1" t="s">
        <v>534</v>
      </c>
      <c r="I1125" s="1" t="s">
        <v>534</v>
      </c>
      <c r="J1125">
        <f>VLOOKUP(PREVIOS!F1125&amp;VLOOKUP(PREVIOS!I1125,PLAN!A:B,2,FALSE),CURSO!A:D,4,FALSE)</f>
        <v>21</v>
      </c>
      <c r="K1125">
        <f>VLOOKUP(PREVIOS!H1125,CICLO!A:B,2,FALSE)</f>
        <v>55</v>
      </c>
      <c r="L1125">
        <f>VLOOKUP(PREVIOS!I1125,PLAN!A:B,2,FALSE)</f>
        <v>6</v>
      </c>
    </row>
    <row r="1126" spans="1:12" x14ac:dyDescent="0.25">
      <c r="A1126" t="str">
        <f t="shared" si="17"/>
        <v>A86M273C1</v>
      </c>
      <c r="C1126">
        <v>1125</v>
      </c>
      <c r="D1126">
        <f>VLOOKUP(PREVIOS!C1126,ALUMNOS!A:B,2,FALSE)</f>
        <v>86</v>
      </c>
      <c r="E1126">
        <f>VLOOKUP(PREVIOS!E1126&amp;'TABLA PREVIOS'!J1126,MATERIAS!A:H,7,FALSE)</f>
        <v>273</v>
      </c>
      <c r="F1126">
        <f>VLOOKUP(PREVIOS!G1126,CONDICION!A:B,2,FALSE)</f>
        <v>1</v>
      </c>
      <c r="G1126">
        <f>IF(PREVIOS!AG1126=1,1,VLOOKUP(PREVIOS!AG1126,CALIFICACION!A:C,3,FALSE))</f>
        <v>1</v>
      </c>
      <c r="H1126" s="1" t="s">
        <v>534</v>
      </c>
      <c r="I1126" s="1" t="s">
        <v>534</v>
      </c>
      <c r="J1126">
        <f>VLOOKUP(PREVIOS!F1126&amp;VLOOKUP(PREVIOS!I1126,PLAN!A:B,2,FALSE),CURSO!A:D,4,FALSE)</f>
        <v>21</v>
      </c>
      <c r="K1126">
        <f>VLOOKUP(PREVIOS!H1126,CICLO!A:B,2,FALSE)</f>
        <v>55</v>
      </c>
      <c r="L1126">
        <f>VLOOKUP(PREVIOS!I1126,PLAN!A:B,2,FALSE)</f>
        <v>6</v>
      </c>
    </row>
    <row r="1127" spans="1:12" x14ac:dyDescent="0.25">
      <c r="A1127" t="str">
        <f t="shared" si="17"/>
        <v>A86M285C1</v>
      </c>
      <c r="C1127">
        <v>1126</v>
      </c>
      <c r="D1127">
        <f>VLOOKUP(PREVIOS!C1127,ALUMNOS!A:B,2,FALSE)</f>
        <v>86</v>
      </c>
      <c r="E1127">
        <f>VLOOKUP(PREVIOS!E1127&amp;'TABLA PREVIOS'!J1127,MATERIAS!A:H,7,FALSE)</f>
        <v>285</v>
      </c>
      <c r="F1127">
        <f>VLOOKUP(PREVIOS!G1127,CONDICION!A:B,2,FALSE)</f>
        <v>1</v>
      </c>
      <c r="G1127">
        <f>IF(PREVIOS!AG1127=1,1,VLOOKUP(PREVIOS!AG1127,CALIFICACION!A:C,3,FALSE))</f>
        <v>1</v>
      </c>
      <c r="H1127" s="1" t="s">
        <v>534</v>
      </c>
      <c r="I1127" s="1" t="s">
        <v>534</v>
      </c>
      <c r="J1127">
        <f>VLOOKUP(PREVIOS!F1127&amp;VLOOKUP(PREVIOS!I1127,PLAN!A:B,2,FALSE),CURSO!A:D,4,FALSE)</f>
        <v>22</v>
      </c>
      <c r="K1127">
        <f>VLOOKUP(PREVIOS!H1127,CICLO!A:B,2,FALSE)</f>
        <v>56</v>
      </c>
      <c r="L1127">
        <f>VLOOKUP(PREVIOS!I1127,PLAN!A:B,2,FALSE)</f>
        <v>6</v>
      </c>
    </row>
    <row r="1128" spans="1:12" x14ac:dyDescent="0.25">
      <c r="A1128" t="str">
        <f t="shared" si="17"/>
        <v>A86M284C1</v>
      </c>
      <c r="C1128">
        <v>1127</v>
      </c>
      <c r="D1128">
        <f>VLOOKUP(PREVIOS!C1128,ALUMNOS!A:B,2,FALSE)</f>
        <v>86</v>
      </c>
      <c r="E1128">
        <f>VLOOKUP(PREVIOS!E1128&amp;'TABLA PREVIOS'!J1128,MATERIAS!A:H,7,FALSE)</f>
        <v>284</v>
      </c>
      <c r="F1128">
        <f>VLOOKUP(PREVIOS!G1128,CONDICION!A:B,2,FALSE)</f>
        <v>1</v>
      </c>
      <c r="G1128">
        <f>IF(PREVIOS!AG1128=1,1,VLOOKUP(PREVIOS!AG1128,CALIFICACION!A:C,3,FALSE))</f>
        <v>1</v>
      </c>
      <c r="H1128" s="1" t="s">
        <v>534</v>
      </c>
      <c r="I1128" s="1" t="s">
        <v>534</v>
      </c>
      <c r="J1128">
        <f>VLOOKUP(PREVIOS!F1128&amp;VLOOKUP(PREVIOS!I1128,PLAN!A:B,2,FALSE),CURSO!A:D,4,FALSE)</f>
        <v>22</v>
      </c>
      <c r="K1128">
        <f>VLOOKUP(PREVIOS!H1128,CICLO!A:B,2,FALSE)</f>
        <v>56</v>
      </c>
      <c r="L1128">
        <f>VLOOKUP(PREVIOS!I1128,PLAN!A:B,2,FALSE)</f>
        <v>6</v>
      </c>
    </row>
    <row r="1129" spans="1:12" x14ac:dyDescent="0.25">
      <c r="A1129" t="str">
        <f t="shared" si="17"/>
        <v>A86M287C1</v>
      </c>
      <c r="C1129">
        <v>1128</v>
      </c>
      <c r="D1129">
        <f>VLOOKUP(PREVIOS!C1129,ALUMNOS!A:B,2,FALSE)</f>
        <v>86</v>
      </c>
      <c r="E1129">
        <f>VLOOKUP(PREVIOS!E1129&amp;'TABLA PREVIOS'!J1129,MATERIAS!A:H,7,FALSE)</f>
        <v>287</v>
      </c>
      <c r="F1129">
        <f>VLOOKUP(PREVIOS!G1129,CONDICION!A:B,2,FALSE)</f>
        <v>1</v>
      </c>
      <c r="G1129">
        <f>IF(PREVIOS!AG1129=1,1,VLOOKUP(PREVIOS!AG1129,CALIFICACION!A:C,3,FALSE))</f>
        <v>1</v>
      </c>
      <c r="H1129" s="1" t="s">
        <v>534</v>
      </c>
      <c r="I1129" s="1" t="s">
        <v>534</v>
      </c>
      <c r="J1129">
        <f>VLOOKUP(PREVIOS!F1129&amp;VLOOKUP(PREVIOS!I1129,PLAN!A:B,2,FALSE),CURSO!A:D,4,FALSE)</f>
        <v>22</v>
      </c>
      <c r="K1129">
        <f>VLOOKUP(PREVIOS!H1129,CICLO!A:B,2,FALSE)</f>
        <v>56</v>
      </c>
      <c r="L1129">
        <f>VLOOKUP(PREVIOS!I1129,PLAN!A:B,2,FALSE)</f>
        <v>6</v>
      </c>
    </row>
    <row r="1130" spans="1:12" x14ac:dyDescent="0.25">
      <c r="A1130" t="str">
        <f t="shared" si="17"/>
        <v>A86M286C1</v>
      </c>
      <c r="C1130">
        <v>1129</v>
      </c>
      <c r="D1130">
        <f>VLOOKUP(PREVIOS!C1130,ALUMNOS!A:B,2,FALSE)</f>
        <v>86</v>
      </c>
      <c r="E1130">
        <f>VLOOKUP(PREVIOS!E1130&amp;'TABLA PREVIOS'!J1130,MATERIAS!A:H,7,FALSE)</f>
        <v>286</v>
      </c>
      <c r="F1130">
        <f>VLOOKUP(PREVIOS!G1130,CONDICION!A:B,2,FALSE)</f>
        <v>1</v>
      </c>
      <c r="G1130">
        <f>IF(PREVIOS!AG1130=1,1,VLOOKUP(PREVIOS!AG1130,CALIFICACION!A:C,3,FALSE))</f>
        <v>1</v>
      </c>
      <c r="H1130" s="1" t="s">
        <v>534</v>
      </c>
      <c r="I1130" s="1" t="s">
        <v>534</v>
      </c>
      <c r="J1130">
        <f>VLOOKUP(PREVIOS!F1130&amp;VLOOKUP(PREVIOS!I1130,PLAN!A:B,2,FALSE),CURSO!A:D,4,FALSE)</f>
        <v>22</v>
      </c>
      <c r="K1130">
        <f>VLOOKUP(PREVIOS!H1130,CICLO!A:B,2,FALSE)</f>
        <v>56</v>
      </c>
      <c r="L1130">
        <f>VLOOKUP(PREVIOS!I1130,PLAN!A:B,2,FALSE)</f>
        <v>6</v>
      </c>
    </row>
    <row r="1131" spans="1:12" x14ac:dyDescent="0.25">
      <c r="A1131" t="str">
        <f t="shared" si="17"/>
        <v>A86M283C1</v>
      </c>
      <c r="C1131">
        <v>1130</v>
      </c>
      <c r="D1131">
        <f>VLOOKUP(PREVIOS!C1131,ALUMNOS!A:B,2,FALSE)</f>
        <v>86</v>
      </c>
      <c r="E1131">
        <f>VLOOKUP(PREVIOS!E1131&amp;'TABLA PREVIOS'!J1131,MATERIAS!A:H,7,FALSE)</f>
        <v>283</v>
      </c>
      <c r="F1131">
        <f>VLOOKUP(PREVIOS!G1131,CONDICION!A:B,2,FALSE)</f>
        <v>1</v>
      </c>
      <c r="G1131">
        <f>IF(PREVIOS!AG1131=1,1,VLOOKUP(PREVIOS!AG1131,CALIFICACION!A:C,3,FALSE))</f>
        <v>1</v>
      </c>
      <c r="H1131" s="1" t="s">
        <v>534</v>
      </c>
      <c r="I1131" s="1" t="s">
        <v>534</v>
      </c>
      <c r="J1131">
        <f>VLOOKUP(PREVIOS!F1131&amp;VLOOKUP(PREVIOS!I1131,PLAN!A:B,2,FALSE),CURSO!A:D,4,FALSE)</f>
        <v>22</v>
      </c>
      <c r="K1131">
        <f>VLOOKUP(PREVIOS!H1131,CICLO!A:B,2,FALSE)</f>
        <v>56</v>
      </c>
      <c r="L1131">
        <f>VLOOKUP(PREVIOS!I1131,PLAN!A:B,2,FALSE)</f>
        <v>6</v>
      </c>
    </row>
    <row r="1132" spans="1:12" x14ac:dyDescent="0.25">
      <c r="A1132" t="str">
        <f t="shared" si="17"/>
        <v>A86M292C1</v>
      </c>
      <c r="C1132">
        <v>1131</v>
      </c>
      <c r="D1132">
        <f>VLOOKUP(PREVIOS!C1132,ALUMNOS!A:B,2,FALSE)</f>
        <v>86</v>
      </c>
      <c r="E1132">
        <f>VLOOKUP(PREVIOS!E1132&amp;'TABLA PREVIOS'!J1132,MATERIAS!A:H,7,FALSE)</f>
        <v>292</v>
      </c>
      <c r="F1132">
        <f>VLOOKUP(PREVIOS!G1132,CONDICION!A:B,2,FALSE)</f>
        <v>1</v>
      </c>
      <c r="G1132">
        <f>IF(PREVIOS!AG1132=1,1,VLOOKUP(PREVIOS!AG1132,CALIFICACION!A:C,3,FALSE))</f>
        <v>1</v>
      </c>
      <c r="H1132" s="1" t="s">
        <v>534</v>
      </c>
      <c r="I1132" s="1" t="s">
        <v>534</v>
      </c>
      <c r="J1132">
        <f>VLOOKUP(PREVIOS!F1132&amp;VLOOKUP(PREVIOS!I1132,PLAN!A:B,2,FALSE),CURSO!A:D,4,FALSE)</f>
        <v>22</v>
      </c>
      <c r="K1132">
        <f>VLOOKUP(PREVIOS!H1132,CICLO!A:B,2,FALSE)</f>
        <v>56</v>
      </c>
      <c r="L1132">
        <f>VLOOKUP(PREVIOS!I1132,PLAN!A:B,2,FALSE)</f>
        <v>6</v>
      </c>
    </row>
    <row r="1133" spans="1:12" x14ac:dyDescent="0.25">
      <c r="A1133" t="str">
        <f t="shared" si="17"/>
        <v>A86M282C1</v>
      </c>
      <c r="C1133">
        <v>1132</v>
      </c>
      <c r="D1133">
        <f>VLOOKUP(PREVIOS!C1133,ALUMNOS!A:B,2,FALSE)</f>
        <v>86</v>
      </c>
      <c r="E1133">
        <f>VLOOKUP(PREVIOS!E1133&amp;'TABLA PREVIOS'!J1133,MATERIAS!A:H,7,FALSE)</f>
        <v>282</v>
      </c>
      <c r="F1133">
        <f>VLOOKUP(PREVIOS!G1133,CONDICION!A:B,2,FALSE)</f>
        <v>1</v>
      </c>
      <c r="G1133">
        <f>IF(PREVIOS!AG1133=1,1,VLOOKUP(PREVIOS!AG1133,CALIFICACION!A:C,3,FALSE))</f>
        <v>1</v>
      </c>
      <c r="H1133" s="1" t="s">
        <v>534</v>
      </c>
      <c r="I1133" s="1" t="s">
        <v>534</v>
      </c>
      <c r="J1133">
        <f>VLOOKUP(PREVIOS!F1133&amp;VLOOKUP(PREVIOS!I1133,PLAN!A:B,2,FALSE),CURSO!A:D,4,FALSE)</f>
        <v>22</v>
      </c>
      <c r="K1133">
        <f>VLOOKUP(PREVIOS!H1133,CICLO!A:B,2,FALSE)</f>
        <v>56</v>
      </c>
      <c r="L1133">
        <f>VLOOKUP(PREVIOS!I1133,PLAN!A:B,2,FALSE)</f>
        <v>6</v>
      </c>
    </row>
    <row r="1134" spans="1:12" x14ac:dyDescent="0.25">
      <c r="A1134" t="str">
        <f t="shared" si="17"/>
        <v>A86M279C1</v>
      </c>
      <c r="C1134">
        <v>1133</v>
      </c>
      <c r="D1134">
        <f>VLOOKUP(PREVIOS!C1134,ALUMNOS!A:B,2,FALSE)</f>
        <v>86</v>
      </c>
      <c r="E1134">
        <f>VLOOKUP(PREVIOS!E1134&amp;'TABLA PREVIOS'!J1134,MATERIAS!A:H,7,FALSE)</f>
        <v>279</v>
      </c>
      <c r="F1134">
        <f>VLOOKUP(PREVIOS!G1134,CONDICION!A:B,2,FALSE)</f>
        <v>1</v>
      </c>
      <c r="G1134">
        <f>IF(PREVIOS!AG1134=1,1,VLOOKUP(PREVIOS!AG1134,CALIFICACION!A:C,3,FALSE))</f>
        <v>1</v>
      </c>
      <c r="H1134" s="1" t="s">
        <v>534</v>
      </c>
      <c r="I1134" s="1" t="s">
        <v>534</v>
      </c>
      <c r="J1134">
        <f>VLOOKUP(PREVIOS!F1134&amp;VLOOKUP(PREVIOS!I1134,PLAN!A:B,2,FALSE),CURSO!A:D,4,FALSE)</f>
        <v>22</v>
      </c>
      <c r="K1134">
        <f>VLOOKUP(PREVIOS!H1134,CICLO!A:B,2,FALSE)</f>
        <v>56</v>
      </c>
      <c r="L1134">
        <f>VLOOKUP(PREVIOS!I1134,PLAN!A:B,2,FALSE)</f>
        <v>6</v>
      </c>
    </row>
    <row r="1135" spans="1:12" x14ac:dyDescent="0.25">
      <c r="A1135" t="str">
        <f t="shared" si="17"/>
        <v>A86M280C1</v>
      </c>
      <c r="C1135">
        <v>1134</v>
      </c>
      <c r="D1135">
        <f>VLOOKUP(PREVIOS!C1135,ALUMNOS!A:B,2,FALSE)</f>
        <v>86</v>
      </c>
      <c r="E1135">
        <f>VLOOKUP(PREVIOS!E1135&amp;'TABLA PREVIOS'!J1135,MATERIAS!A:H,7,FALSE)</f>
        <v>280</v>
      </c>
      <c r="F1135">
        <f>VLOOKUP(PREVIOS!G1135,CONDICION!A:B,2,FALSE)</f>
        <v>1</v>
      </c>
      <c r="G1135">
        <f>IF(PREVIOS!AG1135=1,1,VLOOKUP(PREVIOS!AG1135,CALIFICACION!A:C,3,FALSE))</f>
        <v>1</v>
      </c>
      <c r="H1135" s="1" t="s">
        <v>534</v>
      </c>
      <c r="I1135" s="1" t="s">
        <v>534</v>
      </c>
      <c r="J1135">
        <f>VLOOKUP(PREVIOS!F1135&amp;VLOOKUP(PREVIOS!I1135,PLAN!A:B,2,FALSE),CURSO!A:D,4,FALSE)</f>
        <v>22</v>
      </c>
      <c r="K1135">
        <f>VLOOKUP(PREVIOS!H1135,CICLO!A:B,2,FALSE)</f>
        <v>56</v>
      </c>
      <c r="L1135">
        <f>VLOOKUP(PREVIOS!I1135,PLAN!A:B,2,FALSE)</f>
        <v>6</v>
      </c>
    </row>
    <row r="1136" spans="1:12" x14ac:dyDescent="0.25">
      <c r="A1136" t="str">
        <f t="shared" si="17"/>
        <v>A86M281C1</v>
      </c>
      <c r="C1136">
        <v>1135</v>
      </c>
      <c r="D1136">
        <f>VLOOKUP(PREVIOS!C1136,ALUMNOS!A:B,2,FALSE)</f>
        <v>86</v>
      </c>
      <c r="E1136">
        <f>VLOOKUP(PREVIOS!E1136&amp;'TABLA PREVIOS'!J1136,MATERIAS!A:H,7,FALSE)</f>
        <v>281</v>
      </c>
      <c r="F1136">
        <f>VLOOKUP(PREVIOS!G1136,CONDICION!A:B,2,FALSE)</f>
        <v>1</v>
      </c>
      <c r="G1136">
        <f>IF(PREVIOS!AG1136=1,1,VLOOKUP(PREVIOS!AG1136,CALIFICACION!A:C,3,FALSE))</f>
        <v>1</v>
      </c>
      <c r="H1136" s="1" t="s">
        <v>534</v>
      </c>
      <c r="I1136" s="1" t="s">
        <v>534</v>
      </c>
      <c r="J1136">
        <f>VLOOKUP(PREVIOS!F1136&amp;VLOOKUP(PREVIOS!I1136,PLAN!A:B,2,FALSE),CURSO!A:D,4,FALSE)</f>
        <v>22</v>
      </c>
      <c r="K1136">
        <f>VLOOKUP(PREVIOS!H1136,CICLO!A:B,2,FALSE)</f>
        <v>56</v>
      </c>
      <c r="L1136">
        <f>VLOOKUP(PREVIOS!I1136,PLAN!A:B,2,FALSE)</f>
        <v>6</v>
      </c>
    </row>
    <row r="1137" spans="1:12" x14ac:dyDescent="0.25">
      <c r="A1137" t="str">
        <f t="shared" si="17"/>
        <v>A86M290C1</v>
      </c>
      <c r="C1137">
        <v>1136</v>
      </c>
      <c r="D1137">
        <f>VLOOKUP(PREVIOS!C1137,ALUMNOS!A:B,2,FALSE)</f>
        <v>86</v>
      </c>
      <c r="E1137">
        <f>VLOOKUP(PREVIOS!E1137&amp;'TABLA PREVIOS'!J1137,MATERIAS!A:H,7,FALSE)</f>
        <v>290</v>
      </c>
      <c r="F1137">
        <f>VLOOKUP(PREVIOS!G1137,CONDICION!A:B,2,FALSE)</f>
        <v>1</v>
      </c>
      <c r="G1137">
        <f>IF(PREVIOS!AG1137=1,1,VLOOKUP(PREVIOS!AG1137,CALIFICACION!A:C,3,FALSE))</f>
        <v>1</v>
      </c>
      <c r="H1137" s="1" t="s">
        <v>534</v>
      </c>
      <c r="I1137" s="1" t="s">
        <v>534</v>
      </c>
      <c r="J1137">
        <f>VLOOKUP(PREVIOS!F1137&amp;VLOOKUP(PREVIOS!I1137,PLAN!A:B,2,FALSE),CURSO!A:D,4,FALSE)</f>
        <v>22</v>
      </c>
      <c r="K1137">
        <f>VLOOKUP(PREVIOS!H1137,CICLO!A:B,2,FALSE)</f>
        <v>56</v>
      </c>
      <c r="L1137">
        <f>VLOOKUP(PREVIOS!I1137,PLAN!A:B,2,FALSE)</f>
        <v>6</v>
      </c>
    </row>
    <row r="1138" spans="1:12" x14ac:dyDescent="0.25">
      <c r="A1138" t="str">
        <f t="shared" si="17"/>
        <v>A196M273C1</v>
      </c>
      <c r="C1138">
        <v>1137</v>
      </c>
      <c r="D1138">
        <f>VLOOKUP(PREVIOS!C1138,ALUMNOS!A:B,2,FALSE)</f>
        <v>196</v>
      </c>
      <c r="E1138">
        <f>VLOOKUP(PREVIOS!E1138&amp;'TABLA PREVIOS'!J1138,MATERIAS!A:H,7,FALSE)</f>
        <v>273</v>
      </c>
      <c r="F1138">
        <f>VLOOKUP(PREVIOS!G1138,CONDICION!A:B,2,FALSE)</f>
        <v>1</v>
      </c>
      <c r="G1138">
        <f>IF(PREVIOS!AG1138=1,1,VLOOKUP(PREVIOS!AG1138,CALIFICACION!A:C,3,FALSE))</f>
        <v>9</v>
      </c>
      <c r="H1138" s="1" t="s">
        <v>534</v>
      </c>
      <c r="I1138" s="1" t="s">
        <v>534</v>
      </c>
      <c r="J1138">
        <f>VLOOKUP(PREVIOS!F1138&amp;VLOOKUP(PREVIOS!I1138,PLAN!A:B,2,FALSE),CURSO!A:D,4,FALSE)</f>
        <v>21</v>
      </c>
      <c r="K1138">
        <f>VLOOKUP(PREVIOS!H1138,CICLO!A:B,2,FALSE)</f>
        <v>55</v>
      </c>
      <c r="L1138">
        <f>VLOOKUP(PREVIOS!I1138,PLAN!A:B,2,FALSE)</f>
        <v>6</v>
      </c>
    </row>
    <row r="1139" spans="1:12" x14ac:dyDescent="0.25">
      <c r="A1139" t="str">
        <f t="shared" si="17"/>
        <v>A296M274C1</v>
      </c>
      <c r="C1139">
        <v>1138</v>
      </c>
      <c r="D1139">
        <f>VLOOKUP(PREVIOS!C1139,ALUMNOS!A:B,2,FALSE)</f>
        <v>296</v>
      </c>
      <c r="E1139">
        <f>VLOOKUP(PREVIOS!E1139&amp;'TABLA PREVIOS'!J1139,MATERIAS!A:H,7,FALSE)</f>
        <v>274</v>
      </c>
      <c r="F1139">
        <f>VLOOKUP(PREVIOS!G1139,CONDICION!A:B,2,FALSE)</f>
        <v>1</v>
      </c>
      <c r="G1139">
        <f>IF(PREVIOS!AG1139=1,1,VLOOKUP(PREVIOS!AG1139,CALIFICACION!A:C,3,FALSE))</f>
        <v>1</v>
      </c>
      <c r="H1139" s="1" t="s">
        <v>534</v>
      </c>
      <c r="I1139" s="1" t="s">
        <v>534</v>
      </c>
      <c r="J1139">
        <f>VLOOKUP(PREVIOS!F1139&amp;VLOOKUP(PREVIOS!I1139,PLAN!A:B,2,FALSE),CURSO!A:D,4,FALSE)</f>
        <v>21</v>
      </c>
      <c r="K1139">
        <f>VLOOKUP(PREVIOS!H1139,CICLO!A:B,2,FALSE)</f>
        <v>55</v>
      </c>
      <c r="L1139">
        <f>VLOOKUP(PREVIOS!I1139,PLAN!A:B,2,FALSE)</f>
        <v>6</v>
      </c>
    </row>
    <row r="1140" spans="1:12" x14ac:dyDescent="0.25">
      <c r="A1140" t="str">
        <f t="shared" si="17"/>
        <v>A296M273C1</v>
      </c>
      <c r="C1140">
        <v>1139</v>
      </c>
      <c r="D1140">
        <f>VLOOKUP(PREVIOS!C1140,ALUMNOS!A:B,2,FALSE)</f>
        <v>296</v>
      </c>
      <c r="E1140">
        <f>VLOOKUP(PREVIOS!E1140&amp;'TABLA PREVIOS'!J1140,MATERIAS!A:H,7,FALSE)</f>
        <v>273</v>
      </c>
      <c r="F1140">
        <f>VLOOKUP(PREVIOS!G1140,CONDICION!A:B,2,FALSE)</f>
        <v>1</v>
      </c>
      <c r="G1140">
        <f>IF(PREVIOS!AG1140=1,1,VLOOKUP(PREVIOS!AG1140,CALIFICACION!A:C,3,FALSE))</f>
        <v>1</v>
      </c>
      <c r="H1140" s="1" t="s">
        <v>534</v>
      </c>
      <c r="I1140" s="1" t="s">
        <v>534</v>
      </c>
      <c r="J1140">
        <f>VLOOKUP(PREVIOS!F1140&amp;VLOOKUP(PREVIOS!I1140,PLAN!A:B,2,FALSE),CURSO!A:D,4,FALSE)</f>
        <v>21</v>
      </c>
      <c r="K1140">
        <f>VLOOKUP(PREVIOS!H1140,CICLO!A:B,2,FALSE)</f>
        <v>55</v>
      </c>
      <c r="L1140">
        <f>VLOOKUP(PREVIOS!I1140,PLAN!A:B,2,FALSE)</f>
        <v>6</v>
      </c>
    </row>
    <row r="1141" spans="1:12" x14ac:dyDescent="0.25">
      <c r="A1141" t="str">
        <f t="shared" si="17"/>
        <v>A296M285C1</v>
      </c>
      <c r="C1141">
        <v>1140</v>
      </c>
      <c r="D1141">
        <f>VLOOKUP(PREVIOS!C1141,ALUMNOS!A:B,2,FALSE)</f>
        <v>296</v>
      </c>
      <c r="E1141">
        <f>VLOOKUP(PREVIOS!E1141&amp;'TABLA PREVIOS'!J1141,MATERIAS!A:H,7,FALSE)</f>
        <v>285</v>
      </c>
      <c r="F1141">
        <f>VLOOKUP(PREVIOS!G1141,CONDICION!A:B,2,FALSE)</f>
        <v>1</v>
      </c>
      <c r="G1141">
        <f>IF(PREVIOS!AG1141=1,1,VLOOKUP(PREVIOS!AG1141,CALIFICACION!A:C,3,FALSE))</f>
        <v>1</v>
      </c>
      <c r="H1141" s="1" t="s">
        <v>534</v>
      </c>
      <c r="I1141" s="1" t="s">
        <v>534</v>
      </c>
      <c r="J1141">
        <f>VLOOKUP(PREVIOS!F1141&amp;VLOOKUP(PREVIOS!I1141,PLAN!A:B,2,FALSE),CURSO!A:D,4,FALSE)</f>
        <v>22</v>
      </c>
      <c r="K1141">
        <f>VLOOKUP(PREVIOS!H1141,CICLO!A:B,2,FALSE)</f>
        <v>56</v>
      </c>
      <c r="L1141">
        <f>VLOOKUP(PREVIOS!I1141,PLAN!A:B,2,FALSE)</f>
        <v>6</v>
      </c>
    </row>
    <row r="1142" spans="1:12" x14ac:dyDescent="0.25">
      <c r="A1142" t="str">
        <f t="shared" si="17"/>
        <v>A296M284C1</v>
      </c>
      <c r="C1142">
        <v>1141</v>
      </c>
      <c r="D1142">
        <f>VLOOKUP(PREVIOS!C1142,ALUMNOS!A:B,2,FALSE)</f>
        <v>296</v>
      </c>
      <c r="E1142">
        <f>VLOOKUP(PREVIOS!E1142&amp;'TABLA PREVIOS'!J1142,MATERIAS!A:H,7,FALSE)</f>
        <v>284</v>
      </c>
      <c r="F1142">
        <f>VLOOKUP(PREVIOS!G1142,CONDICION!A:B,2,FALSE)</f>
        <v>1</v>
      </c>
      <c r="G1142">
        <f>IF(PREVIOS!AG1142=1,1,VLOOKUP(PREVIOS!AG1142,CALIFICACION!A:C,3,FALSE))</f>
        <v>1</v>
      </c>
      <c r="H1142" s="1" t="s">
        <v>534</v>
      </c>
      <c r="I1142" s="1" t="s">
        <v>534</v>
      </c>
      <c r="J1142">
        <f>VLOOKUP(PREVIOS!F1142&amp;VLOOKUP(PREVIOS!I1142,PLAN!A:B,2,FALSE),CURSO!A:D,4,FALSE)</f>
        <v>22</v>
      </c>
      <c r="K1142">
        <f>VLOOKUP(PREVIOS!H1142,CICLO!A:B,2,FALSE)</f>
        <v>56</v>
      </c>
      <c r="L1142">
        <f>VLOOKUP(PREVIOS!I1142,PLAN!A:B,2,FALSE)</f>
        <v>6</v>
      </c>
    </row>
    <row r="1143" spans="1:12" x14ac:dyDescent="0.25">
      <c r="A1143" t="str">
        <f t="shared" si="17"/>
        <v>A296M287C1</v>
      </c>
      <c r="C1143">
        <v>1142</v>
      </c>
      <c r="D1143">
        <f>VLOOKUP(PREVIOS!C1143,ALUMNOS!A:B,2,FALSE)</f>
        <v>296</v>
      </c>
      <c r="E1143">
        <f>VLOOKUP(PREVIOS!E1143&amp;'TABLA PREVIOS'!J1143,MATERIAS!A:H,7,FALSE)</f>
        <v>287</v>
      </c>
      <c r="F1143">
        <f>VLOOKUP(PREVIOS!G1143,CONDICION!A:B,2,FALSE)</f>
        <v>1</v>
      </c>
      <c r="G1143">
        <f>IF(PREVIOS!AG1143=1,1,VLOOKUP(PREVIOS!AG1143,CALIFICACION!A:C,3,FALSE))</f>
        <v>1</v>
      </c>
      <c r="H1143" s="1" t="s">
        <v>534</v>
      </c>
      <c r="I1143" s="1" t="s">
        <v>534</v>
      </c>
      <c r="J1143">
        <f>VLOOKUP(PREVIOS!F1143&amp;VLOOKUP(PREVIOS!I1143,PLAN!A:B,2,FALSE),CURSO!A:D,4,FALSE)</f>
        <v>22</v>
      </c>
      <c r="K1143">
        <f>VLOOKUP(PREVIOS!H1143,CICLO!A:B,2,FALSE)</f>
        <v>56</v>
      </c>
      <c r="L1143">
        <f>VLOOKUP(PREVIOS!I1143,PLAN!A:B,2,FALSE)</f>
        <v>6</v>
      </c>
    </row>
    <row r="1144" spans="1:12" x14ac:dyDescent="0.25">
      <c r="A1144" t="str">
        <f t="shared" si="17"/>
        <v>A296M286C1</v>
      </c>
      <c r="C1144">
        <v>1143</v>
      </c>
      <c r="D1144">
        <f>VLOOKUP(PREVIOS!C1144,ALUMNOS!A:B,2,FALSE)</f>
        <v>296</v>
      </c>
      <c r="E1144">
        <f>VLOOKUP(PREVIOS!E1144&amp;'TABLA PREVIOS'!J1144,MATERIAS!A:H,7,FALSE)</f>
        <v>286</v>
      </c>
      <c r="F1144">
        <f>VLOOKUP(PREVIOS!G1144,CONDICION!A:B,2,FALSE)</f>
        <v>1</v>
      </c>
      <c r="G1144">
        <f>IF(PREVIOS!AG1144=1,1,VLOOKUP(PREVIOS!AG1144,CALIFICACION!A:C,3,FALSE))</f>
        <v>1</v>
      </c>
      <c r="H1144" s="1" t="s">
        <v>534</v>
      </c>
      <c r="I1144" s="1" t="s">
        <v>534</v>
      </c>
      <c r="J1144">
        <f>VLOOKUP(PREVIOS!F1144&amp;VLOOKUP(PREVIOS!I1144,PLAN!A:B,2,FALSE),CURSO!A:D,4,FALSE)</f>
        <v>22</v>
      </c>
      <c r="K1144">
        <f>VLOOKUP(PREVIOS!H1144,CICLO!A:B,2,FALSE)</f>
        <v>56</v>
      </c>
      <c r="L1144">
        <f>VLOOKUP(PREVIOS!I1144,PLAN!A:B,2,FALSE)</f>
        <v>6</v>
      </c>
    </row>
    <row r="1145" spans="1:12" x14ac:dyDescent="0.25">
      <c r="A1145" t="str">
        <f t="shared" si="17"/>
        <v>A296M283C1</v>
      </c>
      <c r="C1145">
        <v>1144</v>
      </c>
      <c r="D1145">
        <f>VLOOKUP(PREVIOS!C1145,ALUMNOS!A:B,2,FALSE)</f>
        <v>296</v>
      </c>
      <c r="E1145">
        <f>VLOOKUP(PREVIOS!E1145&amp;'TABLA PREVIOS'!J1145,MATERIAS!A:H,7,FALSE)</f>
        <v>283</v>
      </c>
      <c r="F1145">
        <f>VLOOKUP(PREVIOS!G1145,CONDICION!A:B,2,FALSE)</f>
        <v>1</v>
      </c>
      <c r="G1145">
        <f>IF(PREVIOS!AG1145=1,1,VLOOKUP(PREVIOS!AG1145,CALIFICACION!A:C,3,FALSE))</f>
        <v>1</v>
      </c>
      <c r="H1145" s="1" t="s">
        <v>534</v>
      </c>
      <c r="I1145" s="1" t="s">
        <v>534</v>
      </c>
      <c r="J1145">
        <f>VLOOKUP(PREVIOS!F1145&amp;VLOOKUP(PREVIOS!I1145,PLAN!A:B,2,FALSE),CURSO!A:D,4,FALSE)</f>
        <v>22</v>
      </c>
      <c r="K1145">
        <f>VLOOKUP(PREVIOS!H1145,CICLO!A:B,2,FALSE)</f>
        <v>56</v>
      </c>
      <c r="L1145">
        <f>VLOOKUP(PREVIOS!I1145,PLAN!A:B,2,FALSE)</f>
        <v>6</v>
      </c>
    </row>
    <row r="1146" spans="1:12" x14ac:dyDescent="0.25">
      <c r="A1146" t="str">
        <f t="shared" si="17"/>
        <v>A296M292C1</v>
      </c>
      <c r="C1146">
        <v>1145</v>
      </c>
      <c r="D1146">
        <f>VLOOKUP(PREVIOS!C1146,ALUMNOS!A:B,2,FALSE)</f>
        <v>296</v>
      </c>
      <c r="E1146">
        <f>VLOOKUP(PREVIOS!E1146&amp;'TABLA PREVIOS'!J1146,MATERIAS!A:H,7,FALSE)</f>
        <v>292</v>
      </c>
      <c r="F1146">
        <f>VLOOKUP(PREVIOS!G1146,CONDICION!A:B,2,FALSE)</f>
        <v>1</v>
      </c>
      <c r="G1146">
        <f>IF(PREVIOS!AG1146=1,1,VLOOKUP(PREVIOS!AG1146,CALIFICACION!A:C,3,FALSE))</f>
        <v>1</v>
      </c>
      <c r="H1146" s="1" t="s">
        <v>534</v>
      </c>
      <c r="I1146" s="1" t="s">
        <v>534</v>
      </c>
      <c r="J1146">
        <f>VLOOKUP(PREVIOS!F1146&amp;VLOOKUP(PREVIOS!I1146,PLAN!A:B,2,FALSE),CURSO!A:D,4,FALSE)</f>
        <v>22</v>
      </c>
      <c r="K1146">
        <f>VLOOKUP(PREVIOS!H1146,CICLO!A:B,2,FALSE)</f>
        <v>56</v>
      </c>
      <c r="L1146">
        <f>VLOOKUP(PREVIOS!I1146,PLAN!A:B,2,FALSE)</f>
        <v>6</v>
      </c>
    </row>
    <row r="1147" spans="1:12" x14ac:dyDescent="0.25">
      <c r="A1147" t="str">
        <f t="shared" si="17"/>
        <v>A296M291C1</v>
      </c>
      <c r="C1147">
        <v>1146</v>
      </c>
      <c r="D1147">
        <f>VLOOKUP(PREVIOS!C1147,ALUMNOS!A:B,2,FALSE)</f>
        <v>296</v>
      </c>
      <c r="E1147">
        <f>VLOOKUP(PREVIOS!E1147&amp;'TABLA PREVIOS'!J1147,MATERIAS!A:H,7,FALSE)</f>
        <v>291</v>
      </c>
      <c r="F1147">
        <f>VLOOKUP(PREVIOS!G1147,CONDICION!A:B,2,FALSE)</f>
        <v>1</v>
      </c>
      <c r="G1147">
        <f>IF(PREVIOS!AG1147=1,1,VLOOKUP(PREVIOS!AG1147,CALIFICACION!A:C,3,FALSE))</f>
        <v>1</v>
      </c>
      <c r="H1147" s="1" t="s">
        <v>534</v>
      </c>
      <c r="I1147" s="1" t="s">
        <v>534</v>
      </c>
      <c r="J1147">
        <f>VLOOKUP(PREVIOS!F1147&amp;VLOOKUP(PREVIOS!I1147,PLAN!A:B,2,FALSE),CURSO!A:D,4,FALSE)</f>
        <v>22</v>
      </c>
      <c r="K1147">
        <f>VLOOKUP(PREVIOS!H1147,CICLO!A:B,2,FALSE)</f>
        <v>56</v>
      </c>
      <c r="L1147">
        <f>VLOOKUP(PREVIOS!I1147,PLAN!A:B,2,FALSE)</f>
        <v>6</v>
      </c>
    </row>
    <row r="1148" spans="1:12" x14ac:dyDescent="0.25">
      <c r="A1148" t="str">
        <f t="shared" si="17"/>
        <v>A296M282C1</v>
      </c>
      <c r="C1148">
        <v>1147</v>
      </c>
      <c r="D1148">
        <f>VLOOKUP(PREVIOS!C1148,ALUMNOS!A:B,2,FALSE)</f>
        <v>296</v>
      </c>
      <c r="E1148">
        <f>VLOOKUP(PREVIOS!E1148&amp;'TABLA PREVIOS'!J1148,MATERIAS!A:H,7,FALSE)</f>
        <v>282</v>
      </c>
      <c r="F1148">
        <f>VLOOKUP(PREVIOS!G1148,CONDICION!A:B,2,FALSE)</f>
        <v>1</v>
      </c>
      <c r="G1148">
        <f>IF(PREVIOS!AG1148=1,1,VLOOKUP(PREVIOS!AG1148,CALIFICACION!A:C,3,FALSE))</f>
        <v>1</v>
      </c>
      <c r="H1148" s="1" t="s">
        <v>534</v>
      </c>
      <c r="I1148" s="1" t="s">
        <v>534</v>
      </c>
      <c r="J1148">
        <f>VLOOKUP(PREVIOS!F1148&amp;VLOOKUP(PREVIOS!I1148,PLAN!A:B,2,FALSE),CURSO!A:D,4,FALSE)</f>
        <v>22</v>
      </c>
      <c r="K1148">
        <f>VLOOKUP(PREVIOS!H1148,CICLO!A:B,2,FALSE)</f>
        <v>56</v>
      </c>
      <c r="L1148">
        <f>VLOOKUP(PREVIOS!I1148,PLAN!A:B,2,FALSE)</f>
        <v>6</v>
      </c>
    </row>
    <row r="1149" spans="1:12" x14ac:dyDescent="0.25">
      <c r="A1149" t="str">
        <f t="shared" si="17"/>
        <v>A296M279C1</v>
      </c>
      <c r="C1149">
        <v>1148</v>
      </c>
      <c r="D1149">
        <f>VLOOKUP(PREVIOS!C1149,ALUMNOS!A:B,2,FALSE)</f>
        <v>296</v>
      </c>
      <c r="E1149">
        <f>VLOOKUP(PREVIOS!E1149&amp;'TABLA PREVIOS'!J1149,MATERIAS!A:H,7,FALSE)</f>
        <v>279</v>
      </c>
      <c r="F1149">
        <f>VLOOKUP(PREVIOS!G1149,CONDICION!A:B,2,FALSE)</f>
        <v>1</v>
      </c>
      <c r="G1149">
        <f>IF(PREVIOS!AG1149=1,1,VLOOKUP(PREVIOS!AG1149,CALIFICACION!A:C,3,FALSE))</f>
        <v>1</v>
      </c>
      <c r="H1149" s="1" t="s">
        <v>534</v>
      </c>
      <c r="I1149" s="1" t="s">
        <v>534</v>
      </c>
      <c r="J1149">
        <f>VLOOKUP(PREVIOS!F1149&amp;VLOOKUP(PREVIOS!I1149,PLAN!A:B,2,FALSE),CURSO!A:D,4,FALSE)</f>
        <v>22</v>
      </c>
      <c r="K1149">
        <f>VLOOKUP(PREVIOS!H1149,CICLO!A:B,2,FALSE)</f>
        <v>56</v>
      </c>
      <c r="L1149">
        <f>VLOOKUP(PREVIOS!I1149,PLAN!A:B,2,FALSE)</f>
        <v>6</v>
      </c>
    </row>
    <row r="1150" spans="1:12" x14ac:dyDescent="0.25">
      <c r="A1150" t="str">
        <f t="shared" si="17"/>
        <v>A296M280C1</v>
      </c>
      <c r="C1150">
        <v>1149</v>
      </c>
      <c r="D1150">
        <f>VLOOKUP(PREVIOS!C1150,ALUMNOS!A:B,2,FALSE)</f>
        <v>296</v>
      </c>
      <c r="E1150">
        <f>VLOOKUP(PREVIOS!E1150&amp;'TABLA PREVIOS'!J1150,MATERIAS!A:H,7,FALSE)</f>
        <v>280</v>
      </c>
      <c r="F1150">
        <f>VLOOKUP(PREVIOS!G1150,CONDICION!A:B,2,FALSE)</f>
        <v>1</v>
      </c>
      <c r="G1150">
        <f>IF(PREVIOS!AG1150=1,1,VLOOKUP(PREVIOS!AG1150,CALIFICACION!A:C,3,FALSE))</f>
        <v>1</v>
      </c>
      <c r="H1150" s="1" t="s">
        <v>534</v>
      </c>
      <c r="I1150" s="1" t="s">
        <v>534</v>
      </c>
      <c r="J1150">
        <f>VLOOKUP(PREVIOS!F1150&amp;VLOOKUP(PREVIOS!I1150,PLAN!A:B,2,FALSE),CURSO!A:D,4,FALSE)</f>
        <v>22</v>
      </c>
      <c r="K1150">
        <f>VLOOKUP(PREVIOS!H1150,CICLO!A:B,2,FALSE)</f>
        <v>56</v>
      </c>
      <c r="L1150">
        <f>VLOOKUP(PREVIOS!I1150,PLAN!A:B,2,FALSE)</f>
        <v>6</v>
      </c>
    </row>
    <row r="1151" spans="1:12" x14ac:dyDescent="0.25">
      <c r="A1151" t="str">
        <f t="shared" si="17"/>
        <v>A296M281C1</v>
      </c>
      <c r="C1151">
        <v>1150</v>
      </c>
      <c r="D1151">
        <f>VLOOKUP(PREVIOS!C1151,ALUMNOS!A:B,2,FALSE)</f>
        <v>296</v>
      </c>
      <c r="E1151">
        <f>VLOOKUP(PREVIOS!E1151&amp;'TABLA PREVIOS'!J1151,MATERIAS!A:H,7,FALSE)</f>
        <v>281</v>
      </c>
      <c r="F1151">
        <f>VLOOKUP(PREVIOS!G1151,CONDICION!A:B,2,FALSE)</f>
        <v>1</v>
      </c>
      <c r="G1151">
        <f>IF(PREVIOS!AG1151=1,1,VLOOKUP(PREVIOS!AG1151,CALIFICACION!A:C,3,FALSE))</f>
        <v>1</v>
      </c>
      <c r="H1151" s="1" t="s">
        <v>534</v>
      </c>
      <c r="I1151" s="1" t="s">
        <v>534</v>
      </c>
      <c r="J1151">
        <f>VLOOKUP(PREVIOS!F1151&amp;VLOOKUP(PREVIOS!I1151,PLAN!A:B,2,FALSE),CURSO!A:D,4,FALSE)</f>
        <v>22</v>
      </c>
      <c r="K1151">
        <f>VLOOKUP(PREVIOS!H1151,CICLO!A:B,2,FALSE)</f>
        <v>56</v>
      </c>
      <c r="L1151">
        <f>VLOOKUP(PREVIOS!I1151,PLAN!A:B,2,FALSE)</f>
        <v>6</v>
      </c>
    </row>
    <row r="1152" spans="1:12" x14ac:dyDescent="0.25">
      <c r="A1152" t="str">
        <f t="shared" si="17"/>
        <v>A296M288C1</v>
      </c>
      <c r="C1152">
        <v>1151</v>
      </c>
      <c r="D1152">
        <f>VLOOKUP(PREVIOS!C1152,ALUMNOS!A:B,2,FALSE)</f>
        <v>296</v>
      </c>
      <c r="E1152">
        <f>VLOOKUP(PREVIOS!E1152&amp;'TABLA PREVIOS'!J1152,MATERIAS!A:H,7,FALSE)</f>
        <v>288</v>
      </c>
      <c r="F1152">
        <f>VLOOKUP(PREVIOS!G1152,CONDICION!A:B,2,FALSE)</f>
        <v>1</v>
      </c>
      <c r="G1152">
        <f>IF(PREVIOS!AG1152=1,1,VLOOKUP(PREVIOS!AG1152,CALIFICACION!A:C,3,FALSE))</f>
        <v>1</v>
      </c>
      <c r="H1152" s="1" t="s">
        <v>534</v>
      </c>
      <c r="I1152" s="1" t="s">
        <v>534</v>
      </c>
      <c r="J1152">
        <f>VLOOKUP(PREVIOS!F1152&amp;VLOOKUP(PREVIOS!I1152,PLAN!A:B,2,FALSE),CURSO!A:D,4,FALSE)</f>
        <v>22</v>
      </c>
      <c r="K1152">
        <f>VLOOKUP(PREVIOS!H1152,CICLO!A:B,2,FALSE)</f>
        <v>56</v>
      </c>
      <c r="L1152">
        <f>VLOOKUP(PREVIOS!I1152,PLAN!A:B,2,FALSE)</f>
        <v>6</v>
      </c>
    </row>
    <row r="1153" spans="1:12" x14ac:dyDescent="0.25">
      <c r="A1153" t="str">
        <f t="shared" si="17"/>
        <v>A296M290C1</v>
      </c>
      <c r="C1153">
        <v>1152</v>
      </c>
      <c r="D1153">
        <f>VLOOKUP(PREVIOS!C1153,ALUMNOS!A:B,2,FALSE)</f>
        <v>296</v>
      </c>
      <c r="E1153">
        <f>VLOOKUP(PREVIOS!E1153&amp;'TABLA PREVIOS'!J1153,MATERIAS!A:H,7,FALSE)</f>
        <v>290</v>
      </c>
      <c r="F1153">
        <f>VLOOKUP(PREVIOS!G1153,CONDICION!A:B,2,FALSE)</f>
        <v>1</v>
      </c>
      <c r="G1153">
        <f>IF(PREVIOS!AG1153=1,1,VLOOKUP(PREVIOS!AG1153,CALIFICACION!A:C,3,FALSE))</f>
        <v>1</v>
      </c>
      <c r="H1153" s="1" t="s">
        <v>534</v>
      </c>
      <c r="I1153" s="1" t="s">
        <v>534</v>
      </c>
      <c r="J1153">
        <f>VLOOKUP(PREVIOS!F1153&amp;VLOOKUP(PREVIOS!I1153,PLAN!A:B,2,FALSE),CURSO!A:D,4,FALSE)</f>
        <v>22</v>
      </c>
      <c r="K1153">
        <f>VLOOKUP(PREVIOS!H1153,CICLO!A:B,2,FALSE)</f>
        <v>56</v>
      </c>
      <c r="L1153">
        <f>VLOOKUP(PREVIOS!I1153,PLAN!A:B,2,FALSE)</f>
        <v>6</v>
      </c>
    </row>
    <row r="1154" spans="1:12" x14ac:dyDescent="0.25">
      <c r="A1154" t="str">
        <f t="shared" si="17"/>
        <v>A325M290C1</v>
      </c>
      <c r="C1154">
        <v>1153</v>
      </c>
      <c r="D1154">
        <f>VLOOKUP(PREVIOS!C1154,ALUMNOS!A:B,2,FALSE)</f>
        <v>325</v>
      </c>
      <c r="E1154">
        <f>VLOOKUP(PREVIOS!E1154&amp;'TABLA PREVIOS'!J1154,MATERIAS!A:H,7,FALSE)</f>
        <v>290</v>
      </c>
      <c r="F1154">
        <f>VLOOKUP(PREVIOS!G1154,CONDICION!A:B,2,FALSE)</f>
        <v>1</v>
      </c>
      <c r="G1154">
        <f>IF(PREVIOS!AG1154=1,1,VLOOKUP(PREVIOS!AG1154,CALIFICACION!A:C,3,FALSE))</f>
        <v>9</v>
      </c>
      <c r="H1154" s="1" t="s">
        <v>534</v>
      </c>
      <c r="I1154" s="1" t="s">
        <v>534</v>
      </c>
      <c r="J1154">
        <f>VLOOKUP(PREVIOS!F1154&amp;VLOOKUP(PREVIOS!I1154,PLAN!A:B,2,FALSE),CURSO!A:D,4,FALSE)</f>
        <v>22</v>
      </c>
      <c r="K1154">
        <f>VLOOKUP(PREVIOS!H1154,CICLO!A:B,2,FALSE)</f>
        <v>56</v>
      </c>
      <c r="L1154">
        <f>VLOOKUP(PREVIOS!I1154,PLAN!A:B,2,FALSE)</f>
        <v>6</v>
      </c>
    </row>
    <row r="1155" spans="1:12" x14ac:dyDescent="0.25">
      <c r="A1155" t="str">
        <f t="shared" ref="A1155:A1218" si="18">"A"&amp;D1155&amp;"M"&amp;E1155&amp;"C"&amp;F1155</f>
        <v>A349M240C1</v>
      </c>
      <c r="C1155">
        <v>1154</v>
      </c>
      <c r="D1155">
        <f>VLOOKUP(PREVIOS!C1155,ALUMNOS!A:B,2,FALSE)</f>
        <v>349</v>
      </c>
      <c r="E1155">
        <f>VLOOKUP(PREVIOS!E1155&amp;'TABLA PREVIOS'!J1155,MATERIAS!A:H,7,FALSE)</f>
        <v>240</v>
      </c>
      <c r="F1155">
        <f>VLOOKUP(PREVIOS!G1155,CONDICION!A:B,2,FALSE)</f>
        <v>1</v>
      </c>
      <c r="G1155">
        <f>IF(PREVIOS!AG1155=1,1,VLOOKUP(PREVIOS!AG1155,CALIFICACION!A:C,3,FALSE))</f>
        <v>1</v>
      </c>
      <c r="H1155" s="1" t="s">
        <v>534</v>
      </c>
      <c r="I1155" s="1" t="s">
        <v>534</v>
      </c>
      <c r="J1155">
        <f>VLOOKUP(PREVIOS!F1155&amp;VLOOKUP(PREVIOS!I1155,PLAN!A:B,2,FALSE),CURSO!A:D,4,FALSE)</f>
        <v>19</v>
      </c>
      <c r="K1155">
        <f>VLOOKUP(PREVIOS!H1155,CICLO!A:B,2,FALSE)</f>
        <v>53</v>
      </c>
      <c r="L1155">
        <f>VLOOKUP(PREVIOS!I1155,PLAN!A:B,2,FALSE)</f>
        <v>5</v>
      </c>
    </row>
    <row r="1156" spans="1:12" x14ac:dyDescent="0.25">
      <c r="A1156" t="str">
        <f t="shared" si="18"/>
        <v>A349M252C1</v>
      </c>
      <c r="C1156">
        <v>1155</v>
      </c>
      <c r="D1156">
        <f>VLOOKUP(PREVIOS!C1156,ALUMNOS!A:B,2,FALSE)</f>
        <v>349</v>
      </c>
      <c r="E1156">
        <f>VLOOKUP(PREVIOS!E1156&amp;'TABLA PREVIOS'!J1156,MATERIAS!A:H,7,FALSE)</f>
        <v>252</v>
      </c>
      <c r="F1156">
        <f>VLOOKUP(PREVIOS!G1156,CONDICION!A:B,2,FALSE)</f>
        <v>1</v>
      </c>
      <c r="G1156">
        <f>IF(PREVIOS!AG1156=1,1,VLOOKUP(PREVIOS!AG1156,CALIFICACION!A:C,3,FALSE))</f>
        <v>1</v>
      </c>
      <c r="H1156" s="1" t="s">
        <v>534</v>
      </c>
      <c r="I1156" s="1" t="s">
        <v>534</v>
      </c>
      <c r="J1156">
        <f>VLOOKUP(PREVIOS!F1156&amp;VLOOKUP(PREVIOS!I1156,PLAN!A:B,2,FALSE),CURSO!A:D,4,FALSE)</f>
        <v>20</v>
      </c>
      <c r="K1156">
        <f>VLOOKUP(PREVIOS!H1156,CICLO!A:B,2,FALSE)</f>
        <v>54</v>
      </c>
      <c r="L1156">
        <f>VLOOKUP(PREVIOS!I1156,PLAN!A:B,2,FALSE)</f>
        <v>6</v>
      </c>
    </row>
    <row r="1157" spans="1:12" x14ac:dyDescent="0.25">
      <c r="A1157" t="str">
        <f t="shared" si="18"/>
        <v>A349M273C1</v>
      </c>
      <c r="C1157">
        <v>1156</v>
      </c>
      <c r="D1157">
        <f>VLOOKUP(PREVIOS!C1157,ALUMNOS!A:B,2,FALSE)</f>
        <v>349</v>
      </c>
      <c r="E1157">
        <f>VLOOKUP(PREVIOS!E1157&amp;'TABLA PREVIOS'!J1157,MATERIAS!A:H,7,FALSE)</f>
        <v>273</v>
      </c>
      <c r="F1157">
        <f>VLOOKUP(PREVIOS!G1157,CONDICION!A:B,2,FALSE)</f>
        <v>1</v>
      </c>
      <c r="G1157">
        <f>IF(PREVIOS!AG1157=1,1,VLOOKUP(PREVIOS!AG1157,CALIFICACION!A:C,3,FALSE))</f>
        <v>1</v>
      </c>
      <c r="H1157" s="1" t="s">
        <v>534</v>
      </c>
      <c r="I1157" s="1" t="s">
        <v>534</v>
      </c>
      <c r="J1157">
        <f>VLOOKUP(PREVIOS!F1157&amp;VLOOKUP(PREVIOS!I1157,PLAN!A:B,2,FALSE),CURSO!A:D,4,FALSE)</f>
        <v>21</v>
      </c>
      <c r="K1157">
        <f>VLOOKUP(PREVIOS!H1157,CICLO!A:B,2,FALSE)</f>
        <v>55</v>
      </c>
      <c r="L1157">
        <f>VLOOKUP(PREVIOS!I1157,PLAN!A:B,2,FALSE)</f>
        <v>6</v>
      </c>
    </row>
    <row r="1158" spans="1:12" x14ac:dyDescent="0.25">
      <c r="A1158" t="str">
        <f t="shared" si="18"/>
        <v>A349M281C1</v>
      </c>
      <c r="C1158">
        <v>1157</v>
      </c>
      <c r="D1158">
        <f>VLOOKUP(PREVIOS!C1158,ALUMNOS!A:B,2,FALSE)</f>
        <v>349</v>
      </c>
      <c r="E1158">
        <f>VLOOKUP(PREVIOS!E1158&amp;'TABLA PREVIOS'!J1158,MATERIAS!A:H,7,FALSE)</f>
        <v>281</v>
      </c>
      <c r="F1158">
        <f>VLOOKUP(PREVIOS!G1158,CONDICION!A:B,2,FALSE)</f>
        <v>1</v>
      </c>
      <c r="G1158">
        <f>IF(PREVIOS!AG1158=1,1,VLOOKUP(PREVIOS!AG1158,CALIFICACION!A:C,3,FALSE))</f>
        <v>1</v>
      </c>
      <c r="H1158" s="1" t="s">
        <v>534</v>
      </c>
      <c r="I1158" s="1" t="s">
        <v>534</v>
      </c>
      <c r="J1158">
        <f>VLOOKUP(PREVIOS!F1158&amp;VLOOKUP(PREVIOS!I1158,PLAN!A:B,2,FALSE),CURSO!A:D,4,FALSE)</f>
        <v>22</v>
      </c>
      <c r="K1158">
        <f>VLOOKUP(PREVIOS!H1158,CICLO!A:B,2,FALSE)</f>
        <v>56</v>
      </c>
      <c r="L1158">
        <f>VLOOKUP(PREVIOS!I1158,PLAN!A:B,2,FALSE)</f>
        <v>6</v>
      </c>
    </row>
    <row r="1159" spans="1:12" x14ac:dyDescent="0.25">
      <c r="A1159" t="str">
        <f t="shared" si="18"/>
        <v>A349M290C1</v>
      </c>
      <c r="C1159">
        <v>1158</v>
      </c>
      <c r="D1159">
        <f>VLOOKUP(PREVIOS!C1159,ALUMNOS!A:B,2,FALSE)</f>
        <v>349</v>
      </c>
      <c r="E1159">
        <f>VLOOKUP(PREVIOS!E1159&amp;'TABLA PREVIOS'!J1159,MATERIAS!A:H,7,FALSE)</f>
        <v>290</v>
      </c>
      <c r="F1159">
        <f>VLOOKUP(PREVIOS!G1159,CONDICION!A:B,2,FALSE)</f>
        <v>1</v>
      </c>
      <c r="G1159">
        <f>IF(PREVIOS!AG1159=1,1,VLOOKUP(PREVIOS!AG1159,CALIFICACION!A:C,3,FALSE))</f>
        <v>1</v>
      </c>
      <c r="H1159" s="1" t="s">
        <v>534</v>
      </c>
      <c r="I1159" s="1" t="s">
        <v>534</v>
      </c>
      <c r="J1159">
        <f>VLOOKUP(PREVIOS!F1159&amp;VLOOKUP(PREVIOS!I1159,PLAN!A:B,2,FALSE),CURSO!A:D,4,FALSE)</f>
        <v>22</v>
      </c>
      <c r="K1159">
        <f>VLOOKUP(PREVIOS!H1159,CICLO!A:B,2,FALSE)</f>
        <v>56</v>
      </c>
      <c r="L1159">
        <f>VLOOKUP(PREVIOS!I1159,PLAN!A:B,2,FALSE)</f>
        <v>6</v>
      </c>
    </row>
    <row r="1160" spans="1:12" x14ac:dyDescent="0.25">
      <c r="A1160" t="str">
        <f t="shared" si="18"/>
        <v>A403M260C2</v>
      </c>
      <c r="C1160">
        <v>1159</v>
      </c>
      <c r="D1160">
        <f>VLOOKUP(PREVIOS!C1160,ALUMNOS!A:B,2,FALSE)</f>
        <v>403</v>
      </c>
      <c r="E1160">
        <f>VLOOKUP(PREVIOS!E1160&amp;'TABLA PREVIOS'!J1160,MATERIAS!A:H,7,FALSE)</f>
        <v>260</v>
      </c>
      <c r="F1160">
        <f>VLOOKUP(PREVIOS!G1160,CONDICION!A:B,2,FALSE)</f>
        <v>2</v>
      </c>
      <c r="G1160">
        <f>IF(PREVIOS!AG1160=1,1,VLOOKUP(PREVIOS!AG1160,CALIFICACION!A:C,3,FALSE))</f>
        <v>1</v>
      </c>
      <c r="H1160" s="1" t="s">
        <v>534</v>
      </c>
      <c r="I1160" s="1" t="s">
        <v>534</v>
      </c>
      <c r="J1160">
        <f>VLOOKUP(PREVIOS!F1160&amp;VLOOKUP(PREVIOS!I1160,PLAN!A:B,2,FALSE),CURSO!A:D,4,FALSE)</f>
        <v>20</v>
      </c>
      <c r="K1160">
        <f>VLOOKUP(PREVIOS!H1160,CICLO!A:B,2,FALSE)</f>
        <v>56</v>
      </c>
      <c r="L1160">
        <f>VLOOKUP(PREVIOS!I1160,PLAN!A:B,2,FALSE)</f>
        <v>6</v>
      </c>
    </row>
    <row r="1161" spans="1:12" x14ac:dyDescent="0.25">
      <c r="A1161" t="str">
        <f t="shared" si="18"/>
        <v>A448M273C1</v>
      </c>
      <c r="C1161">
        <v>1160</v>
      </c>
      <c r="D1161">
        <f>VLOOKUP(PREVIOS!C1161,ALUMNOS!A:B,2,FALSE)</f>
        <v>448</v>
      </c>
      <c r="E1161">
        <f>VLOOKUP(PREVIOS!E1161&amp;'TABLA PREVIOS'!J1161,MATERIAS!A:H,7,FALSE)</f>
        <v>273</v>
      </c>
      <c r="F1161">
        <f>VLOOKUP(PREVIOS!G1161,CONDICION!A:B,2,FALSE)</f>
        <v>1</v>
      </c>
      <c r="G1161">
        <f>IF(PREVIOS!AG1161=1,1,VLOOKUP(PREVIOS!AG1161,CALIFICACION!A:C,3,FALSE))</f>
        <v>1</v>
      </c>
      <c r="H1161" s="1" t="s">
        <v>534</v>
      </c>
      <c r="I1161" s="1" t="s">
        <v>534</v>
      </c>
      <c r="J1161">
        <f>VLOOKUP(PREVIOS!F1161&amp;VLOOKUP(PREVIOS!I1161,PLAN!A:B,2,FALSE),CURSO!A:D,4,FALSE)</f>
        <v>21</v>
      </c>
      <c r="K1161">
        <f>VLOOKUP(PREVIOS!H1161,CICLO!A:B,2,FALSE)</f>
        <v>55</v>
      </c>
      <c r="L1161">
        <f>VLOOKUP(PREVIOS!I1161,PLAN!A:B,2,FALSE)</f>
        <v>6</v>
      </c>
    </row>
    <row r="1162" spans="1:12" x14ac:dyDescent="0.25">
      <c r="A1162" t="str">
        <f t="shared" si="18"/>
        <v>A448M282C1</v>
      </c>
      <c r="C1162">
        <v>1161</v>
      </c>
      <c r="D1162">
        <f>VLOOKUP(PREVIOS!C1162,ALUMNOS!A:B,2,FALSE)</f>
        <v>448</v>
      </c>
      <c r="E1162">
        <f>VLOOKUP(PREVIOS!E1162&amp;'TABLA PREVIOS'!J1162,MATERIAS!A:H,7,FALSE)</f>
        <v>282</v>
      </c>
      <c r="F1162">
        <f>VLOOKUP(PREVIOS!G1162,CONDICION!A:B,2,FALSE)</f>
        <v>1</v>
      </c>
      <c r="G1162">
        <f>IF(PREVIOS!AG1162=1,1,VLOOKUP(PREVIOS!AG1162,CALIFICACION!A:C,3,FALSE))</f>
        <v>1</v>
      </c>
      <c r="H1162" s="1" t="s">
        <v>534</v>
      </c>
      <c r="I1162" s="1" t="s">
        <v>534</v>
      </c>
      <c r="J1162">
        <f>VLOOKUP(PREVIOS!F1162&amp;VLOOKUP(PREVIOS!I1162,PLAN!A:B,2,FALSE),CURSO!A:D,4,FALSE)</f>
        <v>22</v>
      </c>
      <c r="K1162">
        <f>VLOOKUP(PREVIOS!H1162,CICLO!A:B,2,FALSE)</f>
        <v>56</v>
      </c>
      <c r="L1162">
        <f>VLOOKUP(PREVIOS!I1162,PLAN!A:B,2,FALSE)</f>
        <v>6</v>
      </c>
    </row>
    <row r="1163" spans="1:12" x14ac:dyDescent="0.25">
      <c r="A1163" t="str">
        <f t="shared" si="18"/>
        <v>A448M281C1</v>
      </c>
      <c r="C1163">
        <v>1162</v>
      </c>
      <c r="D1163">
        <f>VLOOKUP(PREVIOS!C1163,ALUMNOS!A:B,2,FALSE)</f>
        <v>448</v>
      </c>
      <c r="E1163">
        <f>VLOOKUP(PREVIOS!E1163&amp;'TABLA PREVIOS'!J1163,MATERIAS!A:H,7,FALSE)</f>
        <v>281</v>
      </c>
      <c r="F1163">
        <f>VLOOKUP(PREVIOS!G1163,CONDICION!A:B,2,FALSE)</f>
        <v>1</v>
      </c>
      <c r="G1163">
        <f>IF(PREVIOS!AG1163=1,1,VLOOKUP(PREVIOS!AG1163,CALIFICACION!A:C,3,FALSE))</f>
        <v>1</v>
      </c>
      <c r="H1163" s="1" t="s">
        <v>534</v>
      </c>
      <c r="I1163" s="1" t="s">
        <v>534</v>
      </c>
      <c r="J1163">
        <f>VLOOKUP(PREVIOS!F1163&amp;VLOOKUP(PREVIOS!I1163,PLAN!A:B,2,FALSE),CURSO!A:D,4,FALSE)</f>
        <v>22</v>
      </c>
      <c r="K1163">
        <f>VLOOKUP(PREVIOS!H1163,CICLO!A:B,2,FALSE)</f>
        <v>56</v>
      </c>
      <c r="L1163">
        <f>VLOOKUP(PREVIOS!I1163,PLAN!A:B,2,FALSE)</f>
        <v>6</v>
      </c>
    </row>
    <row r="1164" spans="1:12" x14ac:dyDescent="0.25">
      <c r="A1164" t="str">
        <f t="shared" si="18"/>
        <v>A448M290C1</v>
      </c>
      <c r="C1164">
        <v>1163</v>
      </c>
      <c r="D1164">
        <f>VLOOKUP(PREVIOS!C1164,ALUMNOS!A:B,2,FALSE)</f>
        <v>448</v>
      </c>
      <c r="E1164">
        <f>VLOOKUP(PREVIOS!E1164&amp;'TABLA PREVIOS'!J1164,MATERIAS!A:H,7,FALSE)</f>
        <v>290</v>
      </c>
      <c r="F1164">
        <f>VLOOKUP(PREVIOS!G1164,CONDICION!A:B,2,FALSE)</f>
        <v>1</v>
      </c>
      <c r="G1164">
        <f>IF(PREVIOS!AG1164=1,1,VLOOKUP(PREVIOS!AG1164,CALIFICACION!A:C,3,FALSE))</f>
        <v>1</v>
      </c>
      <c r="H1164" s="1" t="s">
        <v>534</v>
      </c>
      <c r="I1164" s="1" t="s">
        <v>534</v>
      </c>
      <c r="J1164">
        <f>VLOOKUP(PREVIOS!F1164&amp;VLOOKUP(PREVIOS!I1164,PLAN!A:B,2,FALSE),CURSO!A:D,4,FALSE)</f>
        <v>22</v>
      </c>
      <c r="K1164">
        <f>VLOOKUP(PREVIOS!H1164,CICLO!A:B,2,FALSE)</f>
        <v>56</v>
      </c>
      <c r="L1164">
        <f>VLOOKUP(PREVIOS!I1164,PLAN!A:B,2,FALSE)</f>
        <v>6</v>
      </c>
    </row>
    <row r="1165" spans="1:12" x14ac:dyDescent="0.25">
      <c r="A1165" t="str">
        <f t="shared" si="18"/>
        <v>A628M240C1</v>
      </c>
      <c r="C1165">
        <v>1164</v>
      </c>
      <c r="D1165">
        <f>VLOOKUP(PREVIOS!C1165,ALUMNOS!A:B,2,FALSE)</f>
        <v>628</v>
      </c>
      <c r="E1165">
        <f>VLOOKUP(PREVIOS!E1165&amp;'TABLA PREVIOS'!J1165,MATERIAS!A:H,7,FALSE)</f>
        <v>240</v>
      </c>
      <c r="F1165">
        <f>VLOOKUP(PREVIOS!G1165,CONDICION!A:B,2,FALSE)</f>
        <v>1</v>
      </c>
      <c r="G1165">
        <f>IF(PREVIOS!AG1165=1,1,VLOOKUP(PREVIOS!AG1165,CALIFICACION!A:C,3,FALSE))</f>
        <v>1</v>
      </c>
      <c r="H1165" s="1" t="s">
        <v>534</v>
      </c>
      <c r="I1165" s="1" t="s">
        <v>534</v>
      </c>
      <c r="J1165">
        <f>VLOOKUP(PREVIOS!F1165&amp;VLOOKUP(PREVIOS!I1165,PLAN!A:B,2,FALSE),CURSO!A:D,4,FALSE)</f>
        <v>19</v>
      </c>
      <c r="K1165">
        <f>VLOOKUP(PREVIOS!H1165,CICLO!A:B,2,FALSE)</f>
        <v>53</v>
      </c>
      <c r="L1165">
        <f>VLOOKUP(PREVIOS!I1165,PLAN!A:B,2,FALSE)</f>
        <v>5</v>
      </c>
    </row>
    <row r="1166" spans="1:12" x14ac:dyDescent="0.25">
      <c r="A1166" t="str">
        <f t="shared" si="18"/>
        <v>A628M252C1</v>
      </c>
      <c r="C1166">
        <v>1165</v>
      </c>
      <c r="D1166">
        <f>VLOOKUP(PREVIOS!C1166,ALUMNOS!A:B,2,FALSE)</f>
        <v>628</v>
      </c>
      <c r="E1166">
        <f>VLOOKUP(PREVIOS!E1166&amp;'TABLA PREVIOS'!J1166,MATERIAS!A:H,7,FALSE)</f>
        <v>252</v>
      </c>
      <c r="F1166">
        <f>VLOOKUP(PREVIOS!G1166,CONDICION!A:B,2,FALSE)</f>
        <v>1</v>
      </c>
      <c r="G1166">
        <f>IF(PREVIOS!AG1166=1,1,VLOOKUP(PREVIOS!AG1166,CALIFICACION!A:C,3,FALSE))</f>
        <v>1</v>
      </c>
      <c r="H1166" s="1" t="s">
        <v>534</v>
      </c>
      <c r="I1166" s="1" t="s">
        <v>534</v>
      </c>
      <c r="J1166">
        <f>VLOOKUP(PREVIOS!F1166&amp;VLOOKUP(PREVIOS!I1166,PLAN!A:B,2,FALSE),CURSO!A:D,4,FALSE)</f>
        <v>20</v>
      </c>
      <c r="K1166">
        <f>VLOOKUP(PREVIOS!H1166,CICLO!A:B,2,FALSE)</f>
        <v>54</v>
      </c>
      <c r="L1166">
        <f>VLOOKUP(PREVIOS!I1166,PLAN!A:B,2,FALSE)</f>
        <v>6</v>
      </c>
    </row>
    <row r="1167" spans="1:12" x14ac:dyDescent="0.25">
      <c r="A1167" t="str">
        <f t="shared" si="18"/>
        <v>A628M265C1</v>
      </c>
      <c r="C1167">
        <v>1166</v>
      </c>
      <c r="D1167">
        <f>VLOOKUP(PREVIOS!C1167,ALUMNOS!A:B,2,FALSE)</f>
        <v>628</v>
      </c>
      <c r="E1167">
        <f>VLOOKUP(PREVIOS!E1167&amp;'TABLA PREVIOS'!J1167,MATERIAS!A:H,7,FALSE)</f>
        <v>265</v>
      </c>
      <c r="F1167">
        <f>VLOOKUP(PREVIOS!G1167,CONDICION!A:B,2,FALSE)</f>
        <v>1</v>
      </c>
      <c r="G1167">
        <f>IF(PREVIOS!AG1167=1,1,VLOOKUP(PREVIOS!AG1167,CALIFICACION!A:C,3,FALSE))</f>
        <v>1</v>
      </c>
      <c r="H1167" s="1" t="s">
        <v>534</v>
      </c>
      <c r="I1167" s="1" t="s">
        <v>534</v>
      </c>
      <c r="J1167">
        <f>VLOOKUP(PREVIOS!F1167&amp;VLOOKUP(PREVIOS!I1167,PLAN!A:B,2,FALSE),CURSO!A:D,4,FALSE)</f>
        <v>21</v>
      </c>
      <c r="K1167">
        <f>VLOOKUP(PREVIOS!H1167,CICLO!A:B,2,FALSE)</f>
        <v>55</v>
      </c>
      <c r="L1167">
        <f>VLOOKUP(PREVIOS!I1167,PLAN!A:B,2,FALSE)</f>
        <v>6</v>
      </c>
    </row>
    <row r="1168" spans="1:12" x14ac:dyDescent="0.25">
      <c r="A1168" t="str">
        <f t="shared" si="18"/>
        <v>A628M281C1</v>
      </c>
      <c r="C1168">
        <v>1167</v>
      </c>
      <c r="D1168">
        <f>VLOOKUP(PREVIOS!C1168,ALUMNOS!A:B,2,FALSE)</f>
        <v>628</v>
      </c>
      <c r="E1168">
        <f>VLOOKUP(PREVIOS!E1168&amp;'TABLA PREVIOS'!J1168,MATERIAS!A:H,7,FALSE)</f>
        <v>281</v>
      </c>
      <c r="F1168">
        <f>VLOOKUP(PREVIOS!G1168,CONDICION!A:B,2,FALSE)</f>
        <v>1</v>
      </c>
      <c r="G1168">
        <f>IF(PREVIOS!AG1168=1,1,VLOOKUP(PREVIOS!AG1168,CALIFICACION!A:C,3,FALSE))</f>
        <v>1</v>
      </c>
      <c r="H1168" s="1" t="s">
        <v>534</v>
      </c>
      <c r="I1168" s="1" t="s">
        <v>534</v>
      </c>
      <c r="J1168">
        <f>VLOOKUP(PREVIOS!F1168&amp;VLOOKUP(PREVIOS!I1168,PLAN!A:B,2,FALSE),CURSO!A:D,4,FALSE)</f>
        <v>22</v>
      </c>
      <c r="K1168">
        <f>VLOOKUP(PREVIOS!H1168,CICLO!A:B,2,FALSE)</f>
        <v>56</v>
      </c>
      <c r="L1168">
        <f>VLOOKUP(PREVIOS!I1168,PLAN!A:B,2,FALSE)</f>
        <v>6</v>
      </c>
    </row>
    <row r="1169" spans="1:12" x14ac:dyDescent="0.25">
      <c r="A1169" t="str">
        <f t="shared" si="18"/>
        <v>A628M290C1</v>
      </c>
      <c r="C1169">
        <v>1168</v>
      </c>
      <c r="D1169">
        <f>VLOOKUP(PREVIOS!C1169,ALUMNOS!A:B,2,FALSE)</f>
        <v>628</v>
      </c>
      <c r="E1169">
        <f>VLOOKUP(PREVIOS!E1169&amp;'TABLA PREVIOS'!J1169,MATERIAS!A:H,7,FALSE)</f>
        <v>290</v>
      </c>
      <c r="F1169">
        <f>VLOOKUP(PREVIOS!G1169,CONDICION!A:B,2,FALSE)</f>
        <v>1</v>
      </c>
      <c r="G1169">
        <f>IF(PREVIOS!AG1169=1,1,VLOOKUP(PREVIOS!AG1169,CALIFICACION!A:C,3,FALSE))</f>
        <v>1</v>
      </c>
      <c r="H1169" s="1" t="s">
        <v>534</v>
      </c>
      <c r="I1169" s="1" t="s">
        <v>534</v>
      </c>
      <c r="J1169">
        <f>VLOOKUP(PREVIOS!F1169&amp;VLOOKUP(PREVIOS!I1169,PLAN!A:B,2,FALSE),CURSO!A:D,4,FALSE)</f>
        <v>22</v>
      </c>
      <c r="K1169">
        <f>VLOOKUP(PREVIOS!H1169,CICLO!A:B,2,FALSE)</f>
        <v>56</v>
      </c>
      <c r="L1169">
        <f>VLOOKUP(PREVIOS!I1169,PLAN!A:B,2,FALSE)</f>
        <v>6</v>
      </c>
    </row>
    <row r="1170" spans="1:12" x14ac:dyDescent="0.25">
      <c r="A1170" t="str">
        <f t="shared" si="18"/>
        <v>A760M268C1</v>
      </c>
      <c r="C1170">
        <v>1169</v>
      </c>
      <c r="D1170">
        <f>VLOOKUP(PREVIOS!C1170,ALUMNOS!A:B,2,FALSE)</f>
        <v>760</v>
      </c>
      <c r="E1170">
        <f>VLOOKUP(PREVIOS!E1170&amp;'TABLA PREVIOS'!J1170,MATERIAS!A:H,7,FALSE)</f>
        <v>268</v>
      </c>
      <c r="F1170">
        <f>VLOOKUP(PREVIOS!G1170,CONDICION!A:B,2,FALSE)</f>
        <v>1</v>
      </c>
      <c r="G1170">
        <f>IF(PREVIOS!AG1170=1,1,VLOOKUP(PREVIOS!AG1170,CALIFICACION!A:C,3,FALSE))</f>
        <v>1</v>
      </c>
      <c r="H1170" s="1" t="s">
        <v>534</v>
      </c>
      <c r="I1170" s="1" t="s">
        <v>534</v>
      </c>
      <c r="J1170">
        <f>VLOOKUP(PREVIOS!F1170&amp;VLOOKUP(PREVIOS!I1170,PLAN!A:B,2,FALSE),CURSO!A:D,4,FALSE)</f>
        <v>21</v>
      </c>
      <c r="K1170">
        <f>VLOOKUP(PREVIOS!H1170,CICLO!A:B,2,FALSE)</f>
        <v>55</v>
      </c>
      <c r="L1170">
        <f>VLOOKUP(PREVIOS!I1170,PLAN!A:B,2,FALSE)</f>
        <v>6</v>
      </c>
    </row>
    <row r="1171" spans="1:12" x14ac:dyDescent="0.25">
      <c r="A1171" t="str">
        <f t="shared" si="18"/>
        <v>A760M273C1</v>
      </c>
      <c r="C1171">
        <v>1170</v>
      </c>
      <c r="D1171">
        <f>VLOOKUP(PREVIOS!C1171,ALUMNOS!A:B,2,FALSE)</f>
        <v>760</v>
      </c>
      <c r="E1171">
        <f>VLOOKUP(PREVIOS!E1171&amp;'TABLA PREVIOS'!J1171,MATERIAS!A:H,7,FALSE)</f>
        <v>273</v>
      </c>
      <c r="F1171">
        <f>VLOOKUP(PREVIOS!G1171,CONDICION!A:B,2,FALSE)</f>
        <v>1</v>
      </c>
      <c r="G1171">
        <f>IF(PREVIOS!AG1171=1,1,VLOOKUP(PREVIOS!AG1171,CALIFICACION!A:C,3,FALSE))</f>
        <v>1</v>
      </c>
      <c r="H1171" s="1" t="s">
        <v>534</v>
      </c>
      <c r="I1171" s="1" t="s">
        <v>534</v>
      </c>
      <c r="J1171">
        <f>VLOOKUP(PREVIOS!F1171&amp;VLOOKUP(PREVIOS!I1171,PLAN!A:B,2,FALSE),CURSO!A:D,4,FALSE)</f>
        <v>21</v>
      </c>
      <c r="K1171">
        <f>VLOOKUP(PREVIOS!H1171,CICLO!A:B,2,FALSE)</f>
        <v>55</v>
      </c>
      <c r="L1171">
        <f>VLOOKUP(PREVIOS!I1171,PLAN!A:B,2,FALSE)</f>
        <v>6</v>
      </c>
    </row>
    <row r="1172" spans="1:12" x14ac:dyDescent="0.25">
      <c r="A1172" t="str">
        <f t="shared" si="18"/>
        <v>A760M282C1</v>
      </c>
      <c r="C1172">
        <v>1171</v>
      </c>
      <c r="D1172">
        <f>VLOOKUP(PREVIOS!C1172,ALUMNOS!A:B,2,FALSE)</f>
        <v>760</v>
      </c>
      <c r="E1172">
        <f>VLOOKUP(PREVIOS!E1172&amp;'TABLA PREVIOS'!J1172,MATERIAS!A:H,7,FALSE)</f>
        <v>282</v>
      </c>
      <c r="F1172">
        <f>VLOOKUP(PREVIOS!G1172,CONDICION!A:B,2,FALSE)</f>
        <v>1</v>
      </c>
      <c r="G1172">
        <f>IF(PREVIOS!AG1172=1,1,VLOOKUP(PREVIOS!AG1172,CALIFICACION!A:C,3,FALSE))</f>
        <v>1</v>
      </c>
      <c r="H1172" s="1" t="s">
        <v>534</v>
      </c>
      <c r="I1172" s="1" t="s">
        <v>534</v>
      </c>
      <c r="J1172">
        <f>VLOOKUP(PREVIOS!F1172&amp;VLOOKUP(PREVIOS!I1172,PLAN!A:B,2,FALSE),CURSO!A:D,4,FALSE)</f>
        <v>22</v>
      </c>
      <c r="K1172">
        <f>VLOOKUP(PREVIOS!H1172,CICLO!A:B,2,FALSE)</f>
        <v>56</v>
      </c>
      <c r="L1172">
        <f>VLOOKUP(PREVIOS!I1172,PLAN!A:B,2,FALSE)</f>
        <v>6</v>
      </c>
    </row>
    <row r="1173" spans="1:12" x14ac:dyDescent="0.25">
      <c r="A1173" t="str">
        <f t="shared" si="18"/>
        <v>A760M281C1</v>
      </c>
      <c r="C1173">
        <v>1172</v>
      </c>
      <c r="D1173">
        <f>VLOOKUP(PREVIOS!C1173,ALUMNOS!A:B,2,FALSE)</f>
        <v>760</v>
      </c>
      <c r="E1173">
        <f>VLOOKUP(PREVIOS!E1173&amp;'TABLA PREVIOS'!J1173,MATERIAS!A:H,7,FALSE)</f>
        <v>281</v>
      </c>
      <c r="F1173">
        <f>VLOOKUP(PREVIOS!G1173,CONDICION!A:B,2,FALSE)</f>
        <v>1</v>
      </c>
      <c r="G1173">
        <f>IF(PREVIOS!AG1173=1,1,VLOOKUP(PREVIOS!AG1173,CALIFICACION!A:C,3,FALSE))</f>
        <v>1</v>
      </c>
      <c r="H1173" s="1" t="s">
        <v>534</v>
      </c>
      <c r="I1173" s="1" t="s">
        <v>534</v>
      </c>
      <c r="J1173">
        <f>VLOOKUP(PREVIOS!F1173&amp;VLOOKUP(PREVIOS!I1173,PLAN!A:B,2,FALSE),CURSO!A:D,4,FALSE)</f>
        <v>22</v>
      </c>
      <c r="K1173">
        <f>VLOOKUP(PREVIOS!H1173,CICLO!A:B,2,FALSE)</f>
        <v>56</v>
      </c>
      <c r="L1173">
        <f>VLOOKUP(PREVIOS!I1173,PLAN!A:B,2,FALSE)</f>
        <v>6</v>
      </c>
    </row>
    <row r="1174" spans="1:12" x14ac:dyDescent="0.25">
      <c r="A1174" t="str">
        <f t="shared" si="18"/>
        <v>A760M290C1</v>
      </c>
      <c r="C1174">
        <v>1173</v>
      </c>
      <c r="D1174">
        <f>VLOOKUP(PREVIOS!C1174,ALUMNOS!A:B,2,FALSE)</f>
        <v>760</v>
      </c>
      <c r="E1174">
        <f>VLOOKUP(PREVIOS!E1174&amp;'TABLA PREVIOS'!J1174,MATERIAS!A:H,7,FALSE)</f>
        <v>290</v>
      </c>
      <c r="F1174">
        <f>VLOOKUP(PREVIOS!G1174,CONDICION!A:B,2,FALSE)</f>
        <v>1</v>
      </c>
      <c r="G1174">
        <f>IF(PREVIOS!AG1174=1,1,VLOOKUP(PREVIOS!AG1174,CALIFICACION!A:C,3,FALSE))</f>
        <v>1</v>
      </c>
      <c r="H1174" s="1" t="s">
        <v>534</v>
      </c>
      <c r="I1174" s="1" t="s">
        <v>534</v>
      </c>
      <c r="J1174">
        <f>VLOOKUP(PREVIOS!F1174&amp;VLOOKUP(PREVIOS!I1174,PLAN!A:B,2,FALSE),CURSO!A:D,4,FALSE)</f>
        <v>22</v>
      </c>
      <c r="K1174">
        <f>VLOOKUP(PREVIOS!H1174,CICLO!A:B,2,FALSE)</f>
        <v>56</v>
      </c>
      <c r="L1174">
        <f>VLOOKUP(PREVIOS!I1174,PLAN!A:B,2,FALSE)</f>
        <v>6</v>
      </c>
    </row>
    <row r="1175" spans="1:12" x14ac:dyDescent="0.25">
      <c r="A1175" t="str">
        <f t="shared" si="18"/>
        <v>A3M219C1</v>
      </c>
      <c r="C1175">
        <v>1174</v>
      </c>
      <c r="D1175">
        <f>VLOOKUP(PREVIOS!C1175,ALUMNOS!A:B,2,FALSE)</f>
        <v>3</v>
      </c>
      <c r="E1175">
        <f>VLOOKUP(PREVIOS!E1175&amp;'TABLA PREVIOS'!J1175,MATERIAS!A:H,7,FALSE)</f>
        <v>219</v>
      </c>
      <c r="F1175">
        <f>VLOOKUP(PREVIOS!G1175,CONDICION!A:B,2,FALSE)</f>
        <v>1</v>
      </c>
      <c r="G1175">
        <f>IF(PREVIOS!AG1175=1,1,VLOOKUP(PREVIOS!AG1175,CALIFICACION!A:C,3,FALSE))</f>
        <v>1</v>
      </c>
      <c r="H1175" s="1" t="s">
        <v>534</v>
      </c>
      <c r="I1175" s="1" t="s">
        <v>534</v>
      </c>
      <c r="J1175">
        <f>VLOOKUP(PREVIOS!F1175&amp;VLOOKUP(PREVIOS!I1175,PLAN!A:B,2,FALSE),CURSO!A:D,4,FALSE)</f>
        <v>17</v>
      </c>
      <c r="K1175">
        <f>VLOOKUP(PREVIOS!H1175,CICLO!A:B,2,FALSE)</f>
        <v>51</v>
      </c>
      <c r="L1175">
        <f>VLOOKUP(PREVIOS!I1175,PLAN!A:B,2,FALSE)</f>
        <v>5</v>
      </c>
    </row>
    <row r="1176" spans="1:12" x14ac:dyDescent="0.25">
      <c r="A1176" t="str">
        <f t="shared" si="18"/>
        <v>A3M233C1</v>
      </c>
      <c r="C1176">
        <v>1175</v>
      </c>
      <c r="D1176">
        <f>VLOOKUP(PREVIOS!C1176,ALUMNOS!A:B,2,FALSE)</f>
        <v>3</v>
      </c>
      <c r="E1176">
        <f>VLOOKUP(PREVIOS!E1176&amp;'TABLA PREVIOS'!J1176,MATERIAS!A:H,7,FALSE)</f>
        <v>233</v>
      </c>
      <c r="F1176">
        <f>VLOOKUP(PREVIOS!G1176,CONDICION!A:B,2,FALSE)</f>
        <v>1</v>
      </c>
      <c r="G1176">
        <f>IF(PREVIOS!AG1176=1,1,VLOOKUP(PREVIOS!AG1176,CALIFICACION!A:C,3,FALSE))</f>
        <v>1</v>
      </c>
      <c r="H1176" s="1" t="s">
        <v>534</v>
      </c>
      <c r="I1176" s="1" t="s">
        <v>534</v>
      </c>
      <c r="J1176">
        <f>VLOOKUP(PREVIOS!F1176&amp;VLOOKUP(PREVIOS!I1176,PLAN!A:B,2,FALSE),CURSO!A:D,4,FALSE)</f>
        <v>18</v>
      </c>
      <c r="K1176">
        <f>VLOOKUP(PREVIOS!H1176,CICLO!A:B,2,FALSE)</f>
        <v>52</v>
      </c>
      <c r="L1176">
        <f>VLOOKUP(PREVIOS!I1176,PLAN!A:B,2,FALSE)</f>
        <v>5</v>
      </c>
    </row>
    <row r="1177" spans="1:12" x14ac:dyDescent="0.25">
      <c r="A1177" t="str">
        <f t="shared" si="18"/>
        <v>A3M240C1</v>
      </c>
      <c r="C1177">
        <v>1176</v>
      </c>
      <c r="D1177">
        <f>VLOOKUP(PREVIOS!C1177,ALUMNOS!A:B,2,FALSE)</f>
        <v>3</v>
      </c>
      <c r="E1177">
        <f>VLOOKUP(PREVIOS!E1177&amp;'TABLA PREVIOS'!J1177,MATERIAS!A:H,7,FALSE)</f>
        <v>240</v>
      </c>
      <c r="F1177">
        <f>VLOOKUP(PREVIOS!G1177,CONDICION!A:B,2,FALSE)</f>
        <v>1</v>
      </c>
      <c r="G1177">
        <f>IF(PREVIOS!AG1177=1,1,VLOOKUP(PREVIOS!AG1177,CALIFICACION!A:C,3,FALSE))</f>
        <v>1</v>
      </c>
      <c r="H1177" s="1" t="s">
        <v>534</v>
      </c>
      <c r="I1177" s="1" t="s">
        <v>534</v>
      </c>
      <c r="J1177">
        <f>VLOOKUP(PREVIOS!F1177&amp;VLOOKUP(PREVIOS!I1177,PLAN!A:B,2,FALSE),CURSO!A:D,4,FALSE)</f>
        <v>19</v>
      </c>
      <c r="K1177">
        <f>VLOOKUP(PREVIOS!H1177,CICLO!A:B,2,FALSE)</f>
        <v>53</v>
      </c>
      <c r="L1177">
        <f>VLOOKUP(PREVIOS!I1177,PLAN!A:B,2,FALSE)</f>
        <v>5</v>
      </c>
    </row>
    <row r="1178" spans="1:12" x14ac:dyDescent="0.25">
      <c r="A1178" t="str">
        <f t="shared" si="18"/>
        <v>A2M221C1</v>
      </c>
      <c r="C1178">
        <v>1177</v>
      </c>
      <c r="D1178">
        <f>VLOOKUP(PREVIOS!C1178,ALUMNOS!A:B,2,FALSE)</f>
        <v>2</v>
      </c>
      <c r="E1178">
        <f>VLOOKUP(PREVIOS!E1178&amp;'TABLA PREVIOS'!J1178,MATERIAS!A:H,7,FALSE)</f>
        <v>221</v>
      </c>
      <c r="F1178">
        <f>VLOOKUP(PREVIOS!G1178,CONDICION!A:B,2,FALSE)</f>
        <v>1</v>
      </c>
      <c r="G1178">
        <f>IF(PREVIOS!AG1178=1,1,VLOOKUP(PREVIOS!AG1178,CALIFICACION!A:C,3,FALSE))</f>
        <v>1</v>
      </c>
      <c r="H1178" s="1" t="s">
        <v>534</v>
      </c>
      <c r="I1178" s="1" t="s">
        <v>534</v>
      </c>
      <c r="J1178">
        <f>VLOOKUP(PREVIOS!F1178&amp;VLOOKUP(PREVIOS!I1178,PLAN!A:B,2,FALSE),CURSO!A:D,4,FALSE)</f>
        <v>17</v>
      </c>
      <c r="K1178">
        <f>VLOOKUP(PREVIOS!H1178,CICLO!A:B,2,FALSE)</f>
        <v>54</v>
      </c>
      <c r="L1178">
        <f>VLOOKUP(PREVIOS!I1178,PLAN!A:B,2,FALSE)</f>
        <v>5</v>
      </c>
    </row>
    <row r="1179" spans="1:12" x14ac:dyDescent="0.25">
      <c r="A1179" t="str">
        <f t="shared" si="18"/>
        <v>A2M222C1</v>
      </c>
      <c r="C1179">
        <v>1178</v>
      </c>
      <c r="D1179">
        <f>VLOOKUP(PREVIOS!C1179,ALUMNOS!A:B,2,FALSE)</f>
        <v>2</v>
      </c>
      <c r="E1179">
        <f>VLOOKUP(PREVIOS!E1179&amp;'TABLA PREVIOS'!J1179,MATERIAS!A:H,7,FALSE)</f>
        <v>222</v>
      </c>
      <c r="F1179">
        <f>VLOOKUP(PREVIOS!G1179,CONDICION!A:B,2,FALSE)</f>
        <v>1</v>
      </c>
      <c r="G1179">
        <f>IF(PREVIOS!AG1179=1,1,VLOOKUP(PREVIOS!AG1179,CALIFICACION!A:C,3,FALSE))</f>
        <v>1</v>
      </c>
      <c r="H1179" s="1" t="s">
        <v>534</v>
      </c>
      <c r="I1179" s="1" t="s">
        <v>534</v>
      </c>
      <c r="J1179">
        <f>VLOOKUP(PREVIOS!F1179&amp;VLOOKUP(PREVIOS!I1179,PLAN!A:B,2,FALSE),CURSO!A:D,4,FALSE)</f>
        <v>17</v>
      </c>
      <c r="K1179">
        <f>VLOOKUP(PREVIOS!H1179,CICLO!A:B,2,FALSE)</f>
        <v>54</v>
      </c>
      <c r="L1179">
        <f>VLOOKUP(PREVIOS!I1179,PLAN!A:B,2,FALSE)</f>
        <v>5</v>
      </c>
    </row>
    <row r="1180" spans="1:12" x14ac:dyDescent="0.25">
      <c r="A1180" t="str">
        <f t="shared" si="18"/>
        <v>A12M222C1</v>
      </c>
      <c r="C1180">
        <v>1179</v>
      </c>
      <c r="D1180">
        <f>VLOOKUP(PREVIOS!C1180,ALUMNOS!A:B,2,FALSE)</f>
        <v>12</v>
      </c>
      <c r="E1180">
        <f>VLOOKUP(PREVIOS!E1180&amp;'TABLA PREVIOS'!J1180,MATERIAS!A:H,7,FALSE)</f>
        <v>222</v>
      </c>
      <c r="F1180">
        <f>VLOOKUP(PREVIOS!G1180,CONDICION!A:B,2,FALSE)</f>
        <v>1</v>
      </c>
      <c r="G1180">
        <f>IF(PREVIOS!AG1180=1,1,VLOOKUP(PREVIOS!AG1180,CALIFICACION!A:C,3,FALSE))</f>
        <v>1</v>
      </c>
      <c r="H1180" s="1" t="s">
        <v>534</v>
      </c>
      <c r="I1180" s="1" t="s">
        <v>534</v>
      </c>
      <c r="J1180">
        <f>VLOOKUP(PREVIOS!F1180&amp;VLOOKUP(PREVIOS!I1180,PLAN!A:B,2,FALSE),CURSO!A:D,4,FALSE)</f>
        <v>17</v>
      </c>
      <c r="K1180">
        <f>VLOOKUP(PREVIOS!H1180,CICLO!A:B,2,FALSE)</f>
        <v>51</v>
      </c>
      <c r="L1180">
        <f>VLOOKUP(PREVIOS!I1180,PLAN!A:B,2,FALSE)</f>
        <v>5</v>
      </c>
    </row>
    <row r="1181" spans="1:12" x14ac:dyDescent="0.25">
      <c r="A1181" t="str">
        <f t="shared" si="18"/>
        <v>A12M239C1</v>
      </c>
      <c r="C1181">
        <v>1180</v>
      </c>
      <c r="D1181">
        <f>VLOOKUP(PREVIOS!C1181,ALUMNOS!A:B,2,FALSE)</f>
        <v>12</v>
      </c>
      <c r="E1181">
        <f>VLOOKUP(PREVIOS!E1181&amp;'TABLA PREVIOS'!J1181,MATERIAS!A:H,7,FALSE)</f>
        <v>239</v>
      </c>
      <c r="F1181">
        <f>VLOOKUP(PREVIOS!G1181,CONDICION!A:B,2,FALSE)</f>
        <v>1</v>
      </c>
      <c r="G1181">
        <f>IF(PREVIOS!AG1181=1,1,VLOOKUP(PREVIOS!AG1181,CALIFICACION!A:C,3,FALSE))</f>
        <v>1</v>
      </c>
      <c r="H1181" s="1" t="s">
        <v>534</v>
      </c>
      <c r="I1181" s="1" t="s">
        <v>534</v>
      </c>
      <c r="J1181">
        <f>VLOOKUP(PREVIOS!F1181&amp;VLOOKUP(PREVIOS!I1181,PLAN!A:B,2,FALSE),CURSO!A:D,4,FALSE)</f>
        <v>19</v>
      </c>
      <c r="K1181">
        <f>VLOOKUP(PREVIOS!H1181,CICLO!A:B,2,FALSE)</f>
        <v>53</v>
      </c>
      <c r="L1181">
        <f>VLOOKUP(PREVIOS!I1181,PLAN!A:B,2,FALSE)</f>
        <v>5</v>
      </c>
    </row>
    <row r="1182" spans="1:12" x14ac:dyDescent="0.25">
      <c r="A1182" t="str">
        <f t="shared" si="18"/>
        <v>A12M242C1</v>
      </c>
      <c r="C1182">
        <v>1181</v>
      </c>
      <c r="D1182">
        <f>VLOOKUP(PREVIOS!C1182,ALUMNOS!A:B,2,FALSE)</f>
        <v>12</v>
      </c>
      <c r="E1182">
        <f>VLOOKUP(PREVIOS!E1182&amp;'TABLA PREVIOS'!J1182,MATERIAS!A:H,7,FALSE)</f>
        <v>242</v>
      </c>
      <c r="F1182">
        <f>VLOOKUP(PREVIOS!G1182,CONDICION!A:B,2,FALSE)</f>
        <v>1</v>
      </c>
      <c r="G1182">
        <f>IF(PREVIOS!AG1182=1,1,VLOOKUP(PREVIOS!AG1182,CALIFICACION!A:C,3,FALSE))</f>
        <v>1</v>
      </c>
      <c r="H1182" s="1" t="s">
        <v>534</v>
      </c>
      <c r="I1182" s="1" t="s">
        <v>534</v>
      </c>
      <c r="J1182">
        <f>VLOOKUP(PREVIOS!F1182&amp;VLOOKUP(PREVIOS!I1182,PLAN!A:B,2,FALSE),CURSO!A:D,4,FALSE)</f>
        <v>19</v>
      </c>
      <c r="K1182">
        <f>VLOOKUP(PREVIOS!H1182,CICLO!A:B,2,FALSE)</f>
        <v>53</v>
      </c>
      <c r="L1182">
        <f>VLOOKUP(PREVIOS!I1182,PLAN!A:B,2,FALSE)</f>
        <v>5</v>
      </c>
    </row>
    <row r="1183" spans="1:12" x14ac:dyDescent="0.25">
      <c r="A1183" t="str">
        <f t="shared" si="18"/>
        <v>A18M245C1</v>
      </c>
      <c r="C1183">
        <v>1182</v>
      </c>
      <c r="D1183">
        <f>VLOOKUP(PREVIOS!C1183,ALUMNOS!A:B,2,FALSE)</f>
        <v>18</v>
      </c>
      <c r="E1183">
        <f>VLOOKUP(PREVIOS!E1183&amp;'TABLA PREVIOS'!J1183,MATERIAS!A:H,7,FALSE)</f>
        <v>245</v>
      </c>
      <c r="F1183">
        <f>VLOOKUP(PREVIOS!G1183,CONDICION!A:B,2,FALSE)</f>
        <v>1</v>
      </c>
      <c r="G1183">
        <f>IF(PREVIOS!AG1183=1,1,VLOOKUP(PREVIOS!AG1183,CALIFICACION!A:C,3,FALSE))</f>
        <v>1</v>
      </c>
      <c r="H1183" s="1" t="s">
        <v>534</v>
      </c>
      <c r="I1183" s="1" t="s">
        <v>534</v>
      </c>
      <c r="J1183">
        <f>VLOOKUP(PREVIOS!F1183&amp;VLOOKUP(PREVIOS!I1183,PLAN!A:B,2,FALSE),CURSO!A:D,4,FALSE)</f>
        <v>19</v>
      </c>
      <c r="K1183">
        <f>VLOOKUP(PREVIOS!H1183,CICLO!A:B,2,FALSE)</f>
        <v>55</v>
      </c>
      <c r="L1183">
        <f>VLOOKUP(PREVIOS!I1183,PLAN!A:B,2,FALSE)</f>
        <v>5</v>
      </c>
    </row>
    <row r="1184" spans="1:12" x14ac:dyDescent="0.25">
      <c r="A1184" t="str">
        <f t="shared" si="18"/>
        <v>A18M239C1</v>
      </c>
      <c r="C1184">
        <v>1183</v>
      </c>
      <c r="D1184">
        <f>VLOOKUP(PREVIOS!C1184,ALUMNOS!A:B,2,FALSE)</f>
        <v>18</v>
      </c>
      <c r="E1184">
        <f>VLOOKUP(PREVIOS!E1184&amp;'TABLA PREVIOS'!J1184,MATERIAS!A:H,7,FALSE)</f>
        <v>239</v>
      </c>
      <c r="F1184">
        <f>VLOOKUP(PREVIOS!G1184,CONDICION!A:B,2,FALSE)</f>
        <v>1</v>
      </c>
      <c r="G1184">
        <f>IF(PREVIOS!AG1184=1,1,VLOOKUP(PREVIOS!AG1184,CALIFICACION!A:C,3,FALSE))</f>
        <v>1</v>
      </c>
      <c r="H1184" s="1" t="s">
        <v>534</v>
      </c>
      <c r="I1184" s="1" t="s">
        <v>534</v>
      </c>
      <c r="J1184">
        <f>VLOOKUP(PREVIOS!F1184&amp;VLOOKUP(PREVIOS!I1184,PLAN!A:B,2,FALSE),CURSO!A:D,4,FALSE)</f>
        <v>19</v>
      </c>
      <c r="K1184">
        <f>VLOOKUP(PREVIOS!H1184,CICLO!A:B,2,FALSE)</f>
        <v>55</v>
      </c>
      <c r="L1184">
        <f>VLOOKUP(PREVIOS!I1184,PLAN!A:B,2,FALSE)</f>
        <v>5</v>
      </c>
    </row>
    <row r="1185" spans="1:12" x14ac:dyDescent="0.25">
      <c r="A1185" t="str">
        <f t="shared" si="18"/>
        <v>A29M221C1</v>
      </c>
      <c r="C1185">
        <v>1184</v>
      </c>
      <c r="D1185">
        <f>VLOOKUP(PREVIOS!C1185,ALUMNOS!A:B,2,FALSE)</f>
        <v>29</v>
      </c>
      <c r="E1185">
        <f>VLOOKUP(PREVIOS!E1185&amp;'TABLA PREVIOS'!J1185,MATERIAS!A:H,7,FALSE)</f>
        <v>221</v>
      </c>
      <c r="F1185">
        <f>VLOOKUP(PREVIOS!G1185,CONDICION!A:B,2,FALSE)</f>
        <v>1</v>
      </c>
      <c r="G1185">
        <f>IF(PREVIOS!AG1185=1,1,VLOOKUP(PREVIOS!AG1185,CALIFICACION!A:C,3,FALSE))</f>
        <v>1</v>
      </c>
      <c r="H1185" s="1" t="s">
        <v>534</v>
      </c>
      <c r="I1185" s="1" t="s">
        <v>534</v>
      </c>
      <c r="J1185">
        <f>VLOOKUP(PREVIOS!F1185&amp;VLOOKUP(PREVIOS!I1185,PLAN!A:B,2,FALSE),CURSO!A:D,4,FALSE)</f>
        <v>17</v>
      </c>
      <c r="K1185">
        <f>VLOOKUP(PREVIOS!H1185,CICLO!A:B,2,FALSE)</f>
        <v>54</v>
      </c>
      <c r="L1185">
        <f>VLOOKUP(PREVIOS!I1185,PLAN!A:B,2,FALSE)</f>
        <v>5</v>
      </c>
    </row>
    <row r="1186" spans="1:12" x14ac:dyDescent="0.25">
      <c r="A1186" t="str">
        <f t="shared" si="18"/>
        <v>A29M222C1</v>
      </c>
      <c r="C1186">
        <v>1185</v>
      </c>
      <c r="D1186">
        <f>VLOOKUP(PREVIOS!C1186,ALUMNOS!A:B,2,FALSE)</f>
        <v>29</v>
      </c>
      <c r="E1186">
        <f>VLOOKUP(PREVIOS!E1186&amp;'TABLA PREVIOS'!J1186,MATERIAS!A:H,7,FALSE)</f>
        <v>222</v>
      </c>
      <c r="F1186">
        <f>VLOOKUP(PREVIOS!G1186,CONDICION!A:B,2,FALSE)</f>
        <v>1</v>
      </c>
      <c r="G1186">
        <f>IF(PREVIOS!AG1186=1,1,VLOOKUP(PREVIOS!AG1186,CALIFICACION!A:C,3,FALSE))</f>
        <v>1</v>
      </c>
      <c r="H1186" s="1" t="s">
        <v>534</v>
      </c>
      <c r="I1186" s="1" t="s">
        <v>534</v>
      </c>
      <c r="J1186">
        <f>VLOOKUP(PREVIOS!F1186&amp;VLOOKUP(PREVIOS!I1186,PLAN!A:B,2,FALSE),CURSO!A:D,4,FALSE)</f>
        <v>17</v>
      </c>
      <c r="K1186">
        <f>VLOOKUP(PREVIOS!H1186,CICLO!A:B,2,FALSE)</f>
        <v>54</v>
      </c>
      <c r="L1186">
        <f>VLOOKUP(PREVIOS!I1186,PLAN!A:B,2,FALSE)</f>
        <v>5</v>
      </c>
    </row>
    <row r="1187" spans="1:12" x14ac:dyDescent="0.25">
      <c r="A1187" t="str">
        <f t="shared" si="18"/>
        <v>A29M224C1</v>
      </c>
      <c r="C1187">
        <v>1186</v>
      </c>
      <c r="D1187">
        <f>VLOOKUP(PREVIOS!C1187,ALUMNOS!A:B,2,FALSE)</f>
        <v>29</v>
      </c>
      <c r="E1187">
        <f>VLOOKUP(PREVIOS!E1187&amp;'TABLA PREVIOS'!J1187,MATERIAS!A:H,7,FALSE)</f>
        <v>224</v>
      </c>
      <c r="F1187">
        <f>VLOOKUP(PREVIOS!G1187,CONDICION!A:B,2,FALSE)</f>
        <v>1</v>
      </c>
      <c r="G1187">
        <f>IF(PREVIOS!AG1187=1,1,VLOOKUP(PREVIOS!AG1187,CALIFICACION!A:C,3,FALSE))</f>
        <v>1</v>
      </c>
      <c r="H1187" s="1" t="s">
        <v>534</v>
      </c>
      <c r="I1187" s="1" t="s">
        <v>534</v>
      </c>
      <c r="J1187">
        <f>VLOOKUP(PREVIOS!F1187&amp;VLOOKUP(PREVIOS!I1187,PLAN!A:B,2,FALSE),CURSO!A:D,4,FALSE)</f>
        <v>17</v>
      </c>
      <c r="K1187">
        <f>VLOOKUP(PREVIOS!H1187,CICLO!A:B,2,FALSE)</f>
        <v>54</v>
      </c>
      <c r="L1187">
        <f>VLOOKUP(PREVIOS!I1187,PLAN!A:B,2,FALSE)</f>
        <v>5</v>
      </c>
    </row>
    <row r="1188" spans="1:12" x14ac:dyDescent="0.25">
      <c r="A1188" t="str">
        <f t="shared" si="18"/>
        <v>A29M220C1</v>
      </c>
      <c r="C1188">
        <v>1187</v>
      </c>
      <c r="D1188">
        <f>VLOOKUP(PREVIOS!C1188,ALUMNOS!A:B,2,FALSE)</f>
        <v>29</v>
      </c>
      <c r="E1188">
        <f>VLOOKUP(PREVIOS!E1188&amp;'TABLA PREVIOS'!J1188,MATERIAS!A:H,7,FALSE)</f>
        <v>220</v>
      </c>
      <c r="F1188">
        <f>VLOOKUP(PREVIOS!G1188,CONDICION!A:B,2,FALSE)</f>
        <v>1</v>
      </c>
      <c r="G1188">
        <f>IF(PREVIOS!AG1188=1,1,VLOOKUP(PREVIOS!AG1188,CALIFICACION!A:C,3,FALSE))</f>
        <v>1</v>
      </c>
      <c r="H1188" s="1" t="s">
        <v>534</v>
      </c>
      <c r="I1188" s="1" t="s">
        <v>534</v>
      </c>
      <c r="J1188">
        <f>VLOOKUP(PREVIOS!F1188&amp;VLOOKUP(PREVIOS!I1188,PLAN!A:B,2,FALSE),CURSO!A:D,4,FALSE)</f>
        <v>17</v>
      </c>
      <c r="K1188">
        <f>VLOOKUP(PREVIOS!H1188,CICLO!A:B,2,FALSE)</f>
        <v>54</v>
      </c>
      <c r="L1188">
        <f>VLOOKUP(PREVIOS!I1188,PLAN!A:B,2,FALSE)</f>
        <v>5</v>
      </c>
    </row>
    <row r="1189" spans="1:12" x14ac:dyDescent="0.25">
      <c r="A1189" t="str">
        <f t="shared" si="18"/>
        <v>A61M228C1</v>
      </c>
      <c r="C1189">
        <v>1188</v>
      </c>
      <c r="D1189">
        <f>VLOOKUP(PREVIOS!C1189,ALUMNOS!A:B,2,FALSE)</f>
        <v>61</v>
      </c>
      <c r="E1189">
        <f>VLOOKUP(PREVIOS!E1189&amp;'TABLA PREVIOS'!J1189,MATERIAS!A:H,7,FALSE)</f>
        <v>228</v>
      </c>
      <c r="F1189">
        <f>VLOOKUP(PREVIOS!G1189,CONDICION!A:B,2,FALSE)</f>
        <v>1</v>
      </c>
      <c r="G1189">
        <f>IF(PREVIOS!AG1189=1,1,VLOOKUP(PREVIOS!AG1189,CALIFICACION!A:C,3,FALSE))</f>
        <v>1</v>
      </c>
      <c r="H1189" s="1" t="s">
        <v>534</v>
      </c>
      <c r="I1189" s="1" t="s">
        <v>534</v>
      </c>
      <c r="J1189">
        <f>VLOOKUP(PREVIOS!F1189&amp;VLOOKUP(PREVIOS!I1189,PLAN!A:B,2,FALSE),CURSO!A:D,4,FALSE)</f>
        <v>18</v>
      </c>
      <c r="K1189">
        <f>VLOOKUP(PREVIOS!H1189,CICLO!A:B,2,FALSE)</f>
        <v>53</v>
      </c>
      <c r="L1189">
        <f>VLOOKUP(PREVIOS!I1189,PLAN!A:B,2,FALSE)</f>
        <v>5</v>
      </c>
    </row>
    <row r="1190" spans="1:12" x14ac:dyDescent="0.25">
      <c r="A1190" t="str">
        <f t="shared" si="18"/>
        <v>A92M225C1</v>
      </c>
      <c r="C1190">
        <v>1189</v>
      </c>
      <c r="D1190">
        <f>VLOOKUP(PREVIOS!C1190,ALUMNOS!A:B,2,FALSE)</f>
        <v>92</v>
      </c>
      <c r="E1190">
        <f>VLOOKUP(PREVIOS!E1190&amp;'TABLA PREVIOS'!J1190,MATERIAS!A:H,7,FALSE)</f>
        <v>225</v>
      </c>
      <c r="F1190">
        <f>VLOOKUP(PREVIOS!G1190,CONDICION!A:B,2,FALSE)</f>
        <v>1</v>
      </c>
      <c r="G1190">
        <f>IF(PREVIOS!AG1190=1,1,VLOOKUP(PREVIOS!AG1190,CALIFICACION!A:C,3,FALSE))</f>
        <v>1</v>
      </c>
      <c r="H1190" s="1" t="s">
        <v>534</v>
      </c>
      <c r="I1190" s="1" t="s">
        <v>534</v>
      </c>
      <c r="J1190">
        <f>VLOOKUP(PREVIOS!F1190&amp;VLOOKUP(PREVIOS!I1190,PLAN!A:B,2,FALSE),CURSO!A:D,4,FALSE)</f>
        <v>17</v>
      </c>
      <c r="K1190">
        <f>VLOOKUP(PREVIOS!H1190,CICLO!A:B,2,FALSE)</f>
        <v>53</v>
      </c>
      <c r="L1190">
        <f>VLOOKUP(PREVIOS!I1190,PLAN!A:B,2,FALSE)</f>
        <v>5</v>
      </c>
    </row>
    <row r="1191" spans="1:12" x14ac:dyDescent="0.25">
      <c r="A1191" t="str">
        <f t="shared" si="18"/>
        <v>A92M234C1</v>
      </c>
      <c r="C1191">
        <v>1190</v>
      </c>
      <c r="D1191">
        <f>VLOOKUP(PREVIOS!C1191,ALUMNOS!A:B,2,FALSE)</f>
        <v>92</v>
      </c>
      <c r="E1191">
        <f>VLOOKUP(PREVIOS!E1191&amp;'TABLA PREVIOS'!J1191,MATERIAS!A:H,7,FALSE)</f>
        <v>234</v>
      </c>
      <c r="F1191">
        <f>VLOOKUP(PREVIOS!G1191,CONDICION!A:B,2,FALSE)</f>
        <v>1</v>
      </c>
      <c r="G1191">
        <f>IF(PREVIOS!AG1191=1,1,VLOOKUP(PREVIOS!AG1191,CALIFICACION!A:C,3,FALSE))</f>
        <v>1</v>
      </c>
      <c r="H1191" s="1" t="s">
        <v>534</v>
      </c>
      <c r="I1191" s="1" t="s">
        <v>534</v>
      </c>
      <c r="J1191">
        <f>VLOOKUP(PREVIOS!F1191&amp;VLOOKUP(PREVIOS!I1191,PLAN!A:B,2,FALSE),CURSO!A:D,4,FALSE)</f>
        <v>18</v>
      </c>
      <c r="K1191">
        <f>VLOOKUP(PREVIOS!H1191,CICLO!A:B,2,FALSE)</f>
        <v>54</v>
      </c>
      <c r="L1191">
        <f>VLOOKUP(PREVIOS!I1191,PLAN!A:B,2,FALSE)</f>
        <v>5</v>
      </c>
    </row>
    <row r="1192" spans="1:12" x14ac:dyDescent="0.25">
      <c r="A1192" t="str">
        <f t="shared" si="18"/>
        <v>A92M229C1</v>
      </c>
      <c r="C1192">
        <v>1191</v>
      </c>
      <c r="D1192">
        <f>VLOOKUP(PREVIOS!C1192,ALUMNOS!A:B,2,FALSE)</f>
        <v>92</v>
      </c>
      <c r="E1192">
        <f>VLOOKUP(PREVIOS!E1192&amp;'TABLA PREVIOS'!J1192,MATERIAS!A:H,7,FALSE)</f>
        <v>229</v>
      </c>
      <c r="F1192">
        <f>VLOOKUP(PREVIOS!G1192,CONDICION!A:B,2,FALSE)</f>
        <v>1</v>
      </c>
      <c r="G1192">
        <f>IF(PREVIOS!AG1192=1,1,VLOOKUP(PREVIOS!AG1192,CALIFICACION!A:C,3,FALSE))</f>
        <v>1</v>
      </c>
      <c r="H1192" s="1" t="s">
        <v>534</v>
      </c>
      <c r="I1192" s="1" t="s">
        <v>534</v>
      </c>
      <c r="J1192">
        <f>VLOOKUP(PREVIOS!F1192&amp;VLOOKUP(PREVIOS!I1192,PLAN!A:B,2,FALSE),CURSO!A:D,4,FALSE)</f>
        <v>18</v>
      </c>
      <c r="K1192">
        <f>VLOOKUP(PREVIOS!H1192,CICLO!A:B,2,FALSE)</f>
        <v>54</v>
      </c>
      <c r="L1192">
        <f>VLOOKUP(PREVIOS!I1192,PLAN!A:B,2,FALSE)</f>
        <v>5</v>
      </c>
    </row>
    <row r="1193" spans="1:12" x14ac:dyDescent="0.25">
      <c r="A1193" t="str">
        <f t="shared" si="18"/>
        <v>A93M220C1</v>
      </c>
      <c r="C1193">
        <v>1192</v>
      </c>
      <c r="D1193">
        <f>VLOOKUP(PREVIOS!C1193,ALUMNOS!A:B,2,FALSE)</f>
        <v>93</v>
      </c>
      <c r="E1193">
        <f>VLOOKUP(PREVIOS!E1193&amp;'TABLA PREVIOS'!J1193,MATERIAS!A:H,7,FALSE)</f>
        <v>220</v>
      </c>
      <c r="F1193">
        <f>VLOOKUP(PREVIOS!G1193,CONDICION!A:B,2,FALSE)</f>
        <v>1</v>
      </c>
      <c r="G1193">
        <f>IF(PREVIOS!AG1193=1,1,VLOOKUP(PREVIOS!AG1193,CALIFICACION!A:C,3,FALSE))</f>
        <v>1</v>
      </c>
      <c r="H1193" s="1" t="s">
        <v>534</v>
      </c>
      <c r="I1193" s="1" t="s">
        <v>534</v>
      </c>
      <c r="J1193">
        <f>VLOOKUP(PREVIOS!F1193&amp;VLOOKUP(PREVIOS!I1193,PLAN!A:B,2,FALSE),CURSO!A:D,4,FALSE)</f>
        <v>17</v>
      </c>
      <c r="K1193">
        <f>VLOOKUP(PREVIOS!H1193,CICLO!A:B,2,FALSE)</f>
        <v>52</v>
      </c>
      <c r="L1193">
        <f>VLOOKUP(PREVIOS!I1193,PLAN!A:B,2,FALSE)</f>
        <v>5</v>
      </c>
    </row>
    <row r="1194" spans="1:12" x14ac:dyDescent="0.25">
      <c r="A1194" t="str">
        <f t="shared" si="18"/>
        <v>A93M243C1</v>
      </c>
      <c r="C1194">
        <v>1193</v>
      </c>
      <c r="D1194">
        <f>VLOOKUP(PREVIOS!C1194,ALUMNOS!A:B,2,FALSE)</f>
        <v>93</v>
      </c>
      <c r="E1194">
        <f>VLOOKUP(PREVIOS!E1194&amp;'TABLA PREVIOS'!J1194,MATERIAS!A:H,7,FALSE)</f>
        <v>243</v>
      </c>
      <c r="F1194">
        <f>VLOOKUP(PREVIOS!G1194,CONDICION!A:B,2,FALSE)</f>
        <v>1</v>
      </c>
      <c r="G1194">
        <f>IF(PREVIOS!AG1194=1,1,VLOOKUP(PREVIOS!AG1194,CALIFICACION!A:C,3,FALSE))</f>
        <v>1</v>
      </c>
      <c r="H1194" s="1" t="s">
        <v>534</v>
      </c>
      <c r="I1194" s="1" t="s">
        <v>534</v>
      </c>
      <c r="J1194">
        <f>VLOOKUP(PREVIOS!F1194&amp;VLOOKUP(PREVIOS!I1194,PLAN!A:B,2,FALSE),CURSO!A:D,4,FALSE)</f>
        <v>19</v>
      </c>
      <c r="K1194">
        <f>VLOOKUP(PREVIOS!H1194,CICLO!A:B,2,FALSE)</f>
        <v>54</v>
      </c>
      <c r="L1194">
        <f>VLOOKUP(PREVIOS!I1194,PLAN!A:B,2,FALSE)</f>
        <v>5</v>
      </c>
    </row>
    <row r="1195" spans="1:12" x14ac:dyDescent="0.25">
      <c r="A1195" t="str">
        <f t="shared" si="18"/>
        <v>A93M244C1</v>
      </c>
      <c r="C1195">
        <v>1194</v>
      </c>
      <c r="D1195">
        <f>VLOOKUP(PREVIOS!C1195,ALUMNOS!A:B,2,FALSE)</f>
        <v>93</v>
      </c>
      <c r="E1195">
        <f>VLOOKUP(PREVIOS!E1195&amp;'TABLA PREVIOS'!J1195,MATERIAS!A:H,7,FALSE)</f>
        <v>244</v>
      </c>
      <c r="F1195">
        <f>VLOOKUP(PREVIOS!G1195,CONDICION!A:B,2,FALSE)</f>
        <v>1</v>
      </c>
      <c r="G1195">
        <f>IF(PREVIOS!AG1195=1,1,VLOOKUP(PREVIOS!AG1195,CALIFICACION!A:C,3,FALSE))</f>
        <v>1</v>
      </c>
      <c r="H1195" s="1" t="s">
        <v>534</v>
      </c>
      <c r="I1195" s="1" t="s">
        <v>534</v>
      </c>
      <c r="J1195">
        <f>VLOOKUP(PREVIOS!F1195&amp;VLOOKUP(PREVIOS!I1195,PLAN!A:B,2,FALSE),CURSO!A:D,4,FALSE)</f>
        <v>19</v>
      </c>
      <c r="K1195">
        <f>VLOOKUP(PREVIOS!H1195,CICLO!A:B,2,FALSE)</f>
        <v>54</v>
      </c>
      <c r="L1195">
        <f>VLOOKUP(PREVIOS!I1195,PLAN!A:B,2,FALSE)</f>
        <v>5</v>
      </c>
    </row>
    <row r="1196" spans="1:12" x14ac:dyDescent="0.25">
      <c r="A1196" t="str">
        <f t="shared" si="18"/>
        <v>A104M260C1</v>
      </c>
      <c r="C1196">
        <v>1195</v>
      </c>
      <c r="D1196">
        <f>VLOOKUP(PREVIOS!C1196,ALUMNOS!A:B,2,FALSE)</f>
        <v>104</v>
      </c>
      <c r="E1196">
        <f>VLOOKUP(PREVIOS!E1196&amp;'TABLA PREVIOS'!J1196,MATERIAS!A:H,7,FALSE)</f>
        <v>260</v>
      </c>
      <c r="F1196">
        <f>VLOOKUP(PREVIOS!G1196,CONDICION!A:B,2,FALSE)</f>
        <v>1</v>
      </c>
      <c r="G1196">
        <f>IF(PREVIOS!AG1196=1,1,VLOOKUP(PREVIOS!AG1196,CALIFICACION!A:C,3,FALSE))</f>
        <v>1</v>
      </c>
      <c r="H1196" s="1" t="s">
        <v>534</v>
      </c>
      <c r="I1196" s="1" t="s">
        <v>534</v>
      </c>
      <c r="J1196">
        <f>VLOOKUP(PREVIOS!F1196&amp;VLOOKUP(PREVIOS!I1196,PLAN!A:B,2,FALSE),CURSO!A:D,4,FALSE)</f>
        <v>20</v>
      </c>
      <c r="K1196">
        <f>VLOOKUP(PREVIOS!H1196,CICLO!A:B,2,FALSE)</f>
        <v>54</v>
      </c>
      <c r="L1196">
        <f>VLOOKUP(PREVIOS!I1196,PLAN!A:B,2,FALSE)</f>
        <v>6</v>
      </c>
    </row>
    <row r="1197" spans="1:12" x14ac:dyDescent="0.25">
      <c r="A1197" t="str">
        <f t="shared" si="18"/>
        <v>A104M262C1</v>
      </c>
      <c r="C1197">
        <v>1196</v>
      </c>
      <c r="D1197">
        <f>VLOOKUP(PREVIOS!C1197,ALUMNOS!A:B,2,FALSE)</f>
        <v>104</v>
      </c>
      <c r="E1197">
        <f>VLOOKUP(PREVIOS!E1197&amp;'TABLA PREVIOS'!J1197,MATERIAS!A:H,7,FALSE)</f>
        <v>262</v>
      </c>
      <c r="F1197">
        <f>VLOOKUP(PREVIOS!G1197,CONDICION!A:B,2,FALSE)</f>
        <v>1</v>
      </c>
      <c r="G1197">
        <f>IF(PREVIOS!AG1197=1,1,VLOOKUP(PREVIOS!AG1197,CALIFICACION!A:C,3,FALSE))</f>
        <v>1</v>
      </c>
      <c r="H1197" s="1" t="s">
        <v>534</v>
      </c>
      <c r="I1197" s="1" t="s">
        <v>534</v>
      </c>
      <c r="J1197">
        <f>VLOOKUP(PREVIOS!F1197&amp;VLOOKUP(PREVIOS!I1197,PLAN!A:B,2,FALSE),CURSO!A:D,4,FALSE)</f>
        <v>20</v>
      </c>
      <c r="K1197">
        <f>VLOOKUP(PREVIOS!H1197,CICLO!A:B,2,FALSE)</f>
        <v>54</v>
      </c>
      <c r="L1197">
        <f>VLOOKUP(PREVIOS!I1197,PLAN!A:B,2,FALSE)</f>
        <v>6</v>
      </c>
    </row>
    <row r="1198" spans="1:12" x14ac:dyDescent="0.25">
      <c r="A1198" t="str">
        <f t="shared" si="18"/>
        <v>A104M261C1</v>
      </c>
      <c r="C1198">
        <v>1197</v>
      </c>
      <c r="D1198">
        <f>VLOOKUP(PREVIOS!C1198,ALUMNOS!A:B,2,FALSE)</f>
        <v>104</v>
      </c>
      <c r="E1198">
        <f>VLOOKUP(PREVIOS!E1198&amp;'TABLA PREVIOS'!J1198,MATERIAS!A:H,7,FALSE)</f>
        <v>261</v>
      </c>
      <c r="F1198">
        <f>VLOOKUP(PREVIOS!G1198,CONDICION!A:B,2,FALSE)</f>
        <v>1</v>
      </c>
      <c r="G1198">
        <f>IF(PREVIOS!AG1198=1,1,VLOOKUP(PREVIOS!AG1198,CALIFICACION!A:C,3,FALSE))</f>
        <v>1</v>
      </c>
      <c r="H1198" s="1" t="s">
        <v>534</v>
      </c>
      <c r="I1198" s="1" t="s">
        <v>534</v>
      </c>
      <c r="J1198">
        <f>VLOOKUP(PREVIOS!F1198&amp;VLOOKUP(PREVIOS!I1198,PLAN!A:B,2,FALSE),CURSO!A:D,4,FALSE)</f>
        <v>20</v>
      </c>
      <c r="K1198">
        <f>VLOOKUP(PREVIOS!H1198,CICLO!A:B,2,FALSE)</f>
        <v>54</v>
      </c>
      <c r="L1198">
        <f>VLOOKUP(PREVIOS!I1198,PLAN!A:B,2,FALSE)</f>
        <v>6</v>
      </c>
    </row>
    <row r="1199" spans="1:12" x14ac:dyDescent="0.25">
      <c r="A1199" t="str">
        <f t="shared" si="18"/>
        <v>A104M256C1</v>
      </c>
      <c r="C1199">
        <v>1198</v>
      </c>
      <c r="D1199">
        <f>VLOOKUP(PREVIOS!C1199,ALUMNOS!A:B,2,FALSE)</f>
        <v>104</v>
      </c>
      <c r="E1199">
        <f>VLOOKUP(PREVIOS!E1199&amp;'TABLA PREVIOS'!J1199,MATERIAS!A:H,7,FALSE)</f>
        <v>256</v>
      </c>
      <c r="F1199">
        <f>VLOOKUP(PREVIOS!G1199,CONDICION!A:B,2,FALSE)</f>
        <v>1</v>
      </c>
      <c r="G1199">
        <f>IF(PREVIOS!AG1199=1,1,VLOOKUP(PREVIOS!AG1199,CALIFICACION!A:C,3,FALSE))</f>
        <v>1</v>
      </c>
      <c r="H1199" s="1" t="s">
        <v>534</v>
      </c>
      <c r="I1199" s="1" t="s">
        <v>534</v>
      </c>
      <c r="J1199">
        <f>VLOOKUP(PREVIOS!F1199&amp;VLOOKUP(PREVIOS!I1199,PLAN!A:B,2,FALSE),CURSO!A:D,4,FALSE)</f>
        <v>20</v>
      </c>
      <c r="K1199">
        <f>VLOOKUP(PREVIOS!H1199,CICLO!A:B,2,FALSE)</f>
        <v>54</v>
      </c>
      <c r="L1199">
        <f>VLOOKUP(PREVIOS!I1199,PLAN!A:B,2,FALSE)</f>
        <v>6</v>
      </c>
    </row>
    <row r="1200" spans="1:12" x14ac:dyDescent="0.25">
      <c r="A1200" t="str">
        <f t="shared" si="18"/>
        <v>A104M252C1</v>
      </c>
      <c r="C1200">
        <v>1199</v>
      </c>
      <c r="D1200">
        <f>VLOOKUP(PREVIOS!C1200,ALUMNOS!A:B,2,FALSE)</f>
        <v>104</v>
      </c>
      <c r="E1200">
        <f>VLOOKUP(PREVIOS!E1200&amp;'TABLA PREVIOS'!J1200,MATERIAS!A:H,7,FALSE)</f>
        <v>252</v>
      </c>
      <c r="F1200">
        <f>VLOOKUP(PREVIOS!G1200,CONDICION!A:B,2,FALSE)</f>
        <v>1</v>
      </c>
      <c r="G1200">
        <f>IF(PREVIOS!AG1200=1,1,VLOOKUP(PREVIOS!AG1200,CALIFICACION!A:C,3,FALSE))</f>
        <v>1</v>
      </c>
      <c r="H1200" s="1" t="s">
        <v>534</v>
      </c>
      <c r="I1200" s="1" t="s">
        <v>534</v>
      </c>
      <c r="J1200">
        <f>VLOOKUP(PREVIOS!F1200&amp;VLOOKUP(PREVIOS!I1200,PLAN!A:B,2,FALSE),CURSO!A:D,4,FALSE)</f>
        <v>20</v>
      </c>
      <c r="K1200">
        <f>VLOOKUP(PREVIOS!H1200,CICLO!A:B,2,FALSE)</f>
        <v>54</v>
      </c>
      <c r="L1200">
        <f>VLOOKUP(PREVIOS!I1200,PLAN!A:B,2,FALSE)</f>
        <v>6</v>
      </c>
    </row>
    <row r="1201" spans="1:12" x14ac:dyDescent="0.25">
      <c r="A1201" t="str">
        <f t="shared" si="18"/>
        <v>A104M259C1</v>
      </c>
      <c r="C1201">
        <v>1200</v>
      </c>
      <c r="D1201">
        <f>VLOOKUP(PREVIOS!C1201,ALUMNOS!A:B,2,FALSE)</f>
        <v>104</v>
      </c>
      <c r="E1201">
        <f>VLOOKUP(PREVIOS!E1201&amp;'TABLA PREVIOS'!J1201,MATERIAS!A:H,7,FALSE)</f>
        <v>259</v>
      </c>
      <c r="F1201">
        <f>VLOOKUP(PREVIOS!G1201,CONDICION!A:B,2,FALSE)</f>
        <v>1</v>
      </c>
      <c r="G1201">
        <f>IF(PREVIOS!AG1201=1,1,VLOOKUP(PREVIOS!AG1201,CALIFICACION!A:C,3,FALSE))</f>
        <v>1</v>
      </c>
      <c r="H1201" s="1" t="s">
        <v>534</v>
      </c>
      <c r="I1201" s="1" t="s">
        <v>534</v>
      </c>
      <c r="J1201">
        <f>VLOOKUP(PREVIOS!F1201&amp;VLOOKUP(PREVIOS!I1201,PLAN!A:B,2,FALSE),CURSO!A:D,4,FALSE)</f>
        <v>20</v>
      </c>
      <c r="K1201">
        <f>VLOOKUP(PREVIOS!H1201,CICLO!A:B,2,FALSE)</f>
        <v>54</v>
      </c>
      <c r="L1201">
        <f>VLOOKUP(PREVIOS!I1201,PLAN!A:B,2,FALSE)</f>
        <v>6</v>
      </c>
    </row>
    <row r="1202" spans="1:12" x14ac:dyDescent="0.25">
      <c r="A1202" t="str">
        <f t="shared" si="18"/>
        <v>A105M229C1</v>
      </c>
      <c r="C1202">
        <v>1201</v>
      </c>
      <c r="D1202">
        <f>VLOOKUP(PREVIOS!C1202,ALUMNOS!A:B,2,FALSE)</f>
        <v>105</v>
      </c>
      <c r="E1202">
        <f>VLOOKUP(PREVIOS!E1202&amp;'TABLA PREVIOS'!J1202,MATERIAS!A:H,7,FALSE)</f>
        <v>229</v>
      </c>
      <c r="F1202">
        <f>VLOOKUP(PREVIOS!G1202,CONDICION!A:B,2,FALSE)</f>
        <v>1</v>
      </c>
      <c r="G1202">
        <f>IF(PREVIOS!AG1202=1,1,VLOOKUP(PREVIOS!AG1202,CALIFICACION!A:C,3,FALSE))</f>
        <v>1</v>
      </c>
      <c r="H1202" s="1" t="s">
        <v>534</v>
      </c>
      <c r="I1202" s="1" t="s">
        <v>534</v>
      </c>
      <c r="J1202">
        <f>VLOOKUP(PREVIOS!F1202&amp;VLOOKUP(PREVIOS!I1202,PLAN!A:B,2,FALSE),CURSO!A:D,4,FALSE)</f>
        <v>18</v>
      </c>
      <c r="K1202">
        <f>VLOOKUP(PREVIOS!H1202,CICLO!A:B,2,FALSE)</f>
        <v>53</v>
      </c>
      <c r="L1202">
        <f>VLOOKUP(PREVIOS!I1202,PLAN!A:B,2,FALSE)</f>
        <v>5</v>
      </c>
    </row>
    <row r="1203" spans="1:12" x14ac:dyDescent="0.25">
      <c r="A1203" t="str">
        <f t="shared" si="18"/>
        <v>A105M246C1</v>
      </c>
      <c r="C1203">
        <v>1202</v>
      </c>
      <c r="D1203">
        <f>VLOOKUP(PREVIOS!C1203,ALUMNOS!A:B,2,FALSE)</f>
        <v>105</v>
      </c>
      <c r="E1203">
        <f>VLOOKUP(PREVIOS!E1203&amp;'TABLA PREVIOS'!J1203,MATERIAS!A:H,7,FALSE)</f>
        <v>246</v>
      </c>
      <c r="F1203">
        <f>VLOOKUP(PREVIOS!G1203,CONDICION!A:B,2,FALSE)</f>
        <v>1</v>
      </c>
      <c r="G1203">
        <f>IF(PREVIOS!AG1203=1,1,VLOOKUP(PREVIOS!AG1203,CALIFICACION!A:C,3,FALSE))</f>
        <v>1</v>
      </c>
      <c r="H1203" s="1" t="s">
        <v>534</v>
      </c>
      <c r="I1203" s="1" t="s">
        <v>534</v>
      </c>
      <c r="J1203">
        <f>VLOOKUP(PREVIOS!F1203&amp;VLOOKUP(PREVIOS!I1203,PLAN!A:B,2,FALSE),CURSO!A:D,4,FALSE)</f>
        <v>19</v>
      </c>
      <c r="K1203">
        <f>VLOOKUP(PREVIOS!H1203,CICLO!A:B,2,FALSE)</f>
        <v>54</v>
      </c>
      <c r="L1203">
        <f>VLOOKUP(PREVIOS!I1203,PLAN!A:B,2,FALSE)</f>
        <v>5</v>
      </c>
    </row>
    <row r="1204" spans="1:12" x14ac:dyDescent="0.25">
      <c r="A1204" t="str">
        <f t="shared" si="18"/>
        <v>A105M247C1</v>
      </c>
      <c r="C1204">
        <v>1203</v>
      </c>
      <c r="D1204">
        <f>VLOOKUP(PREVIOS!C1204,ALUMNOS!A:B,2,FALSE)</f>
        <v>105</v>
      </c>
      <c r="E1204">
        <f>VLOOKUP(PREVIOS!E1204&amp;'TABLA PREVIOS'!J1204,MATERIAS!A:H,7,FALSE)</f>
        <v>247</v>
      </c>
      <c r="F1204">
        <f>VLOOKUP(PREVIOS!G1204,CONDICION!A:B,2,FALSE)</f>
        <v>1</v>
      </c>
      <c r="G1204">
        <f>IF(PREVIOS!AG1204=1,1,VLOOKUP(PREVIOS!AG1204,CALIFICACION!A:C,3,FALSE))</f>
        <v>1</v>
      </c>
      <c r="H1204" s="1" t="s">
        <v>534</v>
      </c>
      <c r="I1204" s="1" t="s">
        <v>534</v>
      </c>
      <c r="J1204">
        <f>VLOOKUP(PREVIOS!F1204&amp;VLOOKUP(PREVIOS!I1204,PLAN!A:B,2,FALSE),CURSO!A:D,4,FALSE)</f>
        <v>19</v>
      </c>
      <c r="K1204">
        <f>VLOOKUP(PREVIOS!H1204,CICLO!A:B,2,FALSE)</f>
        <v>54</v>
      </c>
      <c r="L1204">
        <f>VLOOKUP(PREVIOS!I1204,PLAN!A:B,2,FALSE)</f>
        <v>5</v>
      </c>
    </row>
    <row r="1205" spans="1:12" x14ac:dyDescent="0.25">
      <c r="A1205" t="str">
        <f t="shared" si="18"/>
        <v>A105M238C1</v>
      </c>
      <c r="C1205">
        <v>1204</v>
      </c>
      <c r="D1205">
        <f>VLOOKUP(PREVIOS!C1205,ALUMNOS!A:B,2,FALSE)</f>
        <v>105</v>
      </c>
      <c r="E1205">
        <f>VLOOKUP(PREVIOS!E1205&amp;'TABLA PREVIOS'!J1205,MATERIAS!A:H,7,FALSE)</f>
        <v>238</v>
      </c>
      <c r="F1205">
        <f>VLOOKUP(PREVIOS!G1205,CONDICION!A:B,2,FALSE)</f>
        <v>1</v>
      </c>
      <c r="G1205">
        <f>IF(PREVIOS!AG1205=1,1,VLOOKUP(PREVIOS!AG1205,CALIFICACION!A:C,3,FALSE))</f>
        <v>1</v>
      </c>
      <c r="H1205" s="1" t="s">
        <v>534</v>
      </c>
      <c r="I1205" s="1" t="s">
        <v>534</v>
      </c>
      <c r="J1205">
        <f>VLOOKUP(PREVIOS!F1205&amp;VLOOKUP(PREVIOS!I1205,PLAN!A:B,2,FALSE),CURSO!A:D,4,FALSE)</f>
        <v>19</v>
      </c>
      <c r="K1205">
        <f>VLOOKUP(PREVIOS!H1205,CICLO!A:B,2,FALSE)</f>
        <v>54</v>
      </c>
      <c r="L1205">
        <f>VLOOKUP(PREVIOS!I1205,PLAN!A:B,2,FALSE)</f>
        <v>5</v>
      </c>
    </row>
    <row r="1206" spans="1:12" x14ac:dyDescent="0.25">
      <c r="A1206" t="str">
        <f t="shared" si="18"/>
        <v>A105M240C1</v>
      </c>
      <c r="C1206">
        <v>1205</v>
      </c>
      <c r="D1206">
        <f>VLOOKUP(PREVIOS!C1206,ALUMNOS!A:B,2,FALSE)</f>
        <v>105</v>
      </c>
      <c r="E1206">
        <f>VLOOKUP(PREVIOS!E1206&amp;'TABLA PREVIOS'!J1206,MATERIAS!A:H,7,FALSE)</f>
        <v>240</v>
      </c>
      <c r="F1206">
        <f>VLOOKUP(PREVIOS!G1206,CONDICION!A:B,2,FALSE)</f>
        <v>1</v>
      </c>
      <c r="G1206">
        <f>IF(PREVIOS!AG1206=1,1,VLOOKUP(PREVIOS!AG1206,CALIFICACION!A:C,3,FALSE))</f>
        <v>1</v>
      </c>
      <c r="H1206" s="1" t="s">
        <v>534</v>
      </c>
      <c r="I1206" s="1" t="s">
        <v>534</v>
      </c>
      <c r="J1206">
        <f>VLOOKUP(PREVIOS!F1206&amp;VLOOKUP(PREVIOS!I1206,PLAN!A:B,2,FALSE),CURSO!A:D,4,FALSE)</f>
        <v>19</v>
      </c>
      <c r="K1206">
        <f>VLOOKUP(PREVIOS!H1206,CICLO!A:B,2,FALSE)</f>
        <v>54</v>
      </c>
      <c r="L1206">
        <f>VLOOKUP(PREVIOS!I1206,PLAN!A:B,2,FALSE)</f>
        <v>5</v>
      </c>
    </row>
    <row r="1207" spans="1:12" x14ac:dyDescent="0.25">
      <c r="A1207" t="str">
        <f t="shared" si="18"/>
        <v>A108M231C1</v>
      </c>
      <c r="C1207">
        <v>1206</v>
      </c>
      <c r="D1207">
        <f>VLOOKUP(PREVIOS!C1207,ALUMNOS!A:B,2,FALSE)</f>
        <v>108</v>
      </c>
      <c r="E1207">
        <f>VLOOKUP(PREVIOS!E1207&amp;'TABLA PREVIOS'!J1207,MATERIAS!A:H,7,FALSE)</f>
        <v>231</v>
      </c>
      <c r="F1207">
        <f>VLOOKUP(PREVIOS!G1207,CONDICION!A:B,2,FALSE)</f>
        <v>1</v>
      </c>
      <c r="G1207">
        <f>IF(PREVIOS!AG1207=1,1,VLOOKUP(PREVIOS!AG1207,CALIFICACION!A:C,3,FALSE))</f>
        <v>1</v>
      </c>
      <c r="H1207" s="1" t="s">
        <v>534</v>
      </c>
      <c r="I1207" s="1" t="s">
        <v>534</v>
      </c>
      <c r="J1207">
        <f>VLOOKUP(PREVIOS!F1207&amp;VLOOKUP(PREVIOS!I1207,PLAN!A:B,2,FALSE),CURSO!A:D,4,FALSE)</f>
        <v>18</v>
      </c>
      <c r="K1207">
        <f>VLOOKUP(PREVIOS!H1207,CICLO!A:B,2,FALSE)</f>
        <v>55</v>
      </c>
      <c r="L1207">
        <f>VLOOKUP(PREVIOS!I1207,PLAN!A:B,2,FALSE)</f>
        <v>5</v>
      </c>
    </row>
    <row r="1208" spans="1:12" x14ac:dyDescent="0.25">
      <c r="A1208" t="str">
        <f t="shared" si="18"/>
        <v>A108M230C1</v>
      </c>
      <c r="C1208">
        <v>1207</v>
      </c>
      <c r="D1208">
        <f>VLOOKUP(PREVIOS!C1208,ALUMNOS!A:B,2,FALSE)</f>
        <v>108</v>
      </c>
      <c r="E1208">
        <f>VLOOKUP(PREVIOS!E1208&amp;'TABLA PREVIOS'!J1208,MATERIAS!A:H,7,FALSE)</f>
        <v>230</v>
      </c>
      <c r="F1208">
        <f>VLOOKUP(PREVIOS!G1208,CONDICION!A:B,2,FALSE)</f>
        <v>1</v>
      </c>
      <c r="G1208">
        <f>IF(PREVIOS!AG1208=1,1,VLOOKUP(PREVIOS!AG1208,CALIFICACION!A:C,3,FALSE))</f>
        <v>1</v>
      </c>
      <c r="H1208" s="1" t="s">
        <v>534</v>
      </c>
      <c r="I1208" s="1" t="s">
        <v>534</v>
      </c>
      <c r="J1208">
        <f>VLOOKUP(PREVIOS!F1208&amp;VLOOKUP(PREVIOS!I1208,PLAN!A:B,2,FALSE),CURSO!A:D,4,FALSE)</f>
        <v>18</v>
      </c>
      <c r="K1208">
        <f>VLOOKUP(PREVIOS!H1208,CICLO!A:B,2,FALSE)</f>
        <v>55</v>
      </c>
      <c r="L1208">
        <f>VLOOKUP(PREVIOS!I1208,PLAN!A:B,2,FALSE)</f>
        <v>5</v>
      </c>
    </row>
    <row r="1209" spans="1:12" x14ac:dyDescent="0.25">
      <c r="A1209" t="str">
        <f t="shared" si="18"/>
        <v>A113M232C1</v>
      </c>
      <c r="C1209">
        <v>1208</v>
      </c>
      <c r="D1209">
        <f>VLOOKUP(PREVIOS!C1209,ALUMNOS!A:B,2,FALSE)</f>
        <v>113</v>
      </c>
      <c r="E1209">
        <f>VLOOKUP(PREVIOS!E1209&amp;'TABLA PREVIOS'!J1209,MATERIAS!A:H,7,FALSE)</f>
        <v>232</v>
      </c>
      <c r="F1209">
        <f>VLOOKUP(PREVIOS!G1209,CONDICION!A:B,2,FALSE)</f>
        <v>1</v>
      </c>
      <c r="G1209">
        <f>IF(PREVIOS!AG1209=1,1,VLOOKUP(PREVIOS!AG1209,CALIFICACION!A:C,3,FALSE))</f>
        <v>1</v>
      </c>
      <c r="H1209" s="1" t="s">
        <v>534</v>
      </c>
      <c r="I1209" s="1" t="s">
        <v>534</v>
      </c>
      <c r="J1209">
        <f>VLOOKUP(PREVIOS!F1209&amp;VLOOKUP(PREVIOS!I1209,PLAN!A:B,2,FALSE),CURSO!A:D,4,FALSE)</f>
        <v>18</v>
      </c>
      <c r="K1209">
        <f>VLOOKUP(PREVIOS!H1209,CICLO!A:B,2,FALSE)</f>
        <v>53</v>
      </c>
      <c r="L1209">
        <f>VLOOKUP(PREVIOS!I1209,PLAN!A:B,2,FALSE)</f>
        <v>5</v>
      </c>
    </row>
    <row r="1210" spans="1:12" x14ac:dyDescent="0.25">
      <c r="A1210" t="str">
        <f t="shared" si="18"/>
        <v>A113M243C1</v>
      </c>
      <c r="C1210">
        <v>1209</v>
      </c>
      <c r="D1210">
        <f>VLOOKUP(PREVIOS!C1210,ALUMNOS!A:B,2,FALSE)</f>
        <v>113</v>
      </c>
      <c r="E1210">
        <f>VLOOKUP(PREVIOS!E1210&amp;'TABLA PREVIOS'!J1210,MATERIAS!A:H,7,FALSE)</f>
        <v>243</v>
      </c>
      <c r="F1210">
        <f>VLOOKUP(PREVIOS!G1210,CONDICION!A:B,2,FALSE)</f>
        <v>1</v>
      </c>
      <c r="G1210">
        <f>IF(PREVIOS!AG1210=1,1,VLOOKUP(PREVIOS!AG1210,CALIFICACION!A:C,3,FALSE))</f>
        <v>1</v>
      </c>
      <c r="H1210" s="1" t="s">
        <v>534</v>
      </c>
      <c r="I1210" s="1" t="s">
        <v>534</v>
      </c>
      <c r="J1210">
        <f>VLOOKUP(PREVIOS!F1210&amp;VLOOKUP(PREVIOS!I1210,PLAN!A:B,2,FALSE),CURSO!A:D,4,FALSE)</f>
        <v>19</v>
      </c>
      <c r="K1210">
        <f>VLOOKUP(PREVIOS!H1210,CICLO!A:B,2,FALSE)</f>
        <v>54</v>
      </c>
      <c r="L1210">
        <f>VLOOKUP(PREVIOS!I1210,PLAN!A:B,2,FALSE)</f>
        <v>5</v>
      </c>
    </row>
    <row r="1211" spans="1:12" x14ac:dyDescent="0.25">
      <c r="A1211" t="str">
        <f t="shared" si="18"/>
        <v>A113M244C1</v>
      </c>
      <c r="C1211">
        <v>1210</v>
      </c>
      <c r="D1211">
        <f>VLOOKUP(PREVIOS!C1211,ALUMNOS!A:B,2,FALSE)</f>
        <v>113</v>
      </c>
      <c r="E1211">
        <f>VLOOKUP(PREVIOS!E1211&amp;'TABLA PREVIOS'!J1211,MATERIAS!A:H,7,FALSE)</f>
        <v>244</v>
      </c>
      <c r="F1211">
        <f>VLOOKUP(PREVIOS!G1211,CONDICION!A:B,2,FALSE)</f>
        <v>1</v>
      </c>
      <c r="G1211">
        <f>IF(PREVIOS!AG1211=1,1,VLOOKUP(PREVIOS!AG1211,CALIFICACION!A:C,3,FALSE))</f>
        <v>1</v>
      </c>
      <c r="H1211" s="1" t="s">
        <v>534</v>
      </c>
      <c r="I1211" s="1" t="s">
        <v>534</v>
      </c>
      <c r="J1211">
        <f>VLOOKUP(PREVIOS!F1211&amp;VLOOKUP(PREVIOS!I1211,PLAN!A:B,2,FALSE),CURSO!A:D,4,FALSE)</f>
        <v>19</v>
      </c>
      <c r="K1211">
        <f>VLOOKUP(PREVIOS!H1211,CICLO!A:B,2,FALSE)</f>
        <v>54</v>
      </c>
      <c r="L1211">
        <f>VLOOKUP(PREVIOS!I1211,PLAN!A:B,2,FALSE)</f>
        <v>5</v>
      </c>
    </row>
    <row r="1212" spans="1:12" x14ac:dyDescent="0.25">
      <c r="A1212" t="str">
        <f t="shared" si="18"/>
        <v>A114M219C1</v>
      </c>
      <c r="C1212">
        <v>1211</v>
      </c>
      <c r="D1212">
        <f>VLOOKUP(PREVIOS!C1212,ALUMNOS!A:B,2,FALSE)</f>
        <v>114</v>
      </c>
      <c r="E1212">
        <f>VLOOKUP(PREVIOS!E1212&amp;'TABLA PREVIOS'!J1212,MATERIAS!A:H,7,FALSE)</f>
        <v>219</v>
      </c>
      <c r="F1212">
        <f>VLOOKUP(PREVIOS!G1212,CONDICION!A:B,2,FALSE)</f>
        <v>1</v>
      </c>
      <c r="G1212">
        <f>IF(PREVIOS!AG1212=1,1,VLOOKUP(PREVIOS!AG1212,CALIFICACION!A:C,3,FALSE))</f>
        <v>1</v>
      </c>
      <c r="H1212" s="1" t="s">
        <v>534</v>
      </c>
      <c r="I1212" s="1" t="s">
        <v>534</v>
      </c>
      <c r="J1212">
        <f>VLOOKUP(PREVIOS!F1212&amp;VLOOKUP(PREVIOS!I1212,PLAN!A:B,2,FALSE),CURSO!A:D,4,FALSE)</f>
        <v>17</v>
      </c>
      <c r="K1212">
        <f>VLOOKUP(PREVIOS!H1212,CICLO!A:B,2,FALSE)</f>
        <v>52</v>
      </c>
      <c r="L1212">
        <f>VLOOKUP(PREVIOS!I1212,PLAN!A:B,2,FALSE)</f>
        <v>5</v>
      </c>
    </row>
    <row r="1213" spans="1:12" x14ac:dyDescent="0.25">
      <c r="A1213" t="str">
        <f t="shared" si="18"/>
        <v>A114M220C1</v>
      </c>
      <c r="C1213">
        <v>1212</v>
      </c>
      <c r="D1213">
        <f>VLOOKUP(PREVIOS!C1213,ALUMNOS!A:B,2,FALSE)</f>
        <v>114</v>
      </c>
      <c r="E1213">
        <f>VLOOKUP(PREVIOS!E1213&amp;'TABLA PREVIOS'!J1213,MATERIAS!A:H,7,FALSE)</f>
        <v>220</v>
      </c>
      <c r="F1213">
        <f>VLOOKUP(PREVIOS!G1213,CONDICION!A:B,2,FALSE)</f>
        <v>1</v>
      </c>
      <c r="G1213">
        <f>IF(PREVIOS!AG1213=1,1,VLOOKUP(PREVIOS!AG1213,CALIFICACION!A:C,3,FALSE))</f>
        <v>1</v>
      </c>
      <c r="H1213" s="1" t="s">
        <v>534</v>
      </c>
      <c r="I1213" s="1" t="s">
        <v>534</v>
      </c>
      <c r="J1213">
        <f>VLOOKUP(PREVIOS!F1213&amp;VLOOKUP(PREVIOS!I1213,PLAN!A:B,2,FALSE),CURSO!A:D,4,FALSE)</f>
        <v>17</v>
      </c>
      <c r="K1213">
        <f>VLOOKUP(PREVIOS!H1213,CICLO!A:B,2,FALSE)</f>
        <v>52</v>
      </c>
      <c r="L1213">
        <f>VLOOKUP(PREVIOS!I1213,PLAN!A:B,2,FALSE)</f>
        <v>5</v>
      </c>
    </row>
    <row r="1214" spans="1:12" x14ac:dyDescent="0.25">
      <c r="A1214" t="str">
        <f t="shared" si="18"/>
        <v>A114M240C1</v>
      </c>
      <c r="C1214">
        <v>1213</v>
      </c>
      <c r="D1214">
        <f>VLOOKUP(PREVIOS!C1214,ALUMNOS!A:B,2,FALSE)</f>
        <v>114</v>
      </c>
      <c r="E1214">
        <f>VLOOKUP(PREVIOS!E1214&amp;'TABLA PREVIOS'!J1214,MATERIAS!A:H,7,FALSE)</f>
        <v>240</v>
      </c>
      <c r="F1214">
        <f>VLOOKUP(PREVIOS!G1214,CONDICION!A:B,2,FALSE)</f>
        <v>1</v>
      </c>
      <c r="G1214">
        <f>IF(PREVIOS!AG1214=1,1,VLOOKUP(PREVIOS!AG1214,CALIFICACION!A:C,3,FALSE))</f>
        <v>1</v>
      </c>
      <c r="H1214" s="1" t="s">
        <v>534</v>
      </c>
      <c r="I1214" s="1" t="s">
        <v>534</v>
      </c>
      <c r="J1214">
        <f>VLOOKUP(PREVIOS!F1214&amp;VLOOKUP(PREVIOS!I1214,PLAN!A:B,2,FALSE),CURSO!A:D,4,FALSE)</f>
        <v>19</v>
      </c>
      <c r="K1214">
        <f>VLOOKUP(PREVIOS!H1214,CICLO!A:B,2,FALSE)</f>
        <v>54</v>
      </c>
      <c r="L1214">
        <f>VLOOKUP(PREVIOS!I1214,PLAN!A:B,2,FALSE)</f>
        <v>5</v>
      </c>
    </row>
    <row r="1215" spans="1:12" x14ac:dyDescent="0.25">
      <c r="A1215" t="str">
        <f t="shared" si="18"/>
        <v>A117M223C1</v>
      </c>
      <c r="C1215">
        <v>1214</v>
      </c>
      <c r="D1215">
        <f>VLOOKUP(PREVIOS!C1215,ALUMNOS!A:B,2,FALSE)</f>
        <v>117</v>
      </c>
      <c r="E1215">
        <f>VLOOKUP(PREVIOS!E1215&amp;'TABLA PREVIOS'!J1215,MATERIAS!A:H,7,FALSE)</f>
        <v>223</v>
      </c>
      <c r="F1215">
        <f>VLOOKUP(PREVIOS!G1215,CONDICION!A:B,2,FALSE)</f>
        <v>1</v>
      </c>
      <c r="G1215">
        <f>IF(PREVIOS!AG1215=1,1,VLOOKUP(PREVIOS!AG1215,CALIFICACION!A:C,3,FALSE))</f>
        <v>1</v>
      </c>
      <c r="H1215" s="1" t="s">
        <v>534</v>
      </c>
      <c r="I1215" s="1" t="s">
        <v>534</v>
      </c>
      <c r="J1215">
        <f>VLOOKUP(PREVIOS!F1215&amp;VLOOKUP(PREVIOS!I1215,PLAN!A:B,2,FALSE),CURSO!A:D,4,FALSE)</f>
        <v>17</v>
      </c>
      <c r="K1215">
        <f>VLOOKUP(PREVIOS!H1215,CICLO!A:B,2,FALSE)</f>
        <v>53</v>
      </c>
      <c r="L1215">
        <f>VLOOKUP(PREVIOS!I1215,PLAN!A:B,2,FALSE)</f>
        <v>5</v>
      </c>
    </row>
    <row r="1216" spans="1:12" x14ac:dyDescent="0.25">
      <c r="A1216" t="str">
        <f t="shared" si="18"/>
        <v>A117M230C1</v>
      </c>
      <c r="C1216">
        <v>1215</v>
      </c>
      <c r="D1216">
        <f>VLOOKUP(PREVIOS!C1216,ALUMNOS!A:B,2,FALSE)</f>
        <v>117</v>
      </c>
      <c r="E1216">
        <f>VLOOKUP(PREVIOS!E1216&amp;'TABLA PREVIOS'!J1216,MATERIAS!A:H,7,FALSE)</f>
        <v>230</v>
      </c>
      <c r="F1216">
        <f>VLOOKUP(PREVIOS!G1216,CONDICION!A:B,2,FALSE)</f>
        <v>1</v>
      </c>
      <c r="G1216">
        <f>IF(PREVIOS!AG1216=1,1,VLOOKUP(PREVIOS!AG1216,CALIFICACION!A:C,3,FALSE))</f>
        <v>1</v>
      </c>
      <c r="H1216" s="1" t="s">
        <v>534</v>
      </c>
      <c r="I1216" s="1" t="s">
        <v>534</v>
      </c>
      <c r="J1216">
        <f>VLOOKUP(PREVIOS!F1216&amp;VLOOKUP(PREVIOS!I1216,PLAN!A:B,2,FALSE),CURSO!A:D,4,FALSE)</f>
        <v>18</v>
      </c>
      <c r="K1216">
        <f>VLOOKUP(PREVIOS!H1216,CICLO!A:B,2,FALSE)</f>
        <v>54</v>
      </c>
      <c r="L1216">
        <f>VLOOKUP(PREVIOS!I1216,PLAN!A:B,2,FALSE)</f>
        <v>5</v>
      </c>
    </row>
    <row r="1217" spans="1:12" x14ac:dyDescent="0.25">
      <c r="A1217" t="str">
        <f t="shared" si="18"/>
        <v>A117M244C1</v>
      </c>
      <c r="C1217">
        <v>1216</v>
      </c>
      <c r="D1217">
        <f>VLOOKUP(PREVIOS!C1217,ALUMNOS!A:B,2,FALSE)</f>
        <v>117</v>
      </c>
      <c r="E1217">
        <f>VLOOKUP(PREVIOS!E1217&amp;'TABLA PREVIOS'!J1217,MATERIAS!A:H,7,FALSE)</f>
        <v>244</v>
      </c>
      <c r="F1217">
        <f>VLOOKUP(PREVIOS!G1217,CONDICION!A:B,2,FALSE)</f>
        <v>1</v>
      </c>
      <c r="G1217">
        <f>IF(PREVIOS!AG1217=1,1,VLOOKUP(PREVIOS!AG1217,CALIFICACION!A:C,3,FALSE))</f>
        <v>1</v>
      </c>
      <c r="H1217" s="1" t="s">
        <v>534</v>
      </c>
      <c r="I1217" s="1" t="s">
        <v>534</v>
      </c>
      <c r="J1217">
        <f>VLOOKUP(PREVIOS!F1217&amp;VLOOKUP(PREVIOS!I1217,PLAN!A:B,2,FALSE),CURSO!A:D,4,FALSE)</f>
        <v>19</v>
      </c>
      <c r="K1217">
        <f>VLOOKUP(PREVIOS!H1217,CICLO!A:B,2,FALSE)</f>
        <v>55</v>
      </c>
      <c r="L1217">
        <f>VLOOKUP(PREVIOS!I1217,PLAN!A:B,2,FALSE)</f>
        <v>5</v>
      </c>
    </row>
    <row r="1218" spans="1:12" x14ac:dyDescent="0.25">
      <c r="A1218" t="str">
        <f t="shared" si="18"/>
        <v>A124M233C1</v>
      </c>
      <c r="C1218">
        <v>1217</v>
      </c>
      <c r="D1218">
        <f>VLOOKUP(PREVIOS!C1218,ALUMNOS!A:B,2,FALSE)</f>
        <v>124</v>
      </c>
      <c r="E1218">
        <f>VLOOKUP(PREVIOS!E1218&amp;'TABLA PREVIOS'!J1218,MATERIAS!A:H,7,FALSE)</f>
        <v>233</v>
      </c>
      <c r="F1218">
        <f>VLOOKUP(PREVIOS!G1218,CONDICION!A:B,2,FALSE)</f>
        <v>1</v>
      </c>
      <c r="G1218">
        <f>IF(PREVIOS!AG1218=1,1,VLOOKUP(PREVIOS!AG1218,CALIFICACION!A:C,3,FALSE))</f>
        <v>1</v>
      </c>
      <c r="H1218" s="1" t="s">
        <v>534</v>
      </c>
      <c r="I1218" s="1" t="s">
        <v>534</v>
      </c>
      <c r="J1218">
        <f>VLOOKUP(PREVIOS!F1218&amp;VLOOKUP(PREVIOS!I1218,PLAN!A:B,2,FALSE),CURSO!A:D,4,FALSE)</f>
        <v>18</v>
      </c>
      <c r="K1218">
        <f>VLOOKUP(PREVIOS!H1218,CICLO!A:B,2,FALSE)</f>
        <v>52</v>
      </c>
      <c r="L1218">
        <f>VLOOKUP(PREVIOS!I1218,PLAN!A:B,2,FALSE)</f>
        <v>5</v>
      </c>
    </row>
    <row r="1219" spans="1:12" x14ac:dyDescent="0.25">
      <c r="A1219" t="str">
        <f t="shared" ref="A1219:A1282" si="19">"A"&amp;D1219&amp;"M"&amp;E1219&amp;"C"&amp;F1219</f>
        <v>A124M234C1</v>
      </c>
      <c r="C1219">
        <v>1218</v>
      </c>
      <c r="D1219">
        <f>VLOOKUP(PREVIOS!C1219,ALUMNOS!A:B,2,FALSE)</f>
        <v>124</v>
      </c>
      <c r="E1219">
        <f>VLOOKUP(PREVIOS!E1219&amp;'TABLA PREVIOS'!J1219,MATERIAS!A:H,7,FALSE)</f>
        <v>234</v>
      </c>
      <c r="F1219">
        <f>VLOOKUP(PREVIOS!G1219,CONDICION!A:B,2,FALSE)</f>
        <v>1</v>
      </c>
      <c r="G1219">
        <f>IF(PREVIOS!AG1219=1,1,VLOOKUP(PREVIOS!AG1219,CALIFICACION!A:C,3,FALSE))</f>
        <v>1</v>
      </c>
      <c r="H1219" s="1" t="s">
        <v>534</v>
      </c>
      <c r="I1219" s="1" t="s">
        <v>534</v>
      </c>
      <c r="J1219">
        <f>VLOOKUP(PREVIOS!F1219&amp;VLOOKUP(PREVIOS!I1219,PLAN!A:B,2,FALSE),CURSO!A:D,4,FALSE)</f>
        <v>18</v>
      </c>
      <c r="K1219">
        <f>VLOOKUP(PREVIOS!H1219,CICLO!A:B,2,FALSE)</f>
        <v>52</v>
      </c>
      <c r="L1219">
        <f>VLOOKUP(PREVIOS!I1219,PLAN!A:B,2,FALSE)</f>
        <v>5</v>
      </c>
    </row>
    <row r="1220" spans="1:12" x14ac:dyDescent="0.25">
      <c r="A1220" t="str">
        <f t="shared" si="19"/>
        <v>A126M232C1</v>
      </c>
      <c r="C1220">
        <v>1219</v>
      </c>
      <c r="D1220">
        <f>VLOOKUP(PREVIOS!C1220,ALUMNOS!A:B,2,FALSE)</f>
        <v>126</v>
      </c>
      <c r="E1220">
        <f>VLOOKUP(PREVIOS!E1220&amp;'TABLA PREVIOS'!J1220,MATERIAS!A:H,7,FALSE)</f>
        <v>232</v>
      </c>
      <c r="F1220">
        <f>VLOOKUP(PREVIOS!G1220,CONDICION!A:B,2,FALSE)</f>
        <v>1</v>
      </c>
      <c r="G1220">
        <f>IF(PREVIOS!AG1220=1,1,VLOOKUP(PREVIOS!AG1220,CALIFICACION!A:C,3,FALSE))</f>
        <v>1</v>
      </c>
      <c r="H1220" s="1" t="s">
        <v>534</v>
      </c>
      <c r="I1220" s="1" t="s">
        <v>534</v>
      </c>
      <c r="J1220">
        <f>VLOOKUP(PREVIOS!F1220&amp;VLOOKUP(PREVIOS!I1220,PLAN!A:B,2,FALSE),CURSO!A:D,4,FALSE)</f>
        <v>18</v>
      </c>
      <c r="K1220">
        <f>VLOOKUP(PREVIOS!H1220,CICLO!A:B,2,FALSE)</f>
        <v>54</v>
      </c>
      <c r="L1220">
        <f>VLOOKUP(PREVIOS!I1220,PLAN!A:B,2,FALSE)</f>
        <v>5</v>
      </c>
    </row>
    <row r="1221" spans="1:12" x14ac:dyDescent="0.25">
      <c r="A1221" t="str">
        <f t="shared" si="19"/>
        <v>A126M229C1</v>
      </c>
      <c r="C1221">
        <v>1220</v>
      </c>
      <c r="D1221">
        <f>VLOOKUP(PREVIOS!C1221,ALUMNOS!A:B,2,FALSE)</f>
        <v>126</v>
      </c>
      <c r="E1221">
        <f>VLOOKUP(PREVIOS!E1221&amp;'TABLA PREVIOS'!J1221,MATERIAS!A:H,7,FALSE)</f>
        <v>229</v>
      </c>
      <c r="F1221">
        <f>VLOOKUP(PREVIOS!G1221,CONDICION!A:B,2,FALSE)</f>
        <v>1</v>
      </c>
      <c r="G1221">
        <f>IF(PREVIOS!AG1221=1,1,VLOOKUP(PREVIOS!AG1221,CALIFICACION!A:C,3,FALSE))</f>
        <v>1</v>
      </c>
      <c r="H1221" s="1" t="s">
        <v>534</v>
      </c>
      <c r="I1221" s="1" t="s">
        <v>534</v>
      </c>
      <c r="J1221">
        <f>VLOOKUP(PREVIOS!F1221&amp;VLOOKUP(PREVIOS!I1221,PLAN!A:B,2,FALSE),CURSO!A:D,4,FALSE)</f>
        <v>18</v>
      </c>
      <c r="K1221">
        <f>VLOOKUP(PREVIOS!H1221,CICLO!A:B,2,FALSE)</f>
        <v>54</v>
      </c>
      <c r="L1221">
        <f>VLOOKUP(PREVIOS!I1221,PLAN!A:B,2,FALSE)</f>
        <v>5</v>
      </c>
    </row>
    <row r="1222" spans="1:12" x14ac:dyDescent="0.25">
      <c r="A1222" t="str">
        <f t="shared" si="19"/>
        <v>A134M220C1</v>
      </c>
      <c r="C1222">
        <v>1221</v>
      </c>
      <c r="D1222">
        <f>VLOOKUP(PREVIOS!C1222,ALUMNOS!A:B,2,FALSE)</f>
        <v>134</v>
      </c>
      <c r="E1222">
        <f>VLOOKUP(PREVIOS!E1222&amp;'TABLA PREVIOS'!J1222,MATERIAS!A:H,7,FALSE)</f>
        <v>220</v>
      </c>
      <c r="F1222">
        <f>VLOOKUP(PREVIOS!G1222,CONDICION!A:B,2,FALSE)</f>
        <v>1</v>
      </c>
      <c r="G1222">
        <f>IF(PREVIOS!AG1222=1,1,VLOOKUP(PREVIOS!AG1222,CALIFICACION!A:C,3,FALSE))</f>
        <v>1</v>
      </c>
      <c r="H1222" s="1" t="s">
        <v>534</v>
      </c>
      <c r="I1222" s="1" t="s">
        <v>534</v>
      </c>
      <c r="J1222">
        <f>VLOOKUP(PREVIOS!F1222&amp;VLOOKUP(PREVIOS!I1222,PLAN!A:B,2,FALSE),CURSO!A:D,4,FALSE)</f>
        <v>17</v>
      </c>
      <c r="K1222">
        <f>VLOOKUP(PREVIOS!H1222,CICLO!A:B,2,FALSE)</f>
        <v>54</v>
      </c>
      <c r="L1222">
        <f>VLOOKUP(PREVIOS!I1222,PLAN!A:B,2,FALSE)</f>
        <v>5</v>
      </c>
    </row>
    <row r="1223" spans="1:12" x14ac:dyDescent="0.25">
      <c r="A1223" t="str">
        <f t="shared" si="19"/>
        <v>A139M252C1</v>
      </c>
      <c r="C1223">
        <v>1222</v>
      </c>
      <c r="D1223">
        <f>VLOOKUP(PREVIOS!C1223,ALUMNOS!A:B,2,FALSE)</f>
        <v>139</v>
      </c>
      <c r="E1223">
        <f>VLOOKUP(PREVIOS!E1223&amp;'TABLA PREVIOS'!J1223,MATERIAS!A:H,7,FALSE)</f>
        <v>252</v>
      </c>
      <c r="F1223">
        <f>VLOOKUP(PREVIOS!G1223,CONDICION!A:B,2,FALSE)</f>
        <v>1</v>
      </c>
      <c r="G1223">
        <f>IF(PREVIOS!AG1223=1,1,VLOOKUP(PREVIOS!AG1223,CALIFICACION!A:C,3,FALSE))</f>
        <v>1</v>
      </c>
      <c r="H1223" s="1" t="s">
        <v>534</v>
      </c>
      <c r="I1223" s="1" t="s">
        <v>534</v>
      </c>
      <c r="J1223">
        <f>VLOOKUP(PREVIOS!F1223&amp;VLOOKUP(PREVIOS!I1223,PLAN!A:B,2,FALSE),CURSO!A:D,4,FALSE)</f>
        <v>20</v>
      </c>
      <c r="K1223">
        <f>VLOOKUP(PREVIOS!H1223,CICLO!A:B,2,FALSE)</f>
        <v>53</v>
      </c>
      <c r="L1223">
        <f>VLOOKUP(PREVIOS!I1223,PLAN!A:B,2,FALSE)</f>
        <v>6</v>
      </c>
    </row>
    <row r="1224" spans="1:12" x14ac:dyDescent="0.25">
      <c r="A1224" t="str">
        <f t="shared" si="19"/>
        <v>A140M221C1</v>
      </c>
      <c r="C1224">
        <v>1223</v>
      </c>
      <c r="D1224">
        <f>VLOOKUP(PREVIOS!C1224,ALUMNOS!A:B,2,FALSE)</f>
        <v>140</v>
      </c>
      <c r="E1224">
        <f>VLOOKUP(PREVIOS!E1224&amp;'TABLA PREVIOS'!J1224,MATERIAS!A:H,7,FALSE)</f>
        <v>221</v>
      </c>
      <c r="F1224">
        <f>VLOOKUP(PREVIOS!G1224,CONDICION!A:B,2,FALSE)</f>
        <v>1</v>
      </c>
      <c r="G1224">
        <f>IF(PREVIOS!AG1224=1,1,VLOOKUP(PREVIOS!AG1224,CALIFICACION!A:C,3,FALSE))</f>
        <v>1</v>
      </c>
      <c r="H1224" s="1" t="s">
        <v>534</v>
      </c>
      <c r="I1224" s="1" t="s">
        <v>534</v>
      </c>
      <c r="J1224">
        <f>VLOOKUP(PREVIOS!F1224&amp;VLOOKUP(PREVIOS!I1224,PLAN!A:B,2,FALSE),CURSO!A:D,4,FALSE)</f>
        <v>17</v>
      </c>
      <c r="K1224">
        <f>VLOOKUP(PREVIOS!H1224,CICLO!A:B,2,FALSE)</f>
        <v>53</v>
      </c>
      <c r="L1224">
        <f>VLOOKUP(PREVIOS!I1224,PLAN!A:B,2,FALSE)</f>
        <v>5</v>
      </c>
    </row>
    <row r="1225" spans="1:12" x14ac:dyDescent="0.25">
      <c r="A1225" t="str">
        <f t="shared" si="19"/>
        <v>A140M234C1</v>
      </c>
      <c r="C1225">
        <v>1224</v>
      </c>
      <c r="D1225">
        <f>VLOOKUP(PREVIOS!C1225,ALUMNOS!A:B,2,FALSE)</f>
        <v>140</v>
      </c>
      <c r="E1225">
        <f>VLOOKUP(PREVIOS!E1225&amp;'TABLA PREVIOS'!J1225,MATERIAS!A:H,7,FALSE)</f>
        <v>234</v>
      </c>
      <c r="F1225">
        <f>VLOOKUP(PREVIOS!G1225,CONDICION!A:B,2,FALSE)</f>
        <v>1</v>
      </c>
      <c r="G1225">
        <f>IF(PREVIOS!AG1225=1,1,VLOOKUP(PREVIOS!AG1225,CALIFICACION!A:C,3,FALSE))</f>
        <v>1</v>
      </c>
      <c r="H1225" s="1" t="s">
        <v>534</v>
      </c>
      <c r="I1225" s="1" t="s">
        <v>534</v>
      </c>
      <c r="J1225">
        <f>VLOOKUP(PREVIOS!F1225&amp;VLOOKUP(PREVIOS!I1225,PLAN!A:B,2,FALSE),CURSO!A:D,4,FALSE)</f>
        <v>18</v>
      </c>
      <c r="K1225">
        <f>VLOOKUP(PREVIOS!H1225,CICLO!A:B,2,FALSE)</f>
        <v>54</v>
      </c>
      <c r="L1225">
        <f>VLOOKUP(PREVIOS!I1225,PLAN!A:B,2,FALSE)</f>
        <v>5</v>
      </c>
    </row>
    <row r="1226" spans="1:12" x14ac:dyDescent="0.25">
      <c r="A1226" t="str">
        <f t="shared" si="19"/>
        <v>A140M230C1</v>
      </c>
      <c r="C1226">
        <v>1225</v>
      </c>
      <c r="D1226">
        <f>VLOOKUP(PREVIOS!C1226,ALUMNOS!A:B,2,FALSE)</f>
        <v>140</v>
      </c>
      <c r="E1226">
        <f>VLOOKUP(PREVIOS!E1226&amp;'TABLA PREVIOS'!J1226,MATERIAS!A:H,7,FALSE)</f>
        <v>230</v>
      </c>
      <c r="F1226">
        <f>VLOOKUP(PREVIOS!G1226,CONDICION!A:B,2,FALSE)</f>
        <v>1</v>
      </c>
      <c r="G1226">
        <f>IF(PREVIOS!AG1226=1,1,VLOOKUP(PREVIOS!AG1226,CALIFICACION!A:C,3,FALSE))</f>
        <v>1</v>
      </c>
      <c r="H1226" s="1" t="s">
        <v>534</v>
      </c>
      <c r="I1226" s="1" t="s">
        <v>534</v>
      </c>
      <c r="J1226">
        <f>VLOOKUP(PREVIOS!F1226&amp;VLOOKUP(PREVIOS!I1226,PLAN!A:B,2,FALSE),CURSO!A:D,4,FALSE)</f>
        <v>18</v>
      </c>
      <c r="K1226">
        <f>VLOOKUP(PREVIOS!H1226,CICLO!A:B,2,FALSE)</f>
        <v>54</v>
      </c>
      <c r="L1226">
        <f>VLOOKUP(PREVIOS!I1226,PLAN!A:B,2,FALSE)</f>
        <v>5</v>
      </c>
    </row>
    <row r="1227" spans="1:12" x14ac:dyDescent="0.25">
      <c r="A1227" t="str">
        <f t="shared" si="19"/>
        <v>A141M218C1</v>
      </c>
      <c r="C1227">
        <v>1226</v>
      </c>
      <c r="D1227">
        <f>VLOOKUP(PREVIOS!C1227,ALUMNOS!A:B,2,FALSE)</f>
        <v>141</v>
      </c>
      <c r="E1227">
        <f>VLOOKUP(PREVIOS!E1227&amp;'TABLA PREVIOS'!J1227,MATERIAS!A:H,7,FALSE)</f>
        <v>218</v>
      </c>
      <c r="F1227">
        <f>VLOOKUP(PREVIOS!G1227,CONDICION!A:B,2,FALSE)</f>
        <v>1</v>
      </c>
      <c r="G1227">
        <f>IF(PREVIOS!AG1227=1,1,VLOOKUP(PREVIOS!AG1227,CALIFICACION!A:C,3,FALSE))</f>
        <v>1</v>
      </c>
      <c r="H1227" s="1" t="s">
        <v>534</v>
      </c>
      <c r="I1227" s="1" t="s">
        <v>534</v>
      </c>
      <c r="J1227">
        <f>VLOOKUP(PREVIOS!F1227&amp;VLOOKUP(PREVIOS!I1227,PLAN!A:B,2,FALSE),CURSO!A:D,4,FALSE)</f>
        <v>17</v>
      </c>
      <c r="K1227">
        <f>VLOOKUP(PREVIOS!H1227,CICLO!A:B,2,FALSE)</f>
        <v>53</v>
      </c>
      <c r="L1227">
        <f>VLOOKUP(PREVIOS!I1227,PLAN!A:B,2,FALSE)</f>
        <v>5</v>
      </c>
    </row>
    <row r="1228" spans="1:12" x14ac:dyDescent="0.25">
      <c r="A1228" t="str">
        <f t="shared" si="19"/>
        <v>A162M219C1</v>
      </c>
      <c r="C1228">
        <v>1227</v>
      </c>
      <c r="D1228">
        <f>VLOOKUP(PREVIOS!C1228,ALUMNOS!A:B,2,FALSE)</f>
        <v>162</v>
      </c>
      <c r="E1228">
        <f>VLOOKUP(PREVIOS!E1228&amp;'TABLA PREVIOS'!J1228,MATERIAS!A:H,7,FALSE)</f>
        <v>219</v>
      </c>
      <c r="F1228">
        <f>VLOOKUP(PREVIOS!G1228,CONDICION!A:B,2,FALSE)</f>
        <v>1</v>
      </c>
      <c r="G1228">
        <f>IF(PREVIOS!AG1228=1,1,VLOOKUP(PREVIOS!AG1228,CALIFICACION!A:C,3,FALSE))</f>
        <v>1</v>
      </c>
      <c r="H1228" s="1" t="s">
        <v>534</v>
      </c>
      <c r="I1228" s="1" t="s">
        <v>534</v>
      </c>
      <c r="J1228">
        <f>VLOOKUP(PREVIOS!F1228&amp;VLOOKUP(PREVIOS!I1228,PLAN!A:B,2,FALSE),CURSO!A:D,4,FALSE)</f>
        <v>17</v>
      </c>
      <c r="K1228">
        <f>VLOOKUP(PREVIOS!H1228,CICLO!A:B,2,FALSE)</f>
        <v>53</v>
      </c>
      <c r="L1228">
        <f>VLOOKUP(PREVIOS!I1228,PLAN!A:B,2,FALSE)</f>
        <v>5</v>
      </c>
    </row>
    <row r="1229" spans="1:12" x14ac:dyDescent="0.25">
      <c r="A1229" t="str">
        <f t="shared" si="19"/>
        <v>A167M233C1</v>
      </c>
      <c r="C1229">
        <v>1228</v>
      </c>
      <c r="D1229">
        <f>VLOOKUP(PREVIOS!C1229,ALUMNOS!A:B,2,FALSE)</f>
        <v>167</v>
      </c>
      <c r="E1229">
        <f>VLOOKUP(PREVIOS!E1229&amp;'TABLA PREVIOS'!J1229,MATERIAS!A:H,7,FALSE)</f>
        <v>233</v>
      </c>
      <c r="F1229">
        <f>VLOOKUP(PREVIOS!G1229,CONDICION!A:B,2,FALSE)</f>
        <v>1</v>
      </c>
      <c r="G1229">
        <f>IF(PREVIOS!AG1229=1,1,VLOOKUP(PREVIOS!AG1229,CALIFICACION!A:C,3,FALSE))</f>
        <v>1</v>
      </c>
      <c r="H1229" s="1" t="s">
        <v>534</v>
      </c>
      <c r="I1229" s="1" t="s">
        <v>534</v>
      </c>
      <c r="J1229">
        <f>VLOOKUP(PREVIOS!F1229&amp;VLOOKUP(PREVIOS!I1229,PLAN!A:B,2,FALSE),CURSO!A:D,4,FALSE)</f>
        <v>18</v>
      </c>
      <c r="K1229">
        <f>VLOOKUP(PREVIOS!H1229,CICLO!A:B,2,FALSE)</f>
        <v>52</v>
      </c>
      <c r="L1229">
        <f>VLOOKUP(PREVIOS!I1229,PLAN!A:B,2,FALSE)</f>
        <v>5</v>
      </c>
    </row>
    <row r="1230" spans="1:12" x14ac:dyDescent="0.25">
      <c r="A1230" t="str">
        <f t="shared" si="19"/>
        <v>A167M243C1</v>
      </c>
      <c r="C1230">
        <v>1229</v>
      </c>
      <c r="D1230">
        <f>VLOOKUP(PREVIOS!C1230,ALUMNOS!A:B,2,FALSE)</f>
        <v>167</v>
      </c>
      <c r="E1230">
        <f>VLOOKUP(PREVIOS!E1230&amp;'TABLA PREVIOS'!J1230,MATERIAS!A:H,7,FALSE)</f>
        <v>243</v>
      </c>
      <c r="F1230">
        <f>VLOOKUP(PREVIOS!G1230,CONDICION!A:B,2,FALSE)</f>
        <v>1</v>
      </c>
      <c r="G1230">
        <f>IF(PREVIOS!AG1230=1,1,VLOOKUP(PREVIOS!AG1230,CALIFICACION!A:C,3,FALSE))</f>
        <v>1</v>
      </c>
      <c r="H1230" s="1" t="s">
        <v>534</v>
      </c>
      <c r="I1230" s="1" t="s">
        <v>534</v>
      </c>
      <c r="J1230">
        <f>VLOOKUP(PREVIOS!F1230&amp;VLOOKUP(PREVIOS!I1230,PLAN!A:B,2,FALSE),CURSO!A:D,4,FALSE)</f>
        <v>19</v>
      </c>
      <c r="K1230">
        <f>VLOOKUP(PREVIOS!H1230,CICLO!A:B,2,FALSE)</f>
        <v>54</v>
      </c>
      <c r="L1230">
        <f>VLOOKUP(PREVIOS!I1230,PLAN!A:B,2,FALSE)</f>
        <v>5</v>
      </c>
    </row>
    <row r="1231" spans="1:12" x14ac:dyDescent="0.25">
      <c r="A1231" t="str">
        <f t="shared" si="19"/>
        <v>A167M244C1</v>
      </c>
      <c r="C1231">
        <v>1230</v>
      </c>
      <c r="D1231">
        <f>VLOOKUP(PREVIOS!C1231,ALUMNOS!A:B,2,FALSE)</f>
        <v>167</v>
      </c>
      <c r="E1231">
        <f>VLOOKUP(PREVIOS!E1231&amp;'TABLA PREVIOS'!J1231,MATERIAS!A:H,7,FALSE)</f>
        <v>244</v>
      </c>
      <c r="F1231">
        <f>VLOOKUP(PREVIOS!G1231,CONDICION!A:B,2,FALSE)</f>
        <v>1</v>
      </c>
      <c r="G1231">
        <f>IF(PREVIOS!AG1231=1,1,VLOOKUP(PREVIOS!AG1231,CALIFICACION!A:C,3,FALSE))</f>
        <v>1</v>
      </c>
      <c r="H1231" s="1" t="s">
        <v>534</v>
      </c>
      <c r="I1231" s="1" t="s">
        <v>534</v>
      </c>
      <c r="J1231">
        <f>VLOOKUP(PREVIOS!F1231&amp;VLOOKUP(PREVIOS!I1231,PLAN!A:B,2,FALSE),CURSO!A:D,4,FALSE)</f>
        <v>19</v>
      </c>
      <c r="K1231">
        <f>VLOOKUP(PREVIOS!H1231,CICLO!A:B,2,FALSE)</f>
        <v>54</v>
      </c>
      <c r="L1231">
        <f>VLOOKUP(PREVIOS!I1231,PLAN!A:B,2,FALSE)</f>
        <v>5</v>
      </c>
    </row>
    <row r="1232" spans="1:12" x14ac:dyDescent="0.25">
      <c r="A1232" t="str">
        <f t="shared" si="19"/>
        <v>A203M260C1</v>
      </c>
      <c r="C1232">
        <v>1231</v>
      </c>
      <c r="D1232">
        <f>VLOOKUP(PREVIOS!C1232,ALUMNOS!A:B,2,FALSE)</f>
        <v>203</v>
      </c>
      <c r="E1232">
        <f>VLOOKUP(PREVIOS!E1232&amp;'TABLA PREVIOS'!J1232,MATERIAS!A:H,7,FALSE)</f>
        <v>260</v>
      </c>
      <c r="F1232">
        <f>VLOOKUP(PREVIOS!G1232,CONDICION!A:B,2,FALSE)</f>
        <v>1</v>
      </c>
      <c r="G1232">
        <f>IF(PREVIOS!AG1232=1,1,VLOOKUP(PREVIOS!AG1232,CALIFICACION!A:C,3,FALSE))</f>
        <v>1</v>
      </c>
      <c r="H1232" s="1" t="s">
        <v>534</v>
      </c>
      <c r="I1232" s="1" t="s">
        <v>534</v>
      </c>
      <c r="J1232">
        <f>VLOOKUP(PREVIOS!F1232&amp;VLOOKUP(PREVIOS!I1232,PLAN!A:B,2,FALSE),CURSO!A:D,4,FALSE)</f>
        <v>20</v>
      </c>
      <c r="K1232">
        <f>VLOOKUP(PREVIOS!H1232,CICLO!A:B,2,FALSE)</f>
        <v>54</v>
      </c>
      <c r="L1232">
        <f>VLOOKUP(PREVIOS!I1232,PLAN!A:B,2,FALSE)</f>
        <v>6</v>
      </c>
    </row>
    <row r="1233" spans="1:12" x14ac:dyDescent="0.25">
      <c r="A1233" t="str">
        <f t="shared" si="19"/>
        <v>A203M262C1</v>
      </c>
      <c r="C1233">
        <v>1232</v>
      </c>
      <c r="D1233">
        <f>VLOOKUP(PREVIOS!C1233,ALUMNOS!A:B,2,FALSE)</f>
        <v>203</v>
      </c>
      <c r="E1233">
        <f>VLOOKUP(PREVIOS!E1233&amp;'TABLA PREVIOS'!J1233,MATERIAS!A:H,7,FALSE)</f>
        <v>262</v>
      </c>
      <c r="F1233">
        <f>VLOOKUP(PREVIOS!G1233,CONDICION!A:B,2,FALSE)</f>
        <v>1</v>
      </c>
      <c r="G1233">
        <f>IF(PREVIOS!AG1233=1,1,VLOOKUP(PREVIOS!AG1233,CALIFICACION!A:C,3,FALSE))</f>
        <v>1</v>
      </c>
      <c r="H1233" s="1" t="s">
        <v>534</v>
      </c>
      <c r="I1233" s="1" t="s">
        <v>534</v>
      </c>
      <c r="J1233">
        <f>VLOOKUP(PREVIOS!F1233&amp;VLOOKUP(PREVIOS!I1233,PLAN!A:B,2,FALSE),CURSO!A:D,4,FALSE)</f>
        <v>20</v>
      </c>
      <c r="K1233">
        <f>VLOOKUP(PREVIOS!H1233,CICLO!A:B,2,FALSE)</f>
        <v>54</v>
      </c>
      <c r="L1233">
        <f>VLOOKUP(PREVIOS!I1233,PLAN!A:B,2,FALSE)</f>
        <v>6</v>
      </c>
    </row>
    <row r="1234" spans="1:12" x14ac:dyDescent="0.25">
      <c r="A1234" t="str">
        <f t="shared" si="19"/>
        <v>A203M261C1</v>
      </c>
      <c r="C1234">
        <v>1233</v>
      </c>
      <c r="D1234">
        <f>VLOOKUP(PREVIOS!C1234,ALUMNOS!A:B,2,FALSE)</f>
        <v>203</v>
      </c>
      <c r="E1234">
        <f>VLOOKUP(PREVIOS!E1234&amp;'TABLA PREVIOS'!J1234,MATERIAS!A:H,7,FALSE)</f>
        <v>261</v>
      </c>
      <c r="F1234">
        <f>VLOOKUP(PREVIOS!G1234,CONDICION!A:B,2,FALSE)</f>
        <v>1</v>
      </c>
      <c r="G1234">
        <f>IF(PREVIOS!AG1234=1,1,VLOOKUP(PREVIOS!AG1234,CALIFICACION!A:C,3,FALSE))</f>
        <v>1</v>
      </c>
      <c r="H1234" s="1" t="s">
        <v>534</v>
      </c>
      <c r="I1234" s="1" t="s">
        <v>534</v>
      </c>
      <c r="J1234">
        <f>VLOOKUP(PREVIOS!F1234&amp;VLOOKUP(PREVIOS!I1234,PLAN!A:B,2,FALSE),CURSO!A:D,4,FALSE)</f>
        <v>20</v>
      </c>
      <c r="K1234">
        <f>VLOOKUP(PREVIOS!H1234,CICLO!A:B,2,FALSE)</f>
        <v>54</v>
      </c>
      <c r="L1234">
        <f>VLOOKUP(PREVIOS!I1234,PLAN!A:B,2,FALSE)</f>
        <v>6</v>
      </c>
    </row>
    <row r="1235" spans="1:12" x14ac:dyDescent="0.25">
      <c r="A1235" t="str">
        <f t="shared" si="19"/>
        <v>A203M251C1</v>
      </c>
      <c r="C1235">
        <v>1234</v>
      </c>
      <c r="D1235">
        <f>VLOOKUP(PREVIOS!C1235,ALUMNOS!A:B,2,FALSE)</f>
        <v>203</v>
      </c>
      <c r="E1235">
        <f>VLOOKUP(PREVIOS!E1235&amp;'TABLA PREVIOS'!J1235,MATERIAS!A:H,7,FALSE)</f>
        <v>251</v>
      </c>
      <c r="F1235">
        <f>VLOOKUP(PREVIOS!G1235,CONDICION!A:B,2,FALSE)</f>
        <v>1</v>
      </c>
      <c r="G1235">
        <f>IF(PREVIOS!AG1235=1,1,VLOOKUP(PREVIOS!AG1235,CALIFICACION!A:C,3,FALSE))</f>
        <v>1</v>
      </c>
      <c r="H1235" s="1" t="s">
        <v>534</v>
      </c>
      <c r="I1235" s="1" t="s">
        <v>534</v>
      </c>
      <c r="J1235">
        <f>VLOOKUP(PREVIOS!F1235&amp;VLOOKUP(PREVIOS!I1235,PLAN!A:B,2,FALSE),CURSO!A:D,4,FALSE)</f>
        <v>20</v>
      </c>
      <c r="K1235">
        <f>VLOOKUP(PREVIOS!H1235,CICLO!A:B,2,FALSE)</f>
        <v>54</v>
      </c>
      <c r="L1235">
        <f>VLOOKUP(PREVIOS!I1235,PLAN!A:B,2,FALSE)</f>
        <v>6</v>
      </c>
    </row>
    <row r="1236" spans="1:12" x14ac:dyDescent="0.25">
      <c r="A1236" t="str">
        <f t="shared" si="19"/>
        <v>A203M259C1</v>
      </c>
      <c r="C1236">
        <v>1235</v>
      </c>
      <c r="D1236">
        <f>VLOOKUP(PREVIOS!C1236,ALUMNOS!A:B,2,FALSE)</f>
        <v>203</v>
      </c>
      <c r="E1236">
        <f>VLOOKUP(PREVIOS!E1236&amp;'TABLA PREVIOS'!J1236,MATERIAS!A:H,7,FALSE)</f>
        <v>259</v>
      </c>
      <c r="F1236">
        <f>VLOOKUP(PREVIOS!G1236,CONDICION!A:B,2,FALSE)</f>
        <v>1</v>
      </c>
      <c r="G1236">
        <f>IF(PREVIOS!AG1236=1,1,VLOOKUP(PREVIOS!AG1236,CALIFICACION!A:C,3,FALSE))</f>
        <v>1</v>
      </c>
      <c r="H1236" s="1" t="s">
        <v>534</v>
      </c>
      <c r="I1236" s="1" t="s">
        <v>534</v>
      </c>
      <c r="J1236">
        <f>VLOOKUP(PREVIOS!F1236&amp;VLOOKUP(PREVIOS!I1236,PLAN!A:B,2,FALSE),CURSO!A:D,4,FALSE)</f>
        <v>20</v>
      </c>
      <c r="K1236">
        <f>VLOOKUP(PREVIOS!H1236,CICLO!A:B,2,FALSE)</f>
        <v>54</v>
      </c>
      <c r="L1236">
        <f>VLOOKUP(PREVIOS!I1236,PLAN!A:B,2,FALSE)</f>
        <v>6</v>
      </c>
    </row>
    <row r="1237" spans="1:12" x14ac:dyDescent="0.25">
      <c r="A1237" t="str">
        <f t="shared" si="19"/>
        <v>A231M249C1</v>
      </c>
      <c r="C1237">
        <v>1236</v>
      </c>
      <c r="D1237">
        <f>VLOOKUP(PREVIOS!C1237,ALUMNOS!A:B,2,FALSE)</f>
        <v>231</v>
      </c>
      <c r="E1237">
        <f>VLOOKUP(PREVIOS!E1237&amp;'TABLA PREVIOS'!J1237,MATERIAS!A:H,7,FALSE)</f>
        <v>249</v>
      </c>
      <c r="F1237">
        <f>VLOOKUP(PREVIOS!G1237,CONDICION!A:B,2,FALSE)</f>
        <v>1</v>
      </c>
      <c r="G1237">
        <f>IF(PREVIOS!AG1237=1,1,VLOOKUP(PREVIOS!AG1237,CALIFICACION!A:C,3,FALSE))</f>
        <v>1</v>
      </c>
      <c r="H1237" s="1" t="s">
        <v>534</v>
      </c>
      <c r="I1237" s="1" t="s">
        <v>534</v>
      </c>
      <c r="J1237">
        <f>VLOOKUP(PREVIOS!F1237&amp;VLOOKUP(PREVIOS!I1237,PLAN!A:B,2,FALSE),CURSO!A:D,4,FALSE)</f>
        <v>19</v>
      </c>
      <c r="K1237">
        <f>VLOOKUP(PREVIOS!H1237,CICLO!A:B,2,FALSE)</f>
        <v>56</v>
      </c>
      <c r="L1237">
        <f>VLOOKUP(PREVIOS!I1237,PLAN!A:B,2,FALSE)</f>
        <v>5</v>
      </c>
    </row>
    <row r="1238" spans="1:12" x14ac:dyDescent="0.25">
      <c r="A1238" t="str">
        <f t="shared" si="19"/>
        <v>A231M243C1</v>
      </c>
      <c r="C1238">
        <v>1237</v>
      </c>
      <c r="D1238">
        <f>VLOOKUP(PREVIOS!C1238,ALUMNOS!A:B,2,FALSE)</f>
        <v>231</v>
      </c>
      <c r="E1238">
        <f>VLOOKUP(PREVIOS!E1238&amp;'TABLA PREVIOS'!J1238,MATERIAS!A:H,7,FALSE)</f>
        <v>243</v>
      </c>
      <c r="F1238">
        <f>VLOOKUP(PREVIOS!G1238,CONDICION!A:B,2,FALSE)</f>
        <v>1</v>
      </c>
      <c r="G1238">
        <f>IF(PREVIOS!AG1238=1,1,VLOOKUP(PREVIOS!AG1238,CALIFICACION!A:C,3,FALSE))</f>
        <v>1</v>
      </c>
      <c r="H1238" s="1" t="s">
        <v>534</v>
      </c>
      <c r="I1238" s="1" t="s">
        <v>534</v>
      </c>
      <c r="J1238">
        <f>VLOOKUP(PREVIOS!F1238&amp;VLOOKUP(PREVIOS!I1238,PLAN!A:B,2,FALSE),CURSO!A:D,4,FALSE)</f>
        <v>19</v>
      </c>
      <c r="K1238">
        <f>VLOOKUP(PREVIOS!H1238,CICLO!A:B,2,FALSE)</f>
        <v>56</v>
      </c>
      <c r="L1238">
        <f>VLOOKUP(PREVIOS!I1238,PLAN!A:B,2,FALSE)</f>
        <v>5</v>
      </c>
    </row>
    <row r="1239" spans="1:12" x14ac:dyDescent="0.25">
      <c r="A1239" t="str">
        <f t="shared" si="19"/>
        <v>A231M239C1</v>
      </c>
      <c r="C1239">
        <v>1238</v>
      </c>
      <c r="D1239">
        <f>VLOOKUP(PREVIOS!C1239,ALUMNOS!A:B,2,FALSE)</f>
        <v>231</v>
      </c>
      <c r="E1239">
        <f>VLOOKUP(PREVIOS!E1239&amp;'TABLA PREVIOS'!J1239,MATERIAS!A:H,7,FALSE)</f>
        <v>239</v>
      </c>
      <c r="F1239">
        <f>VLOOKUP(PREVIOS!G1239,CONDICION!A:B,2,FALSE)</f>
        <v>1</v>
      </c>
      <c r="G1239">
        <f>IF(PREVIOS!AG1239=1,1,VLOOKUP(PREVIOS!AG1239,CALIFICACION!A:C,3,FALSE))</f>
        <v>1</v>
      </c>
      <c r="H1239" s="1" t="s">
        <v>534</v>
      </c>
      <c r="I1239" s="1" t="s">
        <v>534</v>
      </c>
      <c r="J1239">
        <f>VLOOKUP(PREVIOS!F1239&amp;VLOOKUP(PREVIOS!I1239,PLAN!A:B,2,FALSE),CURSO!A:D,4,FALSE)</f>
        <v>19</v>
      </c>
      <c r="K1239">
        <f>VLOOKUP(PREVIOS!H1239,CICLO!A:B,2,FALSE)</f>
        <v>56</v>
      </c>
      <c r="L1239">
        <f>VLOOKUP(PREVIOS!I1239,PLAN!A:B,2,FALSE)</f>
        <v>5</v>
      </c>
    </row>
    <row r="1240" spans="1:12" x14ac:dyDescent="0.25">
      <c r="A1240" t="str">
        <f t="shared" si="19"/>
        <v>A233M238C1</v>
      </c>
      <c r="C1240">
        <v>1239</v>
      </c>
      <c r="D1240">
        <f>VLOOKUP(PREVIOS!C1240,ALUMNOS!A:B,2,FALSE)</f>
        <v>233</v>
      </c>
      <c r="E1240">
        <f>VLOOKUP(PREVIOS!E1240&amp;'TABLA PREVIOS'!J1240,MATERIAS!A:H,7,FALSE)</f>
        <v>238</v>
      </c>
      <c r="F1240">
        <f>VLOOKUP(PREVIOS!G1240,CONDICION!A:B,2,FALSE)</f>
        <v>1</v>
      </c>
      <c r="G1240">
        <f>IF(PREVIOS!AG1240=1,1,VLOOKUP(PREVIOS!AG1240,CALIFICACION!A:C,3,FALSE))</f>
        <v>1</v>
      </c>
      <c r="H1240" s="1" t="s">
        <v>534</v>
      </c>
      <c r="I1240" s="1" t="s">
        <v>534</v>
      </c>
      <c r="J1240">
        <f>VLOOKUP(PREVIOS!F1240&amp;VLOOKUP(PREVIOS!I1240,PLAN!A:B,2,FALSE),CURSO!A:D,4,FALSE)</f>
        <v>19</v>
      </c>
      <c r="K1240">
        <f>VLOOKUP(PREVIOS!H1240,CICLO!A:B,2,FALSE)</f>
        <v>55</v>
      </c>
      <c r="L1240">
        <f>VLOOKUP(PREVIOS!I1240,PLAN!A:B,2,FALSE)</f>
        <v>5</v>
      </c>
    </row>
    <row r="1241" spans="1:12" x14ac:dyDescent="0.25">
      <c r="A1241" t="str">
        <f t="shared" si="19"/>
        <v>A232M244C1</v>
      </c>
      <c r="C1241">
        <v>1240</v>
      </c>
      <c r="D1241">
        <f>VLOOKUP(PREVIOS!C1241,ALUMNOS!A:B,2,FALSE)</f>
        <v>232</v>
      </c>
      <c r="E1241">
        <f>VLOOKUP(PREVIOS!E1241&amp;'TABLA PREVIOS'!J1241,MATERIAS!A:H,7,FALSE)</f>
        <v>244</v>
      </c>
      <c r="F1241">
        <f>VLOOKUP(PREVIOS!G1241,CONDICION!A:B,2,FALSE)</f>
        <v>1</v>
      </c>
      <c r="G1241">
        <f>IF(PREVIOS!AG1241=1,1,VLOOKUP(PREVIOS!AG1241,CALIFICACION!A:C,3,FALSE))</f>
        <v>1</v>
      </c>
      <c r="H1241" s="1" t="s">
        <v>534</v>
      </c>
      <c r="I1241" s="1" t="s">
        <v>534</v>
      </c>
      <c r="J1241">
        <f>VLOOKUP(PREVIOS!F1241&amp;VLOOKUP(PREVIOS!I1241,PLAN!A:B,2,FALSE),CURSO!A:D,4,FALSE)</f>
        <v>19</v>
      </c>
      <c r="K1241">
        <f>VLOOKUP(PREVIOS!H1241,CICLO!A:B,2,FALSE)</f>
        <v>53</v>
      </c>
      <c r="L1241">
        <f>VLOOKUP(PREVIOS!I1241,PLAN!A:B,2,FALSE)</f>
        <v>5</v>
      </c>
    </row>
    <row r="1242" spans="1:12" x14ac:dyDescent="0.25">
      <c r="A1242" t="str">
        <f t="shared" si="19"/>
        <v>A232M239C1</v>
      </c>
      <c r="C1242">
        <v>1241</v>
      </c>
      <c r="D1242">
        <f>VLOOKUP(PREVIOS!C1242,ALUMNOS!A:B,2,FALSE)</f>
        <v>232</v>
      </c>
      <c r="E1242">
        <f>VLOOKUP(PREVIOS!E1242&amp;'TABLA PREVIOS'!J1242,MATERIAS!A:H,7,FALSE)</f>
        <v>239</v>
      </c>
      <c r="F1242">
        <f>VLOOKUP(PREVIOS!G1242,CONDICION!A:B,2,FALSE)</f>
        <v>1</v>
      </c>
      <c r="G1242">
        <f>IF(PREVIOS!AG1242=1,1,VLOOKUP(PREVIOS!AG1242,CALIFICACION!A:C,3,FALSE))</f>
        <v>1</v>
      </c>
      <c r="H1242" s="1" t="s">
        <v>534</v>
      </c>
      <c r="I1242" s="1" t="s">
        <v>534</v>
      </c>
      <c r="J1242">
        <f>VLOOKUP(PREVIOS!F1242&amp;VLOOKUP(PREVIOS!I1242,PLAN!A:B,2,FALSE),CURSO!A:D,4,FALSE)</f>
        <v>19</v>
      </c>
      <c r="K1242">
        <f>VLOOKUP(PREVIOS!H1242,CICLO!A:B,2,FALSE)</f>
        <v>53</v>
      </c>
      <c r="L1242">
        <f>VLOOKUP(PREVIOS!I1242,PLAN!A:B,2,FALSE)</f>
        <v>5</v>
      </c>
    </row>
    <row r="1243" spans="1:12" x14ac:dyDescent="0.25">
      <c r="A1243" t="str">
        <f t="shared" si="19"/>
        <v>A262M244C1</v>
      </c>
      <c r="C1243">
        <v>1242</v>
      </c>
      <c r="D1243">
        <f>VLOOKUP(PREVIOS!C1243,ALUMNOS!A:B,2,FALSE)</f>
        <v>262</v>
      </c>
      <c r="E1243">
        <f>VLOOKUP(PREVIOS!E1243&amp;'TABLA PREVIOS'!J1243,MATERIAS!A:H,7,FALSE)</f>
        <v>244</v>
      </c>
      <c r="F1243">
        <f>VLOOKUP(PREVIOS!G1243,CONDICION!A:B,2,FALSE)</f>
        <v>1</v>
      </c>
      <c r="G1243">
        <f>IF(PREVIOS!AG1243=1,1,VLOOKUP(PREVIOS!AG1243,CALIFICACION!A:C,3,FALSE))</f>
        <v>1</v>
      </c>
      <c r="H1243" s="1" t="s">
        <v>534</v>
      </c>
      <c r="I1243" s="1" t="s">
        <v>534</v>
      </c>
      <c r="J1243">
        <f>VLOOKUP(PREVIOS!F1243&amp;VLOOKUP(PREVIOS!I1243,PLAN!A:B,2,FALSE),CURSO!A:D,4,FALSE)</f>
        <v>19</v>
      </c>
      <c r="K1243">
        <f>VLOOKUP(PREVIOS!H1243,CICLO!A:B,2,FALSE)</f>
        <v>53</v>
      </c>
      <c r="L1243">
        <f>VLOOKUP(PREVIOS!I1243,PLAN!A:B,2,FALSE)</f>
        <v>5</v>
      </c>
    </row>
    <row r="1244" spans="1:12" x14ac:dyDescent="0.25">
      <c r="A1244" t="str">
        <f t="shared" si="19"/>
        <v>A262M245C1</v>
      </c>
      <c r="C1244">
        <v>1243</v>
      </c>
      <c r="D1244">
        <f>VLOOKUP(PREVIOS!C1244,ALUMNOS!A:B,2,FALSE)</f>
        <v>262</v>
      </c>
      <c r="E1244">
        <f>VLOOKUP(PREVIOS!E1244&amp;'TABLA PREVIOS'!J1244,MATERIAS!A:H,7,FALSE)</f>
        <v>245</v>
      </c>
      <c r="F1244">
        <f>VLOOKUP(PREVIOS!G1244,CONDICION!A:B,2,FALSE)</f>
        <v>1</v>
      </c>
      <c r="G1244">
        <f>IF(PREVIOS!AG1244=1,1,VLOOKUP(PREVIOS!AG1244,CALIFICACION!A:C,3,FALSE))</f>
        <v>1</v>
      </c>
      <c r="H1244" s="1" t="s">
        <v>534</v>
      </c>
      <c r="I1244" s="1" t="s">
        <v>534</v>
      </c>
      <c r="J1244">
        <f>VLOOKUP(PREVIOS!F1244&amp;VLOOKUP(PREVIOS!I1244,PLAN!A:B,2,FALSE),CURSO!A:D,4,FALSE)</f>
        <v>19</v>
      </c>
      <c r="K1244">
        <f>VLOOKUP(PREVIOS!H1244,CICLO!A:B,2,FALSE)</f>
        <v>53</v>
      </c>
      <c r="L1244">
        <f>VLOOKUP(PREVIOS!I1244,PLAN!A:B,2,FALSE)</f>
        <v>5</v>
      </c>
    </row>
    <row r="1245" spans="1:12" x14ac:dyDescent="0.25">
      <c r="A1245" t="str">
        <f t="shared" si="19"/>
        <v>A287M221C1</v>
      </c>
      <c r="C1245">
        <v>1244</v>
      </c>
      <c r="D1245">
        <f>VLOOKUP(PREVIOS!C1245,ALUMNOS!A:B,2,FALSE)</f>
        <v>287</v>
      </c>
      <c r="E1245">
        <f>VLOOKUP(PREVIOS!E1245&amp;'TABLA PREVIOS'!J1245,MATERIAS!A:H,7,FALSE)</f>
        <v>221</v>
      </c>
      <c r="F1245">
        <f>VLOOKUP(PREVIOS!G1245,CONDICION!A:B,2,FALSE)</f>
        <v>1</v>
      </c>
      <c r="G1245">
        <f>IF(PREVIOS!AG1245=1,1,VLOOKUP(PREVIOS!AG1245,CALIFICACION!A:C,3,FALSE))</f>
        <v>1</v>
      </c>
      <c r="H1245" s="1" t="s">
        <v>534</v>
      </c>
      <c r="I1245" s="1" t="s">
        <v>534</v>
      </c>
      <c r="J1245">
        <f>VLOOKUP(PREVIOS!F1245&amp;VLOOKUP(PREVIOS!I1245,PLAN!A:B,2,FALSE),CURSO!A:D,4,FALSE)</f>
        <v>17</v>
      </c>
      <c r="K1245">
        <f>VLOOKUP(PREVIOS!H1245,CICLO!A:B,2,FALSE)</f>
        <v>53</v>
      </c>
      <c r="L1245">
        <f>VLOOKUP(PREVIOS!I1245,PLAN!A:B,2,FALSE)</f>
        <v>5</v>
      </c>
    </row>
    <row r="1246" spans="1:12" x14ac:dyDescent="0.25">
      <c r="A1246" t="str">
        <f t="shared" si="19"/>
        <v>A287M232C1</v>
      </c>
      <c r="C1246">
        <v>1245</v>
      </c>
      <c r="D1246">
        <f>VLOOKUP(PREVIOS!C1246,ALUMNOS!A:B,2,FALSE)</f>
        <v>287</v>
      </c>
      <c r="E1246">
        <f>VLOOKUP(PREVIOS!E1246&amp;'TABLA PREVIOS'!J1246,MATERIAS!A:H,7,FALSE)</f>
        <v>232</v>
      </c>
      <c r="F1246">
        <f>VLOOKUP(PREVIOS!G1246,CONDICION!A:B,2,FALSE)</f>
        <v>1</v>
      </c>
      <c r="G1246">
        <f>IF(PREVIOS!AG1246=1,1,VLOOKUP(PREVIOS!AG1246,CALIFICACION!A:C,3,FALSE))</f>
        <v>1</v>
      </c>
      <c r="H1246" s="1" t="s">
        <v>534</v>
      </c>
      <c r="I1246" s="1" t="s">
        <v>534</v>
      </c>
      <c r="J1246">
        <f>VLOOKUP(PREVIOS!F1246&amp;VLOOKUP(PREVIOS!I1246,PLAN!A:B,2,FALSE),CURSO!A:D,4,FALSE)</f>
        <v>18</v>
      </c>
      <c r="K1246">
        <f>VLOOKUP(PREVIOS!H1246,CICLO!A:B,2,FALSE)</f>
        <v>54</v>
      </c>
      <c r="L1246">
        <f>VLOOKUP(PREVIOS!I1246,PLAN!A:B,2,FALSE)</f>
        <v>5</v>
      </c>
    </row>
    <row r="1247" spans="1:12" x14ac:dyDescent="0.25">
      <c r="A1247" t="str">
        <f t="shared" si="19"/>
        <v>A287M231C1</v>
      </c>
      <c r="C1247">
        <v>1246</v>
      </c>
      <c r="D1247">
        <f>VLOOKUP(PREVIOS!C1247,ALUMNOS!A:B,2,FALSE)</f>
        <v>287</v>
      </c>
      <c r="E1247">
        <f>VLOOKUP(PREVIOS!E1247&amp;'TABLA PREVIOS'!J1247,MATERIAS!A:H,7,FALSE)</f>
        <v>231</v>
      </c>
      <c r="F1247">
        <f>VLOOKUP(PREVIOS!G1247,CONDICION!A:B,2,FALSE)</f>
        <v>1</v>
      </c>
      <c r="G1247">
        <f>IF(PREVIOS!AG1247=1,1,VLOOKUP(PREVIOS!AG1247,CALIFICACION!A:C,3,FALSE))</f>
        <v>1</v>
      </c>
      <c r="H1247" s="1" t="s">
        <v>534</v>
      </c>
      <c r="I1247" s="1" t="s">
        <v>534</v>
      </c>
      <c r="J1247">
        <f>VLOOKUP(PREVIOS!F1247&amp;VLOOKUP(PREVIOS!I1247,PLAN!A:B,2,FALSE),CURSO!A:D,4,FALSE)</f>
        <v>18</v>
      </c>
      <c r="K1247">
        <f>VLOOKUP(PREVIOS!H1247,CICLO!A:B,2,FALSE)</f>
        <v>54</v>
      </c>
      <c r="L1247">
        <f>VLOOKUP(PREVIOS!I1247,PLAN!A:B,2,FALSE)</f>
        <v>5</v>
      </c>
    </row>
    <row r="1248" spans="1:12" x14ac:dyDescent="0.25">
      <c r="A1248" t="str">
        <f t="shared" si="19"/>
        <v>A293M223C1</v>
      </c>
      <c r="C1248">
        <v>1247</v>
      </c>
      <c r="D1248">
        <f>VLOOKUP(PREVIOS!C1248,ALUMNOS!A:B,2,FALSE)</f>
        <v>293</v>
      </c>
      <c r="E1248">
        <f>VLOOKUP(PREVIOS!E1248&amp;'TABLA PREVIOS'!J1248,MATERIAS!A:H,7,FALSE)</f>
        <v>223</v>
      </c>
      <c r="F1248">
        <f>VLOOKUP(PREVIOS!G1248,CONDICION!A:B,2,FALSE)</f>
        <v>1</v>
      </c>
      <c r="G1248">
        <f>IF(PREVIOS!AG1248=1,1,VLOOKUP(PREVIOS!AG1248,CALIFICACION!A:C,3,FALSE))</f>
        <v>1</v>
      </c>
      <c r="H1248" s="1" t="s">
        <v>534</v>
      </c>
      <c r="I1248" s="1" t="s">
        <v>534</v>
      </c>
      <c r="J1248">
        <f>VLOOKUP(PREVIOS!F1248&amp;VLOOKUP(PREVIOS!I1248,PLAN!A:B,2,FALSE),CURSO!A:D,4,FALSE)</f>
        <v>17</v>
      </c>
      <c r="K1248">
        <f>VLOOKUP(PREVIOS!H1248,CICLO!A:B,2,FALSE)</f>
        <v>50</v>
      </c>
      <c r="L1248">
        <f>VLOOKUP(PREVIOS!I1248,PLAN!A:B,2,FALSE)</f>
        <v>5</v>
      </c>
    </row>
    <row r="1249" spans="1:12" x14ac:dyDescent="0.25">
      <c r="A1249" t="str">
        <f t="shared" si="19"/>
        <v>A293M259C1</v>
      </c>
      <c r="C1249">
        <v>1248</v>
      </c>
      <c r="D1249">
        <f>VLOOKUP(PREVIOS!C1249,ALUMNOS!A:B,2,FALSE)</f>
        <v>293</v>
      </c>
      <c r="E1249">
        <f>VLOOKUP(PREVIOS!E1249&amp;'TABLA PREVIOS'!J1249,MATERIAS!A:H,7,FALSE)</f>
        <v>259</v>
      </c>
      <c r="F1249">
        <f>VLOOKUP(PREVIOS!G1249,CONDICION!A:B,2,FALSE)</f>
        <v>1</v>
      </c>
      <c r="G1249">
        <f>IF(PREVIOS!AG1249=1,1,VLOOKUP(PREVIOS!AG1249,CALIFICACION!A:C,3,FALSE))</f>
        <v>1</v>
      </c>
      <c r="H1249" s="1" t="s">
        <v>534</v>
      </c>
      <c r="I1249" s="1" t="s">
        <v>534</v>
      </c>
      <c r="J1249">
        <f>VLOOKUP(PREVIOS!F1249&amp;VLOOKUP(PREVIOS!I1249,PLAN!A:B,2,FALSE),CURSO!A:D,4,FALSE)</f>
        <v>20</v>
      </c>
      <c r="K1249">
        <f>VLOOKUP(PREVIOS!H1249,CICLO!A:B,2,FALSE)</f>
        <v>53</v>
      </c>
      <c r="L1249">
        <f>VLOOKUP(PREVIOS!I1249,PLAN!A:B,2,FALSE)</f>
        <v>6</v>
      </c>
    </row>
    <row r="1250" spans="1:12" x14ac:dyDescent="0.25">
      <c r="A1250" t="str">
        <f t="shared" si="19"/>
        <v>A297M234C1</v>
      </c>
      <c r="C1250">
        <v>1249</v>
      </c>
      <c r="D1250">
        <f>VLOOKUP(PREVIOS!C1250,ALUMNOS!A:B,2,FALSE)</f>
        <v>297</v>
      </c>
      <c r="E1250">
        <f>VLOOKUP(PREVIOS!E1250&amp;'TABLA PREVIOS'!J1250,MATERIAS!A:H,7,FALSE)</f>
        <v>234</v>
      </c>
      <c r="F1250">
        <f>VLOOKUP(PREVIOS!G1250,CONDICION!A:B,2,FALSE)</f>
        <v>1</v>
      </c>
      <c r="G1250">
        <f>IF(PREVIOS!AG1250=1,1,VLOOKUP(PREVIOS!AG1250,CALIFICACION!A:C,3,FALSE))</f>
        <v>1</v>
      </c>
      <c r="H1250" s="1" t="s">
        <v>534</v>
      </c>
      <c r="I1250" s="1" t="s">
        <v>534</v>
      </c>
      <c r="J1250">
        <f>VLOOKUP(PREVIOS!F1250&amp;VLOOKUP(PREVIOS!I1250,PLAN!A:B,2,FALSE),CURSO!A:D,4,FALSE)</f>
        <v>18</v>
      </c>
      <c r="K1250">
        <f>VLOOKUP(PREVIOS!H1250,CICLO!A:B,2,FALSE)</f>
        <v>54</v>
      </c>
      <c r="L1250">
        <f>VLOOKUP(PREVIOS!I1250,PLAN!A:B,2,FALSE)</f>
        <v>5</v>
      </c>
    </row>
    <row r="1251" spans="1:12" x14ac:dyDescent="0.25">
      <c r="A1251" t="str">
        <f t="shared" si="19"/>
        <v>A308M241C1</v>
      </c>
      <c r="C1251">
        <v>1250</v>
      </c>
      <c r="D1251">
        <f>VLOOKUP(PREVIOS!C1251,ALUMNOS!A:B,2,FALSE)</f>
        <v>308</v>
      </c>
      <c r="E1251">
        <f>VLOOKUP(PREVIOS!E1251&amp;'TABLA PREVIOS'!J1251,MATERIAS!A:H,7,FALSE)</f>
        <v>241</v>
      </c>
      <c r="F1251">
        <f>VLOOKUP(PREVIOS!G1251,CONDICION!A:B,2,FALSE)</f>
        <v>1</v>
      </c>
      <c r="G1251">
        <f>IF(PREVIOS!AG1251=1,1,VLOOKUP(PREVIOS!AG1251,CALIFICACION!A:C,3,FALSE))</f>
        <v>1</v>
      </c>
      <c r="H1251" s="1" t="s">
        <v>534</v>
      </c>
      <c r="I1251" s="1" t="s">
        <v>534</v>
      </c>
      <c r="J1251">
        <f>VLOOKUP(PREVIOS!F1251&amp;VLOOKUP(PREVIOS!I1251,PLAN!A:B,2,FALSE),CURSO!A:D,4,FALSE)</f>
        <v>19</v>
      </c>
      <c r="K1251">
        <f>VLOOKUP(PREVIOS!H1251,CICLO!A:B,2,FALSE)</f>
        <v>55</v>
      </c>
      <c r="L1251">
        <f>VLOOKUP(PREVIOS!I1251,PLAN!A:B,2,FALSE)</f>
        <v>5</v>
      </c>
    </row>
    <row r="1252" spans="1:12" x14ac:dyDescent="0.25">
      <c r="A1252" t="str">
        <f t="shared" si="19"/>
        <v>A308M242C1</v>
      </c>
      <c r="C1252">
        <v>1251</v>
      </c>
      <c r="D1252">
        <f>VLOOKUP(PREVIOS!C1252,ALUMNOS!A:B,2,FALSE)</f>
        <v>308</v>
      </c>
      <c r="E1252">
        <f>VLOOKUP(PREVIOS!E1252&amp;'TABLA PREVIOS'!J1252,MATERIAS!A:H,7,FALSE)</f>
        <v>242</v>
      </c>
      <c r="F1252">
        <f>VLOOKUP(PREVIOS!G1252,CONDICION!A:B,2,FALSE)</f>
        <v>1</v>
      </c>
      <c r="G1252">
        <f>IF(PREVIOS!AG1252=1,1,VLOOKUP(PREVIOS!AG1252,CALIFICACION!A:C,3,FALSE))</f>
        <v>1</v>
      </c>
      <c r="H1252" s="1" t="s">
        <v>534</v>
      </c>
      <c r="I1252" s="1" t="s">
        <v>534</v>
      </c>
      <c r="J1252">
        <f>VLOOKUP(PREVIOS!F1252&amp;VLOOKUP(PREVIOS!I1252,PLAN!A:B,2,FALSE),CURSO!A:D,4,FALSE)</f>
        <v>19</v>
      </c>
      <c r="K1252">
        <f>VLOOKUP(PREVIOS!H1252,CICLO!A:B,2,FALSE)</f>
        <v>55</v>
      </c>
      <c r="L1252">
        <f>VLOOKUP(PREVIOS!I1252,PLAN!A:B,2,FALSE)</f>
        <v>5</v>
      </c>
    </row>
    <row r="1253" spans="1:12" x14ac:dyDescent="0.25">
      <c r="A1253" t="str">
        <f t="shared" si="19"/>
        <v>A309M219C1</v>
      </c>
      <c r="C1253">
        <v>1252</v>
      </c>
      <c r="D1253">
        <f>VLOOKUP(PREVIOS!C1253,ALUMNOS!A:B,2,FALSE)</f>
        <v>309</v>
      </c>
      <c r="E1253">
        <f>VLOOKUP(PREVIOS!E1253&amp;'TABLA PREVIOS'!J1253,MATERIAS!A:H,7,FALSE)</f>
        <v>219</v>
      </c>
      <c r="F1253">
        <f>VLOOKUP(PREVIOS!G1253,CONDICION!A:B,2,FALSE)</f>
        <v>1</v>
      </c>
      <c r="G1253">
        <f>IF(PREVIOS!AG1253=1,1,VLOOKUP(PREVIOS!AG1253,CALIFICACION!A:C,3,FALSE))</f>
        <v>1</v>
      </c>
      <c r="H1253" s="1" t="s">
        <v>534</v>
      </c>
      <c r="I1253" s="1" t="s">
        <v>534</v>
      </c>
      <c r="J1253">
        <f>VLOOKUP(PREVIOS!F1253&amp;VLOOKUP(PREVIOS!I1253,PLAN!A:B,2,FALSE),CURSO!A:D,4,FALSE)</f>
        <v>17</v>
      </c>
      <c r="K1253">
        <f>VLOOKUP(PREVIOS!H1253,CICLO!A:B,2,FALSE)</f>
        <v>54</v>
      </c>
      <c r="L1253">
        <f>VLOOKUP(PREVIOS!I1253,PLAN!A:B,2,FALSE)</f>
        <v>5</v>
      </c>
    </row>
    <row r="1254" spans="1:12" x14ac:dyDescent="0.25">
      <c r="A1254" t="str">
        <f t="shared" si="19"/>
        <v>A318M220C1</v>
      </c>
      <c r="C1254">
        <v>1253</v>
      </c>
      <c r="D1254">
        <f>VLOOKUP(PREVIOS!C1254,ALUMNOS!A:B,2,FALSE)</f>
        <v>318</v>
      </c>
      <c r="E1254">
        <f>VLOOKUP(PREVIOS!E1254&amp;'TABLA PREVIOS'!J1254,MATERIAS!A:H,7,FALSE)</f>
        <v>220</v>
      </c>
      <c r="F1254">
        <f>VLOOKUP(PREVIOS!G1254,CONDICION!A:B,2,FALSE)</f>
        <v>1</v>
      </c>
      <c r="G1254">
        <f>IF(PREVIOS!AG1254=1,1,VLOOKUP(PREVIOS!AG1254,CALIFICACION!A:C,3,FALSE))</f>
        <v>1</v>
      </c>
      <c r="H1254" s="1" t="s">
        <v>534</v>
      </c>
      <c r="I1254" s="1" t="s">
        <v>534</v>
      </c>
      <c r="J1254">
        <f>VLOOKUP(PREVIOS!F1254&amp;VLOOKUP(PREVIOS!I1254,PLAN!A:B,2,FALSE),CURSO!A:D,4,FALSE)</f>
        <v>17</v>
      </c>
      <c r="K1254">
        <f>VLOOKUP(PREVIOS!H1254,CICLO!A:B,2,FALSE)</f>
        <v>53</v>
      </c>
      <c r="L1254">
        <f>VLOOKUP(PREVIOS!I1254,PLAN!A:B,2,FALSE)</f>
        <v>5</v>
      </c>
    </row>
    <row r="1255" spans="1:12" x14ac:dyDescent="0.25">
      <c r="A1255" t="str">
        <f t="shared" si="19"/>
        <v>A318M237C1</v>
      </c>
      <c r="C1255">
        <v>1254</v>
      </c>
      <c r="D1255">
        <f>VLOOKUP(PREVIOS!C1255,ALUMNOS!A:B,2,FALSE)</f>
        <v>318</v>
      </c>
      <c r="E1255">
        <f>VLOOKUP(PREVIOS!E1255&amp;'TABLA PREVIOS'!J1255,MATERIAS!A:H,7,FALSE)</f>
        <v>237</v>
      </c>
      <c r="F1255">
        <f>VLOOKUP(PREVIOS!G1255,CONDICION!A:B,2,FALSE)</f>
        <v>1</v>
      </c>
      <c r="G1255">
        <f>IF(PREVIOS!AG1255=1,1,VLOOKUP(PREVIOS!AG1255,CALIFICACION!A:C,3,FALSE))</f>
        <v>1</v>
      </c>
      <c r="H1255" s="1" t="s">
        <v>534</v>
      </c>
      <c r="I1255" s="1" t="s">
        <v>534</v>
      </c>
      <c r="J1255">
        <f>VLOOKUP(PREVIOS!F1255&amp;VLOOKUP(PREVIOS!I1255,PLAN!A:B,2,FALSE),CURSO!A:D,4,FALSE)</f>
        <v>18</v>
      </c>
      <c r="K1255">
        <f>VLOOKUP(PREVIOS!H1255,CICLO!A:B,2,FALSE)</f>
        <v>55</v>
      </c>
      <c r="L1255">
        <f>VLOOKUP(PREVIOS!I1255,PLAN!A:B,2,FALSE)</f>
        <v>5</v>
      </c>
    </row>
    <row r="1256" spans="1:12" x14ac:dyDescent="0.25">
      <c r="A1256" t="str">
        <f t="shared" si="19"/>
        <v>A318M228C1</v>
      </c>
      <c r="C1256">
        <v>1255</v>
      </c>
      <c r="D1256">
        <f>VLOOKUP(PREVIOS!C1256,ALUMNOS!A:B,2,FALSE)</f>
        <v>318</v>
      </c>
      <c r="E1256">
        <f>VLOOKUP(PREVIOS!E1256&amp;'TABLA PREVIOS'!J1256,MATERIAS!A:H,7,FALSE)</f>
        <v>228</v>
      </c>
      <c r="F1256">
        <f>VLOOKUP(PREVIOS!G1256,CONDICION!A:B,2,FALSE)</f>
        <v>1</v>
      </c>
      <c r="G1256">
        <f>IF(PREVIOS!AG1256=1,1,VLOOKUP(PREVIOS!AG1256,CALIFICACION!A:C,3,FALSE))</f>
        <v>1</v>
      </c>
      <c r="H1256" s="1" t="s">
        <v>534</v>
      </c>
      <c r="I1256" s="1" t="s">
        <v>534</v>
      </c>
      <c r="J1256">
        <f>VLOOKUP(PREVIOS!F1256&amp;VLOOKUP(PREVIOS!I1256,PLAN!A:B,2,FALSE),CURSO!A:D,4,FALSE)</f>
        <v>18</v>
      </c>
      <c r="K1256">
        <f>VLOOKUP(PREVIOS!H1256,CICLO!A:B,2,FALSE)</f>
        <v>55</v>
      </c>
      <c r="L1256">
        <f>VLOOKUP(PREVIOS!I1256,PLAN!A:B,2,FALSE)</f>
        <v>5</v>
      </c>
    </row>
    <row r="1257" spans="1:12" x14ac:dyDescent="0.25">
      <c r="A1257" t="str">
        <f t="shared" si="19"/>
        <v>A320M245C1</v>
      </c>
      <c r="C1257">
        <v>1256</v>
      </c>
      <c r="D1257">
        <f>VLOOKUP(PREVIOS!C1257,ALUMNOS!A:B,2,FALSE)</f>
        <v>320</v>
      </c>
      <c r="E1257">
        <f>VLOOKUP(PREVIOS!E1257&amp;'TABLA PREVIOS'!J1257,MATERIAS!A:H,7,FALSE)</f>
        <v>245</v>
      </c>
      <c r="F1257">
        <f>VLOOKUP(PREVIOS!G1257,CONDICION!A:B,2,FALSE)</f>
        <v>1</v>
      </c>
      <c r="G1257">
        <f>IF(PREVIOS!AG1257=1,1,VLOOKUP(PREVIOS!AG1257,CALIFICACION!A:C,3,FALSE))</f>
        <v>1</v>
      </c>
      <c r="H1257" s="1" t="s">
        <v>534</v>
      </c>
      <c r="I1257" s="1" t="s">
        <v>534</v>
      </c>
      <c r="J1257">
        <f>VLOOKUP(PREVIOS!F1257&amp;VLOOKUP(PREVIOS!I1257,PLAN!A:B,2,FALSE),CURSO!A:D,4,FALSE)</f>
        <v>19</v>
      </c>
      <c r="K1257">
        <f>VLOOKUP(PREVIOS!H1257,CICLO!A:B,2,FALSE)</f>
        <v>54</v>
      </c>
      <c r="L1257">
        <f>VLOOKUP(PREVIOS!I1257,PLAN!A:B,2,FALSE)</f>
        <v>5</v>
      </c>
    </row>
    <row r="1258" spans="1:12" x14ac:dyDescent="0.25">
      <c r="A1258" t="str">
        <f t="shared" si="19"/>
        <v>A320M259C1</v>
      </c>
      <c r="C1258">
        <v>1257</v>
      </c>
      <c r="D1258">
        <f>VLOOKUP(PREVIOS!C1258,ALUMNOS!A:B,2,FALSE)</f>
        <v>320</v>
      </c>
      <c r="E1258">
        <f>VLOOKUP(PREVIOS!E1258&amp;'TABLA PREVIOS'!J1258,MATERIAS!A:H,7,FALSE)</f>
        <v>259</v>
      </c>
      <c r="F1258">
        <f>VLOOKUP(PREVIOS!G1258,CONDICION!A:B,2,FALSE)</f>
        <v>1</v>
      </c>
      <c r="G1258">
        <f>IF(PREVIOS!AG1258=1,1,VLOOKUP(PREVIOS!AG1258,CALIFICACION!A:C,3,FALSE))</f>
        <v>1</v>
      </c>
      <c r="H1258" s="1" t="s">
        <v>534</v>
      </c>
      <c r="I1258" s="1" t="s">
        <v>534</v>
      </c>
      <c r="J1258">
        <f>VLOOKUP(PREVIOS!F1258&amp;VLOOKUP(PREVIOS!I1258,PLAN!A:B,2,FALSE),CURSO!A:D,4,FALSE)</f>
        <v>20</v>
      </c>
      <c r="K1258">
        <f>VLOOKUP(PREVIOS!H1258,CICLO!A:B,2,FALSE)</f>
        <v>55</v>
      </c>
      <c r="L1258">
        <f>VLOOKUP(PREVIOS!I1258,PLAN!A:B,2,FALSE)</f>
        <v>6</v>
      </c>
    </row>
    <row r="1259" spans="1:12" x14ac:dyDescent="0.25">
      <c r="A1259" t="str">
        <f t="shared" si="19"/>
        <v>A321M219C1</v>
      </c>
      <c r="C1259">
        <v>1258</v>
      </c>
      <c r="D1259">
        <f>VLOOKUP(PREVIOS!C1259,ALUMNOS!A:B,2,FALSE)</f>
        <v>321</v>
      </c>
      <c r="E1259">
        <f>VLOOKUP(PREVIOS!E1259&amp;'TABLA PREVIOS'!J1259,MATERIAS!A:H,7,FALSE)</f>
        <v>219</v>
      </c>
      <c r="F1259">
        <f>VLOOKUP(PREVIOS!G1259,CONDICION!A:B,2,FALSE)</f>
        <v>1</v>
      </c>
      <c r="G1259">
        <f>IF(PREVIOS!AG1259=1,1,VLOOKUP(PREVIOS!AG1259,CALIFICACION!A:C,3,FALSE))</f>
        <v>1</v>
      </c>
      <c r="H1259" s="1" t="s">
        <v>534</v>
      </c>
      <c r="I1259" s="1" t="s">
        <v>534</v>
      </c>
      <c r="J1259">
        <f>VLOOKUP(PREVIOS!F1259&amp;VLOOKUP(PREVIOS!I1259,PLAN!A:B,2,FALSE),CURSO!A:D,4,FALSE)</f>
        <v>17</v>
      </c>
      <c r="K1259">
        <f>VLOOKUP(PREVIOS!H1259,CICLO!A:B,2,FALSE)</f>
        <v>52</v>
      </c>
      <c r="L1259">
        <f>VLOOKUP(PREVIOS!I1259,PLAN!A:B,2,FALSE)</f>
        <v>5</v>
      </c>
    </row>
    <row r="1260" spans="1:12" x14ac:dyDescent="0.25">
      <c r="A1260" t="str">
        <f t="shared" si="19"/>
        <v>A321M233C1</v>
      </c>
      <c r="C1260">
        <v>1259</v>
      </c>
      <c r="D1260">
        <f>VLOOKUP(PREVIOS!C1260,ALUMNOS!A:B,2,FALSE)</f>
        <v>321</v>
      </c>
      <c r="E1260">
        <f>VLOOKUP(PREVIOS!E1260&amp;'TABLA PREVIOS'!J1260,MATERIAS!A:H,7,FALSE)</f>
        <v>233</v>
      </c>
      <c r="F1260">
        <f>VLOOKUP(PREVIOS!G1260,CONDICION!A:B,2,FALSE)</f>
        <v>1</v>
      </c>
      <c r="G1260">
        <f>IF(PREVIOS!AG1260=1,1,VLOOKUP(PREVIOS!AG1260,CALIFICACION!A:C,3,FALSE))</f>
        <v>1</v>
      </c>
      <c r="H1260" s="1" t="s">
        <v>534</v>
      </c>
      <c r="I1260" s="1" t="s">
        <v>534</v>
      </c>
      <c r="J1260">
        <f>VLOOKUP(PREVIOS!F1260&amp;VLOOKUP(PREVIOS!I1260,PLAN!A:B,2,FALSE),CURSO!A:D,4,FALSE)</f>
        <v>18</v>
      </c>
      <c r="K1260">
        <f>VLOOKUP(PREVIOS!H1260,CICLO!A:B,2,FALSE)</f>
        <v>53</v>
      </c>
      <c r="L1260">
        <f>VLOOKUP(PREVIOS!I1260,PLAN!A:B,2,FALSE)</f>
        <v>5</v>
      </c>
    </row>
    <row r="1261" spans="1:12" x14ac:dyDescent="0.25">
      <c r="A1261" t="str">
        <f t="shared" si="19"/>
        <v>A321M234C1</v>
      </c>
      <c r="C1261">
        <v>1260</v>
      </c>
      <c r="D1261">
        <f>VLOOKUP(PREVIOS!C1261,ALUMNOS!A:B,2,FALSE)</f>
        <v>321</v>
      </c>
      <c r="E1261">
        <f>VLOOKUP(PREVIOS!E1261&amp;'TABLA PREVIOS'!J1261,MATERIAS!A:H,7,FALSE)</f>
        <v>234</v>
      </c>
      <c r="F1261">
        <f>VLOOKUP(PREVIOS!G1261,CONDICION!A:B,2,FALSE)</f>
        <v>1</v>
      </c>
      <c r="G1261">
        <f>IF(PREVIOS!AG1261=1,1,VLOOKUP(PREVIOS!AG1261,CALIFICACION!A:C,3,FALSE))</f>
        <v>1</v>
      </c>
      <c r="H1261" s="1" t="s">
        <v>534</v>
      </c>
      <c r="I1261" s="1" t="s">
        <v>534</v>
      </c>
      <c r="J1261">
        <f>VLOOKUP(PREVIOS!F1261&amp;VLOOKUP(PREVIOS!I1261,PLAN!A:B,2,FALSE),CURSO!A:D,4,FALSE)</f>
        <v>18</v>
      </c>
      <c r="K1261">
        <f>VLOOKUP(PREVIOS!H1261,CICLO!A:B,2,FALSE)</f>
        <v>53</v>
      </c>
      <c r="L1261">
        <f>VLOOKUP(PREVIOS!I1261,PLAN!A:B,2,FALSE)</f>
        <v>5</v>
      </c>
    </row>
    <row r="1262" spans="1:12" x14ac:dyDescent="0.25">
      <c r="A1262" t="str">
        <f t="shared" si="19"/>
        <v>A330M242C1</v>
      </c>
      <c r="C1262">
        <v>1261</v>
      </c>
      <c r="D1262">
        <f>VLOOKUP(PREVIOS!C1262,ALUMNOS!A:B,2,FALSE)</f>
        <v>330</v>
      </c>
      <c r="E1262">
        <f>VLOOKUP(PREVIOS!E1262&amp;'TABLA PREVIOS'!J1262,MATERIAS!A:H,7,FALSE)</f>
        <v>242</v>
      </c>
      <c r="F1262">
        <f>VLOOKUP(PREVIOS!G1262,CONDICION!A:B,2,FALSE)</f>
        <v>1</v>
      </c>
      <c r="G1262">
        <f>IF(PREVIOS!AG1262=1,1,VLOOKUP(PREVIOS!AG1262,CALIFICACION!A:C,3,FALSE))</f>
        <v>1</v>
      </c>
      <c r="H1262" s="1" t="s">
        <v>534</v>
      </c>
      <c r="I1262" s="1" t="s">
        <v>534</v>
      </c>
      <c r="J1262">
        <f>VLOOKUP(PREVIOS!F1262&amp;VLOOKUP(PREVIOS!I1262,PLAN!A:B,2,FALSE),CURSO!A:D,4,FALSE)</f>
        <v>19</v>
      </c>
      <c r="K1262">
        <f>VLOOKUP(PREVIOS!H1262,CICLO!A:B,2,FALSE)</f>
        <v>55</v>
      </c>
      <c r="L1262">
        <f>VLOOKUP(PREVIOS!I1262,PLAN!A:B,2,FALSE)</f>
        <v>5</v>
      </c>
    </row>
    <row r="1263" spans="1:12" x14ac:dyDescent="0.25">
      <c r="A1263" t="str">
        <f t="shared" si="19"/>
        <v>A330M260C2</v>
      </c>
      <c r="C1263">
        <v>1262</v>
      </c>
      <c r="D1263">
        <f>VLOOKUP(PREVIOS!C1263,ALUMNOS!A:B,2,FALSE)</f>
        <v>330</v>
      </c>
      <c r="E1263">
        <f>VLOOKUP(PREVIOS!E1263&amp;'TABLA PREVIOS'!J1263,MATERIAS!A:H,7,FALSE)</f>
        <v>260</v>
      </c>
      <c r="F1263">
        <f>VLOOKUP(PREVIOS!G1263,CONDICION!A:B,2,FALSE)</f>
        <v>2</v>
      </c>
      <c r="G1263">
        <f>IF(PREVIOS!AG1263=1,1,VLOOKUP(PREVIOS!AG1263,CALIFICACION!A:C,3,FALSE))</f>
        <v>1</v>
      </c>
      <c r="H1263" s="1" t="s">
        <v>534</v>
      </c>
      <c r="I1263" s="1" t="s">
        <v>534</v>
      </c>
      <c r="J1263">
        <f>VLOOKUP(PREVIOS!F1263&amp;VLOOKUP(PREVIOS!I1263,PLAN!A:B,2,FALSE),CURSO!A:D,4,FALSE)</f>
        <v>20</v>
      </c>
      <c r="K1263">
        <f>VLOOKUP(PREVIOS!H1263,CICLO!A:B,2,FALSE)</f>
        <v>56</v>
      </c>
      <c r="L1263">
        <f>VLOOKUP(PREVIOS!I1263,PLAN!A:B,2,FALSE)</f>
        <v>6</v>
      </c>
    </row>
    <row r="1264" spans="1:12" x14ac:dyDescent="0.25">
      <c r="A1264" t="str">
        <f t="shared" si="19"/>
        <v>A330M252C1</v>
      </c>
      <c r="C1264">
        <v>1263</v>
      </c>
      <c r="D1264">
        <f>VLOOKUP(PREVIOS!C1264,ALUMNOS!A:B,2,FALSE)</f>
        <v>330</v>
      </c>
      <c r="E1264">
        <f>VLOOKUP(PREVIOS!E1264&amp;'TABLA PREVIOS'!J1264,MATERIAS!A:H,7,FALSE)</f>
        <v>252</v>
      </c>
      <c r="F1264">
        <f>VLOOKUP(PREVIOS!G1264,CONDICION!A:B,2,FALSE)</f>
        <v>1</v>
      </c>
      <c r="G1264">
        <f>IF(PREVIOS!AG1264=1,1,VLOOKUP(PREVIOS!AG1264,CALIFICACION!A:C,3,FALSE))</f>
        <v>1</v>
      </c>
      <c r="H1264" s="1" t="s">
        <v>534</v>
      </c>
      <c r="I1264" s="1" t="s">
        <v>534</v>
      </c>
      <c r="J1264">
        <f>VLOOKUP(PREVIOS!F1264&amp;VLOOKUP(PREVIOS!I1264,PLAN!A:B,2,FALSE),CURSO!A:D,4,FALSE)</f>
        <v>20</v>
      </c>
      <c r="K1264">
        <f>VLOOKUP(PREVIOS!H1264,CICLO!A:B,2,FALSE)</f>
        <v>55</v>
      </c>
      <c r="L1264">
        <f>VLOOKUP(PREVIOS!I1264,PLAN!A:B,2,FALSE)</f>
        <v>6</v>
      </c>
    </row>
    <row r="1265" spans="1:12" x14ac:dyDescent="0.25">
      <c r="A1265" t="str">
        <f t="shared" si="19"/>
        <v>A330M259C2</v>
      </c>
      <c r="C1265">
        <v>1264</v>
      </c>
      <c r="D1265">
        <f>VLOOKUP(PREVIOS!C1265,ALUMNOS!A:B,2,FALSE)</f>
        <v>330</v>
      </c>
      <c r="E1265">
        <f>VLOOKUP(PREVIOS!E1265&amp;'TABLA PREVIOS'!J1265,MATERIAS!A:H,7,FALSE)</f>
        <v>259</v>
      </c>
      <c r="F1265">
        <f>VLOOKUP(PREVIOS!G1265,CONDICION!A:B,2,FALSE)</f>
        <v>2</v>
      </c>
      <c r="G1265">
        <f>IF(PREVIOS!AG1265=1,1,VLOOKUP(PREVIOS!AG1265,CALIFICACION!A:C,3,FALSE))</f>
        <v>1</v>
      </c>
      <c r="H1265" s="1" t="s">
        <v>534</v>
      </c>
      <c r="I1265" s="1" t="s">
        <v>534</v>
      </c>
      <c r="J1265">
        <f>VLOOKUP(PREVIOS!F1265&amp;VLOOKUP(PREVIOS!I1265,PLAN!A:B,2,FALSE),CURSO!A:D,4,FALSE)</f>
        <v>20</v>
      </c>
      <c r="K1265">
        <f>VLOOKUP(PREVIOS!H1265,CICLO!A:B,2,FALSE)</f>
        <v>56</v>
      </c>
      <c r="L1265">
        <f>VLOOKUP(PREVIOS!I1265,PLAN!A:B,2,FALSE)</f>
        <v>6</v>
      </c>
    </row>
    <row r="1266" spans="1:12" x14ac:dyDescent="0.25">
      <c r="A1266" t="str">
        <f t="shared" si="19"/>
        <v>A336M224C1</v>
      </c>
      <c r="C1266">
        <v>1265</v>
      </c>
      <c r="D1266">
        <f>VLOOKUP(PREVIOS!C1266,ALUMNOS!A:B,2,FALSE)</f>
        <v>336</v>
      </c>
      <c r="E1266">
        <f>VLOOKUP(PREVIOS!E1266&amp;'TABLA PREVIOS'!J1266,MATERIAS!A:H,7,FALSE)</f>
        <v>224</v>
      </c>
      <c r="F1266">
        <f>VLOOKUP(PREVIOS!G1266,CONDICION!A:B,2,FALSE)</f>
        <v>1</v>
      </c>
      <c r="G1266">
        <f>IF(PREVIOS!AG1266=1,1,VLOOKUP(PREVIOS!AG1266,CALIFICACION!A:C,3,FALSE))</f>
        <v>1</v>
      </c>
      <c r="H1266" s="1" t="s">
        <v>534</v>
      </c>
      <c r="I1266" s="1" t="s">
        <v>534</v>
      </c>
      <c r="J1266">
        <f>VLOOKUP(PREVIOS!F1266&amp;VLOOKUP(PREVIOS!I1266,PLAN!A:B,2,FALSE),CURSO!A:D,4,FALSE)</f>
        <v>17</v>
      </c>
      <c r="K1266">
        <f>VLOOKUP(PREVIOS!H1266,CICLO!A:B,2,FALSE)</f>
        <v>54</v>
      </c>
      <c r="L1266">
        <f>VLOOKUP(PREVIOS!I1266,PLAN!A:B,2,FALSE)</f>
        <v>5</v>
      </c>
    </row>
    <row r="1267" spans="1:12" x14ac:dyDescent="0.25">
      <c r="A1267" t="str">
        <f t="shared" si="19"/>
        <v>A336M220C1</v>
      </c>
      <c r="C1267">
        <v>1266</v>
      </c>
      <c r="D1267">
        <f>VLOOKUP(PREVIOS!C1267,ALUMNOS!A:B,2,FALSE)</f>
        <v>336</v>
      </c>
      <c r="E1267">
        <f>VLOOKUP(PREVIOS!E1267&amp;'TABLA PREVIOS'!J1267,MATERIAS!A:H,7,FALSE)</f>
        <v>220</v>
      </c>
      <c r="F1267">
        <f>VLOOKUP(PREVIOS!G1267,CONDICION!A:B,2,FALSE)</f>
        <v>1</v>
      </c>
      <c r="G1267">
        <f>IF(PREVIOS!AG1267=1,1,VLOOKUP(PREVIOS!AG1267,CALIFICACION!A:C,3,FALSE))</f>
        <v>1</v>
      </c>
      <c r="H1267" s="1" t="s">
        <v>534</v>
      </c>
      <c r="I1267" s="1" t="s">
        <v>534</v>
      </c>
      <c r="J1267">
        <f>VLOOKUP(PREVIOS!F1267&amp;VLOOKUP(PREVIOS!I1267,PLAN!A:B,2,FALSE),CURSO!A:D,4,FALSE)</f>
        <v>17</v>
      </c>
      <c r="K1267">
        <f>VLOOKUP(PREVIOS!H1267,CICLO!A:B,2,FALSE)</f>
        <v>54</v>
      </c>
      <c r="L1267">
        <f>VLOOKUP(PREVIOS!I1267,PLAN!A:B,2,FALSE)</f>
        <v>5</v>
      </c>
    </row>
    <row r="1268" spans="1:12" x14ac:dyDescent="0.25">
      <c r="A1268" t="str">
        <f t="shared" si="19"/>
        <v>A337M233C1</v>
      </c>
      <c r="C1268">
        <v>1267</v>
      </c>
      <c r="D1268">
        <f>VLOOKUP(PREVIOS!C1268,ALUMNOS!A:B,2,FALSE)</f>
        <v>337</v>
      </c>
      <c r="E1268">
        <f>VLOOKUP(PREVIOS!E1268&amp;'TABLA PREVIOS'!J1268,MATERIAS!A:H,7,FALSE)</f>
        <v>233</v>
      </c>
      <c r="F1268">
        <f>VLOOKUP(PREVIOS!G1268,CONDICION!A:B,2,FALSE)</f>
        <v>1</v>
      </c>
      <c r="G1268">
        <f>IF(PREVIOS!AG1268=1,1,VLOOKUP(PREVIOS!AG1268,CALIFICACION!A:C,3,FALSE))</f>
        <v>1</v>
      </c>
      <c r="H1268" s="1" t="s">
        <v>534</v>
      </c>
      <c r="I1268" s="1" t="s">
        <v>534</v>
      </c>
      <c r="J1268">
        <f>VLOOKUP(PREVIOS!F1268&amp;VLOOKUP(PREVIOS!I1268,PLAN!A:B,2,FALSE),CURSO!A:D,4,FALSE)</f>
        <v>18</v>
      </c>
      <c r="K1268">
        <f>VLOOKUP(PREVIOS!H1268,CICLO!A:B,2,FALSE)</f>
        <v>53</v>
      </c>
      <c r="L1268">
        <f>VLOOKUP(PREVIOS!I1268,PLAN!A:B,2,FALSE)</f>
        <v>5</v>
      </c>
    </row>
    <row r="1269" spans="1:12" x14ac:dyDescent="0.25">
      <c r="A1269" t="str">
        <f t="shared" si="19"/>
        <v>A337M230C1</v>
      </c>
      <c r="C1269">
        <v>1268</v>
      </c>
      <c r="D1269">
        <f>VLOOKUP(PREVIOS!C1269,ALUMNOS!A:B,2,FALSE)</f>
        <v>337</v>
      </c>
      <c r="E1269">
        <f>VLOOKUP(PREVIOS!E1269&amp;'TABLA PREVIOS'!J1269,MATERIAS!A:H,7,FALSE)</f>
        <v>230</v>
      </c>
      <c r="F1269">
        <f>VLOOKUP(PREVIOS!G1269,CONDICION!A:B,2,FALSE)</f>
        <v>1</v>
      </c>
      <c r="G1269">
        <f>IF(PREVIOS!AG1269=1,1,VLOOKUP(PREVIOS!AG1269,CALIFICACION!A:C,3,FALSE))</f>
        <v>1</v>
      </c>
      <c r="H1269" s="1" t="s">
        <v>534</v>
      </c>
      <c r="I1269" s="1" t="s">
        <v>534</v>
      </c>
      <c r="J1269">
        <f>VLOOKUP(PREVIOS!F1269&amp;VLOOKUP(PREVIOS!I1269,PLAN!A:B,2,FALSE),CURSO!A:D,4,FALSE)</f>
        <v>18</v>
      </c>
      <c r="K1269">
        <f>VLOOKUP(PREVIOS!H1269,CICLO!A:B,2,FALSE)</f>
        <v>53</v>
      </c>
      <c r="L1269">
        <f>VLOOKUP(PREVIOS!I1269,PLAN!A:B,2,FALSE)</f>
        <v>5</v>
      </c>
    </row>
    <row r="1270" spans="1:12" x14ac:dyDescent="0.25">
      <c r="A1270" t="str">
        <f t="shared" si="19"/>
        <v>A360M240C1</v>
      </c>
      <c r="C1270">
        <v>1269</v>
      </c>
      <c r="D1270">
        <f>VLOOKUP(PREVIOS!C1270,ALUMNOS!A:B,2,FALSE)</f>
        <v>360</v>
      </c>
      <c r="E1270">
        <f>VLOOKUP(PREVIOS!E1270&amp;'TABLA PREVIOS'!J1270,MATERIAS!A:H,7,FALSE)</f>
        <v>240</v>
      </c>
      <c r="F1270">
        <f>VLOOKUP(PREVIOS!G1270,CONDICION!A:B,2,FALSE)</f>
        <v>1</v>
      </c>
      <c r="G1270">
        <f>IF(PREVIOS!AG1270=1,1,VLOOKUP(PREVIOS!AG1270,CALIFICACION!A:C,3,FALSE))</f>
        <v>1</v>
      </c>
      <c r="H1270" s="1" t="s">
        <v>534</v>
      </c>
      <c r="I1270" s="1" t="s">
        <v>534</v>
      </c>
      <c r="J1270">
        <f>VLOOKUP(PREVIOS!F1270&amp;VLOOKUP(PREVIOS!I1270,PLAN!A:B,2,FALSE),CURSO!A:D,4,FALSE)</f>
        <v>19</v>
      </c>
      <c r="K1270">
        <f>VLOOKUP(PREVIOS!H1270,CICLO!A:B,2,FALSE)</f>
        <v>52</v>
      </c>
      <c r="L1270">
        <f>VLOOKUP(PREVIOS!I1270,PLAN!A:B,2,FALSE)</f>
        <v>5</v>
      </c>
    </row>
    <row r="1271" spans="1:12" x14ac:dyDescent="0.25">
      <c r="A1271" t="str">
        <f t="shared" si="19"/>
        <v>A360M256C1</v>
      </c>
      <c r="C1271">
        <v>1270</v>
      </c>
      <c r="D1271">
        <f>VLOOKUP(PREVIOS!C1271,ALUMNOS!A:B,2,FALSE)</f>
        <v>360</v>
      </c>
      <c r="E1271">
        <f>VLOOKUP(PREVIOS!E1271&amp;'TABLA PREVIOS'!J1271,MATERIAS!A:H,7,FALSE)</f>
        <v>256</v>
      </c>
      <c r="F1271">
        <f>VLOOKUP(PREVIOS!G1271,CONDICION!A:B,2,FALSE)</f>
        <v>1</v>
      </c>
      <c r="G1271">
        <f>IF(PREVIOS!AG1271=1,1,VLOOKUP(PREVIOS!AG1271,CALIFICACION!A:C,3,FALSE))</f>
        <v>1</v>
      </c>
      <c r="H1271" s="1" t="s">
        <v>534</v>
      </c>
      <c r="I1271" s="1" t="s">
        <v>534</v>
      </c>
      <c r="J1271">
        <f>VLOOKUP(PREVIOS!F1271&amp;VLOOKUP(PREVIOS!I1271,PLAN!A:B,2,FALSE),CURSO!A:D,4,FALSE)</f>
        <v>20</v>
      </c>
      <c r="K1271">
        <f>VLOOKUP(PREVIOS!H1271,CICLO!A:B,2,FALSE)</f>
        <v>53</v>
      </c>
      <c r="L1271">
        <f>VLOOKUP(PREVIOS!I1271,PLAN!A:B,2,FALSE)</f>
        <v>6</v>
      </c>
    </row>
    <row r="1272" spans="1:12" x14ac:dyDescent="0.25">
      <c r="A1272" t="str">
        <f t="shared" si="19"/>
        <v>A360M252C1</v>
      </c>
      <c r="C1272">
        <v>1271</v>
      </c>
      <c r="D1272">
        <f>VLOOKUP(PREVIOS!C1272,ALUMNOS!A:B,2,FALSE)</f>
        <v>360</v>
      </c>
      <c r="E1272">
        <f>VLOOKUP(PREVIOS!E1272&amp;'TABLA PREVIOS'!J1272,MATERIAS!A:H,7,FALSE)</f>
        <v>252</v>
      </c>
      <c r="F1272">
        <f>VLOOKUP(PREVIOS!G1272,CONDICION!A:B,2,FALSE)</f>
        <v>1</v>
      </c>
      <c r="G1272">
        <f>IF(PREVIOS!AG1272=1,1,VLOOKUP(PREVIOS!AG1272,CALIFICACION!A:C,3,FALSE))</f>
        <v>1</v>
      </c>
      <c r="H1272" s="1" t="s">
        <v>534</v>
      </c>
      <c r="I1272" s="1" t="s">
        <v>534</v>
      </c>
      <c r="J1272">
        <f>VLOOKUP(PREVIOS!F1272&amp;VLOOKUP(PREVIOS!I1272,PLAN!A:B,2,FALSE),CURSO!A:D,4,FALSE)</f>
        <v>20</v>
      </c>
      <c r="K1272">
        <f>VLOOKUP(PREVIOS!H1272,CICLO!A:B,2,FALSE)</f>
        <v>53</v>
      </c>
      <c r="L1272">
        <f>VLOOKUP(PREVIOS!I1272,PLAN!A:B,2,FALSE)</f>
        <v>6</v>
      </c>
    </row>
    <row r="1273" spans="1:12" x14ac:dyDescent="0.25">
      <c r="A1273" t="str">
        <f t="shared" si="19"/>
        <v>A363M245C1</v>
      </c>
      <c r="C1273">
        <v>1272</v>
      </c>
      <c r="D1273">
        <f>VLOOKUP(PREVIOS!C1273,ALUMNOS!A:B,2,FALSE)</f>
        <v>363</v>
      </c>
      <c r="E1273">
        <f>VLOOKUP(PREVIOS!E1273&amp;'TABLA PREVIOS'!J1273,MATERIAS!A:H,7,FALSE)</f>
        <v>245</v>
      </c>
      <c r="F1273">
        <f>VLOOKUP(PREVIOS!G1273,CONDICION!A:B,2,FALSE)</f>
        <v>1</v>
      </c>
      <c r="G1273">
        <f>IF(PREVIOS!AG1273=1,1,VLOOKUP(PREVIOS!AG1273,CALIFICACION!A:C,3,FALSE))</f>
        <v>1</v>
      </c>
      <c r="H1273" s="1" t="s">
        <v>534</v>
      </c>
      <c r="I1273" s="1" t="s">
        <v>534</v>
      </c>
      <c r="J1273">
        <f>VLOOKUP(PREVIOS!F1273&amp;VLOOKUP(PREVIOS!I1273,PLAN!A:B,2,FALSE),CURSO!A:D,4,FALSE)</f>
        <v>19</v>
      </c>
      <c r="K1273">
        <f>VLOOKUP(PREVIOS!H1273,CICLO!A:B,2,FALSE)</f>
        <v>53</v>
      </c>
      <c r="L1273">
        <f>VLOOKUP(PREVIOS!I1273,PLAN!A:B,2,FALSE)</f>
        <v>5</v>
      </c>
    </row>
    <row r="1274" spans="1:12" x14ac:dyDescent="0.25">
      <c r="A1274" t="str">
        <f t="shared" si="19"/>
        <v>A363M240C1</v>
      </c>
      <c r="C1274">
        <v>1273</v>
      </c>
      <c r="D1274">
        <f>VLOOKUP(PREVIOS!C1274,ALUMNOS!A:B,2,FALSE)</f>
        <v>363</v>
      </c>
      <c r="E1274">
        <f>VLOOKUP(PREVIOS!E1274&amp;'TABLA PREVIOS'!J1274,MATERIAS!A:H,7,FALSE)</f>
        <v>240</v>
      </c>
      <c r="F1274">
        <f>VLOOKUP(PREVIOS!G1274,CONDICION!A:B,2,FALSE)</f>
        <v>1</v>
      </c>
      <c r="G1274">
        <f>IF(PREVIOS!AG1274=1,1,VLOOKUP(PREVIOS!AG1274,CALIFICACION!A:C,3,FALSE))</f>
        <v>1</v>
      </c>
      <c r="H1274" s="1" t="s">
        <v>534</v>
      </c>
      <c r="I1274" s="1" t="s">
        <v>534</v>
      </c>
      <c r="J1274">
        <f>VLOOKUP(PREVIOS!F1274&amp;VLOOKUP(PREVIOS!I1274,PLAN!A:B,2,FALSE),CURSO!A:D,4,FALSE)</f>
        <v>19</v>
      </c>
      <c r="K1274">
        <f>VLOOKUP(PREVIOS!H1274,CICLO!A:B,2,FALSE)</f>
        <v>53</v>
      </c>
      <c r="L1274">
        <f>VLOOKUP(PREVIOS!I1274,PLAN!A:B,2,FALSE)</f>
        <v>5</v>
      </c>
    </row>
    <row r="1275" spans="1:12" x14ac:dyDescent="0.25">
      <c r="A1275" t="str">
        <f t="shared" si="19"/>
        <v>A373M251C1</v>
      </c>
      <c r="C1275">
        <v>1274</v>
      </c>
      <c r="D1275">
        <f>VLOOKUP(PREVIOS!C1275,ALUMNOS!A:B,2,FALSE)</f>
        <v>373</v>
      </c>
      <c r="E1275">
        <f>VLOOKUP(PREVIOS!E1275&amp;'TABLA PREVIOS'!J1275,MATERIAS!A:H,7,FALSE)</f>
        <v>251</v>
      </c>
      <c r="F1275">
        <f>VLOOKUP(PREVIOS!G1275,CONDICION!A:B,2,FALSE)</f>
        <v>1</v>
      </c>
      <c r="G1275">
        <f>IF(PREVIOS!AG1275=1,1,VLOOKUP(PREVIOS!AG1275,CALIFICACION!A:C,3,FALSE))</f>
        <v>1</v>
      </c>
      <c r="H1275" s="1" t="s">
        <v>534</v>
      </c>
      <c r="I1275" s="1" t="s">
        <v>534</v>
      </c>
      <c r="J1275">
        <f>VLOOKUP(PREVIOS!F1275&amp;VLOOKUP(PREVIOS!I1275,PLAN!A:B,2,FALSE),CURSO!A:D,4,FALSE)</f>
        <v>20</v>
      </c>
      <c r="K1275">
        <f>VLOOKUP(PREVIOS!H1275,CICLO!A:B,2,FALSE)</f>
        <v>54</v>
      </c>
      <c r="L1275">
        <f>VLOOKUP(PREVIOS!I1275,PLAN!A:B,2,FALSE)</f>
        <v>6</v>
      </c>
    </row>
    <row r="1276" spans="1:12" x14ac:dyDescent="0.25">
      <c r="A1276" t="str">
        <f t="shared" si="19"/>
        <v>A380M223C1</v>
      </c>
      <c r="C1276">
        <v>1275</v>
      </c>
      <c r="D1276">
        <f>VLOOKUP(PREVIOS!C1276,ALUMNOS!A:B,2,FALSE)</f>
        <v>380</v>
      </c>
      <c r="E1276">
        <f>VLOOKUP(PREVIOS!E1276&amp;'TABLA PREVIOS'!J1276,MATERIAS!A:H,7,FALSE)</f>
        <v>223</v>
      </c>
      <c r="F1276">
        <f>VLOOKUP(PREVIOS!G1276,CONDICION!A:B,2,FALSE)</f>
        <v>1</v>
      </c>
      <c r="G1276">
        <f>IF(PREVIOS!AG1276=1,1,VLOOKUP(PREVIOS!AG1276,CALIFICACION!A:C,3,FALSE))</f>
        <v>1</v>
      </c>
      <c r="H1276" s="1" t="s">
        <v>534</v>
      </c>
      <c r="I1276" s="1" t="s">
        <v>534</v>
      </c>
      <c r="J1276">
        <f>VLOOKUP(PREVIOS!F1276&amp;VLOOKUP(PREVIOS!I1276,PLAN!A:B,2,FALSE),CURSO!A:D,4,FALSE)</f>
        <v>17</v>
      </c>
      <c r="K1276">
        <f>VLOOKUP(PREVIOS!H1276,CICLO!A:B,2,FALSE)</f>
        <v>55</v>
      </c>
      <c r="L1276">
        <f>VLOOKUP(PREVIOS!I1276,PLAN!A:B,2,FALSE)</f>
        <v>5</v>
      </c>
    </row>
    <row r="1277" spans="1:12" x14ac:dyDescent="0.25">
      <c r="A1277" t="str">
        <f t="shared" si="19"/>
        <v>A389M228C1</v>
      </c>
      <c r="C1277">
        <v>1276</v>
      </c>
      <c r="D1277">
        <f>VLOOKUP(PREVIOS!C1277,ALUMNOS!A:B,2,FALSE)</f>
        <v>389</v>
      </c>
      <c r="E1277">
        <f>VLOOKUP(PREVIOS!E1277&amp;'TABLA PREVIOS'!J1277,MATERIAS!A:H,7,FALSE)</f>
        <v>228</v>
      </c>
      <c r="F1277">
        <f>VLOOKUP(PREVIOS!G1277,CONDICION!A:B,2,FALSE)</f>
        <v>1</v>
      </c>
      <c r="G1277">
        <f>IF(PREVIOS!AG1277=1,1,VLOOKUP(PREVIOS!AG1277,CALIFICACION!A:C,3,FALSE))</f>
        <v>1</v>
      </c>
      <c r="H1277" s="1" t="s">
        <v>534</v>
      </c>
      <c r="I1277" s="1" t="s">
        <v>534</v>
      </c>
      <c r="J1277">
        <f>VLOOKUP(PREVIOS!F1277&amp;VLOOKUP(PREVIOS!I1277,PLAN!A:B,2,FALSE),CURSO!A:D,4,FALSE)</f>
        <v>18</v>
      </c>
      <c r="K1277">
        <f>VLOOKUP(PREVIOS!H1277,CICLO!A:B,2,FALSE)</f>
        <v>53</v>
      </c>
      <c r="L1277">
        <f>VLOOKUP(PREVIOS!I1277,PLAN!A:B,2,FALSE)</f>
        <v>5</v>
      </c>
    </row>
    <row r="1278" spans="1:12" x14ac:dyDescent="0.25">
      <c r="A1278" t="str">
        <f t="shared" si="19"/>
        <v>A389M230C1</v>
      </c>
      <c r="C1278">
        <v>1277</v>
      </c>
      <c r="D1278">
        <f>VLOOKUP(PREVIOS!C1278,ALUMNOS!A:B,2,FALSE)</f>
        <v>389</v>
      </c>
      <c r="E1278">
        <f>VLOOKUP(PREVIOS!E1278&amp;'TABLA PREVIOS'!J1278,MATERIAS!A:H,7,FALSE)</f>
        <v>230</v>
      </c>
      <c r="F1278">
        <f>VLOOKUP(PREVIOS!G1278,CONDICION!A:B,2,FALSE)</f>
        <v>1</v>
      </c>
      <c r="G1278">
        <f>IF(PREVIOS!AG1278=1,1,VLOOKUP(PREVIOS!AG1278,CALIFICACION!A:C,3,FALSE))</f>
        <v>1</v>
      </c>
      <c r="H1278" s="1" t="s">
        <v>534</v>
      </c>
      <c r="I1278" s="1" t="s">
        <v>534</v>
      </c>
      <c r="J1278">
        <f>VLOOKUP(PREVIOS!F1278&amp;VLOOKUP(PREVIOS!I1278,PLAN!A:B,2,FALSE),CURSO!A:D,4,FALSE)</f>
        <v>18</v>
      </c>
      <c r="K1278">
        <f>VLOOKUP(PREVIOS!H1278,CICLO!A:B,2,FALSE)</f>
        <v>53</v>
      </c>
      <c r="L1278">
        <f>VLOOKUP(PREVIOS!I1278,PLAN!A:B,2,FALSE)</f>
        <v>5</v>
      </c>
    </row>
    <row r="1279" spans="1:12" x14ac:dyDescent="0.25">
      <c r="A1279" t="str">
        <f t="shared" si="19"/>
        <v>A397M244C1</v>
      </c>
      <c r="C1279">
        <v>1278</v>
      </c>
      <c r="D1279">
        <f>VLOOKUP(PREVIOS!C1279,ALUMNOS!A:B,2,FALSE)</f>
        <v>397</v>
      </c>
      <c r="E1279">
        <f>VLOOKUP(PREVIOS!E1279&amp;'TABLA PREVIOS'!J1279,MATERIAS!A:H,7,FALSE)</f>
        <v>244</v>
      </c>
      <c r="F1279">
        <f>VLOOKUP(PREVIOS!G1279,CONDICION!A:B,2,FALSE)</f>
        <v>1</v>
      </c>
      <c r="G1279">
        <f>IF(PREVIOS!AG1279=1,1,VLOOKUP(PREVIOS!AG1279,CALIFICACION!A:C,3,FALSE))</f>
        <v>1</v>
      </c>
      <c r="H1279" s="1" t="s">
        <v>534</v>
      </c>
      <c r="I1279" s="1" t="s">
        <v>534</v>
      </c>
      <c r="J1279">
        <f>VLOOKUP(PREVIOS!F1279&amp;VLOOKUP(PREVIOS!I1279,PLAN!A:B,2,FALSE),CURSO!A:D,4,FALSE)</f>
        <v>19</v>
      </c>
      <c r="K1279">
        <f>VLOOKUP(PREVIOS!H1279,CICLO!A:B,2,FALSE)</f>
        <v>53</v>
      </c>
      <c r="L1279">
        <f>VLOOKUP(PREVIOS!I1279,PLAN!A:B,2,FALSE)</f>
        <v>5</v>
      </c>
    </row>
    <row r="1280" spans="1:12" x14ac:dyDescent="0.25">
      <c r="A1280" t="str">
        <f t="shared" si="19"/>
        <v>A397M245C1</v>
      </c>
      <c r="C1280">
        <v>1279</v>
      </c>
      <c r="D1280">
        <f>VLOOKUP(PREVIOS!C1280,ALUMNOS!A:B,2,FALSE)</f>
        <v>397</v>
      </c>
      <c r="E1280">
        <f>VLOOKUP(PREVIOS!E1280&amp;'TABLA PREVIOS'!J1280,MATERIAS!A:H,7,FALSE)</f>
        <v>245</v>
      </c>
      <c r="F1280">
        <f>VLOOKUP(PREVIOS!G1280,CONDICION!A:B,2,FALSE)</f>
        <v>1</v>
      </c>
      <c r="G1280">
        <f>IF(PREVIOS!AG1280=1,1,VLOOKUP(PREVIOS!AG1280,CALIFICACION!A:C,3,FALSE))</f>
        <v>1</v>
      </c>
      <c r="H1280" s="1" t="s">
        <v>534</v>
      </c>
      <c r="I1280" s="1" t="s">
        <v>534</v>
      </c>
      <c r="J1280">
        <f>VLOOKUP(PREVIOS!F1280&amp;VLOOKUP(PREVIOS!I1280,PLAN!A:B,2,FALSE),CURSO!A:D,4,FALSE)</f>
        <v>19</v>
      </c>
      <c r="K1280">
        <f>VLOOKUP(PREVIOS!H1280,CICLO!A:B,2,FALSE)</f>
        <v>53</v>
      </c>
      <c r="L1280">
        <f>VLOOKUP(PREVIOS!I1280,PLAN!A:B,2,FALSE)</f>
        <v>5</v>
      </c>
    </row>
    <row r="1281" spans="1:12" x14ac:dyDescent="0.25">
      <c r="A1281" t="str">
        <f t="shared" si="19"/>
        <v>A405M233C1</v>
      </c>
      <c r="C1281">
        <v>1280</v>
      </c>
      <c r="D1281">
        <f>VLOOKUP(PREVIOS!C1281,ALUMNOS!A:B,2,FALSE)</f>
        <v>405</v>
      </c>
      <c r="E1281">
        <f>VLOOKUP(PREVIOS!E1281&amp;'TABLA PREVIOS'!J1281,MATERIAS!A:H,7,FALSE)</f>
        <v>233</v>
      </c>
      <c r="F1281">
        <f>VLOOKUP(PREVIOS!G1281,CONDICION!A:B,2,FALSE)</f>
        <v>1</v>
      </c>
      <c r="G1281">
        <f>IF(PREVIOS!AG1281=1,1,VLOOKUP(PREVIOS!AG1281,CALIFICACION!A:C,3,FALSE))</f>
        <v>1</v>
      </c>
      <c r="H1281" s="1" t="s">
        <v>534</v>
      </c>
      <c r="I1281" s="1" t="s">
        <v>534</v>
      </c>
      <c r="J1281">
        <f>VLOOKUP(PREVIOS!F1281&amp;VLOOKUP(PREVIOS!I1281,PLAN!A:B,2,FALSE),CURSO!A:D,4,FALSE)</f>
        <v>18</v>
      </c>
      <c r="K1281">
        <f>VLOOKUP(PREVIOS!H1281,CICLO!A:B,2,FALSE)</f>
        <v>52</v>
      </c>
      <c r="L1281">
        <f>VLOOKUP(PREVIOS!I1281,PLAN!A:B,2,FALSE)</f>
        <v>5</v>
      </c>
    </row>
    <row r="1282" spans="1:12" x14ac:dyDescent="0.25">
      <c r="A1282" t="str">
        <f t="shared" si="19"/>
        <v>A413M252C1</v>
      </c>
      <c r="C1282">
        <v>1281</v>
      </c>
      <c r="D1282">
        <f>VLOOKUP(PREVIOS!C1282,ALUMNOS!A:B,2,FALSE)</f>
        <v>413</v>
      </c>
      <c r="E1282">
        <f>VLOOKUP(PREVIOS!E1282&amp;'TABLA PREVIOS'!J1282,MATERIAS!A:H,7,FALSE)</f>
        <v>252</v>
      </c>
      <c r="F1282">
        <f>VLOOKUP(PREVIOS!G1282,CONDICION!A:B,2,FALSE)</f>
        <v>1</v>
      </c>
      <c r="G1282">
        <f>IF(PREVIOS!AG1282=1,1,VLOOKUP(PREVIOS!AG1282,CALIFICACION!A:C,3,FALSE))</f>
        <v>1</v>
      </c>
      <c r="H1282" s="1" t="s">
        <v>534</v>
      </c>
      <c r="I1282" s="1" t="s">
        <v>534</v>
      </c>
      <c r="J1282">
        <f>VLOOKUP(PREVIOS!F1282&amp;VLOOKUP(PREVIOS!I1282,PLAN!A:B,2,FALSE),CURSO!A:D,4,FALSE)</f>
        <v>20</v>
      </c>
      <c r="K1282">
        <f>VLOOKUP(PREVIOS!H1282,CICLO!A:B,2,FALSE)</f>
        <v>54</v>
      </c>
      <c r="L1282">
        <f>VLOOKUP(PREVIOS!I1282,PLAN!A:B,2,FALSE)</f>
        <v>6</v>
      </c>
    </row>
    <row r="1283" spans="1:12" x14ac:dyDescent="0.25">
      <c r="A1283" t="str">
        <f t="shared" ref="A1283:A1346" si="20">"A"&amp;D1283&amp;"M"&amp;E1283&amp;"C"&amp;F1283</f>
        <v>A413M277C1</v>
      </c>
      <c r="C1283">
        <v>1282</v>
      </c>
      <c r="D1283">
        <f>VLOOKUP(PREVIOS!C1283,ALUMNOS!A:B,2,FALSE)</f>
        <v>413</v>
      </c>
      <c r="E1283">
        <f>VLOOKUP(PREVIOS!E1283&amp;'TABLA PREVIOS'!J1283,MATERIAS!A:H,7,FALSE)</f>
        <v>277</v>
      </c>
      <c r="F1283">
        <f>VLOOKUP(PREVIOS!G1283,CONDICION!A:B,2,FALSE)</f>
        <v>1</v>
      </c>
      <c r="G1283">
        <f>IF(PREVIOS!AG1283=1,1,VLOOKUP(PREVIOS!AG1283,CALIFICACION!A:C,3,FALSE))</f>
        <v>1</v>
      </c>
      <c r="H1283" s="1" t="s">
        <v>534</v>
      </c>
      <c r="I1283" s="1" t="s">
        <v>534</v>
      </c>
      <c r="J1283">
        <f>VLOOKUP(PREVIOS!F1283&amp;VLOOKUP(PREVIOS!I1283,PLAN!A:B,2,FALSE),CURSO!A:D,4,FALSE)</f>
        <v>21</v>
      </c>
      <c r="K1283">
        <f>VLOOKUP(PREVIOS!H1283,CICLO!A:B,2,FALSE)</f>
        <v>55</v>
      </c>
      <c r="L1283">
        <f>VLOOKUP(PREVIOS!I1283,PLAN!A:B,2,FALSE)</f>
        <v>6</v>
      </c>
    </row>
    <row r="1284" spans="1:12" x14ac:dyDescent="0.25">
      <c r="A1284" t="str">
        <f t="shared" si="20"/>
        <v>A413M273C1</v>
      </c>
      <c r="C1284">
        <v>1283</v>
      </c>
      <c r="D1284">
        <f>VLOOKUP(PREVIOS!C1284,ALUMNOS!A:B,2,FALSE)</f>
        <v>413</v>
      </c>
      <c r="E1284">
        <f>VLOOKUP(PREVIOS!E1284&amp;'TABLA PREVIOS'!J1284,MATERIAS!A:H,7,FALSE)</f>
        <v>273</v>
      </c>
      <c r="F1284">
        <f>VLOOKUP(PREVIOS!G1284,CONDICION!A:B,2,FALSE)</f>
        <v>1</v>
      </c>
      <c r="G1284">
        <f>IF(PREVIOS!AG1284=1,1,VLOOKUP(PREVIOS!AG1284,CALIFICACION!A:C,3,FALSE))</f>
        <v>1</v>
      </c>
      <c r="H1284" s="1" t="s">
        <v>534</v>
      </c>
      <c r="I1284" s="1" t="s">
        <v>534</v>
      </c>
      <c r="J1284">
        <f>VLOOKUP(PREVIOS!F1284&amp;VLOOKUP(PREVIOS!I1284,PLAN!A:B,2,FALSE),CURSO!A:D,4,FALSE)</f>
        <v>21</v>
      </c>
      <c r="K1284">
        <f>VLOOKUP(PREVIOS!H1284,CICLO!A:B,2,FALSE)</f>
        <v>55</v>
      </c>
      <c r="L1284">
        <f>VLOOKUP(PREVIOS!I1284,PLAN!A:B,2,FALSE)</f>
        <v>6</v>
      </c>
    </row>
    <row r="1285" spans="1:12" x14ac:dyDescent="0.25">
      <c r="A1285" t="str">
        <f t="shared" si="20"/>
        <v>A414M245C1</v>
      </c>
      <c r="C1285">
        <v>1284</v>
      </c>
      <c r="D1285">
        <f>VLOOKUP(PREVIOS!C1285,ALUMNOS!A:B,2,FALSE)</f>
        <v>414</v>
      </c>
      <c r="E1285">
        <f>VLOOKUP(PREVIOS!E1285&amp;'TABLA PREVIOS'!J1285,MATERIAS!A:H,7,FALSE)</f>
        <v>245</v>
      </c>
      <c r="F1285">
        <f>VLOOKUP(PREVIOS!G1285,CONDICION!A:B,2,FALSE)</f>
        <v>1</v>
      </c>
      <c r="G1285">
        <f>IF(PREVIOS!AG1285=1,1,VLOOKUP(PREVIOS!AG1285,CALIFICACION!A:C,3,FALSE))</f>
        <v>1</v>
      </c>
      <c r="H1285" s="1" t="s">
        <v>534</v>
      </c>
      <c r="I1285" s="1" t="s">
        <v>534</v>
      </c>
      <c r="J1285">
        <f>VLOOKUP(PREVIOS!F1285&amp;VLOOKUP(PREVIOS!I1285,PLAN!A:B,2,FALSE),CURSO!A:D,4,FALSE)</f>
        <v>19</v>
      </c>
      <c r="K1285">
        <f>VLOOKUP(PREVIOS!H1285,CICLO!A:B,2,FALSE)</f>
        <v>53</v>
      </c>
      <c r="L1285">
        <f>VLOOKUP(PREVIOS!I1285,PLAN!A:B,2,FALSE)</f>
        <v>5</v>
      </c>
    </row>
    <row r="1286" spans="1:12" x14ac:dyDescent="0.25">
      <c r="A1286" t="str">
        <f t="shared" si="20"/>
        <v>A414M239C1</v>
      </c>
      <c r="C1286">
        <v>1285</v>
      </c>
      <c r="D1286">
        <f>VLOOKUP(PREVIOS!C1286,ALUMNOS!A:B,2,FALSE)</f>
        <v>414</v>
      </c>
      <c r="E1286">
        <f>VLOOKUP(PREVIOS!E1286&amp;'TABLA PREVIOS'!J1286,MATERIAS!A:H,7,FALSE)</f>
        <v>239</v>
      </c>
      <c r="F1286">
        <f>VLOOKUP(PREVIOS!G1286,CONDICION!A:B,2,FALSE)</f>
        <v>1</v>
      </c>
      <c r="G1286">
        <f>IF(PREVIOS!AG1286=1,1,VLOOKUP(PREVIOS!AG1286,CALIFICACION!A:C,3,FALSE))</f>
        <v>1</v>
      </c>
      <c r="H1286" s="1" t="s">
        <v>534</v>
      </c>
      <c r="I1286" s="1" t="s">
        <v>534</v>
      </c>
      <c r="J1286">
        <f>VLOOKUP(PREVIOS!F1286&amp;VLOOKUP(PREVIOS!I1286,PLAN!A:B,2,FALSE),CURSO!A:D,4,FALSE)</f>
        <v>19</v>
      </c>
      <c r="K1286">
        <f>VLOOKUP(PREVIOS!H1286,CICLO!A:B,2,FALSE)</f>
        <v>53</v>
      </c>
      <c r="L1286">
        <f>VLOOKUP(PREVIOS!I1286,PLAN!A:B,2,FALSE)</f>
        <v>5</v>
      </c>
    </row>
    <row r="1287" spans="1:12" x14ac:dyDescent="0.25">
      <c r="A1287" t="str">
        <f t="shared" si="20"/>
        <v>A414M240C1</v>
      </c>
      <c r="C1287">
        <v>1286</v>
      </c>
      <c r="D1287">
        <f>VLOOKUP(PREVIOS!C1287,ALUMNOS!A:B,2,FALSE)</f>
        <v>414</v>
      </c>
      <c r="E1287">
        <f>VLOOKUP(PREVIOS!E1287&amp;'TABLA PREVIOS'!J1287,MATERIAS!A:H,7,FALSE)</f>
        <v>240</v>
      </c>
      <c r="F1287">
        <f>VLOOKUP(PREVIOS!G1287,CONDICION!A:B,2,FALSE)</f>
        <v>1</v>
      </c>
      <c r="G1287">
        <f>IF(PREVIOS!AG1287=1,1,VLOOKUP(PREVIOS!AG1287,CALIFICACION!A:C,3,FALSE))</f>
        <v>1</v>
      </c>
      <c r="H1287" s="1" t="s">
        <v>534</v>
      </c>
      <c r="I1287" s="1" t="s">
        <v>534</v>
      </c>
      <c r="J1287">
        <f>VLOOKUP(PREVIOS!F1287&amp;VLOOKUP(PREVIOS!I1287,PLAN!A:B,2,FALSE),CURSO!A:D,4,FALSE)</f>
        <v>19</v>
      </c>
      <c r="K1287">
        <f>VLOOKUP(PREVIOS!H1287,CICLO!A:B,2,FALSE)</f>
        <v>53</v>
      </c>
      <c r="L1287">
        <f>VLOOKUP(PREVIOS!I1287,PLAN!A:B,2,FALSE)</f>
        <v>5</v>
      </c>
    </row>
    <row r="1288" spans="1:12" x14ac:dyDescent="0.25">
      <c r="A1288" t="str">
        <f t="shared" si="20"/>
        <v>A432M232C1</v>
      </c>
      <c r="C1288">
        <v>1287</v>
      </c>
      <c r="D1288">
        <f>VLOOKUP(PREVIOS!C1288,ALUMNOS!A:B,2,FALSE)</f>
        <v>432</v>
      </c>
      <c r="E1288">
        <f>VLOOKUP(PREVIOS!E1288&amp;'TABLA PREVIOS'!J1288,MATERIAS!A:H,7,FALSE)</f>
        <v>232</v>
      </c>
      <c r="F1288">
        <f>VLOOKUP(PREVIOS!G1288,CONDICION!A:B,2,FALSE)</f>
        <v>1</v>
      </c>
      <c r="G1288">
        <f>IF(PREVIOS!AG1288=1,1,VLOOKUP(PREVIOS!AG1288,CALIFICACION!A:C,3,FALSE))</f>
        <v>1</v>
      </c>
      <c r="H1288" s="1" t="s">
        <v>534</v>
      </c>
      <c r="I1288" s="1" t="s">
        <v>534</v>
      </c>
      <c r="J1288">
        <f>VLOOKUP(PREVIOS!F1288&amp;VLOOKUP(PREVIOS!I1288,PLAN!A:B,2,FALSE),CURSO!A:D,4,FALSE)</f>
        <v>18</v>
      </c>
      <c r="K1288">
        <f>VLOOKUP(PREVIOS!H1288,CICLO!A:B,2,FALSE)</f>
        <v>53</v>
      </c>
      <c r="L1288">
        <f>VLOOKUP(PREVIOS!I1288,PLAN!A:B,2,FALSE)</f>
        <v>5</v>
      </c>
    </row>
    <row r="1289" spans="1:12" x14ac:dyDescent="0.25">
      <c r="A1289" t="str">
        <f t="shared" si="20"/>
        <v>A432M231C1</v>
      </c>
      <c r="C1289">
        <v>1288</v>
      </c>
      <c r="D1289">
        <f>VLOOKUP(PREVIOS!C1289,ALUMNOS!A:B,2,FALSE)</f>
        <v>432</v>
      </c>
      <c r="E1289">
        <f>VLOOKUP(PREVIOS!E1289&amp;'TABLA PREVIOS'!J1289,MATERIAS!A:H,7,FALSE)</f>
        <v>231</v>
      </c>
      <c r="F1289">
        <f>VLOOKUP(PREVIOS!G1289,CONDICION!A:B,2,FALSE)</f>
        <v>1</v>
      </c>
      <c r="G1289">
        <f>IF(PREVIOS!AG1289=1,1,VLOOKUP(PREVIOS!AG1289,CALIFICACION!A:C,3,FALSE))</f>
        <v>1</v>
      </c>
      <c r="H1289" s="1" t="s">
        <v>534</v>
      </c>
      <c r="I1289" s="1" t="s">
        <v>534</v>
      </c>
      <c r="J1289">
        <f>VLOOKUP(PREVIOS!F1289&amp;VLOOKUP(PREVIOS!I1289,PLAN!A:B,2,FALSE),CURSO!A:D,4,FALSE)</f>
        <v>18</v>
      </c>
      <c r="K1289">
        <f>VLOOKUP(PREVIOS!H1289,CICLO!A:B,2,FALSE)</f>
        <v>53</v>
      </c>
      <c r="L1289">
        <f>VLOOKUP(PREVIOS!I1289,PLAN!A:B,2,FALSE)</f>
        <v>5</v>
      </c>
    </row>
    <row r="1290" spans="1:12" x14ac:dyDescent="0.25">
      <c r="A1290" t="str">
        <f t="shared" si="20"/>
        <v>A422M221C1</v>
      </c>
      <c r="C1290">
        <v>1289</v>
      </c>
      <c r="D1290">
        <f>VLOOKUP(PREVIOS!C1290,ALUMNOS!A:B,2,FALSE)</f>
        <v>422</v>
      </c>
      <c r="E1290">
        <f>VLOOKUP(PREVIOS!E1290&amp;'TABLA PREVIOS'!J1290,MATERIAS!A:H,7,FALSE)</f>
        <v>221</v>
      </c>
      <c r="F1290">
        <f>VLOOKUP(PREVIOS!G1290,CONDICION!A:B,2,FALSE)</f>
        <v>1</v>
      </c>
      <c r="G1290">
        <f>IF(PREVIOS!AG1290=1,1,VLOOKUP(PREVIOS!AG1290,CALIFICACION!A:C,3,FALSE))</f>
        <v>1</v>
      </c>
      <c r="H1290" s="1" t="s">
        <v>534</v>
      </c>
      <c r="I1290" s="1" t="s">
        <v>534</v>
      </c>
      <c r="J1290">
        <f>VLOOKUP(PREVIOS!F1290&amp;VLOOKUP(PREVIOS!I1290,PLAN!A:B,2,FALSE),CURSO!A:D,4,FALSE)</f>
        <v>17</v>
      </c>
      <c r="K1290">
        <f>VLOOKUP(PREVIOS!H1290,CICLO!A:B,2,FALSE)</f>
        <v>54</v>
      </c>
      <c r="L1290">
        <f>VLOOKUP(PREVIOS!I1290,PLAN!A:B,2,FALSE)</f>
        <v>5</v>
      </c>
    </row>
    <row r="1291" spans="1:12" x14ac:dyDescent="0.25">
      <c r="A1291" t="str">
        <f t="shared" si="20"/>
        <v>A422M222C1</v>
      </c>
      <c r="C1291">
        <v>1290</v>
      </c>
      <c r="D1291">
        <f>VLOOKUP(PREVIOS!C1291,ALUMNOS!A:B,2,FALSE)</f>
        <v>422</v>
      </c>
      <c r="E1291">
        <f>VLOOKUP(PREVIOS!E1291&amp;'TABLA PREVIOS'!J1291,MATERIAS!A:H,7,FALSE)</f>
        <v>222</v>
      </c>
      <c r="F1291">
        <f>VLOOKUP(PREVIOS!G1291,CONDICION!A:B,2,FALSE)</f>
        <v>1</v>
      </c>
      <c r="G1291">
        <f>IF(PREVIOS!AG1291=1,1,VLOOKUP(PREVIOS!AG1291,CALIFICACION!A:C,3,FALSE))</f>
        <v>1</v>
      </c>
      <c r="H1291" s="1" t="s">
        <v>534</v>
      </c>
      <c r="I1291" s="1" t="s">
        <v>534</v>
      </c>
      <c r="J1291">
        <f>VLOOKUP(PREVIOS!F1291&amp;VLOOKUP(PREVIOS!I1291,PLAN!A:B,2,FALSE),CURSO!A:D,4,FALSE)</f>
        <v>17</v>
      </c>
      <c r="K1291">
        <f>VLOOKUP(PREVIOS!H1291,CICLO!A:B,2,FALSE)</f>
        <v>54</v>
      </c>
      <c r="L1291">
        <f>VLOOKUP(PREVIOS!I1291,PLAN!A:B,2,FALSE)</f>
        <v>5</v>
      </c>
    </row>
    <row r="1292" spans="1:12" x14ac:dyDescent="0.25">
      <c r="A1292" t="str">
        <f t="shared" si="20"/>
        <v>A422M219C1</v>
      </c>
      <c r="C1292">
        <v>1291</v>
      </c>
      <c r="D1292">
        <f>VLOOKUP(PREVIOS!C1292,ALUMNOS!A:B,2,FALSE)</f>
        <v>422</v>
      </c>
      <c r="E1292">
        <f>VLOOKUP(PREVIOS!E1292&amp;'TABLA PREVIOS'!J1292,MATERIAS!A:H,7,FALSE)</f>
        <v>219</v>
      </c>
      <c r="F1292">
        <f>VLOOKUP(PREVIOS!G1292,CONDICION!A:B,2,FALSE)</f>
        <v>1</v>
      </c>
      <c r="G1292">
        <f>IF(PREVIOS!AG1292=1,1,VLOOKUP(PREVIOS!AG1292,CALIFICACION!A:C,3,FALSE))</f>
        <v>1</v>
      </c>
      <c r="H1292" s="1" t="s">
        <v>534</v>
      </c>
      <c r="I1292" s="1" t="s">
        <v>534</v>
      </c>
      <c r="J1292">
        <f>VLOOKUP(PREVIOS!F1292&amp;VLOOKUP(PREVIOS!I1292,PLAN!A:B,2,FALSE),CURSO!A:D,4,FALSE)</f>
        <v>17</v>
      </c>
      <c r="K1292">
        <f>VLOOKUP(PREVIOS!H1292,CICLO!A:B,2,FALSE)</f>
        <v>54</v>
      </c>
      <c r="L1292">
        <f>VLOOKUP(PREVIOS!I1292,PLAN!A:B,2,FALSE)</f>
        <v>5</v>
      </c>
    </row>
    <row r="1293" spans="1:12" x14ac:dyDescent="0.25">
      <c r="A1293" t="str">
        <f t="shared" si="20"/>
        <v>A424M244C1</v>
      </c>
      <c r="C1293">
        <v>1292</v>
      </c>
      <c r="D1293">
        <f>VLOOKUP(PREVIOS!C1293,ALUMNOS!A:B,2,FALSE)</f>
        <v>424</v>
      </c>
      <c r="E1293">
        <f>VLOOKUP(PREVIOS!E1293&amp;'TABLA PREVIOS'!J1293,MATERIAS!A:H,7,FALSE)</f>
        <v>244</v>
      </c>
      <c r="F1293">
        <f>VLOOKUP(PREVIOS!G1293,CONDICION!A:B,2,FALSE)</f>
        <v>1</v>
      </c>
      <c r="G1293">
        <f>IF(PREVIOS!AG1293=1,1,VLOOKUP(PREVIOS!AG1293,CALIFICACION!A:C,3,FALSE))</f>
        <v>1</v>
      </c>
      <c r="H1293" s="1" t="s">
        <v>534</v>
      </c>
      <c r="I1293" s="1" t="s">
        <v>534</v>
      </c>
      <c r="J1293">
        <f>VLOOKUP(PREVIOS!F1293&amp;VLOOKUP(PREVIOS!I1293,PLAN!A:B,2,FALSE),CURSO!A:D,4,FALSE)</f>
        <v>19</v>
      </c>
      <c r="K1293">
        <f>VLOOKUP(PREVIOS!H1293,CICLO!A:B,2,FALSE)</f>
        <v>52</v>
      </c>
      <c r="L1293">
        <f>VLOOKUP(PREVIOS!I1293,PLAN!A:B,2,FALSE)</f>
        <v>5</v>
      </c>
    </row>
    <row r="1294" spans="1:12" x14ac:dyDescent="0.25">
      <c r="A1294" t="str">
        <f t="shared" si="20"/>
        <v>A439M254C1</v>
      </c>
      <c r="C1294">
        <v>1293</v>
      </c>
      <c r="D1294">
        <f>VLOOKUP(PREVIOS!C1294,ALUMNOS!A:B,2,FALSE)</f>
        <v>439</v>
      </c>
      <c r="E1294">
        <f>VLOOKUP(PREVIOS!E1294&amp;'TABLA PREVIOS'!J1294,MATERIAS!A:H,7,FALSE)</f>
        <v>254</v>
      </c>
      <c r="F1294">
        <f>VLOOKUP(PREVIOS!G1294,CONDICION!A:B,2,FALSE)</f>
        <v>1</v>
      </c>
      <c r="G1294">
        <f>IF(PREVIOS!AG1294=1,1,VLOOKUP(PREVIOS!AG1294,CALIFICACION!A:C,3,FALSE))</f>
        <v>1</v>
      </c>
      <c r="H1294" s="1" t="s">
        <v>534</v>
      </c>
      <c r="I1294" s="1" t="s">
        <v>534</v>
      </c>
      <c r="J1294">
        <f>VLOOKUP(PREVIOS!F1294&amp;VLOOKUP(PREVIOS!I1294,PLAN!A:B,2,FALSE),CURSO!A:D,4,FALSE)</f>
        <v>20</v>
      </c>
      <c r="K1294">
        <f>VLOOKUP(PREVIOS!H1294,CICLO!A:B,2,FALSE)</f>
        <v>53</v>
      </c>
      <c r="L1294">
        <f>VLOOKUP(PREVIOS!I1294,PLAN!A:B,2,FALSE)</f>
        <v>6</v>
      </c>
    </row>
    <row r="1295" spans="1:12" x14ac:dyDescent="0.25">
      <c r="A1295" t="str">
        <f t="shared" si="20"/>
        <v>A439M256C1</v>
      </c>
      <c r="C1295">
        <v>1294</v>
      </c>
      <c r="D1295">
        <f>VLOOKUP(PREVIOS!C1295,ALUMNOS!A:B,2,FALSE)</f>
        <v>439</v>
      </c>
      <c r="E1295">
        <f>VLOOKUP(PREVIOS!E1295&amp;'TABLA PREVIOS'!J1295,MATERIAS!A:H,7,FALSE)</f>
        <v>256</v>
      </c>
      <c r="F1295">
        <f>VLOOKUP(PREVIOS!G1295,CONDICION!A:B,2,FALSE)</f>
        <v>1</v>
      </c>
      <c r="G1295">
        <f>IF(PREVIOS!AG1295=1,1,VLOOKUP(PREVIOS!AG1295,CALIFICACION!A:C,3,FALSE))</f>
        <v>1</v>
      </c>
      <c r="H1295" s="1" t="s">
        <v>534</v>
      </c>
      <c r="I1295" s="1" t="s">
        <v>534</v>
      </c>
      <c r="J1295">
        <f>VLOOKUP(PREVIOS!F1295&amp;VLOOKUP(PREVIOS!I1295,PLAN!A:B,2,FALSE),CURSO!A:D,4,FALSE)</f>
        <v>20</v>
      </c>
      <c r="K1295">
        <f>VLOOKUP(PREVIOS!H1295,CICLO!A:B,2,FALSE)</f>
        <v>53</v>
      </c>
      <c r="L1295">
        <f>VLOOKUP(PREVIOS!I1295,PLAN!A:B,2,FALSE)</f>
        <v>6</v>
      </c>
    </row>
    <row r="1296" spans="1:12" x14ac:dyDescent="0.25">
      <c r="A1296" t="str">
        <f t="shared" si="20"/>
        <v>A440M234C1</v>
      </c>
      <c r="C1296">
        <v>1295</v>
      </c>
      <c r="D1296">
        <f>VLOOKUP(PREVIOS!C1296,ALUMNOS!A:B,2,FALSE)</f>
        <v>440</v>
      </c>
      <c r="E1296">
        <f>VLOOKUP(PREVIOS!E1296&amp;'TABLA PREVIOS'!J1296,MATERIAS!A:H,7,FALSE)</f>
        <v>234</v>
      </c>
      <c r="F1296">
        <f>VLOOKUP(PREVIOS!G1296,CONDICION!A:B,2,FALSE)</f>
        <v>1</v>
      </c>
      <c r="G1296">
        <f>IF(PREVIOS!AG1296=1,1,VLOOKUP(PREVIOS!AG1296,CALIFICACION!A:C,3,FALSE))</f>
        <v>1</v>
      </c>
      <c r="H1296" s="1" t="s">
        <v>534</v>
      </c>
      <c r="I1296" s="1" t="s">
        <v>534</v>
      </c>
      <c r="J1296">
        <f>VLOOKUP(PREVIOS!F1296&amp;VLOOKUP(PREVIOS!I1296,PLAN!A:B,2,FALSE),CURSO!A:D,4,FALSE)</f>
        <v>18</v>
      </c>
      <c r="K1296">
        <f>VLOOKUP(PREVIOS!H1296,CICLO!A:B,2,FALSE)</f>
        <v>55</v>
      </c>
      <c r="L1296">
        <f>VLOOKUP(PREVIOS!I1296,PLAN!A:B,2,FALSE)</f>
        <v>5</v>
      </c>
    </row>
    <row r="1297" spans="1:12" x14ac:dyDescent="0.25">
      <c r="A1297" t="str">
        <f t="shared" si="20"/>
        <v>A440M230C1</v>
      </c>
      <c r="C1297">
        <v>1296</v>
      </c>
      <c r="D1297">
        <f>VLOOKUP(PREVIOS!C1297,ALUMNOS!A:B,2,FALSE)</f>
        <v>440</v>
      </c>
      <c r="E1297">
        <f>VLOOKUP(PREVIOS!E1297&amp;'TABLA PREVIOS'!J1297,MATERIAS!A:H,7,FALSE)</f>
        <v>230</v>
      </c>
      <c r="F1297">
        <f>VLOOKUP(PREVIOS!G1297,CONDICION!A:B,2,FALSE)</f>
        <v>1</v>
      </c>
      <c r="G1297">
        <f>IF(PREVIOS!AG1297=1,1,VLOOKUP(PREVIOS!AG1297,CALIFICACION!A:C,3,FALSE))</f>
        <v>1</v>
      </c>
      <c r="H1297" s="1" t="s">
        <v>534</v>
      </c>
      <c r="I1297" s="1" t="s">
        <v>534</v>
      </c>
      <c r="J1297">
        <f>VLOOKUP(PREVIOS!F1297&amp;VLOOKUP(PREVIOS!I1297,PLAN!A:B,2,FALSE),CURSO!A:D,4,FALSE)</f>
        <v>18</v>
      </c>
      <c r="K1297">
        <f>VLOOKUP(PREVIOS!H1297,CICLO!A:B,2,FALSE)</f>
        <v>55</v>
      </c>
      <c r="L1297">
        <f>VLOOKUP(PREVIOS!I1297,PLAN!A:B,2,FALSE)</f>
        <v>5</v>
      </c>
    </row>
    <row r="1298" spans="1:12" x14ac:dyDescent="0.25">
      <c r="A1298" t="str">
        <f t="shared" si="20"/>
        <v>A444M234C1</v>
      </c>
      <c r="C1298">
        <v>1297</v>
      </c>
      <c r="D1298">
        <f>VLOOKUP(PREVIOS!C1298,ALUMNOS!A:B,2,FALSE)</f>
        <v>444</v>
      </c>
      <c r="E1298">
        <f>VLOOKUP(PREVIOS!E1298&amp;'TABLA PREVIOS'!J1298,MATERIAS!A:H,7,FALSE)</f>
        <v>234</v>
      </c>
      <c r="F1298">
        <f>VLOOKUP(PREVIOS!G1298,CONDICION!A:B,2,FALSE)</f>
        <v>1</v>
      </c>
      <c r="G1298">
        <f>IF(PREVIOS!AG1298=1,1,VLOOKUP(PREVIOS!AG1298,CALIFICACION!A:C,3,FALSE))</f>
        <v>1</v>
      </c>
      <c r="H1298" s="1" t="s">
        <v>534</v>
      </c>
      <c r="I1298" s="1" t="s">
        <v>534</v>
      </c>
      <c r="J1298">
        <f>VLOOKUP(PREVIOS!F1298&amp;VLOOKUP(PREVIOS!I1298,PLAN!A:B,2,FALSE),CURSO!A:D,4,FALSE)</f>
        <v>18</v>
      </c>
      <c r="K1298">
        <f>VLOOKUP(PREVIOS!H1298,CICLO!A:B,2,FALSE)</f>
        <v>52</v>
      </c>
      <c r="L1298">
        <f>VLOOKUP(PREVIOS!I1298,PLAN!A:B,2,FALSE)</f>
        <v>5</v>
      </c>
    </row>
    <row r="1299" spans="1:12" x14ac:dyDescent="0.25">
      <c r="A1299" t="str">
        <f t="shared" si="20"/>
        <v>A444M244C1</v>
      </c>
      <c r="C1299">
        <v>1298</v>
      </c>
      <c r="D1299">
        <f>VLOOKUP(PREVIOS!C1299,ALUMNOS!A:B,2,FALSE)</f>
        <v>444</v>
      </c>
      <c r="E1299">
        <f>VLOOKUP(PREVIOS!E1299&amp;'TABLA PREVIOS'!J1299,MATERIAS!A:H,7,FALSE)</f>
        <v>244</v>
      </c>
      <c r="F1299">
        <f>VLOOKUP(PREVIOS!G1299,CONDICION!A:B,2,FALSE)</f>
        <v>1</v>
      </c>
      <c r="G1299">
        <f>IF(PREVIOS!AG1299=1,1,VLOOKUP(PREVIOS!AG1299,CALIFICACION!A:C,3,FALSE))</f>
        <v>1</v>
      </c>
      <c r="H1299" s="1" t="s">
        <v>534</v>
      </c>
      <c r="I1299" s="1" t="s">
        <v>534</v>
      </c>
      <c r="J1299">
        <f>VLOOKUP(PREVIOS!F1299&amp;VLOOKUP(PREVIOS!I1299,PLAN!A:B,2,FALSE),CURSO!A:D,4,FALSE)</f>
        <v>19</v>
      </c>
      <c r="K1299">
        <f>VLOOKUP(PREVIOS!H1299,CICLO!A:B,2,FALSE)</f>
        <v>53</v>
      </c>
      <c r="L1299">
        <f>VLOOKUP(PREVIOS!I1299,PLAN!A:B,2,FALSE)</f>
        <v>5</v>
      </c>
    </row>
    <row r="1300" spans="1:12" x14ac:dyDescent="0.25">
      <c r="A1300" t="str">
        <f t="shared" si="20"/>
        <v>A444M245C1</v>
      </c>
      <c r="C1300">
        <v>1299</v>
      </c>
      <c r="D1300">
        <f>VLOOKUP(PREVIOS!C1300,ALUMNOS!A:B,2,FALSE)</f>
        <v>444</v>
      </c>
      <c r="E1300">
        <f>VLOOKUP(PREVIOS!E1300&amp;'TABLA PREVIOS'!J1300,MATERIAS!A:H,7,FALSE)</f>
        <v>245</v>
      </c>
      <c r="F1300">
        <f>VLOOKUP(PREVIOS!G1300,CONDICION!A:B,2,FALSE)</f>
        <v>1</v>
      </c>
      <c r="G1300">
        <f>IF(PREVIOS!AG1300=1,1,VLOOKUP(PREVIOS!AG1300,CALIFICACION!A:C,3,FALSE))</f>
        <v>1</v>
      </c>
      <c r="H1300" s="1" t="s">
        <v>534</v>
      </c>
      <c r="I1300" s="1" t="s">
        <v>534</v>
      </c>
      <c r="J1300">
        <f>VLOOKUP(PREVIOS!F1300&amp;VLOOKUP(PREVIOS!I1300,PLAN!A:B,2,FALSE),CURSO!A:D,4,FALSE)</f>
        <v>19</v>
      </c>
      <c r="K1300">
        <f>VLOOKUP(PREVIOS!H1300,CICLO!A:B,2,FALSE)</f>
        <v>53</v>
      </c>
      <c r="L1300">
        <f>VLOOKUP(PREVIOS!I1300,PLAN!A:B,2,FALSE)</f>
        <v>5</v>
      </c>
    </row>
    <row r="1301" spans="1:12" x14ac:dyDescent="0.25">
      <c r="A1301" t="str">
        <f t="shared" si="20"/>
        <v>A456M221C1</v>
      </c>
      <c r="C1301">
        <v>1300</v>
      </c>
      <c r="D1301">
        <f>VLOOKUP(PREVIOS!C1301,ALUMNOS!A:B,2,FALSE)</f>
        <v>456</v>
      </c>
      <c r="E1301">
        <f>VLOOKUP(PREVIOS!E1301&amp;'TABLA PREVIOS'!J1301,MATERIAS!A:H,7,FALSE)</f>
        <v>221</v>
      </c>
      <c r="F1301">
        <f>VLOOKUP(PREVIOS!G1301,CONDICION!A:B,2,FALSE)</f>
        <v>1</v>
      </c>
      <c r="G1301">
        <f>IF(PREVIOS!AG1301=1,1,VLOOKUP(PREVIOS!AG1301,CALIFICACION!A:C,3,FALSE))</f>
        <v>1</v>
      </c>
      <c r="H1301" s="1" t="s">
        <v>534</v>
      </c>
      <c r="I1301" s="1" t="s">
        <v>534</v>
      </c>
      <c r="J1301">
        <f>VLOOKUP(PREVIOS!F1301&amp;VLOOKUP(PREVIOS!I1301,PLAN!A:B,2,FALSE),CURSO!A:D,4,FALSE)</f>
        <v>17</v>
      </c>
      <c r="K1301">
        <f>VLOOKUP(PREVIOS!H1301,CICLO!A:B,2,FALSE)</f>
        <v>54</v>
      </c>
      <c r="L1301">
        <f>VLOOKUP(PREVIOS!I1301,PLAN!A:B,2,FALSE)</f>
        <v>5</v>
      </c>
    </row>
    <row r="1302" spans="1:12" x14ac:dyDescent="0.25">
      <c r="A1302" t="str">
        <f t="shared" si="20"/>
        <v>A456M222C1</v>
      </c>
      <c r="C1302">
        <v>1301</v>
      </c>
      <c r="D1302">
        <f>VLOOKUP(PREVIOS!C1302,ALUMNOS!A:B,2,FALSE)</f>
        <v>456</v>
      </c>
      <c r="E1302">
        <f>VLOOKUP(PREVIOS!E1302&amp;'TABLA PREVIOS'!J1302,MATERIAS!A:H,7,FALSE)</f>
        <v>222</v>
      </c>
      <c r="F1302">
        <f>VLOOKUP(PREVIOS!G1302,CONDICION!A:B,2,FALSE)</f>
        <v>1</v>
      </c>
      <c r="G1302">
        <f>IF(PREVIOS!AG1302=1,1,VLOOKUP(PREVIOS!AG1302,CALIFICACION!A:C,3,FALSE))</f>
        <v>1</v>
      </c>
      <c r="H1302" s="1" t="s">
        <v>534</v>
      </c>
      <c r="I1302" s="1" t="s">
        <v>534</v>
      </c>
      <c r="J1302">
        <f>VLOOKUP(PREVIOS!F1302&amp;VLOOKUP(PREVIOS!I1302,PLAN!A:B,2,FALSE),CURSO!A:D,4,FALSE)</f>
        <v>17</v>
      </c>
      <c r="K1302">
        <f>VLOOKUP(PREVIOS!H1302,CICLO!A:B,2,FALSE)</f>
        <v>54</v>
      </c>
      <c r="L1302">
        <f>VLOOKUP(PREVIOS!I1302,PLAN!A:B,2,FALSE)</f>
        <v>5</v>
      </c>
    </row>
    <row r="1303" spans="1:12" x14ac:dyDescent="0.25">
      <c r="A1303" t="str">
        <f t="shared" si="20"/>
        <v>A456M224C1</v>
      </c>
      <c r="C1303">
        <v>1302</v>
      </c>
      <c r="D1303">
        <f>VLOOKUP(PREVIOS!C1303,ALUMNOS!A:B,2,FALSE)</f>
        <v>456</v>
      </c>
      <c r="E1303">
        <f>VLOOKUP(PREVIOS!E1303&amp;'TABLA PREVIOS'!J1303,MATERIAS!A:H,7,FALSE)</f>
        <v>224</v>
      </c>
      <c r="F1303">
        <f>VLOOKUP(PREVIOS!G1303,CONDICION!A:B,2,FALSE)</f>
        <v>1</v>
      </c>
      <c r="G1303">
        <f>IF(PREVIOS!AG1303=1,1,VLOOKUP(PREVIOS!AG1303,CALIFICACION!A:C,3,FALSE))</f>
        <v>1</v>
      </c>
      <c r="H1303" s="1" t="s">
        <v>534</v>
      </c>
      <c r="I1303" s="1" t="s">
        <v>534</v>
      </c>
      <c r="J1303">
        <f>VLOOKUP(PREVIOS!F1303&amp;VLOOKUP(PREVIOS!I1303,PLAN!A:B,2,FALSE),CURSO!A:D,4,FALSE)</f>
        <v>17</v>
      </c>
      <c r="K1303">
        <f>VLOOKUP(PREVIOS!H1303,CICLO!A:B,2,FALSE)</f>
        <v>54</v>
      </c>
      <c r="L1303">
        <f>VLOOKUP(PREVIOS!I1303,PLAN!A:B,2,FALSE)</f>
        <v>5</v>
      </c>
    </row>
    <row r="1304" spans="1:12" x14ac:dyDescent="0.25">
      <c r="A1304" t="str">
        <f t="shared" si="20"/>
        <v>A456M220C1</v>
      </c>
      <c r="C1304">
        <v>1303</v>
      </c>
      <c r="D1304">
        <f>VLOOKUP(PREVIOS!C1304,ALUMNOS!A:B,2,FALSE)</f>
        <v>456</v>
      </c>
      <c r="E1304">
        <f>VLOOKUP(PREVIOS!E1304&amp;'TABLA PREVIOS'!J1304,MATERIAS!A:H,7,FALSE)</f>
        <v>220</v>
      </c>
      <c r="F1304">
        <f>VLOOKUP(PREVIOS!G1304,CONDICION!A:B,2,FALSE)</f>
        <v>1</v>
      </c>
      <c r="G1304">
        <f>IF(PREVIOS!AG1304=1,1,VLOOKUP(PREVIOS!AG1304,CALIFICACION!A:C,3,FALSE))</f>
        <v>1</v>
      </c>
      <c r="H1304" s="1" t="s">
        <v>534</v>
      </c>
      <c r="I1304" s="1" t="s">
        <v>534</v>
      </c>
      <c r="J1304">
        <f>VLOOKUP(PREVIOS!F1304&amp;VLOOKUP(PREVIOS!I1304,PLAN!A:B,2,FALSE),CURSO!A:D,4,FALSE)</f>
        <v>17</v>
      </c>
      <c r="K1304">
        <f>VLOOKUP(PREVIOS!H1304,CICLO!A:B,2,FALSE)</f>
        <v>54</v>
      </c>
      <c r="L1304">
        <f>VLOOKUP(PREVIOS!I1304,PLAN!A:B,2,FALSE)</f>
        <v>5</v>
      </c>
    </row>
    <row r="1305" spans="1:12" x14ac:dyDescent="0.25">
      <c r="A1305" t="str">
        <f t="shared" si="20"/>
        <v>A465M243C1</v>
      </c>
      <c r="C1305">
        <v>1304</v>
      </c>
      <c r="D1305">
        <f>VLOOKUP(PREVIOS!C1305,ALUMNOS!A:B,2,FALSE)</f>
        <v>465</v>
      </c>
      <c r="E1305">
        <f>VLOOKUP(PREVIOS!E1305&amp;'TABLA PREVIOS'!J1305,MATERIAS!A:H,7,FALSE)</f>
        <v>243</v>
      </c>
      <c r="F1305">
        <f>VLOOKUP(PREVIOS!G1305,CONDICION!A:B,2,FALSE)</f>
        <v>1</v>
      </c>
      <c r="G1305">
        <f>IF(PREVIOS!AG1305=1,1,VLOOKUP(PREVIOS!AG1305,CALIFICACION!A:C,3,FALSE))</f>
        <v>1</v>
      </c>
      <c r="H1305" s="1" t="s">
        <v>534</v>
      </c>
      <c r="I1305" s="1" t="s">
        <v>534</v>
      </c>
      <c r="J1305">
        <f>VLOOKUP(PREVIOS!F1305&amp;VLOOKUP(PREVIOS!I1305,PLAN!A:B,2,FALSE),CURSO!A:D,4,FALSE)</f>
        <v>19</v>
      </c>
      <c r="K1305">
        <f>VLOOKUP(PREVIOS!H1305,CICLO!A:B,2,FALSE)</f>
        <v>54</v>
      </c>
      <c r="L1305">
        <f>VLOOKUP(PREVIOS!I1305,PLAN!A:B,2,FALSE)</f>
        <v>5</v>
      </c>
    </row>
    <row r="1306" spans="1:12" x14ac:dyDescent="0.25">
      <c r="A1306" t="str">
        <f t="shared" si="20"/>
        <v>A465M244C1</v>
      </c>
      <c r="C1306">
        <v>1305</v>
      </c>
      <c r="D1306">
        <f>VLOOKUP(PREVIOS!C1306,ALUMNOS!A:B,2,FALSE)</f>
        <v>465</v>
      </c>
      <c r="E1306">
        <f>VLOOKUP(PREVIOS!E1306&amp;'TABLA PREVIOS'!J1306,MATERIAS!A:H,7,FALSE)</f>
        <v>244</v>
      </c>
      <c r="F1306">
        <f>VLOOKUP(PREVIOS!G1306,CONDICION!A:B,2,FALSE)</f>
        <v>1</v>
      </c>
      <c r="G1306">
        <f>IF(PREVIOS!AG1306=1,1,VLOOKUP(PREVIOS!AG1306,CALIFICACION!A:C,3,FALSE))</f>
        <v>1</v>
      </c>
      <c r="H1306" s="1" t="s">
        <v>534</v>
      </c>
      <c r="I1306" s="1" t="s">
        <v>534</v>
      </c>
      <c r="J1306">
        <f>VLOOKUP(PREVIOS!F1306&amp;VLOOKUP(PREVIOS!I1306,PLAN!A:B,2,FALSE),CURSO!A:D,4,FALSE)</f>
        <v>19</v>
      </c>
      <c r="K1306">
        <f>VLOOKUP(PREVIOS!H1306,CICLO!A:B,2,FALSE)</f>
        <v>54</v>
      </c>
      <c r="L1306">
        <f>VLOOKUP(PREVIOS!I1306,PLAN!A:B,2,FALSE)</f>
        <v>5</v>
      </c>
    </row>
    <row r="1307" spans="1:12" x14ac:dyDescent="0.25">
      <c r="A1307" t="str">
        <f t="shared" si="20"/>
        <v>A465M245C1</v>
      </c>
      <c r="C1307">
        <v>1306</v>
      </c>
      <c r="D1307">
        <f>VLOOKUP(PREVIOS!C1307,ALUMNOS!A:B,2,FALSE)</f>
        <v>465</v>
      </c>
      <c r="E1307">
        <f>VLOOKUP(PREVIOS!E1307&amp;'TABLA PREVIOS'!J1307,MATERIAS!A:H,7,FALSE)</f>
        <v>245</v>
      </c>
      <c r="F1307">
        <f>VLOOKUP(PREVIOS!G1307,CONDICION!A:B,2,FALSE)</f>
        <v>1</v>
      </c>
      <c r="G1307">
        <f>IF(PREVIOS!AG1307=1,1,VLOOKUP(PREVIOS!AG1307,CALIFICACION!A:C,3,FALSE))</f>
        <v>1</v>
      </c>
      <c r="H1307" s="1" t="s">
        <v>534</v>
      </c>
      <c r="I1307" s="1" t="s">
        <v>534</v>
      </c>
      <c r="J1307">
        <f>VLOOKUP(PREVIOS!F1307&amp;VLOOKUP(PREVIOS!I1307,PLAN!A:B,2,FALSE),CURSO!A:D,4,FALSE)</f>
        <v>19</v>
      </c>
      <c r="K1307">
        <f>VLOOKUP(PREVIOS!H1307,CICLO!A:B,2,FALSE)</f>
        <v>54</v>
      </c>
      <c r="L1307">
        <f>VLOOKUP(PREVIOS!I1307,PLAN!A:B,2,FALSE)</f>
        <v>5</v>
      </c>
    </row>
    <row r="1308" spans="1:12" x14ac:dyDescent="0.25">
      <c r="A1308" t="str">
        <f t="shared" si="20"/>
        <v>A466M233C1</v>
      </c>
      <c r="C1308">
        <v>1307</v>
      </c>
      <c r="D1308">
        <f>VLOOKUP(PREVIOS!C1308,ALUMNOS!A:B,2,FALSE)</f>
        <v>466</v>
      </c>
      <c r="E1308">
        <f>VLOOKUP(PREVIOS!E1308&amp;'TABLA PREVIOS'!J1308,MATERIAS!A:H,7,FALSE)</f>
        <v>233</v>
      </c>
      <c r="F1308">
        <f>VLOOKUP(PREVIOS!G1308,CONDICION!A:B,2,FALSE)</f>
        <v>1</v>
      </c>
      <c r="G1308">
        <f>IF(PREVIOS!AG1308=1,1,VLOOKUP(PREVIOS!AG1308,CALIFICACION!A:C,3,FALSE))</f>
        <v>1</v>
      </c>
      <c r="H1308" s="1" t="s">
        <v>534</v>
      </c>
      <c r="I1308" s="1" t="s">
        <v>534</v>
      </c>
      <c r="J1308">
        <f>VLOOKUP(PREVIOS!F1308&amp;VLOOKUP(PREVIOS!I1308,PLAN!A:B,2,FALSE),CURSO!A:D,4,FALSE)</f>
        <v>18</v>
      </c>
      <c r="K1308">
        <f>VLOOKUP(PREVIOS!H1308,CICLO!A:B,2,FALSE)</f>
        <v>52</v>
      </c>
      <c r="L1308">
        <f>VLOOKUP(PREVIOS!I1308,PLAN!A:B,2,FALSE)</f>
        <v>5</v>
      </c>
    </row>
    <row r="1309" spans="1:12" x14ac:dyDescent="0.25">
      <c r="A1309" t="str">
        <f t="shared" si="20"/>
        <v>A466M234C1</v>
      </c>
      <c r="C1309">
        <v>1308</v>
      </c>
      <c r="D1309">
        <f>VLOOKUP(PREVIOS!C1309,ALUMNOS!A:B,2,FALSE)</f>
        <v>466</v>
      </c>
      <c r="E1309">
        <f>VLOOKUP(PREVIOS!E1309&amp;'TABLA PREVIOS'!J1309,MATERIAS!A:H,7,FALSE)</f>
        <v>234</v>
      </c>
      <c r="F1309">
        <f>VLOOKUP(PREVIOS!G1309,CONDICION!A:B,2,FALSE)</f>
        <v>1</v>
      </c>
      <c r="G1309">
        <f>IF(PREVIOS!AG1309=1,1,VLOOKUP(PREVIOS!AG1309,CALIFICACION!A:C,3,FALSE))</f>
        <v>1</v>
      </c>
      <c r="H1309" s="1" t="s">
        <v>534</v>
      </c>
      <c r="I1309" s="1" t="s">
        <v>534</v>
      </c>
      <c r="J1309">
        <f>VLOOKUP(PREVIOS!F1309&amp;VLOOKUP(PREVIOS!I1309,PLAN!A:B,2,FALSE),CURSO!A:D,4,FALSE)</f>
        <v>18</v>
      </c>
      <c r="K1309">
        <f>VLOOKUP(PREVIOS!H1309,CICLO!A:B,2,FALSE)</f>
        <v>52</v>
      </c>
      <c r="L1309">
        <f>VLOOKUP(PREVIOS!I1309,PLAN!A:B,2,FALSE)</f>
        <v>5</v>
      </c>
    </row>
    <row r="1310" spans="1:12" x14ac:dyDescent="0.25">
      <c r="A1310" t="str">
        <f t="shared" si="20"/>
        <v>A471M233C1</v>
      </c>
      <c r="C1310">
        <v>1309</v>
      </c>
      <c r="D1310">
        <f>VLOOKUP(PREVIOS!C1310,ALUMNOS!A:B,2,FALSE)</f>
        <v>471</v>
      </c>
      <c r="E1310">
        <f>VLOOKUP(PREVIOS!E1310&amp;'TABLA PREVIOS'!J1310,MATERIAS!A:H,7,FALSE)</f>
        <v>233</v>
      </c>
      <c r="F1310">
        <f>VLOOKUP(PREVIOS!G1310,CONDICION!A:B,2,FALSE)</f>
        <v>1</v>
      </c>
      <c r="G1310">
        <f>IF(PREVIOS!AG1310=1,1,VLOOKUP(PREVIOS!AG1310,CALIFICACION!A:C,3,FALSE))</f>
        <v>1</v>
      </c>
      <c r="H1310" s="1" t="s">
        <v>534</v>
      </c>
      <c r="I1310" s="1" t="s">
        <v>534</v>
      </c>
      <c r="J1310">
        <f>VLOOKUP(PREVIOS!F1310&amp;VLOOKUP(PREVIOS!I1310,PLAN!A:B,2,FALSE),CURSO!A:D,4,FALSE)</f>
        <v>18</v>
      </c>
      <c r="K1310">
        <f>VLOOKUP(PREVIOS!H1310,CICLO!A:B,2,FALSE)</f>
        <v>54</v>
      </c>
      <c r="L1310">
        <f>VLOOKUP(PREVIOS!I1310,PLAN!A:B,2,FALSE)</f>
        <v>5</v>
      </c>
    </row>
    <row r="1311" spans="1:12" x14ac:dyDescent="0.25">
      <c r="A1311" t="str">
        <f t="shared" si="20"/>
        <v>A471M237C1</v>
      </c>
      <c r="C1311">
        <v>1310</v>
      </c>
      <c r="D1311">
        <f>VLOOKUP(PREVIOS!C1311,ALUMNOS!A:B,2,FALSE)</f>
        <v>471</v>
      </c>
      <c r="E1311">
        <f>VLOOKUP(PREVIOS!E1311&amp;'TABLA PREVIOS'!J1311,MATERIAS!A:H,7,FALSE)</f>
        <v>237</v>
      </c>
      <c r="F1311">
        <f>VLOOKUP(PREVIOS!G1311,CONDICION!A:B,2,FALSE)</f>
        <v>1</v>
      </c>
      <c r="G1311">
        <f>IF(PREVIOS!AG1311=1,1,VLOOKUP(PREVIOS!AG1311,CALIFICACION!A:C,3,FALSE))</f>
        <v>1</v>
      </c>
      <c r="H1311" s="1" t="s">
        <v>534</v>
      </c>
      <c r="I1311" s="1" t="s">
        <v>534</v>
      </c>
      <c r="J1311">
        <f>VLOOKUP(PREVIOS!F1311&amp;VLOOKUP(PREVIOS!I1311,PLAN!A:B,2,FALSE),CURSO!A:D,4,FALSE)</f>
        <v>18</v>
      </c>
      <c r="K1311">
        <f>VLOOKUP(PREVIOS!H1311,CICLO!A:B,2,FALSE)</f>
        <v>54</v>
      </c>
      <c r="L1311">
        <f>VLOOKUP(PREVIOS!I1311,PLAN!A:B,2,FALSE)</f>
        <v>5</v>
      </c>
    </row>
    <row r="1312" spans="1:12" x14ac:dyDescent="0.25">
      <c r="A1312" t="str">
        <f t="shared" si="20"/>
        <v>A471M234C1</v>
      </c>
      <c r="C1312">
        <v>1311</v>
      </c>
      <c r="D1312">
        <f>VLOOKUP(PREVIOS!C1312,ALUMNOS!A:B,2,FALSE)</f>
        <v>471</v>
      </c>
      <c r="E1312">
        <f>VLOOKUP(PREVIOS!E1312&amp;'TABLA PREVIOS'!J1312,MATERIAS!A:H,7,FALSE)</f>
        <v>234</v>
      </c>
      <c r="F1312">
        <f>VLOOKUP(PREVIOS!G1312,CONDICION!A:B,2,FALSE)</f>
        <v>1</v>
      </c>
      <c r="G1312">
        <f>IF(PREVIOS!AG1312=1,1,VLOOKUP(PREVIOS!AG1312,CALIFICACION!A:C,3,FALSE))</f>
        <v>1</v>
      </c>
      <c r="H1312" s="1" t="s">
        <v>534</v>
      </c>
      <c r="I1312" s="1" t="s">
        <v>534</v>
      </c>
      <c r="J1312">
        <f>VLOOKUP(PREVIOS!F1312&amp;VLOOKUP(PREVIOS!I1312,PLAN!A:B,2,FALSE),CURSO!A:D,4,FALSE)</f>
        <v>18</v>
      </c>
      <c r="K1312">
        <f>VLOOKUP(PREVIOS!H1312,CICLO!A:B,2,FALSE)</f>
        <v>54</v>
      </c>
      <c r="L1312">
        <f>VLOOKUP(PREVIOS!I1312,PLAN!A:B,2,FALSE)</f>
        <v>5</v>
      </c>
    </row>
    <row r="1313" spans="1:12" x14ac:dyDescent="0.25">
      <c r="A1313" t="str">
        <f t="shared" si="20"/>
        <v>A471M230C1</v>
      </c>
      <c r="C1313">
        <v>1312</v>
      </c>
      <c r="D1313">
        <f>VLOOKUP(PREVIOS!C1313,ALUMNOS!A:B,2,FALSE)</f>
        <v>471</v>
      </c>
      <c r="E1313">
        <f>VLOOKUP(PREVIOS!E1313&amp;'TABLA PREVIOS'!J1313,MATERIAS!A:H,7,FALSE)</f>
        <v>230</v>
      </c>
      <c r="F1313">
        <f>VLOOKUP(PREVIOS!G1313,CONDICION!A:B,2,FALSE)</f>
        <v>1</v>
      </c>
      <c r="G1313">
        <f>IF(PREVIOS!AG1313=1,1,VLOOKUP(PREVIOS!AG1313,CALIFICACION!A:C,3,FALSE))</f>
        <v>1</v>
      </c>
      <c r="H1313" s="1" t="s">
        <v>534</v>
      </c>
      <c r="I1313" s="1" t="s">
        <v>534</v>
      </c>
      <c r="J1313">
        <f>VLOOKUP(PREVIOS!F1313&amp;VLOOKUP(PREVIOS!I1313,PLAN!A:B,2,FALSE),CURSO!A:D,4,FALSE)</f>
        <v>18</v>
      </c>
      <c r="K1313">
        <f>VLOOKUP(PREVIOS!H1313,CICLO!A:B,2,FALSE)</f>
        <v>54</v>
      </c>
      <c r="L1313">
        <f>VLOOKUP(PREVIOS!I1313,PLAN!A:B,2,FALSE)</f>
        <v>5</v>
      </c>
    </row>
    <row r="1314" spans="1:12" x14ac:dyDescent="0.25">
      <c r="A1314" t="str">
        <f t="shared" si="20"/>
        <v>A481M224C1</v>
      </c>
      <c r="C1314">
        <v>1313</v>
      </c>
      <c r="D1314">
        <f>VLOOKUP(PREVIOS!C1314,ALUMNOS!A:B,2,FALSE)</f>
        <v>481</v>
      </c>
      <c r="E1314">
        <f>VLOOKUP(PREVIOS!E1314&amp;'TABLA PREVIOS'!J1314,MATERIAS!A:H,7,FALSE)</f>
        <v>224</v>
      </c>
      <c r="F1314">
        <f>VLOOKUP(PREVIOS!G1314,CONDICION!A:B,2,FALSE)</f>
        <v>1</v>
      </c>
      <c r="G1314">
        <f>IF(PREVIOS!AG1314=1,1,VLOOKUP(PREVIOS!AG1314,CALIFICACION!A:C,3,FALSE))</f>
        <v>1</v>
      </c>
      <c r="H1314" s="1" t="s">
        <v>534</v>
      </c>
      <c r="I1314" s="1" t="s">
        <v>534</v>
      </c>
      <c r="J1314">
        <f>VLOOKUP(PREVIOS!F1314&amp;VLOOKUP(PREVIOS!I1314,PLAN!A:B,2,FALSE),CURSO!A:D,4,FALSE)</f>
        <v>17</v>
      </c>
      <c r="K1314">
        <f>VLOOKUP(PREVIOS!H1314,CICLO!A:B,2,FALSE)</f>
        <v>53</v>
      </c>
      <c r="L1314">
        <f>VLOOKUP(PREVIOS!I1314,PLAN!A:B,2,FALSE)</f>
        <v>5</v>
      </c>
    </row>
    <row r="1315" spans="1:12" x14ac:dyDescent="0.25">
      <c r="A1315" t="str">
        <f t="shared" si="20"/>
        <v>A481M219C1</v>
      </c>
      <c r="C1315">
        <v>1314</v>
      </c>
      <c r="D1315">
        <f>VLOOKUP(PREVIOS!C1315,ALUMNOS!A:B,2,FALSE)</f>
        <v>481</v>
      </c>
      <c r="E1315">
        <f>VLOOKUP(PREVIOS!E1315&amp;'TABLA PREVIOS'!J1315,MATERIAS!A:H,7,FALSE)</f>
        <v>219</v>
      </c>
      <c r="F1315">
        <f>VLOOKUP(PREVIOS!G1315,CONDICION!A:B,2,FALSE)</f>
        <v>1</v>
      </c>
      <c r="G1315">
        <f>IF(PREVIOS!AG1315=1,1,VLOOKUP(PREVIOS!AG1315,CALIFICACION!A:C,3,FALSE))</f>
        <v>1</v>
      </c>
      <c r="H1315" s="1" t="s">
        <v>534</v>
      </c>
      <c r="I1315" s="1" t="s">
        <v>534</v>
      </c>
      <c r="J1315">
        <f>VLOOKUP(PREVIOS!F1315&amp;VLOOKUP(PREVIOS!I1315,PLAN!A:B,2,FALSE),CURSO!A:D,4,FALSE)</f>
        <v>17</v>
      </c>
      <c r="K1315">
        <f>VLOOKUP(PREVIOS!H1315,CICLO!A:B,2,FALSE)</f>
        <v>53</v>
      </c>
      <c r="L1315">
        <f>VLOOKUP(PREVIOS!I1315,PLAN!A:B,2,FALSE)</f>
        <v>5</v>
      </c>
    </row>
    <row r="1316" spans="1:12" x14ac:dyDescent="0.25">
      <c r="A1316" t="str">
        <f t="shared" si="20"/>
        <v>A492M224C1</v>
      </c>
      <c r="C1316">
        <v>1315</v>
      </c>
      <c r="D1316">
        <f>VLOOKUP(PREVIOS!C1316,ALUMNOS!A:B,2,FALSE)</f>
        <v>492</v>
      </c>
      <c r="E1316">
        <f>VLOOKUP(PREVIOS!E1316&amp;'TABLA PREVIOS'!J1316,MATERIAS!A:H,7,FALSE)</f>
        <v>224</v>
      </c>
      <c r="F1316">
        <f>VLOOKUP(PREVIOS!G1316,CONDICION!A:B,2,FALSE)</f>
        <v>1</v>
      </c>
      <c r="G1316">
        <f>IF(PREVIOS!AG1316=1,1,VLOOKUP(PREVIOS!AG1316,CALIFICACION!A:C,3,FALSE))</f>
        <v>1</v>
      </c>
      <c r="H1316" s="1" t="s">
        <v>534</v>
      </c>
      <c r="I1316" s="1" t="s">
        <v>534</v>
      </c>
      <c r="J1316">
        <f>VLOOKUP(PREVIOS!F1316&amp;VLOOKUP(PREVIOS!I1316,PLAN!A:B,2,FALSE),CURSO!A:D,4,FALSE)</f>
        <v>17</v>
      </c>
      <c r="K1316">
        <f>VLOOKUP(PREVIOS!H1316,CICLO!A:B,2,FALSE)</f>
        <v>52</v>
      </c>
      <c r="L1316">
        <f>VLOOKUP(PREVIOS!I1316,PLAN!A:B,2,FALSE)</f>
        <v>5</v>
      </c>
    </row>
    <row r="1317" spans="1:12" x14ac:dyDescent="0.25">
      <c r="A1317" t="str">
        <f t="shared" si="20"/>
        <v>A492M228C1</v>
      </c>
      <c r="C1317">
        <v>1316</v>
      </c>
      <c r="D1317">
        <f>VLOOKUP(PREVIOS!C1317,ALUMNOS!A:B,2,FALSE)</f>
        <v>492</v>
      </c>
      <c r="E1317">
        <f>VLOOKUP(PREVIOS!E1317&amp;'TABLA PREVIOS'!J1317,MATERIAS!A:H,7,FALSE)</f>
        <v>228</v>
      </c>
      <c r="F1317">
        <f>VLOOKUP(PREVIOS!G1317,CONDICION!A:B,2,FALSE)</f>
        <v>1</v>
      </c>
      <c r="G1317">
        <f>IF(PREVIOS!AG1317=1,1,VLOOKUP(PREVIOS!AG1317,CALIFICACION!A:C,3,FALSE))</f>
        <v>1</v>
      </c>
      <c r="H1317" s="1" t="s">
        <v>534</v>
      </c>
      <c r="I1317" s="1" t="s">
        <v>534</v>
      </c>
      <c r="J1317">
        <f>VLOOKUP(PREVIOS!F1317&amp;VLOOKUP(PREVIOS!I1317,PLAN!A:B,2,FALSE),CURSO!A:D,4,FALSE)</f>
        <v>18</v>
      </c>
      <c r="K1317">
        <f>VLOOKUP(PREVIOS!H1317,CICLO!A:B,2,FALSE)</f>
        <v>53</v>
      </c>
      <c r="L1317">
        <f>VLOOKUP(PREVIOS!I1317,PLAN!A:B,2,FALSE)</f>
        <v>5</v>
      </c>
    </row>
    <row r="1318" spans="1:12" x14ac:dyDescent="0.25">
      <c r="A1318" t="str">
        <f t="shared" si="20"/>
        <v>A492M239C1</v>
      </c>
      <c r="C1318">
        <v>1317</v>
      </c>
      <c r="D1318">
        <f>VLOOKUP(PREVIOS!C1318,ALUMNOS!A:B,2,FALSE)</f>
        <v>492</v>
      </c>
      <c r="E1318">
        <f>VLOOKUP(PREVIOS!E1318&amp;'TABLA PREVIOS'!J1318,MATERIAS!A:H,7,FALSE)</f>
        <v>239</v>
      </c>
      <c r="F1318">
        <f>VLOOKUP(PREVIOS!G1318,CONDICION!A:B,2,FALSE)</f>
        <v>1</v>
      </c>
      <c r="G1318">
        <f>IF(PREVIOS!AG1318=1,1,VLOOKUP(PREVIOS!AG1318,CALIFICACION!A:C,3,FALSE))</f>
        <v>1</v>
      </c>
      <c r="H1318" s="1" t="s">
        <v>534</v>
      </c>
      <c r="I1318" s="1" t="s">
        <v>534</v>
      </c>
      <c r="J1318">
        <f>VLOOKUP(PREVIOS!F1318&amp;VLOOKUP(PREVIOS!I1318,PLAN!A:B,2,FALSE),CURSO!A:D,4,FALSE)</f>
        <v>19</v>
      </c>
      <c r="K1318">
        <f>VLOOKUP(PREVIOS!H1318,CICLO!A:B,2,FALSE)</f>
        <v>54</v>
      </c>
      <c r="L1318">
        <f>VLOOKUP(PREVIOS!I1318,PLAN!A:B,2,FALSE)</f>
        <v>5</v>
      </c>
    </row>
    <row r="1319" spans="1:12" x14ac:dyDescent="0.25">
      <c r="A1319" t="str">
        <f t="shared" si="20"/>
        <v>A500M245C1</v>
      </c>
      <c r="C1319">
        <v>1318</v>
      </c>
      <c r="D1319">
        <f>VLOOKUP(PREVIOS!C1319,ALUMNOS!A:B,2,FALSE)</f>
        <v>500</v>
      </c>
      <c r="E1319">
        <f>VLOOKUP(PREVIOS!E1319&amp;'TABLA PREVIOS'!J1319,MATERIAS!A:H,7,FALSE)</f>
        <v>245</v>
      </c>
      <c r="F1319">
        <f>VLOOKUP(PREVIOS!G1319,CONDICION!A:B,2,FALSE)</f>
        <v>1</v>
      </c>
      <c r="G1319">
        <f>IF(PREVIOS!AG1319=1,1,VLOOKUP(PREVIOS!AG1319,CALIFICACION!A:C,3,FALSE))</f>
        <v>1</v>
      </c>
      <c r="H1319" s="1" t="s">
        <v>534</v>
      </c>
      <c r="I1319" s="1" t="s">
        <v>534</v>
      </c>
      <c r="J1319">
        <f>VLOOKUP(PREVIOS!F1319&amp;VLOOKUP(PREVIOS!I1319,PLAN!A:B,2,FALSE),CURSO!A:D,4,FALSE)</f>
        <v>19</v>
      </c>
      <c r="K1319">
        <f>VLOOKUP(PREVIOS!H1319,CICLO!A:B,2,FALSE)</f>
        <v>54</v>
      </c>
      <c r="L1319">
        <f>VLOOKUP(PREVIOS!I1319,PLAN!A:B,2,FALSE)</f>
        <v>5</v>
      </c>
    </row>
    <row r="1320" spans="1:12" x14ac:dyDescent="0.25">
      <c r="A1320" t="str">
        <f t="shared" si="20"/>
        <v>A500M259C1</v>
      </c>
      <c r="C1320">
        <v>1319</v>
      </c>
      <c r="D1320">
        <f>VLOOKUP(PREVIOS!C1320,ALUMNOS!A:B,2,FALSE)</f>
        <v>500</v>
      </c>
      <c r="E1320">
        <f>VLOOKUP(PREVIOS!E1320&amp;'TABLA PREVIOS'!J1320,MATERIAS!A:H,7,FALSE)</f>
        <v>259</v>
      </c>
      <c r="F1320">
        <f>VLOOKUP(PREVIOS!G1320,CONDICION!A:B,2,FALSE)</f>
        <v>1</v>
      </c>
      <c r="G1320">
        <f>IF(PREVIOS!AG1320=1,1,VLOOKUP(PREVIOS!AG1320,CALIFICACION!A:C,3,FALSE))</f>
        <v>1</v>
      </c>
      <c r="H1320" s="1" t="s">
        <v>534</v>
      </c>
      <c r="I1320" s="1" t="s">
        <v>534</v>
      </c>
      <c r="J1320">
        <f>VLOOKUP(PREVIOS!F1320&amp;VLOOKUP(PREVIOS!I1320,PLAN!A:B,2,FALSE),CURSO!A:D,4,FALSE)</f>
        <v>20</v>
      </c>
      <c r="K1320">
        <f>VLOOKUP(PREVIOS!H1320,CICLO!A:B,2,FALSE)</f>
        <v>55</v>
      </c>
      <c r="L1320">
        <f>VLOOKUP(PREVIOS!I1320,PLAN!A:B,2,FALSE)</f>
        <v>6</v>
      </c>
    </row>
    <row r="1321" spans="1:12" x14ac:dyDescent="0.25">
      <c r="A1321" t="str">
        <f t="shared" si="20"/>
        <v>A500M265C1</v>
      </c>
      <c r="C1321">
        <v>1320</v>
      </c>
      <c r="D1321">
        <f>VLOOKUP(PREVIOS!C1321,ALUMNOS!A:B,2,FALSE)</f>
        <v>500</v>
      </c>
      <c r="E1321">
        <f>VLOOKUP(PREVIOS!E1321&amp;'TABLA PREVIOS'!J1321,MATERIAS!A:H,7,FALSE)</f>
        <v>265</v>
      </c>
      <c r="F1321">
        <f>VLOOKUP(PREVIOS!G1321,CONDICION!A:B,2,FALSE)</f>
        <v>1</v>
      </c>
      <c r="G1321">
        <f>IF(PREVIOS!AG1321=1,1,VLOOKUP(PREVIOS!AG1321,CALIFICACION!A:C,3,FALSE))</f>
        <v>1</v>
      </c>
      <c r="H1321" s="1" t="s">
        <v>534</v>
      </c>
      <c r="I1321" s="1" t="s">
        <v>534</v>
      </c>
      <c r="J1321">
        <f>VLOOKUP(PREVIOS!F1321&amp;VLOOKUP(PREVIOS!I1321,PLAN!A:B,2,FALSE),CURSO!A:D,4,FALSE)</f>
        <v>21</v>
      </c>
      <c r="K1321">
        <f>VLOOKUP(PREVIOS!H1321,CICLO!A:B,2,FALSE)</f>
        <v>56</v>
      </c>
      <c r="L1321">
        <f>VLOOKUP(PREVIOS!I1321,PLAN!A:B,2,FALSE)</f>
        <v>6</v>
      </c>
    </row>
    <row r="1322" spans="1:12" x14ac:dyDescent="0.25">
      <c r="A1322" t="str">
        <f t="shared" si="20"/>
        <v>A500M273C1</v>
      </c>
      <c r="C1322">
        <v>1321</v>
      </c>
      <c r="D1322">
        <f>VLOOKUP(PREVIOS!C1322,ALUMNOS!A:B,2,FALSE)</f>
        <v>500</v>
      </c>
      <c r="E1322">
        <f>VLOOKUP(PREVIOS!E1322&amp;'TABLA PREVIOS'!J1322,MATERIAS!A:H,7,FALSE)</f>
        <v>273</v>
      </c>
      <c r="F1322">
        <f>VLOOKUP(PREVIOS!G1322,CONDICION!A:B,2,FALSE)</f>
        <v>1</v>
      </c>
      <c r="G1322">
        <f>IF(PREVIOS!AG1322=1,1,VLOOKUP(PREVIOS!AG1322,CALIFICACION!A:C,3,FALSE))</f>
        <v>1</v>
      </c>
      <c r="H1322" s="1" t="s">
        <v>534</v>
      </c>
      <c r="I1322" s="1" t="s">
        <v>534</v>
      </c>
      <c r="J1322">
        <f>VLOOKUP(PREVIOS!F1322&amp;VLOOKUP(PREVIOS!I1322,PLAN!A:B,2,FALSE),CURSO!A:D,4,FALSE)</f>
        <v>21</v>
      </c>
      <c r="K1322">
        <f>VLOOKUP(PREVIOS!H1322,CICLO!A:B,2,FALSE)</f>
        <v>56</v>
      </c>
      <c r="L1322">
        <f>VLOOKUP(PREVIOS!I1322,PLAN!A:B,2,FALSE)</f>
        <v>6</v>
      </c>
    </row>
    <row r="1323" spans="1:12" x14ac:dyDescent="0.25">
      <c r="A1323" t="str">
        <f t="shared" si="20"/>
        <v>A502M260C1</v>
      </c>
      <c r="C1323">
        <v>1322</v>
      </c>
      <c r="D1323">
        <f>VLOOKUP(PREVIOS!C1323,ALUMNOS!A:B,2,FALSE)</f>
        <v>502</v>
      </c>
      <c r="E1323">
        <f>VLOOKUP(PREVIOS!E1323&amp;'TABLA PREVIOS'!J1323,MATERIAS!A:H,7,FALSE)</f>
        <v>260</v>
      </c>
      <c r="F1323">
        <f>VLOOKUP(PREVIOS!G1323,CONDICION!A:B,2,FALSE)</f>
        <v>1</v>
      </c>
      <c r="G1323">
        <f>IF(PREVIOS!AG1323=1,1,VLOOKUP(PREVIOS!AG1323,CALIFICACION!A:C,3,FALSE))</f>
        <v>1</v>
      </c>
      <c r="H1323" s="1" t="s">
        <v>534</v>
      </c>
      <c r="I1323" s="1" t="s">
        <v>534</v>
      </c>
      <c r="J1323">
        <f>VLOOKUP(PREVIOS!F1323&amp;VLOOKUP(PREVIOS!I1323,PLAN!A:B,2,FALSE),CURSO!A:D,4,FALSE)</f>
        <v>20</v>
      </c>
      <c r="K1323">
        <f>VLOOKUP(PREVIOS!H1323,CICLO!A:B,2,FALSE)</f>
        <v>54</v>
      </c>
      <c r="L1323">
        <f>VLOOKUP(PREVIOS!I1323,PLAN!A:B,2,FALSE)</f>
        <v>6</v>
      </c>
    </row>
    <row r="1324" spans="1:12" x14ac:dyDescent="0.25">
      <c r="A1324" t="str">
        <f t="shared" si="20"/>
        <v>A502M262C1</v>
      </c>
      <c r="C1324">
        <v>1323</v>
      </c>
      <c r="D1324">
        <f>VLOOKUP(PREVIOS!C1324,ALUMNOS!A:B,2,FALSE)</f>
        <v>502</v>
      </c>
      <c r="E1324">
        <f>VLOOKUP(PREVIOS!E1324&amp;'TABLA PREVIOS'!J1324,MATERIAS!A:H,7,FALSE)</f>
        <v>262</v>
      </c>
      <c r="F1324">
        <f>VLOOKUP(PREVIOS!G1324,CONDICION!A:B,2,FALSE)</f>
        <v>1</v>
      </c>
      <c r="G1324">
        <f>IF(PREVIOS!AG1324=1,1,VLOOKUP(PREVIOS!AG1324,CALIFICACION!A:C,3,FALSE))</f>
        <v>1</v>
      </c>
      <c r="H1324" s="1" t="s">
        <v>534</v>
      </c>
      <c r="I1324" s="1" t="s">
        <v>534</v>
      </c>
      <c r="J1324">
        <f>VLOOKUP(PREVIOS!F1324&amp;VLOOKUP(PREVIOS!I1324,PLAN!A:B,2,FALSE),CURSO!A:D,4,FALSE)</f>
        <v>20</v>
      </c>
      <c r="K1324">
        <f>VLOOKUP(PREVIOS!H1324,CICLO!A:B,2,FALSE)</f>
        <v>54</v>
      </c>
      <c r="L1324">
        <f>VLOOKUP(PREVIOS!I1324,PLAN!A:B,2,FALSE)</f>
        <v>6</v>
      </c>
    </row>
    <row r="1325" spans="1:12" x14ac:dyDescent="0.25">
      <c r="A1325" t="str">
        <f t="shared" si="20"/>
        <v>A502M253C1</v>
      </c>
      <c r="C1325">
        <v>1324</v>
      </c>
      <c r="D1325">
        <f>VLOOKUP(PREVIOS!C1325,ALUMNOS!A:B,2,FALSE)</f>
        <v>502</v>
      </c>
      <c r="E1325">
        <f>VLOOKUP(PREVIOS!E1325&amp;'TABLA PREVIOS'!J1325,MATERIAS!A:H,7,FALSE)</f>
        <v>253</v>
      </c>
      <c r="F1325">
        <f>VLOOKUP(PREVIOS!G1325,CONDICION!A:B,2,FALSE)</f>
        <v>1</v>
      </c>
      <c r="G1325">
        <f>IF(PREVIOS!AG1325=1,1,VLOOKUP(PREVIOS!AG1325,CALIFICACION!A:C,3,FALSE))</f>
        <v>1</v>
      </c>
      <c r="H1325" s="1" t="s">
        <v>534</v>
      </c>
      <c r="I1325" s="1" t="s">
        <v>534</v>
      </c>
      <c r="J1325">
        <f>VLOOKUP(PREVIOS!F1325&amp;VLOOKUP(PREVIOS!I1325,PLAN!A:B,2,FALSE),CURSO!A:D,4,FALSE)</f>
        <v>20</v>
      </c>
      <c r="K1325">
        <f>VLOOKUP(PREVIOS!H1325,CICLO!A:B,2,FALSE)</f>
        <v>54</v>
      </c>
      <c r="L1325">
        <f>VLOOKUP(PREVIOS!I1325,PLAN!A:B,2,FALSE)</f>
        <v>6</v>
      </c>
    </row>
    <row r="1326" spans="1:12" x14ac:dyDescent="0.25">
      <c r="A1326" t="str">
        <f t="shared" si="20"/>
        <v>A502M261C1</v>
      </c>
      <c r="C1326">
        <v>1325</v>
      </c>
      <c r="D1326">
        <f>VLOOKUP(PREVIOS!C1326,ALUMNOS!A:B,2,FALSE)</f>
        <v>502</v>
      </c>
      <c r="E1326">
        <f>VLOOKUP(PREVIOS!E1326&amp;'TABLA PREVIOS'!J1326,MATERIAS!A:H,7,FALSE)</f>
        <v>261</v>
      </c>
      <c r="F1326">
        <f>VLOOKUP(PREVIOS!G1326,CONDICION!A:B,2,FALSE)</f>
        <v>1</v>
      </c>
      <c r="G1326">
        <f>IF(PREVIOS!AG1326=1,1,VLOOKUP(PREVIOS!AG1326,CALIFICACION!A:C,3,FALSE))</f>
        <v>1</v>
      </c>
      <c r="H1326" s="1" t="s">
        <v>534</v>
      </c>
      <c r="I1326" s="1" t="s">
        <v>534</v>
      </c>
      <c r="J1326">
        <f>VLOOKUP(PREVIOS!F1326&amp;VLOOKUP(PREVIOS!I1326,PLAN!A:B,2,FALSE),CURSO!A:D,4,FALSE)</f>
        <v>20</v>
      </c>
      <c r="K1326">
        <f>VLOOKUP(PREVIOS!H1326,CICLO!A:B,2,FALSE)</f>
        <v>54</v>
      </c>
      <c r="L1326">
        <f>VLOOKUP(PREVIOS!I1326,PLAN!A:B,2,FALSE)</f>
        <v>6</v>
      </c>
    </row>
    <row r="1327" spans="1:12" x14ac:dyDescent="0.25">
      <c r="A1327" t="str">
        <f t="shared" si="20"/>
        <v>A502M254C1</v>
      </c>
      <c r="C1327">
        <v>1326</v>
      </c>
      <c r="D1327">
        <f>VLOOKUP(PREVIOS!C1327,ALUMNOS!A:B,2,FALSE)</f>
        <v>502</v>
      </c>
      <c r="E1327">
        <f>VLOOKUP(PREVIOS!E1327&amp;'TABLA PREVIOS'!J1327,MATERIAS!A:H,7,FALSE)</f>
        <v>254</v>
      </c>
      <c r="F1327">
        <f>VLOOKUP(PREVIOS!G1327,CONDICION!A:B,2,FALSE)</f>
        <v>1</v>
      </c>
      <c r="G1327">
        <f>IF(PREVIOS!AG1327=1,1,VLOOKUP(PREVIOS!AG1327,CALIFICACION!A:C,3,FALSE))</f>
        <v>1</v>
      </c>
      <c r="H1327" s="1" t="s">
        <v>534</v>
      </c>
      <c r="I1327" s="1" t="s">
        <v>534</v>
      </c>
      <c r="J1327">
        <f>VLOOKUP(PREVIOS!F1327&amp;VLOOKUP(PREVIOS!I1327,PLAN!A:B,2,FALSE),CURSO!A:D,4,FALSE)</f>
        <v>20</v>
      </c>
      <c r="K1327">
        <f>VLOOKUP(PREVIOS!H1327,CICLO!A:B,2,FALSE)</f>
        <v>54</v>
      </c>
      <c r="L1327">
        <f>VLOOKUP(PREVIOS!I1327,PLAN!A:B,2,FALSE)</f>
        <v>6</v>
      </c>
    </row>
    <row r="1328" spans="1:12" x14ac:dyDescent="0.25">
      <c r="A1328" t="str">
        <f t="shared" si="20"/>
        <v>A502M255C1</v>
      </c>
      <c r="C1328">
        <v>1327</v>
      </c>
      <c r="D1328">
        <f>VLOOKUP(PREVIOS!C1328,ALUMNOS!A:B,2,FALSE)</f>
        <v>502</v>
      </c>
      <c r="E1328">
        <f>VLOOKUP(PREVIOS!E1328&amp;'TABLA PREVIOS'!J1328,MATERIAS!A:H,7,FALSE)</f>
        <v>255</v>
      </c>
      <c r="F1328">
        <f>VLOOKUP(PREVIOS!G1328,CONDICION!A:B,2,FALSE)</f>
        <v>1</v>
      </c>
      <c r="G1328">
        <f>IF(PREVIOS!AG1328=1,1,VLOOKUP(PREVIOS!AG1328,CALIFICACION!A:C,3,FALSE))</f>
        <v>1</v>
      </c>
      <c r="H1328" s="1" t="s">
        <v>534</v>
      </c>
      <c r="I1328" s="1" t="s">
        <v>534</v>
      </c>
      <c r="J1328">
        <f>VLOOKUP(PREVIOS!F1328&amp;VLOOKUP(PREVIOS!I1328,PLAN!A:B,2,FALSE),CURSO!A:D,4,FALSE)</f>
        <v>20</v>
      </c>
      <c r="K1328">
        <f>VLOOKUP(PREVIOS!H1328,CICLO!A:B,2,FALSE)</f>
        <v>54</v>
      </c>
      <c r="L1328">
        <f>VLOOKUP(PREVIOS!I1328,PLAN!A:B,2,FALSE)</f>
        <v>6</v>
      </c>
    </row>
    <row r="1329" spans="1:12" x14ac:dyDescent="0.25">
      <c r="A1329" t="str">
        <f t="shared" si="20"/>
        <v>A502M259C1</v>
      </c>
      <c r="C1329">
        <v>1328</v>
      </c>
      <c r="D1329">
        <f>VLOOKUP(PREVIOS!C1329,ALUMNOS!A:B,2,FALSE)</f>
        <v>502</v>
      </c>
      <c r="E1329">
        <f>VLOOKUP(PREVIOS!E1329&amp;'TABLA PREVIOS'!J1329,MATERIAS!A:H,7,FALSE)</f>
        <v>259</v>
      </c>
      <c r="F1329">
        <f>VLOOKUP(PREVIOS!G1329,CONDICION!A:B,2,FALSE)</f>
        <v>1</v>
      </c>
      <c r="G1329">
        <f>IF(PREVIOS!AG1329=1,1,VLOOKUP(PREVIOS!AG1329,CALIFICACION!A:C,3,FALSE))</f>
        <v>1</v>
      </c>
      <c r="H1329" s="1" t="s">
        <v>534</v>
      </c>
      <c r="I1329" s="1" t="s">
        <v>534</v>
      </c>
      <c r="J1329">
        <f>VLOOKUP(PREVIOS!F1329&amp;VLOOKUP(PREVIOS!I1329,PLAN!A:B,2,FALSE),CURSO!A:D,4,FALSE)</f>
        <v>20</v>
      </c>
      <c r="K1329">
        <f>VLOOKUP(PREVIOS!H1329,CICLO!A:B,2,FALSE)</f>
        <v>54</v>
      </c>
      <c r="L1329">
        <f>VLOOKUP(PREVIOS!I1329,PLAN!A:B,2,FALSE)</f>
        <v>6</v>
      </c>
    </row>
    <row r="1330" spans="1:12" x14ac:dyDescent="0.25">
      <c r="A1330" t="str">
        <f t="shared" si="20"/>
        <v>A514M234C1</v>
      </c>
      <c r="C1330">
        <v>1329</v>
      </c>
      <c r="D1330">
        <f>VLOOKUP(PREVIOS!C1330,ALUMNOS!A:B,2,FALSE)</f>
        <v>514</v>
      </c>
      <c r="E1330">
        <f>VLOOKUP(PREVIOS!E1330&amp;'TABLA PREVIOS'!J1330,MATERIAS!A:H,7,FALSE)</f>
        <v>234</v>
      </c>
      <c r="F1330">
        <f>VLOOKUP(PREVIOS!G1330,CONDICION!A:B,2,FALSE)</f>
        <v>1</v>
      </c>
      <c r="G1330">
        <f>IF(PREVIOS!AG1330=1,1,VLOOKUP(PREVIOS!AG1330,CALIFICACION!A:C,3,FALSE))</f>
        <v>1</v>
      </c>
      <c r="H1330" s="1" t="s">
        <v>534</v>
      </c>
      <c r="I1330" s="1" t="s">
        <v>534</v>
      </c>
      <c r="J1330">
        <f>VLOOKUP(PREVIOS!F1330&amp;VLOOKUP(PREVIOS!I1330,PLAN!A:B,2,FALSE),CURSO!A:D,4,FALSE)</f>
        <v>18</v>
      </c>
      <c r="K1330">
        <f>VLOOKUP(PREVIOS!H1330,CICLO!A:B,2,FALSE)</f>
        <v>52</v>
      </c>
      <c r="L1330">
        <f>VLOOKUP(PREVIOS!I1330,PLAN!A:B,2,FALSE)</f>
        <v>5</v>
      </c>
    </row>
    <row r="1331" spans="1:12" x14ac:dyDescent="0.25">
      <c r="A1331" t="str">
        <f t="shared" si="20"/>
        <v>A514M245C1</v>
      </c>
      <c r="C1331">
        <v>1330</v>
      </c>
      <c r="D1331">
        <f>VLOOKUP(PREVIOS!C1331,ALUMNOS!A:B,2,FALSE)</f>
        <v>514</v>
      </c>
      <c r="E1331">
        <f>VLOOKUP(PREVIOS!E1331&amp;'TABLA PREVIOS'!J1331,MATERIAS!A:H,7,FALSE)</f>
        <v>245</v>
      </c>
      <c r="F1331">
        <f>VLOOKUP(PREVIOS!G1331,CONDICION!A:B,2,FALSE)</f>
        <v>1</v>
      </c>
      <c r="G1331">
        <f>IF(PREVIOS!AG1331=1,1,VLOOKUP(PREVIOS!AG1331,CALIFICACION!A:C,3,FALSE))</f>
        <v>1</v>
      </c>
      <c r="H1331" s="1" t="s">
        <v>534</v>
      </c>
      <c r="I1331" s="1" t="s">
        <v>534</v>
      </c>
      <c r="J1331">
        <f>VLOOKUP(PREVIOS!F1331&amp;VLOOKUP(PREVIOS!I1331,PLAN!A:B,2,FALSE),CURSO!A:D,4,FALSE)</f>
        <v>19</v>
      </c>
      <c r="K1331">
        <f>VLOOKUP(PREVIOS!H1331,CICLO!A:B,2,FALSE)</f>
        <v>53</v>
      </c>
      <c r="L1331">
        <f>VLOOKUP(PREVIOS!I1331,PLAN!A:B,2,FALSE)</f>
        <v>5</v>
      </c>
    </row>
    <row r="1332" spans="1:12" x14ac:dyDescent="0.25">
      <c r="A1332" t="str">
        <f t="shared" si="20"/>
        <v>A517M244C1</v>
      </c>
      <c r="C1332">
        <v>1331</v>
      </c>
      <c r="D1332">
        <f>VLOOKUP(PREVIOS!C1332,ALUMNOS!A:B,2,FALSE)</f>
        <v>517</v>
      </c>
      <c r="E1332">
        <f>VLOOKUP(PREVIOS!E1332&amp;'TABLA PREVIOS'!J1332,MATERIAS!A:H,7,FALSE)</f>
        <v>244</v>
      </c>
      <c r="F1332">
        <f>VLOOKUP(PREVIOS!G1332,CONDICION!A:B,2,FALSE)</f>
        <v>1</v>
      </c>
      <c r="G1332">
        <f>IF(PREVIOS!AG1332=1,1,VLOOKUP(PREVIOS!AG1332,CALIFICACION!A:C,3,FALSE))</f>
        <v>1</v>
      </c>
      <c r="H1332" s="1" t="s">
        <v>534</v>
      </c>
      <c r="I1332" s="1" t="s">
        <v>534</v>
      </c>
      <c r="J1332">
        <f>VLOOKUP(PREVIOS!F1332&amp;VLOOKUP(PREVIOS!I1332,PLAN!A:B,2,FALSE),CURSO!A:D,4,FALSE)</f>
        <v>19</v>
      </c>
      <c r="K1332">
        <f>VLOOKUP(PREVIOS!H1332,CICLO!A:B,2,FALSE)</f>
        <v>53</v>
      </c>
      <c r="L1332">
        <f>VLOOKUP(PREVIOS!I1332,PLAN!A:B,2,FALSE)</f>
        <v>5</v>
      </c>
    </row>
    <row r="1333" spans="1:12" x14ac:dyDescent="0.25">
      <c r="A1333" t="str">
        <f t="shared" si="20"/>
        <v>A517M245C1</v>
      </c>
      <c r="C1333">
        <v>1332</v>
      </c>
      <c r="D1333">
        <f>VLOOKUP(PREVIOS!C1333,ALUMNOS!A:B,2,FALSE)</f>
        <v>517</v>
      </c>
      <c r="E1333">
        <f>VLOOKUP(PREVIOS!E1333&amp;'TABLA PREVIOS'!J1333,MATERIAS!A:H,7,FALSE)</f>
        <v>245</v>
      </c>
      <c r="F1333">
        <f>VLOOKUP(PREVIOS!G1333,CONDICION!A:B,2,FALSE)</f>
        <v>1</v>
      </c>
      <c r="G1333">
        <f>IF(PREVIOS!AG1333=1,1,VLOOKUP(PREVIOS!AG1333,CALIFICACION!A:C,3,FALSE))</f>
        <v>1</v>
      </c>
      <c r="H1333" s="1" t="s">
        <v>534</v>
      </c>
      <c r="I1333" s="1" t="s">
        <v>534</v>
      </c>
      <c r="J1333">
        <f>VLOOKUP(PREVIOS!F1333&amp;VLOOKUP(PREVIOS!I1333,PLAN!A:B,2,FALSE),CURSO!A:D,4,FALSE)</f>
        <v>19</v>
      </c>
      <c r="K1333">
        <f>VLOOKUP(PREVIOS!H1333,CICLO!A:B,2,FALSE)</f>
        <v>53</v>
      </c>
      <c r="L1333">
        <f>VLOOKUP(PREVIOS!I1333,PLAN!A:B,2,FALSE)</f>
        <v>5</v>
      </c>
    </row>
    <row r="1334" spans="1:12" x14ac:dyDescent="0.25">
      <c r="A1334" t="str">
        <f t="shared" si="20"/>
        <v>A527M220C1</v>
      </c>
      <c r="C1334">
        <v>1333</v>
      </c>
      <c r="D1334">
        <f>VLOOKUP(PREVIOS!C1334,ALUMNOS!A:B,2,FALSE)</f>
        <v>527</v>
      </c>
      <c r="E1334">
        <f>VLOOKUP(PREVIOS!E1334&amp;'TABLA PREVIOS'!J1334,MATERIAS!A:H,7,FALSE)</f>
        <v>220</v>
      </c>
      <c r="F1334">
        <f>VLOOKUP(PREVIOS!G1334,CONDICION!A:B,2,FALSE)</f>
        <v>1</v>
      </c>
      <c r="G1334">
        <f>IF(PREVIOS!AG1334=1,1,VLOOKUP(PREVIOS!AG1334,CALIFICACION!A:C,3,FALSE))</f>
        <v>1</v>
      </c>
      <c r="H1334" s="1" t="s">
        <v>534</v>
      </c>
      <c r="I1334" s="1" t="s">
        <v>534</v>
      </c>
      <c r="J1334">
        <f>VLOOKUP(PREVIOS!F1334&amp;VLOOKUP(PREVIOS!I1334,PLAN!A:B,2,FALSE),CURSO!A:D,4,FALSE)</f>
        <v>17</v>
      </c>
      <c r="K1334">
        <f>VLOOKUP(PREVIOS!H1334,CICLO!A:B,2,FALSE)</f>
        <v>54</v>
      </c>
      <c r="L1334">
        <f>VLOOKUP(PREVIOS!I1334,PLAN!A:B,2,FALSE)</f>
        <v>5</v>
      </c>
    </row>
    <row r="1335" spans="1:12" x14ac:dyDescent="0.25">
      <c r="A1335" t="str">
        <f t="shared" si="20"/>
        <v>A531M240C1</v>
      </c>
      <c r="C1335">
        <v>1334</v>
      </c>
      <c r="D1335">
        <f>VLOOKUP(PREVIOS!C1335,ALUMNOS!A:B,2,FALSE)</f>
        <v>531</v>
      </c>
      <c r="E1335">
        <f>VLOOKUP(PREVIOS!E1335&amp;'TABLA PREVIOS'!J1335,MATERIAS!A:H,7,FALSE)</f>
        <v>240</v>
      </c>
      <c r="F1335">
        <f>VLOOKUP(PREVIOS!G1335,CONDICION!A:B,2,FALSE)</f>
        <v>1</v>
      </c>
      <c r="G1335">
        <f>IF(PREVIOS!AG1335=1,1,VLOOKUP(PREVIOS!AG1335,CALIFICACION!A:C,3,FALSE))</f>
        <v>1</v>
      </c>
      <c r="H1335" s="1" t="s">
        <v>534</v>
      </c>
      <c r="I1335" s="1" t="s">
        <v>534</v>
      </c>
      <c r="J1335">
        <f>VLOOKUP(PREVIOS!F1335&amp;VLOOKUP(PREVIOS!I1335,PLAN!A:B,2,FALSE),CURSO!A:D,4,FALSE)</f>
        <v>19</v>
      </c>
      <c r="K1335">
        <f>VLOOKUP(PREVIOS!H1335,CICLO!A:B,2,FALSE)</f>
        <v>55</v>
      </c>
      <c r="L1335">
        <f>VLOOKUP(PREVIOS!I1335,PLAN!A:B,2,FALSE)</f>
        <v>5</v>
      </c>
    </row>
    <row r="1336" spans="1:12" x14ac:dyDescent="0.25">
      <c r="A1336" t="str">
        <f t="shared" si="20"/>
        <v>A544M261C1</v>
      </c>
      <c r="C1336">
        <v>1335</v>
      </c>
      <c r="D1336">
        <f>VLOOKUP(PREVIOS!C1336,ALUMNOS!A:B,2,FALSE)</f>
        <v>544</v>
      </c>
      <c r="E1336">
        <f>VLOOKUP(PREVIOS!E1336&amp;'TABLA PREVIOS'!J1336,MATERIAS!A:H,7,FALSE)</f>
        <v>261</v>
      </c>
      <c r="F1336">
        <f>VLOOKUP(PREVIOS!G1336,CONDICION!A:B,2,FALSE)</f>
        <v>1</v>
      </c>
      <c r="G1336">
        <f>IF(PREVIOS!AG1336=1,1,VLOOKUP(PREVIOS!AG1336,CALIFICACION!A:C,3,FALSE))</f>
        <v>1</v>
      </c>
      <c r="H1336" s="1" t="s">
        <v>534</v>
      </c>
      <c r="I1336" s="1" t="s">
        <v>534</v>
      </c>
      <c r="J1336">
        <f>VLOOKUP(PREVIOS!F1336&amp;VLOOKUP(PREVIOS!I1336,PLAN!A:B,2,FALSE),CURSO!A:D,4,FALSE)</f>
        <v>20</v>
      </c>
      <c r="K1336">
        <f>VLOOKUP(PREVIOS!H1336,CICLO!A:B,2,FALSE)</f>
        <v>55</v>
      </c>
      <c r="L1336">
        <f>VLOOKUP(PREVIOS!I1336,PLAN!A:B,2,FALSE)</f>
        <v>6</v>
      </c>
    </row>
    <row r="1337" spans="1:12" x14ac:dyDescent="0.25">
      <c r="A1337" t="str">
        <f t="shared" si="20"/>
        <v>A544M256C1</v>
      </c>
      <c r="C1337">
        <v>1336</v>
      </c>
      <c r="D1337">
        <f>VLOOKUP(PREVIOS!C1337,ALUMNOS!A:B,2,FALSE)</f>
        <v>544</v>
      </c>
      <c r="E1337">
        <f>VLOOKUP(PREVIOS!E1337&amp;'TABLA PREVIOS'!J1337,MATERIAS!A:H,7,FALSE)</f>
        <v>256</v>
      </c>
      <c r="F1337">
        <f>VLOOKUP(PREVIOS!G1337,CONDICION!A:B,2,FALSE)</f>
        <v>1</v>
      </c>
      <c r="G1337">
        <f>IF(PREVIOS!AG1337=1,1,VLOOKUP(PREVIOS!AG1337,CALIFICACION!A:C,3,FALSE))</f>
        <v>1</v>
      </c>
      <c r="H1337" s="1" t="s">
        <v>534</v>
      </c>
      <c r="I1337" s="1" t="s">
        <v>534</v>
      </c>
      <c r="J1337">
        <f>VLOOKUP(PREVIOS!F1337&amp;VLOOKUP(PREVIOS!I1337,PLAN!A:B,2,FALSE),CURSO!A:D,4,FALSE)</f>
        <v>20</v>
      </c>
      <c r="K1337">
        <f>VLOOKUP(PREVIOS!H1337,CICLO!A:B,2,FALSE)</f>
        <v>55</v>
      </c>
      <c r="L1337">
        <f>VLOOKUP(PREVIOS!I1337,PLAN!A:B,2,FALSE)</f>
        <v>6</v>
      </c>
    </row>
    <row r="1338" spans="1:12" x14ac:dyDescent="0.25">
      <c r="A1338" t="str">
        <f t="shared" si="20"/>
        <v>A817M155C1</v>
      </c>
      <c r="C1338">
        <v>1337</v>
      </c>
      <c r="D1338">
        <f>VLOOKUP(PREVIOS!C1338,ALUMNOS!A:B,2,FALSE)</f>
        <v>817</v>
      </c>
      <c r="E1338">
        <f>VLOOKUP(PREVIOS!E1338&amp;'TABLA PREVIOS'!J1338,MATERIAS!A:H,7,FALSE)</f>
        <v>155</v>
      </c>
      <c r="F1338">
        <f>VLOOKUP(PREVIOS!G1338,CONDICION!A:B,2,FALSE)</f>
        <v>1</v>
      </c>
      <c r="G1338">
        <f>IF(PREVIOS!AG1338=1,1,VLOOKUP(PREVIOS!AG1338,CALIFICACION!A:C,3,FALSE))</f>
        <v>10</v>
      </c>
      <c r="H1338" s="1" t="s">
        <v>534</v>
      </c>
      <c r="I1338" s="1" t="s">
        <v>534</v>
      </c>
      <c r="J1338">
        <f>VLOOKUP(PREVIOS!F1338&amp;VLOOKUP(PREVIOS!I1338,PLAN!A:B,2,FALSE),CURSO!A:D,4,FALSE)</f>
        <v>13</v>
      </c>
      <c r="K1338">
        <f>VLOOKUP(PREVIOS!H1338,CICLO!A:B,2,FALSE)</f>
        <v>33</v>
      </c>
      <c r="L1338">
        <f>VLOOKUP(PREVIOS!I1338,PLAN!A:B,2,FALSE)</f>
        <v>3</v>
      </c>
    </row>
    <row r="1339" spans="1:12" x14ac:dyDescent="0.25">
      <c r="A1339" t="str">
        <f t="shared" si="20"/>
        <v>A817M187C1</v>
      </c>
      <c r="C1339">
        <v>1338</v>
      </c>
      <c r="D1339">
        <f>VLOOKUP(PREVIOS!C1339,ALUMNOS!A:B,2,FALSE)</f>
        <v>817</v>
      </c>
      <c r="E1339">
        <f>VLOOKUP(PREVIOS!E1339&amp;'TABLA PREVIOS'!J1339,MATERIAS!A:H,7,FALSE)</f>
        <v>187</v>
      </c>
      <c r="F1339">
        <f>VLOOKUP(PREVIOS!G1339,CONDICION!A:B,2,FALSE)</f>
        <v>1</v>
      </c>
      <c r="G1339">
        <f>IF(PREVIOS!AG1339=1,1,VLOOKUP(PREVIOS!AG1339,CALIFICACION!A:C,3,FALSE))</f>
        <v>9</v>
      </c>
      <c r="H1339" s="1" t="s">
        <v>534</v>
      </c>
      <c r="I1339" s="1" t="s">
        <v>534</v>
      </c>
      <c r="J1339">
        <f>VLOOKUP(PREVIOS!F1339&amp;VLOOKUP(PREVIOS!I1339,PLAN!A:B,2,FALSE),CURSO!A:D,4,FALSE)</f>
        <v>15</v>
      </c>
      <c r="K1339">
        <f>VLOOKUP(PREVIOS!H1339,CICLO!A:B,2,FALSE)</f>
        <v>35</v>
      </c>
      <c r="L1339">
        <f>VLOOKUP(PREVIOS!I1339,PLAN!A:B,2,FALSE)</f>
        <v>4</v>
      </c>
    </row>
    <row r="1340" spans="1:12" x14ac:dyDescent="0.25">
      <c r="A1340" t="str">
        <f t="shared" si="20"/>
        <v>A817M207C1</v>
      </c>
      <c r="C1340">
        <v>1339</v>
      </c>
      <c r="D1340">
        <f>VLOOKUP(PREVIOS!C1340,ALUMNOS!A:B,2,FALSE)</f>
        <v>817</v>
      </c>
      <c r="E1340">
        <f>VLOOKUP(PREVIOS!E1340&amp;'TABLA PREVIOS'!J1340,MATERIAS!A:H,7,FALSE)</f>
        <v>207</v>
      </c>
      <c r="F1340">
        <f>VLOOKUP(PREVIOS!G1340,CONDICION!A:B,2,FALSE)</f>
        <v>1</v>
      </c>
      <c r="G1340">
        <f>IF(PREVIOS!AG1340=1,1,VLOOKUP(PREVIOS!AG1340,CALIFICACION!A:C,3,FALSE))</f>
        <v>9</v>
      </c>
      <c r="H1340" s="1" t="s">
        <v>534</v>
      </c>
      <c r="I1340" s="1" t="s">
        <v>534</v>
      </c>
      <c r="J1340">
        <f>VLOOKUP(PREVIOS!F1340&amp;VLOOKUP(PREVIOS!I1340,PLAN!A:B,2,FALSE),CURSO!A:D,4,FALSE)</f>
        <v>16</v>
      </c>
      <c r="K1340">
        <f>VLOOKUP(PREVIOS!H1340,CICLO!A:B,2,FALSE)</f>
        <v>36</v>
      </c>
      <c r="L1340">
        <f>VLOOKUP(PREVIOS!I1340,PLAN!A:B,2,FALSE)</f>
        <v>4</v>
      </c>
    </row>
    <row r="1341" spans="1:12" x14ac:dyDescent="0.25">
      <c r="A1341" t="str">
        <f t="shared" si="20"/>
        <v>A566M241C1</v>
      </c>
      <c r="C1341">
        <v>1340</v>
      </c>
      <c r="D1341">
        <f>VLOOKUP(PREVIOS!C1341,ALUMNOS!A:B,2,FALSE)</f>
        <v>566</v>
      </c>
      <c r="E1341">
        <f>VLOOKUP(PREVIOS!E1341&amp;'TABLA PREVIOS'!J1341,MATERIAS!A:H,7,FALSE)</f>
        <v>241</v>
      </c>
      <c r="F1341">
        <f>VLOOKUP(PREVIOS!G1341,CONDICION!A:B,2,FALSE)</f>
        <v>1</v>
      </c>
      <c r="G1341">
        <f>IF(PREVIOS!AG1341=1,1,VLOOKUP(PREVIOS!AG1341,CALIFICACION!A:C,3,FALSE))</f>
        <v>1</v>
      </c>
      <c r="H1341" s="1" t="s">
        <v>534</v>
      </c>
      <c r="I1341" s="1" t="s">
        <v>534</v>
      </c>
      <c r="J1341">
        <f>VLOOKUP(PREVIOS!F1341&amp;VLOOKUP(PREVIOS!I1341,PLAN!A:B,2,FALSE),CURSO!A:D,4,FALSE)</f>
        <v>19</v>
      </c>
      <c r="K1341">
        <f>VLOOKUP(PREVIOS!H1341,CICLO!A:B,2,FALSE)</f>
        <v>53</v>
      </c>
      <c r="L1341">
        <f>VLOOKUP(PREVIOS!I1341,PLAN!A:B,2,FALSE)</f>
        <v>5</v>
      </c>
    </row>
    <row r="1342" spans="1:12" x14ac:dyDescent="0.25">
      <c r="A1342" t="str">
        <f t="shared" si="20"/>
        <v>A566M245C1</v>
      </c>
      <c r="C1342">
        <v>1341</v>
      </c>
      <c r="D1342">
        <f>VLOOKUP(PREVIOS!C1342,ALUMNOS!A:B,2,FALSE)</f>
        <v>566</v>
      </c>
      <c r="E1342">
        <f>VLOOKUP(PREVIOS!E1342&amp;'TABLA PREVIOS'!J1342,MATERIAS!A:H,7,FALSE)</f>
        <v>245</v>
      </c>
      <c r="F1342">
        <f>VLOOKUP(PREVIOS!G1342,CONDICION!A:B,2,FALSE)</f>
        <v>1</v>
      </c>
      <c r="G1342">
        <f>IF(PREVIOS!AG1342=1,1,VLOOKUP(PREVIOS!AG1342,CALIFICACION!A:C,3,FALSE))</f>
        <v>1</v>
      </c>
      <c r="H1342" s="1" t="s">
        <v>534</v>
      </c>
      <c r="I1342" s="1" t="s">
        <v>534</v>
      </c>
      <c r="J1342">
        <f>VLOOKUP(PREVIOS!F1342&amp;VLOOKUP(PREVIOS!I1342,PLAN!A:B,2,FALSE),CURSO!A:D,4,FALSE)</f>
        <v>19</v>
      </c>
      <c r="K1342">
        <f>VLOOKUP(PREVIOS!H1342,CICLO!A:B,2,FALSE)</f>
        <v>53</v>
      </c>
      <c r="L1342">
        <f>VLOOKUP(PREVIOS!I1342,PLAN!A:B,2,FALSE)</f>
        <v>5</v>
      </c>
    </row>
    <row r="1343" spans="1:12" x14ac:dyDescent="0.25">
      <c r="A1343" t="str">
        <f t="shared" si="20"/>
        <v>A566M240C1</v>
      </c>
      <c r="C1343">
        <v>1342</v>
      </c>
      <c r="D1343">
        <f>VLOOKUP(PREVIOS!C1343,ALUMNOS!A:B,2,FALSE)</f>
        <v>566</v>
      </c>
      <c r="E1343">
        <f>VLOOKUP(PREVIOS!E1343&amp;'TABLA PREVIOS'!J1343,MATERIAS!A:H,7,FALSE)</f>
        <v>240</v>
      </c>
      <c r="F1343">
        <f>VLOOKUP(PREVIOS!G1343,CONDICION!A:B,2,FALSE)</f>
        <v>1</v>
      </c>
      <c r="G1343">
        <f>IF(PREVIOS!AG1343=1,1,VLOOKUP(PREVIOS!AG1343,CALIFICACION!A:C,3,FALSE))</f>
        <v>1</v>
      </c>
      <c r="H1343" s="1" t="s">
        <v>534</v>
      </c>
      <c r="I1343" s="1" t="s">
        <v>534</v>
      </c>
      <c r="J1343">
        <f>VLOOKUP(PREVIOS!F1343&amp;VLOOKUP(PREVIOS!I1343,PLAN!A:B,2,FALSE),CURSO!A:D,4,FALSE)</f>
        <v>19</v>
      </c>
      <c r="K1343">
        <f>VLOOKUP(PREVIOS!H1343,CICLO!A:B,2,FALSE)</f>
        <v>53</v>
      </c>
      <c r="L1343">
        <f>VLOOKUP(PREVIOS!I1343,PLAN!A:B,2,FALSE)</f>
        <v>5</v>
      </c>
    </row>
    <row r="1344" spans="1:12" x14ac:dyDescent="0.25">
      <c r="A1344" t="str">
        <f t="shared" si="20"/>
        <v>A569M229C1</v>
      </c>
      <c r="C1344">
        <v>1343</v>
      </c>
      <c r="D1344">
        <f>VLOOKUP(PREVIOS!C1344,ALUMNOS!A:B,2,FALSE)</f>
        <v>569</v>
      </c>
      <c r="E1344">
        <f>VLOOKUP(PREVIOS!E1344&amp;'TABLA PREVIOS'!J1344,MATERIAS!A:H,7,FALSE)</f>
        <v>229</v>
      </c>
      <c r="F1344">
        <f>VLOOKUP(PREVIOS!G1344,CONDICION!A:B,2,FALSE)</f>
        <v>1</v>
      </c>
      <c r="G1344">
        <f>IF(PREVIOS!AG1344=1,1,VLOOKUP(PREVIOS!AG1344,CALIFICACION!A:C,3,FALSE))</f>
        <v>1</v>
      </c>
      <c r="H1344" s="1" t="s">
        <v>534</v>
      </c>
      <c r="I1344" s="1" t="s">
        <v>534</v>
      </c>
      <c r="J1344">
        <f>VLOOKUP(PREVIOS!F1344&amp;VLOOKUP(PREVIOS!I1344,PLAN!A:B,2,FALSE),CURSO!A:D,4,FALSE)</f>
        <v>18</v>
      </c>
      <c r="K1344">
        <f>VLOOKUP(PREVIOS!H1344,CICLO!A:B,2,FALSE)</f>
        <v>53</v>
      </c>
      <c r="L1344">
        <f>VLOOKUP(PREVIOS!I1344,PLAN!A:B,2,FALSE)</f>
        <v>5</v>
      </c>
    </row>
    <row r="1345" spans="1:12" x14ac:dyDescent="0.25">
      <c r="A1345" t="str">
        <f t="shared" si="20"/>
        <v>A577M233C1</v>
      </c>
      <c r="C1345">
        <v>1344</v>
      </c>
      <c r="D1345">
        <f>VLOOKUP(PREVIOS!C1345,ALUMNOS!A:B,2,FALSE)</f>
        <v>577</v>
      </c>
      <c r="E1345">
        <f>VLOOKUP(PREVIOS!E1345&amp;'TABLA PREVIOS'!J1345,MATERIAS!A:H,7,FALSE)</f>
        <v>233</v>
      </c>
      <c r="F1345">
        <f>VLOOKUP(PREVIOS!G1345,CONDICION!A:B,2,FALSE)</f>
        <v>1</v>
      </c>
      <c r="G1345">
        <f>IF(PREVIOS!AG1345=1,1,VLOOKUP(PREVIOS!AG1345,CALIFICACION!A:C,3,FALSE))</f>
        <v>1</v>
      </c>
      <c r="H1345" s="1" t="s">
        <v>534</v>
      </c>
      <c r="I1345" s="1" t="s">
        <v>534</v>
      </c>
      <c r="J1345">
        <f>VLOOKUP(PREVIOS!F1345&amp;VLOOKUP(PREVIOS!I1345,PLAN!A:B,2,FALSE),CURSO!A:D,4,FALSE)</f>
        <v>18</v>
      </c>
      <c r="K1345">
        <f>VLOOKUP(PREVIOS!H1345,CICLO!A:B,2,FALSE)</f>
        <v>52</v>
      </c>
      <c r="L1345">
        <f>VLOOKUP(PREVIOS!I1345,PLAN!A:B,2,FALSE)</f>
        <v>5</v>
      </c>
    </row>
    <row r="1346" spans="1:12" x14ac:dyDescent="0.25">
      <c r="A1346" t="str">
        <f t="shared" si="20"/>
        <v>A577M234C1</v>
      </c>
      <c r="C1346">
        <v>1345</v>
      </c>
      <c r="D1346">
        <f>VLOOKUP(PREVIOS!C1346,ALUMNOS!A:B,2,FALSE)</f>
        <v>577</v>
      </c>
      <c r="E1346">
        <f>VLOOKUP(PREVIOS!E1346&amp;'TABLA PREVIOS'!J1346,MATERIAS!A:H,7,FALSE)</f>
        <v>234</v>
      </c>
      <c r="F1346">
        <f>VLOOKUP(PREVIOS!G1346,CONDICION!A:B,2,FALSE)</f>
        <v>1</v>
      </c>
      <c r="G1346">
        <f>IF(PREVIOS!AG1346=1,1,VLOOKUP(PREVIOS!AG1346,CALIFICACION!A:C,3,FALSE))</f>
        <v>1</v>
      </c>
      <c r="H1346" s="1" t="s">
        <v>534</v>
      </c>
      <c r="I1346" s="1" t="s">
        <v>534</v>
      </c>
      <c r="J1346">
        <f>VLOOKUP(PREVIOS!F1346&amp;VLOOKUP(PREVIOS!I1346,PLAN!A:B,2,FALSE),CURSO!A:D,4,FALSE)</f>
        <v>18</v>
      </c>
      <c r="K1346">
        <f>VLOOKUP(PREVIOS!H1346,CICLO!A:B,2,FALSE)</f>
        <v>52</v>
      </c>
      <c r="L1346">
        <f>VLOOKUP(PREVIOS!I1346,PLAN!A:B,2,FALSE)</f>
        <v>5</v>
      </c>
    </row>
    <row r="1347" spans="1:12" x14ac:dyDescent="0.25">
      <c r="A1347" t="str">
        <f t="shared" ref="A1347:A1406" si="21">"A"&amp;D1347&amp;"M"&amp;E1347&amp;"C"&amp;F1347</f>
        <v>A577M245C1</v>
      </c>
      <c r="C1347">
        <v>1346</v>
      </c>
      <c r="D1347">
        <f>VLOOKUP(PREVIOS!C1347,ALUMNOS!A:B,2,FALSE)</f>
        <v>577</v>
      </c>
      <c r="E1347">
        <f>VLOOKUP(PREVIOS!E1347&amp;'TABLA PREVIOS'!J1347,MATERIAS!A:H,7,FALSE)</f>
        <v>245</v>
      </c>
      <c r="F1347">
        <f>VLOOKUP(PREVIOS!G1347,CONDICION!A:B,2,FALSE)</f>
        <v>1</v>
      </c>
      <c r="G1347">
        <f>IF(PREVIOS!AG1347=1,1,VLOOKUP(PREVIOS!AG1347,CALIFICACION!A:C,3,FALSE))</f>
        <v>1</v>
      </c>
      <c r="H1347" s="1" t="s">
        <v>534</v>
      </c>
      <c r="I1347" s="1" t="s">
        <v>534</v>
      </c>
      <c r="J1347">
        <f>VLOOKUP(PREVIOS!F1347&amp;VLOOKUP(PREVIOS!I1347,PLAN!A:B,2,FALSE),CURSO!A:D,4,FALSE)</f>
        <v>19</v>
      </c>
      <c r="K1347">
        <f>VLOOKUP(PREVIOS!H1347,CICLO!A:B,2,FALSE)</f>
        <v>53</v>
      </c>
      <c r="L1347">
        <f>VLOOKUP(PREVIOS!I1347,PLAN!A:B,2,FALSE)</f>
        <v>5</v>
      </c>
    </row>
    <row r="1348" spans="1:12" x14ac:dyDescent="0.25">
      <c r="A1348" t="str">
        <f t="shared" si="21"/>
        <v>A583M234C1</v>
      </c>
      <c r="C1348">
        <v>1347</v>
      </c>
      <c r="D1348">
        <f>VLOOKUP(PREVIOS!C1348,ALUMNOS!A:B,2,FALSE)</f>
        <v>583</v>
      </c>
      <c r="E1348">
        <f>VLOOKUP(PREVIOS!E1348&amp;'TABLA PREVIOS'!J1348,MATERIAS!A:H,7,FALSE)</f>
        <v>234</v>
      </c>
      <c r="F1348">
        <f>VLOOKUP(PREVIOS!G1348,CONDICION!A:B,2,FALSE)</f>
        <v>1</v>
      </c>
      <c r="G1348">
        <f>IF(PREVIOS!AG1348=1,1,VLOOKUP(PREVIOS!AG1348,CALIFICACION!A:C,3,FALSE))</f>
        <v>1</v>
      </c>
      <c r="H1348" s="1" t="s">
        <v>534</v>
      </c>
      <c r="I1348" s="1" t="s">
        <v>534</v>
      </c>
      <c r="J1348">
        <f>VLOOKUP(PREVIOS!F1348&amp;VLOOKUP(PREVIOS!I1348,PLAN!A:B,2,FALSE),CURSO!A:D,4,FALSE)</f>
        <v>18</v>
      </c>
      <c r="K1348">
        <f>VLOOKUP(PREVIOS!H1348,CICLO!A:B,2,FALSE)</f>
        <v>54</v>
      </c>
      <c r="L1348">
        <f>VLOOKUP(PREVIOS!I1348,PLAN!A:B,2,FALSE)</f>
        <v>5</v>
      </c>
    </row>
    <row r="1349" spans="1:12" x14ac:dyDescent="0.25">
      <c r="A1349" t="str">
        <f t="shared" si="21"/>
        <v>A583M230C1</v>
      </c>
      <c r="C1349">
        <v>1348</v>
      </c>
      <c r="D1349">
        <f>VLOOKUP(PREVIOS!C1349,ALUMNOS!A:B,2,FALSE)</f>
        <v>583</v>
      </c>
      <c r="E1349">
        <f>VLOOKUP(PREVIOS!E1349&amp;'TABLA PREVIOS'!J1349,MATERIAS!A:H,7,FALSE)</f>
        <v>230</v>
      </c>
      <c r="F1349">
        <f>VLOOKUP(PREVIOS!G1349,CONDICION!A:B,2,FALSE)</f>
        <v>1</v>
      </c>
      <c r="G1349">
        <f>IF(PREVIOS!AG1349=1,1,VLOOKUP(PREVIOS!AG1349,CALIFICACION!A:C,3,FALSE))</f>
        <v>1</v>
      </c>
      <c r="H1349" s="1" t="s">
        <v>534</v>
      </c>
      <c r="I1349" s="1" t="s">
        <v>534</v>
      </c>
      <c r="J1349">
        <f>VLOOKUP(PREVIOS!F1349&amp;VLOOKUP(PREVIOS!I1349,PLAN!A:B,2,FALSE),CURSO!A:D,4,FALSE)</f>
        <v>18</v>
      </c>
      <c r="K1349">
        <f>VLOOKUP(PREVIOS!H1349,CICLO!A:B,2,FALSE)</f>
        <v>54</v>
      </c>
      <c r="L1349">
        <f>VLOOKUP(PREVIOS!I1349,PLAN!A:B,2,FALSE)</f>
        <v>5</v>
      </c>
    </row>
    <row r="1350" spans="1:12" x14ac:dyDescent="0.25">
      <c r="A1350" t="str">
        <f t="shared" si="21"/>
        <v>A591M219C1</v>
      </c>
      <c r="C1350">
        <v>1349</v>
      </c>
      <c r="D1350">
        <f>VLOOKUP(PREVIOS!C1350,ALUMNOS!A:B,2,FALSE)</f>
        <v>591</v>
      </c>
      <c r="E1350">
        <f>VLOOKUP(PREVIOS!E1350&amp;'TABLA PREVIOS'!J1350,MATERIAS!A:H,7,FALSE)</f>
        <v>219</v>
      </c>
      <c r="F1350">
        <f>VLOOKUP(PREVIOS!G1350,CONDICION!A:B,2,FALSE)</f>
        <v>1</v>
      </c>
      <c r="G1350">
        <f>IF(PREVIOS!AG1350=1,1,VLOOKUP(PREVIOS!AG1350,CALIFICACION!A:C,3,FALSE))</f>
        <v>1</v>
      </c>
      <c r="H1350" s="1" t="s">
        <v>534</v>
      </c>
      <c r="I1350" s="1" t="s">
        <v>534</v>
      </c>
      <c r="J1350">
        <f>VLOOKUP(PREVIOS!F1350&amp;VLOOKUP(PREVIOS!I1350,PLAN!A:B,2,FALSE),CURSO!A:D,4,FALSE)</f>
        <v>17</v>
      </c>
      <c r="K1350">
        <f>VLOOKUP(PREVIOS!H1350,CICLO!A:B,2,FALSE)</f>
        <v>52</v>
      </c>
      <c r="L1350">
        <f>VLOOKUP(PREVIOS!I1350,PLAN!A:B,2,FALSE)</f>
        <v>5</v>
      </c>
    </row>
    <row r="1351" spans="1:12" x14ac:dyDescent="0.25">
      <c r="A1351" t="str">
        <f t="shared" si="21"/>
        <v>A591M240C1</v>
      </c>
      <c r="C1351">
        <v>1350</v>
      </c>
      <c r="D1351">
        <f>VLOOKUP(PREVIOS!C1351,ALUMNOS!A:B,2,FALSE)</f>
        <v>591</v>
      </c>
      <c r="E1351">
        <f>VLOOKUP(PREVIOS!E1351&amp;'TABLA PREVIOS'!J1351,MATERIAS!A:H,7,FALSE)</f>
        <v>240</v>
      </c>
      <c r="F1351">
        <f>VLOOKUP(PREVIOS!G1351,CONDICION!A:B,2,FALSE)</f>
        <v>1</v>
      </c>
      <c r="G1351">
        <f>IF(PREVIOS!AG1351=1,1,VLOOKUP(PREVIOS!AG1351,CALIFICACION!A:C,3,FALSE))</f>
        <v>1</v>
      </c>
      <c r="H1351" s="1" t="s">
        <v>534</v>
      </c>
      <c r="I1351" s="1" t="s">
        <v>534</v>
      </c>
      <c r="J1351">
        <f>VLOOKUP(PREVIOS!F1351&amp;VLOOKUP(PREVIOS!I1351,PLAN!A:B,2,FALSE),CURSO!A:D,4,FALSE)</f>
        <v>19</v>
      </c>
      <c r="K1351">
        <f>VLOOKUP(PREVIOS!H1351,CICLO!A:B,2,FALSE)</f>
        <v>54</v>
      </c>
      <c r="L1351">
        <f>VLOOKUP(PREVIOS!I1351,PLAN!A:B,2,FALSE)</f>
        <v>5</v>
      </c>
    </row>
    <row r="1352" spans="1:12" x14ac:dyDescent="0.25">
      <c r="A1352" t="str">
        <f t="shared" si="21"/>
        <v>A587M243C1</v>
      </c>
      <c r="C1352">
        <v>1351</v>
      </c>
      <c r="D1352">
        <f>VLOOKUP(PREVIOS!C1352,ALUMNOS!A:B,2,FALSE)</f>
        <v>587</v>
      </c>
      <c r="E1352">
        <f>VLOOKUP(PREVIOS!E1352&amp;'TABLA PREVIOS'!J1352,MATERIAS!A:H,7,FALSE)</f>
        <v>243</v>
      </c>
      <c r="F1352">
        <f>VLOOKUP(PREVIOS!G1352,CONDICION!A:B,2,FALSE)</f>
        <v>1</v>
      </c>
      <c r="G1352">
        <f>IF(PREVIOS!AG1352=1,1,VLOOKUP(PREVIOS!AG1352,CALIFICACION!A:C,3,FALSE))</f>
        <v>1</v>
      </c>
      <c r="H1352" s="1" t="s">
        <v>534</v>
      </c>
      <c r="I1352" s="1" t="s">
        <v>534</v>
      </c>
      <c r="J1352">
        <f>VLOOKUP(PREVIOS!F1352&amp;VLOOKUP(PREVIOS!I1352,PLAN!A:B,2,FALSE),CURSO!A:D,4,FALSE)</f>
        <v>19</v>
      </c>
      <c r="K1352">
        <f>VLOOKUP(PREVIOS!H1352,CICLO!A:B,2,FALSE)</f>
        <v>54</v>
      </c>
      <c r="L1352">
        <f>VLOOKUP(PREVIOS!I1352,PLAN!A:B,2,FALSE)</f>
        <v>5</v>
      </c>
    </row>
    <row r="1353" spans="1:12" x14ac:dyDescent="0.25">
      <c r="A1353" t="str">
        <f t="shared" si="21"/>
        <v>A587M244C1</v>
      </c>
      <c r="C1353">
        <v>1352</v>
      </c>
      <c r="D1353">
        <f>VLOOKUP(PREVIOS!C1353,ALUMNOS!A:B,2,FALSE)</f>
        <v>587</v>
      </c>
      <c r="E1353">
        <f>VLOOKUP(PREVIOS!E1353&amp;'TABLA PREVIOS'!J1353,MATERIAS!A:H,7,FALSE)</f>
        <v>244</v>
      </c>
      <c r="F1353">
        <f>VLOOKUP(PREVIOS!G1353,CONDICION!A:B,2,FALSE)</f>
        <v>1</v>
      </c>
      <c r="G1353">
        <f>IF(PREVIOS!AG1353=1,1,VLOOKUP(PREVIOS!AG1353,CALIFICACION!A:C,3,FALSE))</f>
        <v>1</v>
      </c>
      <c r="H1353" s="1" t="s">
        <v>534</v>
      </c>
      <c r="I1353" s="1" t="s">
        <v>534</v>
      </c>
      <c r="J1353">
        <f>VLOOKUP(PREVIOS!F1353&amp;VLOOKUP(PREVIOS!I1353,PLAN!A:B,2,FALSE),CURSO!A:D,4,FALSE)</f>
        <v>19</v>
      </c>
      <c r="K1353">
        <f>VLOOKUP(PREVIOS!H1353,CICLO!A:B,2,FALSE)</f>
        <v>54</v>
      </c>
      <c r="L1353">
        <f>VLOOKUP(PREVIOS!I1353,PLAN!A:B,2,FALSE)</f>
        <v>5</v>
      </c>
    </row>
    <row r="1354" spans="1:12" x14ac:dyDescent="0.25">
      <c r="A1354" t="str">
        <f t="shared" si="21"/>
        <v>A587M240C1</v>
      </c>
      <c r="C1354">
        <v>1353</v>
      </c>
      <c r="D1354">
        <f>VLOOKUP(PREVIOS!C1354,ALUMNOS!A:B,2,FALSE)</f>
        <v>587</v>
      </c>
      <c r="E1354">
        <f>VLOOKUP(PREVIOS!E1354&amp;'TABLA PREVIOS'!J1354,MATERIAS!A:H,7,FALSE)</f>
        <v>240</v>
      </c>
      <c r="F1354">
        <f>VLOOKUP(PREVIOS!G1354,CONDICION!A:B,2,FALSE)</f>
        <v>1</v>
      </c>
      <c r="G1354">
        <f>IF(PREVIOS!AG1354=1,1,VLOOKUP(PREVIOS!AG1354,CALIFICACION!A:C,3,FALSE))</f>
        <v>1</v>
      </c>
      <c r="H1354" s="1" t="s">
        <v>534</v>
      </c>
      <c r="I1354" s="1" t="s">
        <v>534</v>
      </c>
      <c r="J1354">
        <f>VLOOKUP(PREVIOS!F1354&amp;VLOOKUP(PREVIOS!I1354,PLAN!A:B,2,FALSE),CURSO!A:D,4,FALSE)</f>
        <v>19</v>
      </c>
      <c r="K1354">
        <f>VLOOKUP(PREVIOS!H1354,CICLO!A:B,2,FALSE)</f>
        <v>54</v>
      </c>
      <c r="L1354">
        <f>VLOOKUP(PREVIOS!I1354,PLAN!A:B,2,FALSE)</f>
        <v>5</v>
      </c>
    </row>
    <row r="1355" spans="1:12" x14ac:dyDescent="0.25">
      <c r="A1355" t="str">
        <f t="shared" si="21"/>
        <v>A599M234C1</v>
      </c>
      <c r="C1355">
        <v>1354</v>
      </c>
      <c r="D1355">
        <f>VLOOKUP(PREVIOS!C1355,ALUMNOS!A:B,2,FALSE)</f>
        <v>599</v>
      </c>
      <c r="E1355">
        <f>VLOOKUP(PREVIOS!E1355&amp;'TABLA PREVIOS'!J1355,MATERIAS!A:H,7,FALSE)</f>
        <v>234</v>
      </c>
      <c r="F1355">
        <f>VLOOKUP(PREVIOS!G1355,CONDICION!A:B,2,FALSE)</f>
        <v>1</v>
      </c>
      <c r="G1355">
        <f>IF(PREVIOS!AG1355=1,1,VLOOKUP(PREVIOS!AG1355,CALIFICACION!A:C,3,FALSE))</f>
        <v>1</v>
      </c>
      <c r="H1355" s="1" t="s">
        <v>534</v>
      </c>
      <c r="I1355" s="1" t="s">
        <v>534</v>
      </c>
      <c r="J1355">
        <f>VLOOKUP(PREVIOS!F1355&amp;VLOOKUP(PREVIOS!I1355,PLAN!A:B,2,FALSE),CURSO!A:D,4,FALSE)</f>
        <v>18</v>
      </c>
      <c r="K1355">
        <f>VLOOKUP(PREVIOS!H1355,CICLO!A:B,2,FALSE)</f>
        <v>53</v>
      </c>
      <c r="L1355">
        <f>VLOOKUP(PREVIOS!I1355,PLAN!A:B,2,FALSE)</f>
        <v>5</v>
      </c>
    </row>
    <row r="1356" spans="1:12" x14ac:dyDescent="0.25">
      <c r="A1356" t="str">
        <f t="shared" si="21"/>
        <v>A599M230C1</v>
      </c>
      <c r="C1356">
        <v>1355</v>
      </c>
      <c r="D1356">
        <f>VLOOKUP(PREVIOS!C1356,ALUMNOS!A:B,2,FALSE)</f>
        <v>599</v>
      </c>
      <c r="E1356">
        <f>VLOOKUP(PREVIOS!E1356&amp;'TABLA PREVIOS'!J1356,MATERIAS!A:H,7,FALSE)</f>
        <v>230</v>
      </c>
      <c r="F1356">
        <f>VLOOKUP(PREVIOS!G1356,CONDICION!A:B,2,FALSE)</f>
        <v>1</v>
      </c>
      <c r="G1356">
        <f>IF(PREVIOS!AG1356=1,1,VLOOKUP(PREVIOS!AG1356,CALIFICACION!A:C,3,FALSE))</f>
        <v>1</v>
      </c>
      <c r="H1356" s="1" t="s">
        <v>534</v>
      </c>
      <c r="I1356" s="1" t="s">
        <v>534</v>
      </c>
      <c r="J1356">
        <f>VLOOKUP(PREVIOS!F1356&amp;VLOOKUP(PREVIOS!I1356,PLAN!A:B,2,FALSE),CURSO!A:D,4,FALSE)</f>
        <v>18</v>
      </c>
      <c r="K1356">
        <f>VLOOKUP(PREVIOS!H1356,CICLO!A:B,2,FALSE)</f>
        <v>53</v>
      </c>
      <c r="L1356">
        <f>VLOOKUP(PREVIOS!I1356,PLAN!A:B,2,FALSE)</f>
        <v>5</v>
      </c>
    </row>
    <row r="1357" spans="1:12" x14ac:dyDescent="0.25">
      <c r="A1357" t="str">
        <f t="shared" si="21"/>
        <v>A599M245C1</v>
      </c>
      <c r="C1357">
        <v>1356</v>
      </c>
      <c r="D1357">
        <f>VLOOKUP(PREVIOS!C1357,ALUMNOS!A:B,2,FALSE)</f>
        <v>599</v>
      </c>
      <c r="E1357">
        <f>VLOOKUP(PREVIOS!E1357&amp;'TABLA PREVIOS'!J1357,MATERIAS!A:H,7,FALSE)</f>
        <v>245</v>
      </c>
      <c r="F1357">
        <f>VLOOKUP(PREVIOS!G1357,CONDICION!A:B,2,FALSE)</f>
        <v>1</v>
      </c>
      <c r="G1357">
        <f>IF(PREVIOS!AG1357=1,1,VLOOKUP(PREVIOS!AG1357,CALIFICACION!A:C,3,FALSE))</f>
        <v>1</v>
      </c>
      <c r="H1357" s="1" t="s">
        <v>534</v>
      </c>
      <c r="I1357" s="1" t="s">
        <v>534</v>
      </c>
      <c r="J1357">
        <f>VLOOKUP(PREVIOS!F1357&amp;VLOOKUP(PREVIOS!I1357,PLAN!A:B,2,FALSE),CURSO!A:D,4,FALSE)</f>
        <v>19</v>
      </c>
      <c r="K1357">
        <f>VLOOKUP(PREVIOS!H1357,CICLO!A:B,2,FALSE)</f>
        <v>54</v>
      </c>
      <c r="L1357">
        <f>VLOOKUP(PREVIOS!I1357,PLAN!A:B,2,FALSE)</f>
        <v>5</v>
      </c>
    </row>
    <row r="1358" spans="1:12" x14ac:dyDescent="0.25">
      <c r="A1358" t="str">
        <f t="shared" si="21"/>
        <v>A604M222C1</v>
      </c>
      <c r="C1358">
        <v>1357</v>
      </c>
      <c r="D1358">
        <f>VLOOKUP(PREVIOS!C1358,ALUMNOS!A:B,2,FALSE)</f>
        <v>604</v>
      </c>
      <c r="E1358">
        <f>VLOOKUP(PREVIOS!E1358&amp;'TABLA PREVIOS'!J1358,MATERIAS!A:H,7,FALSE)</f>
        <v>222</v>
      </c>
      <c r="F1358">
        <f>VLOOKUP(PREVIOS!G1358,CONDICION!A:B,2,FALSE)</f>
        <v>1</v>
      </c>
      <c r="G1358">
        <f>IF(PREVIOS!AG1358=1,1,VLOOKUP(PREVIOS!AG1358,CALIFICACION!A:C,3,FALSE))</f>
        <v>1</v>
      </c>
      <c r="H1358" s="1" t="s">
        <v>534</v>
      </c>
      <c r="I1358" s="1" t="s">
        <v>534</v>
      </c>
      <c r="J1358">
        <f>VLOOKUP(PREVIOS!F1358&amp;VLOOKUP(PREVIOS!I1358,PLAN!A:B,2,FALSE),CURSO!A:D,4,FALSE)</f>
        <v>17</v>
      </c>
      <c r="K1358">
        <f>VLOOKUP(PREVIOS!H1358,CICLO!A:B,2,FALSE)</f>
        <v>51</v>
      </c>
      <c r="L1358">
        <f>VLOOKUP(PREVIOS!I1358,PLAN!A:B,2,FALSE)</f>
        <v>5</v>
      </c>
    </row>
    <row r="1359" spans="1:12" x14ac:dyDescent="0.25">
      <c r="A1359" t="str">
        <f t="shared" si="21"/>
        <v>A604M244C1</v>
      </c>
      <c r="C1359">
        <v>1358</v>
      </c>
      <c r="D1359">
        <f>VLOOKUP(PREVIOS!C1359,ALUMNOS!A:B,2,FALSE)</f>
        <v>604</v>
      </c>
      <c r="E1359">
        <f>VLOOKUP(PREVIOS!E1359&amp;'TABLA PREVIOS'!J1359,MATERIAS!A:H,7,FALSE)</f>
        <v>244</v>
      </c>
      <c r="F1359">
        <f>VLOOKUP(PREVIOS!G1359,CONDICION!A:B,2,FALSE)</f>
        <v>1</v>
      </c>
      <c r="G1359">
        <f>IF(PREVIOS!AG1359=1,1,VLOOKUP(PREVIOS!AG1359,CALIFICACION!A:C,3,FALSE))</f>
        <v>1</v>
      </c>
      <c r="H1359" s="1" t="s">
        <v>534</v>
      </c>
      <c r="I1359" s="1" t="s">
        <v>534</v>
      </c>
      <c r="J1359">
        <f>VLOOKUP(PREVIOS!F1359&amp;VLOOKUP(PREVIOS!I1359,PLAN!A:B,2,FALSE),CURSO!A:D,4,FALSE)</f>
        <v>19</v>
      </c>
      <c r="K1359">
        <f>VLOOKUP(PREVIOS!H1359,CICLO!A:B,2,FALSE)</f>
        <v>53</v>
      </c>
      <c r="L1359">
        <f>VLOOKUP(PREVIOS!I1359,PLAN!A:B,2,FALSE)</f>
        <v>5</v>
      </c>
    </row>
    <row r="1360" spans="1:12" x14ac:dyDescent="0.25">
      <c r="A1360" t="str">
        <f t="shared" si="21"/>
        <v>A618M260C1</v>
      </c>
      <c r="C1360">
        <v>1359</v>
      </c>
      <c r="D1360">
        <f>VLOOKUP(PREVIOS!C1360,ALUMNOS!A:B,2,FALSE)</f>
        <v>618</v>
      </c>
      <c r="E1360">
        <f>VLOOKUP(PREVIOS!E1360&amp;'TABLA PREVIOS'!J1360,MATERIAS!A:H,7,FALSE)</f>
        <v>260</v>
      </c>
      <c r="F1360">
        <f>VLOOKUP(PREVIOS!G1360,CONDICION!A:B,2,FALSE)</f>
        <v>1</v>
      </c>
      <c r="G1360">
        <f>IF(PREVIOS!AG1360=1,1,VLOOKUP(PREVIOS!AG1360,CALIFICACION!A:C,3,FALSE))</f>
        <v>1</v>
      </c>
      <c r="H1360" s="1" t="s">
        <v>534</v>
      </c>
      <c r="I1360" s="1" t="s">
        <v>534</v>
      </c>
      <c r="J1360">
        <f>VLOOKUP(PREVIOS!F1360&amp;VLOOKUP(PREVIOS!I1360,PLAN!A:B,2,FALSE),CURSO!A:D,4,FALSE)</f>
        <v>20</v>
      </c>
      <c r="K1360">
        <f>VLOOKUP(PREVIOS!H1360,CICLO!A:B,2,FALSE)</f>
        <v>54</v>
      </c>
      <c r="L1360">
        <f>VLOOKUP(PREVIOS!I1360,PLAN!A:B,2,FALSE)</f>
        <v>6</v>
      </c>
    </row>
    <row r="1361" spans="1:12" x14ac:dyDescent="0.25">
      <c r="A1361" t="str">
        <f t="shared" si="21"/>
        <v>A618M262C1</v>
      </c>
      <c r="C1361">
        <v>1360</v>
      </c>
      <c r="D1361">
        <f>VLOOKUP(PREVIOS!C1361,ALUMNOS!A:B,2,FALSE)</f>
        <v>618</v>
      </c>
      <c r="E1361">
        <f>VLOOKUP(PREVIOS!E1361&amp;'TABLA PREVIOS'!J1361,MATERIAS!A:H,7,FALSE)</f>
        <v>262</v>
      </c>
      <c r="F1361">
        <f>VLOOKUP(PREVIOS!G1361,CONDICION!A:B,2,FALSE)</f>
        <v>1</v>
      </c>
      <c r="G1361">
        <f>IF(PREVIOS!AG1361=1,1,VLOOKUP(PREVIOS!AG1361,CALIFICACION!A:C,3,FALSE))</f>
        <v>1</v>
      </c>
      <c r="H1361" s="1" t="s">
        <v>534</v>
      </c>
      <c r="I1361" s="1" t="s">
        <v>534</v>
      </c>
      <c r="J1361">
        <f>VLOOKUP(PREVIOS!F1361&amp;VLOOKUP(PREVIOS!I1361,PLAN!A:B,2,FALSE),CURSO!A:D,4,FALSE)</f>
        <v>20</v>
      </c>
      <c r="K1361">
        <f>VLOOKUP(PREVIOS!H1361,CICLO!A:B,2,FALSE)</f>
        <v>54</v>
      </c>
      <c r="L1361">
        <f>VLOOKUP(PREVIOS!I1361,PLAN!A:B,2,FALSE)</f>
        <v>6</v>
      </c>
    </row>
    <row r="1362" spans="1:12" x14ac:dyDescent="0.25">
      <c r="A1362" t="str">
        <f t="shared" si="21"/>
        <v>A618M253C1</v>
      </c>
      <c r="C1362">
        <v>1361</v>
      </c>
      <c r="D1362">
        <f>VLOOKUP(PREVIOS!C1362,ALUMNOS!A:B,2,FALSE)</f>
        <v>618</v>
      </c>
      <c r="E1362">
        <f>VLOOKUP(PREVIOS!E1362&amp;'TABLA PREVIOS'!J1362,MATERIAS!A:H,7,FALSE)</f>
        <v>253</v>
      </c>
      <c r="F1362">
        <f>VLOOKUP(PREVIOS!G1362,CONDICION!A:B,2,FALSE)</f>
        <v>1</v>
      </c>
      <c r="G1362">
        <f>IF(PREVIOS!AG1362=1,1,VLOOKUP(PREVIOS!AG1362,CALIFICACION!A:C,3,FALSE))</f>
        <v>1</v>
      </c>
      <c r="H1362" s="1" t="s">
        <v>534</v>
      </c>
      <c r="I1362" s="1" t="s">
        <v>534</v>
      </c>
      <c r="J1362">
        <f>VLOOKUP(PREVIOS!F1362&amp;VLOOKUP(PREVIOS!I1362,PLAN!A:B,2,FALSE),CURSO!A:D,4,FALSE)</f>
        <v>20</v>
      </c>
      <c r="K1362">
        <f>VLOOKUP(PREVIOS!H1362,CICLO!A:B,2,FALSE)</f>
        <v>54</v>
      </c>
      <c r="L1362">
        <f>VLOOKUP(PREVIOS!I1362,PLAN!A:B,2,FALSE)</f>
        <v>6</v>
      </c>
    </row>
    <row r="1363" spans="1:12" x14ac:dyDescent="0.25">
      <c r="A1363" t="str">
        <f t="shared" si="21"/>
        <v>A618M261C1</v>
      </c>
      <c r="C1363">
        <v>1362</v>
      </c>
      <c r="D1363">
        <f>VLOOKUP(PREVIOS!C1363,ALUMNOS!A:B,2,FALSE)</f>
        <v>618</v>
      </c>
      <c r="E1363">
        <f>VLOOKUP(PREVIOS!E1363&amp;'TABLA PREVIOS'!J1363,MATERIAS!A:H,7,FALSE)</f>
        <v>261</v>
      </c>
      <c r="F1363">
        <f>VLOOKUP(PREVIOS!G1363,CONDICION!A:B,2,FALSE)</f>
        <v>1</v>
      </c>
      <c r="G1363">
        <f>IF(PREVIOS!AG1363=1,1,VLOOKUP(PREVIOS!AG1363,CALIFICACION!A:C,3,FALSE))</f>
        <v>1</v>
      </c>
      <c r="H1363" s="1" t="s">
        <v>534</v>
      </c>
      <c r="I1363" s="1" t="s">
        <v>534</v>
      </c>
      <c r="J1363">
        <f>VLOOKUP(PREVIOS!F1363&amp;VLOOKUP(PREVIOS!I1363,PLAN!A:B,2,FALSE),CURSO!A:D,4,FALSE)</f>
        <v>20</v>
      </c>
      <c r="K1363">
        <f>VLOOKUP(PREVIOS!H1363,CICLO!A:B,2,FALSE)</f>
        <v>54</v>
      </c>
      <c r="L1363">
        <f>VLOOKUP(PREVIOS!I1363,PLAN!A:B,2,FALSE)</f>
        <v>6</v>
      </c>
    </row>
    <row r="1364" spans="1:12" x14ac:dyDescent="0.25">
      <c r="A1364" t="str">
        <f t="shared" si="21"/>
        <v>A618M252C1</v>
      </c>
      <c r="C1364">
        <v>1363</v>
      </c>
      <c r="D1364">
        <f>VLOOKUP(PREVIOS!C1364,ALUMNOS!A:B,2,FALSE)</f>
        <v>618</v>
      </c>
      <c r="E1364">
        <f>VLOOKUP(PREVIOS!E1364&amp;'TABLA PREVIOS'!J1364,MATERIAS!A:H,7,FALSE)</f>
        <v>252</v>
      </c>
      <c r="F1364">
        <f>VLOOKUP(PREVIOS!G1364,CONDICION!A:B,2,FALSE)</f>
        <v>1</v>
      </c>
      <c r="G1364">
        <f>IF(PREVIOS!AG1364=1,1,VLOOKUP(PREVIOS!AG1364,CALIFICACION!A:C,3,FALSE))</f>
        <v>1</v>
      </c>
      <c r="H1364" s="1" t="s">
        <v>534</v>
      </c>
      <c r="I1364" s="1" t="s">
        <v>534</v>
      </c>
      <c r="J1364">
        <f>VLOOKUP(PREVIOS!F1364&amp;VLOOKUP(PREVIOS!I1364,PLAN!A:B,2,FALSE),CURSO!A:D,4,FALSE)</f>
        <v>20</v>
      </c>
      <c r="K1364">
        <f>VLOOKUP(PREVIOS!H1364,CICLO!A:B,2,FALSE)</f>
        <v>54</v>
      </c>
      <c r="L1364">
        <f>VLOOKUP(PREVIOS!I1364,PLAN!A:B,2,FALSE)</f>
        <v>6</v>
      </c>
    </row>
    <row r="1365" spans="1:12" x14ac:dyDescent="0.25">
      <c r="A1365" t="str">
        <f t="shared" si="21"/>
        <v>A618M259C1</v>
      </c>
      <c r="C1365">
        <v>1364</v>
      </c>
      <c r="D1365">
        <f>VLOOKUP(PREVIOS!C1365,ALUMNOS!A:B,2,FALSE)</f>
        <v>618</v>
      </c>
      <c r="E1365">
        <f>VLOOKUP(PREVIOS!E1365&amp;'TABLA PREVIOS'!J1365,MATERIAS!A:H,7,FALSE)</f>
        <v>259</v>
      </c>
      <c r="F1365">
        <f>VLOOKUP(PREVIOS!G1365,CONDICION!A:B,2,FALSE)</f>
        <v>1</v>
      </c>
      <c r="G1365">
        <f>IF(PREVIOS!AG1365=1,1,VLOOKUP(PREVIOS!AG1365,CALIFICACION!A:C,3,FALSE))</f>
        <v>1</v>
      </c>
      <c r="H1365" s="1" t="s">
        <v>534</v>
      </c>
      <c r="I1365" s="1" t="s">
        <v>534</v>
      </c>
      <c r="J1365">
        <f>VLOOKUP(PREVIOS!F1365&amp;VLOOKUP(PREVIOS!I1365,PLAN!A:B,2,FALSE),CURSO!A:D,4,FALSE)</f>
        <v>20</v>
      </c>
      <c r="K1365">
        <f>VLOOKUP(PREVIOS!H1365,CICLO!A:B,2,FALSE)</f>
        <v>54</v>
      </c>
      <c r="L1365">
        <f>VLOOKUP(PREVIOS!I1365,PLAN!A:B,2,FALSE)</f>
        <v>6</v>
      </c>
    </row>
    <row r="1366" spans="1:12" x14ac:dyDescent="0.25">
      <c r="A1366" t="str">
        <f t="shared" si="21"/>
        <v>A638M232C1</v>
      </c>
      <c r="C1366">
        <v>1365</v>
      </c>
      <c r="D1366">
        <f>VLOOKUP(PREVIOS!C1366,ALUMNOS!A:B,2,FALSE)</f>
        <v>638</v>
      </c>
      <c r="E1366">
        <f>VLOOKUP(PREVIOS!E1366&amp;'TABLA PREVIOS'!J1366,MATERIAS!A:H,7,FALSE)</f>
        <v>232</v>
      </c>
      <c r="F1366">
        <f>VLOOKUP(PREVIOS!G1366,CONDICION!A:B,2,FALSE)</f>
        <v>1</v>
      </c>
      <c r="G1366">
        <f>IF(PREVIOS!AG1366=1,1,VLOOKUP(PREVIOS!AG1366,CALIFICACION!A:C,3,FALSE))</f>
        <v>1</v>
      </c>
      <c r="H1366" s="1" t="s">
        <v>534</v>
      </c>
      <c r="I1366" s="1" t="s">
        <v>534</v>
      </c>
      <c r="J1366">
        <f>VLOOKUP(PREVIOS!F1366&amp;VLOOKUP(PREVIOS!I1366,PLAN!A:B,2,FALSE),CURSO!A:D,4,FALSE)</f>
        <v>18</v>
      </c>
      <c r="K1366">
        <f>VLOOKUP(PREVIOS!H1366,CICLO!A:B,2,FALSE)</f>
        <v>51</v>
      </c>
      <c r="L1366">
        <f>VLOOKUP(PREVIOS!I1366,PLAN!A:B,2,FALSE)</f>
        <v>5</v>
      </c>
    </row>
    <row r="1367" spans="1:12" x14ac:dyDescent="0.25">
      <c r="A1367" t="str">
        <f t="shared" si="21"/>
        <v>A638M241C1</v>
      </c>
      <c r="C1367">
        <v>1366</v>
      </c>
      <c r="D1367">
        <f>VLOOKUP(PREVIOS!C1367,ALUMNOS!A:B,2,FALSE)</f>
        <v>638</v>
      </c>
      <c r="E1367">
        <f>VLOOKUP(PREVIOS!E1367&amp;'TABLA PREVIOS'!J1367,MATERIAS!A:H,7,FALSE)</f>
        <v>241</v>
      </c>
      <c r="F1367">
        <f>VLOOKUP(PREVIOS!G1367,CONDICION!A:B,2,FALSE)</f>
        <v>1</v>
      </c>
      <c r="G1367">
        <f>IF(PREVIOS!AG1367=1,1,VLOOKUP(PREVIOS!AG1367,CALIFICACION!A:C,3,FALSE))</f>
        <v>1</v>
      </c>
      <c r="H1367" s="1" t="s">
        <v>534</v>
      </c>
      <c r="I1367" s="1" t="s">
        <v>534</v>
      </c>
      <c r="J1367">
        <f>VLOOKUP(PREVIOS!F1367&amp;VLOOKUP(PREVIOS!I1367,PLAN!A:B,2,FALSE),CURSO!A:D,4,FALSE)</f>
        <v>19</v>
      </c>
      <c r="K1367">
        <f>VLOOKUP(PREVIOS!H1367,CICLO!A:B,2,FALSE)</f>
        <v>52</v>
      </c>
      <c r="L1367">
        <f>VLOOKUP(PREVIOS!I1367,PLAN!A:B,2,FALSE)</f>
        <v>5</v>
      </c>
    </row>
    <row r="1368" spans="1:12" x14ac:dyDescent="0.25">
      <c r="A1368" t="str">
        <f t="shared" si="21"/>
        <v>A638M245C1</v>
      </c>
      <c r="C1368">
        <v>1367</v>
      </c>
      <c r="D1368">
        <f>VLOOKUP(PREVIOS!C1368,ALUMNOS!A:B,2,FALSE)</f>
        <v>638</v>
      </c>
      <c r="E1368">
        <f>VLOOKUP(PREVIOS!E1368&amp;'TABLA PREVIOS'!J1368,MATERIAS!A:H,7,FALSE)</f>
        <v>245</v>
      </c>
      <c r="F1368">
        <f>VLOOKUP(PREVIOS!G1368,CONDICION!A:B,2,FALSE)</f>
        <v>1</v>
      </c>
      <c r="G1368">
        <f>IF(PREVIOS!AG1368=1,1,VLOOKUP(PREVIOS!AG1368,CALIFICACION!A:C,3,FALSE))</f>
        <v>1</v>
      </c>
      <c r="H1368" s="1" t="s">
        <v>534</v>
      </c>
      <c r="I1368" s="1" t="s">
        <v>534</v>
      </c>
      <c r="J1368">
        <f>VLOOKUP(PREVIOS!F1368&amp;VLOOKUP(PREVIOS!I1368,PLAN!A:B,2,FALSE),CURSO!A:D,4,FALSE)</f>
        <v>19</v>
      </c>
      <c r="K1368">
        <f>VLOOKUP(PREVIOS!H1368,CICLO!A:B,2,FALSE)</f>
        <v>52</v>
      </c>
      <c r="L1368">
        <f>VLOOKUP(PREVIOS!I1368,PLAN!A:B,2,FALSE)</f>
        <v>5</v>
      </c>
    </row>
    <row r="1369" spans="1:12" x14ac:dyDescent="0.25">
      <c r="A1369" t="str">
        <f t="shared" si="21"/>
        <v>A645M219C1</v>
      </c>
      <c r="C1369">
        <v>1368</v>
      </c>
      <c r="D1369">
        <f>VLOOKUP(PREVIOS!C1369,ALUMNOS!A:B,2,FALSE)</f>
        <v>645</v>
      </c>
      <c r="E1369">
        <f>VLOOKUP(PREVIOS!E1369&amp;'TABLA PREVIOS'!J1369,MATERIAS!A:H,7,FALSE)</f>
        <v>219</v>
      </c>
      <c r="F1369">
        <f>VLOOKUP(PREVIOS!G1369,CONDICION!A:B,2,FALSE)</f>
        <v>1</v>
      </c>
      <c r="G1369">
        <f>IF(PREVIOS!AG1369=1,1,VLOOKUP(PREVIOS!AG1369,CALIFICACION!A:C,3,FALSE))</f>
        <v>1</v>
      </c>
      <c r="H1369" s="1" t="s">
        <v>534</v>
      </c>
      <c r="I1369" s="1" t="s">
        <v>534</v>
      </c>
      <c r="J1369">
        <f>VLOOKUP(PREVIOS!F1369&amp;VLOOKUP(PREVIOS!I1369,PLAN!A:B,2,FALSE),CURSO!A:D,4,FALSE)</f>
        <v>17</v>
      </c>
      <c r="K1369">
        <f>VLOOKUP(PREVIOS!H1369,CICLO!A:B,2,FALSE)</f>
        <v>52</v>
      </c>
      <c r="L1369">
        <f>VLOOKUP(PREVIOS!I1369,PLAN!A:B,2,FALSE)</f>
        <v>5</v>
      </c>
    </row>
    <row r="1370" spans="1:12" x14ac:dyDescent="0.25">
      <c r="A1370" t="str">
        <f t="shared" si="21"/>
        <v>A645M235C1</v>
      </c>
      <c r="C1370">
        <v>1369</v>
      </c>
      <c r="D1370">
        <f>VLOOKUP(PREVIOS!C1370,ALUMNOS!A:B,2,FALSE)</f>
        <v>645</v>
      </c>
      <c r="E1370">
        <f>VLOOKUP(PREVIOS!E1370&amp;'TABLA PREVIOS'!J1370,MATERIAS!A:H,7,FALSE)</f>
        <v>235</v>
      </c>
      <c r="F1370">
        <f>VLOOKUP(PREVIOS!G1370,CONDICION!A:B,2,FALSE)</f>
        <v>1</v>
      </c>
      <c r="G1370">
        <f>IF(PREVIOS!AG1370=1,1,VLOOKUP(PREVIOS!AG1370,CALIFICACION!A:C,3,FALSE))</f>
        <v>1</v>
      </c>
      <c r="H1370" s="1" t="s">
        <v>534</v>
      </c>
      <c r="I1370" s="1" t="s">
        <v>534</v>
      </c>
      <c r="J1370">
        <f>VLOOKUP(PREVIOS!F1370&amp;VLOOKUP(PREVIOS!I1370,PLAN!A:B,2,FALSE),CURSO!A:D,4,FALSE)</f>
        <v>18</v>
      </c>
      <c r="K1370">
        <f>VLOOKUP(PREVIOS!H1370,CICLO!A:B,2,FALSE)</f>
        <v>53</v>
      </c>
      <c r="L1370">
        <f>VLOOKUP(PREVIOS!I1370,PLAN!A:B,2,FALSE)</f>
        <v>5</v>
      </c>
    </row>
    <row r="1371" spans="1:12" x14ac:dyDescent="0.25">
      <c r="A1371" t="str">
        <f t="shared" si="21"/>
        <v>A652M240C1</v>
      </c>
      <c r="C1371">
        <v>1370</v>
      </c>
      <c r="D1371">
        <f>VLOOKUP(PREVIOS!C1371,ALUMNOS!A:B,2,FALSE)</f>
        <v>652</v>
      </c>
      <c r="E1371">
        <f>VLOOKUP(PREVIOS!E1371&amp;'TABLA PREVIOS'!J1371,MATERIAS!A:H,7,FALSE)</f>
        <v>240</v>
      </c>
      <c r="F1371">
        <f>VLOOKUP(PREVIOS!G1371,CONDICION!A:B,2,FALSE)</f>
        <v>1</v>
      </c>
      <c r="G1371">
        <f>IF(PREVIOS!AG1371=1,1,VLOOKUP(PREVIOS!AG1371,CALIFICACION!A:C,3,FALSE))</f>
        <v>1</v>
      </c>
      <c r="H1371" s="1" t="s">
        <v>534</v>
      </c>
      <c r="I1371" s="1" t="s">
        <v>534</v>
      </c>
      <c r="J1371">
        <f>VLOOKUP(PREVIOS!F1371&amp;VLOOKUP(PREVIOS!I1371,PLAN!A:B,2,FALSE),CURSO!A:D,4,FALSE)</f>
        <v>19</v>
      </c>
      <c r="K1371">
        <f>VLOOKUP(PREVIOS!H1371,CICLO!A:B,2,FALSE)</f>
        <v>54</v>
      </c>
      <c r="L1371">
        <f>VLOOKUP(PREVIOS!I1371,PLAN!A:B,2,FALSE)</f>
        <v>5</v>
      </c>
    </row>
    <row r="1372" spans="1:12" x14ac:dyDescent="0.25">
      <c r="A1372" t="str">
        <f t="shared" si="21"/>
        <v>A661M222C1</v>
      </c>
      <c r="C1372">
        <v>1371</v>
      </c>
      <c r="D1372">
        <f>VLOOKUP(PREVIOS!C1372,ALUMNOS!A:B,2,FALSE)</f>
        <v>661</v>
      </c>
      <c r="E1372">
        <f>VLOOKUP(PREVIOS!E1372&amp;'TABLA PREVIOS'!J1372,MATERIAS!A:H,7,FALSE)</f>
        <v>222</v>
      </c>
      <c r="F1372">
        <f>VLOOKUP(PREVIOS!G1372,CONDICION!A:B,2,FALSE)</f>
        <v>1</v>
      </c>
      <c r="G1372">
        <f>IF(PREVIOS!AG1372=1,1,VLOOKUP(PREVIOS!AG1372,CALIFICACION!A:C,3,FALSE))</f>
        <v>1</v>
      </c>
      <c r="H1372" s="1" t="s">
        <v>534</v>
      </c>
      <c r="I1372" s="1" t="s">
        <v>534</v>
      </c>
      <c r="J1372">
        <f>VLOOKUP(PREVIOS!F1372&amp;VLOOKUP(PREVIOS!I1372,PLAN!A:B,2,FALSE),CURSO!A:D,4,FALSE)</f>
        <v>17</v>
      </c>
      <c r="K1372">
        <f>VLOOKUP(PREVIOS!H1372,CICLO!A:B,2,FALSE)</f>
        <v>53</v>
      </c>
      <c r="L1372">
        <f>VLOOKUP(PREVIOS!I1372,PLAN!A:B,2,FALSE)</f>
        <v>5</v>
      </c>
    </row>
    <row r="1373" spans="1:12" x14ac:dyDescent="0.25">
      <c r="A1373" t="str">
        <f t="shared" si="21"/>
        <v>A661M220C1</v>
      </c>
      <c r="C1373">
        <v>1372</v>
      </c>
      <c r="D1373">
        <f>VLOOKUP(PREVIOS!C1373,ALUMNOS!A:B,2,FALSE)</f>
        <v>661</v>
      </c>
      <c r="E1373">
        <f>VLOOKUP(PREVIOS!E1373&amp;'TABLA PREVIOS'!J1373,MATERIAS!A:H,7,FALSE)</f>
        <v>220</v>
      </c>
      <c r="F1373">
        <f>VLOOKUP(PREVIOS!G1373,CONDICION!A:B,2,FALSE)</f>
        <v>1</v>
      </c>
      <c r="G1373">
        <f>IF(PREVIOS!AG1373=1,1,VLOOKUP(PREVIOS!AG1373,CALIFICACION!A:C,3,FALSE))</f>
        <v>1</v>
      </c>
      <c r="H1373" s="1" t="s">
        <v>534</v>
      </c>
      <c r="I1373" s="1" t="s">
        <v>534</v>
      </c>
      <c r="J1373">
        <f>VLOOKUP(PREVIOS!F1373&amp;VLOOKUP(PREVIOS!I1373,PLAN!A:B,2,FALSE),CURSO!A:D,4,FALSE)</f>
        <v>17</v>
      </c>
      <c r="K1373">
        <f>VLOOKUP(PREVIOS!H1373,CICLO!A:B,2,FALSE)</f>
        <v>53</v>
      </c>
      <c r="L1373">
        <f>VLOOKUP(PREVIOS!I1373,PLAN!A:B,2,FALSE)</f>
        <v>5</v>
      </c>
    </row>
    <row r="1374" spans="1:12" x14ac:dyDescent="0.25">
      <c r="A1374" t="str">
        <f t="shared" si="21"/>
        <v>A661M230C1</v>
      </c>
      <c r="C1374">
        <v>1373</v>
      </c>
      <c r="D1374">
        <f>VLOOKUP(PREVIOS!C1374,ALUMNOS!A:B,2,FALSE)</f>
        <v>661</v>
      </c>
      <c r="E1374">
        <f>VLOOKUP(PREVIOS!E1374&amp;'TABLA PREVIOS'!J1374,MATERIAS!A:H,7,FALSE)</f>
        <v>230</v>
      </c>
      <c r="F1374">
        <f>VLOOKUP(PREVIOS!G1374,CONDICION!A:B,2,FALSE)</f>
        <v>1</v>
      </c>
      <c r="G1374">
        <f>IF(PREVIOS!AG1374=1,1,VLOOKUP(PREVIOS!AG1374,CALIFICACION!A:C,3,FALSE))</f>
        <v>1</v>
      </c>
      <c r="H1374" s="1" t="s">
        <v>534</v>
      </c>
      <c r="I1374" s="1" t="s">
        <v>534</v>
      </c>
      <c r="J1374">
        <f>VLOOKUP(PREVIOS!F1374&amp;VLOOKUP(PREVIOS!I1374,PLAN!A:B,2,FALSE),CURSO!A:D,4,FALSE)</f>
        <v>18</v>
      </c>
      <c r="K1374">
        <f>VLOOKUP(PREVIOS!H1374,CICLO!A:B,2,FALSE)</f>
        <v>54</v>
      </c>
      <c r="L1374">
        <f>VLOOKUP(PREVIOS!I1374,PLAN!A:B,2,FALSE)</f>
        <v>5</v>
      </c>
    </row>
    <row r="1375" spans="1:12" x14ac:dyDescent="0.25">
      <c r="A1375" t="str">
        <f t="shared" si="21"/>
        <v>A672M249C1</v>
      </c>
      <c r="C1375">
        <v>1374</v>
      </c>
      <c r="D1375">
        <f>VLOOKUP(PREVIOS!C1375,ALUMNOS!A:B,2,FALSE)</f>
        <v>672</v>
      </c>
      <c r="E1375">
        <f>VLOOKUP(PREVIOS!E1375&amp;'TABLA PREVIOS'!J1375,MATERIAS!A:H,7,FALSE)</f>
        <v>249</v>
      </c>
      <c r="F1375">
        <f>VLOOKUP(PREVIOS!G1375,CONDICION!A:B,2,FALSE)</f>
        <v>1</v>
      </c>
      <c r="G1375">
        <f>IF(PREVIOS!AG1375=1,1,VLOOKUP(PREVIOS!AG1375,CALIFICACION!A:C,3,FALSE))</f>
        <v>1</v>
      </c>
      <c r="H1375" s="1" t="s">
        <v>534</v>
      </c>
      <c r="I1375" s="1" t="s">
        <v>534</v>
      </c>
      <c r="J1375">
        <f>VLOOKUP(PREVIOS!F1375&amp;VLOOKUP(PREVIOS!I1375,PLAN!A:B,2,FALSE),CURSO!A:D,4,FALSE)</f>
        <v>19</v>
      </c>
      <c r="K1375">
        <f>VLOOKUP(PREVIOS!H1375,CICLO!A:B,2,FALSE)</f>
        <v>53</v>
      </c>
      <c r="L1375">
        <f>VLOOKUP(PREVIOS!I1375,PLAN!A:B,2,FALSE)</f>
        <v>5</v>
      </c>
    </row>
    <row r="1376" spans="1:12" x14ac:dyDescent="0.25">
      <c r="A1376" t="str">
        <f t="shared" si="21"/>
        <v>A678M223C1</v>
      </c>
      <c r="C1376">
        <v>1375</v>
      </c>
      <c r="D1376">
        <f>VLOOKUP(PREVIOS!C1376,ALUMNOS!A:B,2,FALSE)</f>
        <v>678</v>
      </c>
      <c r="E1376">
        <f>VLOOKUP(PREVIOS!E1376&amp;'TABLA PREVIOS'!J1376,MATERIAS!A:H,7,FALSE)</f>
        <v>223</v>
      </c>
      <c r="F1376">
        <f>VLOOKUP(PREVIOS!G1376,CONDICION!A:B,2,FALSE)</f>
        <v>1</v>
      </c>
      <c r="G1376">
        <f>IF(PREVIOS!AG1376=1,1,VLOOKUP(PREVIOS!AG1376,CALIFICACION!A:C,3,FALSE))</f>
        <v>1</v>
      </c>
      <c r="H1376" s="1" t="s">
        <v>534</v>
      </c>
      <c r="I1376" s="1" t="s">
        <v>534</v>
      </c>
      <c r="J1376">
        <f>VLOOKUP(PREVIOS!F1376&amp;VLOOKUP(PREVIOS!I1376,PLAN!A:B,2,FALSE),CURSO!A:D,4,FALSE)</f>
        <v>17</v>
      </c>
      <c r="K1376">
        <f>VLOOKUP(PREVIOS!H1376,CICLO!A:B,2,FALSE)</f>
        <v>51</v>
      </c>
      <c r="L1376">
        <f>VLOOKUP(PREVIOS!I1376,PLAN!A:B,2,FALSE)</f>
        <v>5</v>
      </c>
    </row>
    <row r="1377" spans="1:12" x14ac:dyDescent="0.25">
      <c r="A1377" t="str">
        <f t="shared" si="21"/>
        <v>A678M220C1</v>
      </c>
      <c r="C1377">
        <v>1376</v>
      </c>
      <c r="D1377">
        <f>VLOOKUP(PREVIOS!C1377,ALUMNOS!A:B,2,FALSE)</f>
        <v>678</v>
      </c>
      <c r="E1377">
        <f>VLOOKUP(PREVIOS!E1377&amp;'TABLA PREVIOS'!J1377,MATERIAS!A:H,7,FALSE)</f>
        <v>220</v>
      </c>
      <c r="F1377">
        <f>VLOOKUP(PREVIOS!G1377,CONDICION!A:B,2,FALSE)</f>
        <v>1</v>
      </c>
      <c r="G1377">
        <f>IF(PREVIOS!AG1377=1,1,VLOOKUP(PREVIOS!AG1377,CALIFICACION!A:C,3,FALSE))</f>
        <v>1</v>
      </c>
      <c r="H1377" s="1" t="s">
        <v>534</v>
      </c>
      <c r="I1377" s="1" t="s">
        <v>534</v>
      </c>
      <c r="J1377">
        <f>VLOOKUP(PREVIOS!F1377&amp;VLOOKUP(PREVIOS!I1377,PLAN!A:B,2,FALSE),CURSO!A:D,4,FALSE)</f>
        <v>17</v>
      </c>
      <c r="K1377">
        <f>VLOOKUP(PREVIOS!H1377,CICLO!A:B,2,FALSE)</f>
        <v>51</v>
      </c>
      <c r="L1377">
        <f>VLOOKUP(PREVIOS!I1377,PLAN!A:B,2,FALSE)</f>
        <v>5</v>
      </c>
    </row>
    <row r="1378" spans="1:12" x14ac:dyDescent="0.25">
      <c r="A1378" t="str">
        <f t="shared" si="21"/>
        <v>A680M234C1</v>
      </c>
      <c r="C1378">
        <v>1377</v>
      </c>
      <c r="D1378">
        <f>VLOOKUP(PREVIOS!C1378,ALUMNOS!A:B,2,FALSE)</f>
        <v>680</v>
      </c>
      <c r="E1378">
        <f>VLOOKUP(PREVIOS!E1378&amp;'TABLA PREVIOS'!J1378,MATERIAS!A:H,7,FALSE)</f>
        <v>234</v>
      </c>
      <c r="F1378">
        <f>VLOOKUP(PREVIOS!G1378,CONDICION!A:B,2,FALSE)</f>
        <v>1</v>
      </c>
      <c r="G1378">
        <f>IF(PREVIOS!AG1378=1,1,VLOOKUP(PREVIOS!AG1378,CALIFICACION!A:C,3,FALSE))</f>
        <v>1</v>
      </c>
      <c r="H1378" s="1" t="s">
        <v>534</v>
      </c>
      <c r="I1378" s="1" t="s">
        <v>534</v>
      </c>
      <c r="J1378">
        <f>VLOOKUP(PREVIOS!F1378&amp;VLOOKUP(PREVIOS!I1378,PLAN!A:B,2,FALSE),CURSO!A:D,4,FALSE)</f>
        <v>18</v>
      </c>
      <c r="K1378">
        <f>VLOOKUP(PREVIOS!H1378,CICLO!A:B,2,FALSE)</f>
        <v>53</v>
      </c>
      <c r="L1378">
        <f>VLOOKUP(PREVIOS!I1378,PLAN!A:B,2,FALSE)</f>
        <v>5</v>
      </c>
    </row>
    <row r="1379" spans="1:12" x14ac:dyDescent="0.25">
      <c r="A1379" t="str">
        <f t="shared" si="21"/>
        <v>A680M245C1</v>
      </c>
      <c r="C1379">
        <v>1378</v>
      </c>
      <c r="D1379">
        <f>VLOOKUP(PREVIOS!C1379,ALUMNOS!A:B,2,FALSE)</f>
        <v>680</v>
      </c>
      <c r="E1379">
        <f>VLOOKUP(PREVIOS!E1379&amp;'TABLA PREVIOS'!J1379,MATERIAS!A:H,7,FALSE)</f>
        <v>245</v>
      </c>
      <c r="F1379">
        <f>VLOOKUP(PREVIOS!G1379,CONDICION!A:B,2,FALSE)</f>
        <v>1</v>
      </c>
      <c r="G1379">
        <f>IF(PREVIOS!AG1379=1,1,VLOOKUP(PREVIOS!AG1379,CALIFICACION!A:C,3,FALSE))</f>
        <v>1</v>
      </c>
      <c r="H1379" s="1" t="s">
        <v>534</v>
      </c>
      <c r="I1379" s="1" t="s">
        <v>534</v>
      </c>
      <c r="J1379">
        <f>VLOOKUP(PREVIOS!F1379&amp;VLOOKUP(PREVIOS!I1379,PLAN!A:B,2,FALSE),CURSO!A:D,4,FALSE)</f>
        <v>19</v>
      </c>
      <c r="K1379">
        <f>VLOOKUP(PREVIOS!H1379,CICLO!A:B,2,FALSE)</f>
        <v>54</v>
      </c>
      <c r="L1379">
        <f>VLOOKUP(PREVIOS!I1379,PLAN!A:B,2,FALSE)</f>
        <v>5</v>
      </c>
    </row>
    <row r="1380" spans="1:12" x14ac:dyDescent="0.25">
      <c r="A1380" t="str">
        <f t="shared" si="21"/>
        <v>A688M245C1</v>
      </c>
      <c r="C1380">
        <v>1379</v>
      </c>
      <c r="D1380">
        <f>VLOOKUP(PREVIOS!C1380,ALUMNOS!A:B,2,FALSE)</f>
        <v>688</v>
      </c>
      <c r="E1380">
        <f>VLOOKUP(PREVIOS!E1380&amp;'TABLA PREVIOS'!J1380,MATERIAS!A:H,7,FALSE)</f>
        <v>245</v>
      </c>
      <c r="F1380">
        <f>VLOOKUP(PREVIOS!G1380,CONDICION!A:B,2,FALSE)</f>
        <v>1</v>
      </c>
      <c r="G1380">
        <f>IF(PREVIOS!AG1380=1,1,VLOOKUP(PREVIOS!AG1380,CALIFICACION!A:C,3,FALSE))</f>
        <v>1</v>
      </c>
      <c r="H1380" s="1" t="s">
        <v>534</v>
      </c>
      <c r="I1380" s="1" t="s">
        <v>534</v>
      </c>
      <c r="J1380">
        <f>VLOOKUP(PREVIOS!F1380&amp;VLOOKUP(PREVIOS!I1380,PLAN!A:B,2,FALSE),CURSO!A:D,4,FALSE)</f>
        <v>19</v>
      </c>
      <c r="K1380">
        <f>VLOOKUP(PREVIOS!H1380,CICLO!A:B,2,FALSE)</f>
        <v>53</v>
      </c>
      <c r="L1380">
        <f>VLOOKUP(PREVIOS!I1380,PLAN!A:B,2,FALSE)</f>
        <v>5</v>
      </c>
    </row>
    <row r="1381" spans="1:12" x14ac:dyDescent="0.25">
      <c r="A1381" t="str">
        <f t="shared" si="21"/>
        <v>A688M240C1</v>
      </c>
      <c r="C1381">
        <v>1380</v>
      </c>
      <c r="D1381">
        <f>VLOOKUP(PREVIOS!C1381,ALUMNOS!A:B,2,FALSE)</f>
        <v>688</v>
      </c>
      <c r="E1381">
        <f>VLOOKUP(PREVIOS!E1381&amp;'TABLA PREVIOS'!J1381,MATERIAS!A:H,7,FALSE)</f>
        <v>240</v>
      </c>
      <c r="F1381">
        <f>VLOOKUP(PREVIOS!G1381,CONDICION!A:B,2,FALSE)</f>
        <v>1</v>
      </c>
      <c r="G1381">
        <f>IF(PREVIOS!AG1381=1,1,VLOOKUP(PREVIOS!AG1381,CALIFICACION!A:C,3,FALSE))</f>
        <v>1</v>
      </c>
      <c r="H1381" s="1" t="s">
        <v>534</v>
      </c>
      <c r="I1381" s="1" t="s">
        <v>534</v>
      </c>
      <c r="J1381">
        <f>VLOOKUP(PREVIOS!F1381&amp;VLOOKUP(PREVIOS!I1381,PLAN!A:B,2,FALSE),CURSO!A:D,4,FALSE)</f>
        <v>19</v>
      </c>
      <c r="K1381">
        <f>VLOOKUP(PREVIOS!H1381,CICLO!A:B,2,FALSE)</f>
        <v>53</v>
      </c>
      <c r="L1381">
        <f>VLOOKUP(PREVIOS!I1381,PLAN!A:B,2,FALSE)</f>
        <v>5</v>
      </c>
    </row>
    <row r="1382" spans="1:12" x14ac:dyDescent="0.25">
      <c r="A1382" t="str">
        <f t="shared" si="21"/>
        <v>A689M232C1</v>
      </c>
      <c r="C1382">
        <v>1381</v>
      </c>
      <c r="D1382">
        <f>VLOOKUP(PREVIOS!C1382,ALUMNOS!A:B,2,FALSE)</f>
        <v>689</v>
      </c>
      <c r="E1382">
        <f>VLOOKUP(PREVIOS!E1382&amp;'TABLA PREVIOS'!J1382,MATERIAS!A:H,7,FALSE)</f>
        <v>232</v>
      </c>
      <c r="F1382">
        <f>VLOOKUP(PREVIOS!G1382,CONDICION!A:B,2,FALSE)</f>
        <v>1</v>
      </c>
      <c r="G1382">
        <f>IF(PREVIOS!AG1382=1,1,VLOOKUP(PREVIOS!AG1382,CALIFICACION!A:C,3,FALSE))</f>
        <v>1</v>
      </c>
      <c r="H1382" s="1" t="s">
        <v>534</v>
      </c>
      <c r="I1382" s="1" t="s">
        <v>534</v>
      </c>
      <c r="J1382">
        <f>VLOOKUP(PREVIOS!F1382&amp;VLOOKUP(PREVIOS!I1382,PLAN!A:B,2,FALSE),CURSO!A:D,4,FALSE)</f>
        <v>18</v>
      </c>
      <c r="K1382">
        <f>VLOOKUP(PREVIOS!H1382,CICLO!A:B,2,FALSE)</f>
        <v>51</v>
      </c>
      <c r="L1382">
        <f>VLOOKUP(PREVIOS!I1382,PLAN!A:B,2,FALSE)</f>
        <v>5</v>
      </c>
    </row>
    <row r="1383" spans="1:12" x14ac:dyDescent="0.25">
      <c r="A1383" t="str">
        <f t="shared" si="21"/>
        <v>A691M238C1</v>
      </c>
      <c r="C1383">
        <v>1382</v>
      </c>
      <c r="D1383">
        <f>VLOOKUP(PREVIOS!C1383,ALUMNOS!A:B,2,FALSE)</f>
        <v>691</v>
      </c>
      <c r="E1383">
        <f>VLOOKUP(PREVIOS!E1383&amp;'TABLA PREVIOS'!J1383,MATERIAS!A:H,7,FALSE)</f>
        <v>238</v>
      </c>
      <c r="F1383">
        <f>VLOOKUP(PREVIOS!G1383,CONDICION!A:B,2,FALSE)</f>
        <v>1</v>
      </c>
      <c r="G1383">
        <f>IF(PREVIOS!AG1383=1,1,VLOOKUP(PREVIOS!AG1383,CALIFICACION!A:C,3,FALSE))</f>
        <v>1</v>
      </c>
      <c r="H1383" s="1" t="s">
        <v>534</v>
      </c>
      <c r="I1383" s="1" t="s">
        <v>534</v>
      </c>
      <c r="J1383">
        <f>VLOOKUP(PREVIOS!F1383&amp;VLOOKUP(PREVIOS!I1383,PLAN!A:B,2,FALSE),CURSO!A:D,4,FALSE)</f>
        <v>19</v>
      </c>
      <c r="K1383">
        <f>VLOOKUP(PREVIOS!H1383,CICLO!A:B,2,FALSE)</f>
        <v>55</v>
      </c>
      <c r="L1383">
        <f>VLOOKUP(PREVIOS!I1383,PLAN!A:B,2,FALSE)</f>
        <v>5</v>
      </c>
    </row>
    <row r="1384" spans="1:12" x14ac:dyDescent="0.25">
      <c r="A1384" t="str">
        <f t="shared" si="21"/>
        <v>A691M239C1</v>
      </c>
      <c r="C1384">
        <v>1383</v>
      </c>
      <c r="D1384">
        <f>VLOOKUP(PREVIOS!C1384,ALUMNOS!A:B,2,FALSE)</f>
        <v>691</v>
      </c>
      <c r="E1384">
        <f>VLOOKUP(PREVIOS!E1384&amp;'TABLA PREVIOS'!J1384,MATERIAS!A:H,7,FALSE)</f>
        <v>239</v>
      </c>
      <c r="F1384">
        <f>VLOOKUP(PREVIOS!G1384,CONDICION!A:B,2,FALSE)</f>
        <v>1</v>
      </c>
      <c r="G1384">
        <f>IF(PREVIOS!AG1384=1,1,VLOOKUP(PREVIOS!AG1384,CALIFICACION!A:C,3,FALSE))</f>
        <v>1</v>
      </c>
      <c r="H1384" s="1" t="s">
        <v>534</v>
      </c>
      <c r="I1384" s="1" t="s">
        <v>534</v>
      </c>
      <c r="J1384">
        <f>VLOOKUP(PREVIOS!F1384&amp;VLOOKUP(PREVIOS!I1384,PLAN!A:B,2,FALSE),CURSO!A:D,4,FALSE)</f>
        <v>19</v>
      </c>
      <c r="K1384">
        <f>VLOOKUP(PREVIOS!H1384,CICLO!A:B,2,FALSE)</f>
        <v>55</v>
      </c>
      <c r="L1384">
        <f>VLOOKUP(PREVIOS!I1384,PLAN!A:B,2,FALSE)</f>
        <v>5</v>
      </c>
    </row>
    <row r="1385" spans="1:12" x14ac:dyDescent="0.25">
      <c r="A1385" t="str">
        <f t="shared" si="21"/>
        <v>A704M224C1</v>
      </c>
      <c r="C1385">
        <v>1384</v>
      </c>
      <c r="D1385">
        <f>VLOOKUP(PREVIOS!C1385,ALUMNOS!A:B,2,FALSE)</f>
        <v>704</v>
      </c>
      <c r="E1385">
        <f>VLOOKUP(PREVIOS!E1385&amp;'TABLA PREVIOS'!J1385,MATERIAS!A:H,7,FALSE)</f>
        <v>224</v>
      </c>
      <c r="F1385">
        <f>VLOOKUP(PREVIOS!G1385,CONDICION!A:B,2,FALSE)</f>
        <v>1</v>
      </c>
      <c r="G1385">
        <f>IF(PREVIOS!AG1385=1,1,VLOOKUP(PREVIOS!AG1385,CALIFICACION!A:C,3,FALSE))</f>
        <v>1</v>
      </c>
      <c r="H1385" s="1" t="s">
        <v>534</v>
      </c>
      <c r="I1385" s="1" t="s">
        <v>534</v>
      </c>
      <c r="J1385">
        <f>VLOOKUP(PREVIOS!F1385&amp;VLOOKUP(PREVIOS!I1385,PLAN!A:B,2,FALSE),CURSO!A:D,4,FALSE)</f>
        <v>17</v>
      </c>
      <c r="K1385">
        <f>VLOOKUP(PREVIOS!H1385,CICLO!A:B,2,FALSE)</f>
        <v>50</v>
      </c>
      <c r="L1385">
        <f>VLOOKUP(PREVIOS!I1385,PLAN!A:B,2,FALSE)</f>
        <v>5</v>
      </c>
    </row>
    <row r="1386" spans="1:12" x14ac:dyDescent="0.25">
      <c r="A1386" t="str">
        <f t="shared" si="21"/>
        <v>A704M251C1</v>
      </c>
      <c r="C1386">
        <v>1385</v>
      </c>
      <c r="D1386">
        <f>VLOOKUP(PREVIOS!C1386,ALUMNOS!A:B,2,FALSE)</f>
        <v>704</v>
      </c>
      <c r="E1386">
        <f>VLOOKUP(PREVIOS!E1386&amp;'TABLA PREVIOS'!J1386,MATERIAS!A:H,7,FALSE)</f>
        <v>251</v>
      </c>
      <c r="F1386">
        <f>VLOOKUP(PREVIOS!G1386,CONDICION!A:B,2,FALSE)</f>
        <v>1</v>
      </c>
      <c r="G1386">
        <f>IF(PREVIOS!AG1386=1,1,VLOOKUP(PREVIOS!AG1386,CALIFICACION!A:C,3,FALSE))</f>
        <v>1</v>
      </c>
      <c r="H1386" s="1" t="s">
        <v>534</v>
      </c>
      <c r="I1386" s="1" t="s">
        <v>534</v>
      </c>
      <c r="J1386">
        <f>VLOOKUP(PREVIOS!F1386&amp;VLOOKUP(PREVIOS!I1386,PLAN!A:B,2,FALSE),CURSO!A:D,4,FALSE)</f>
        <v>20</v>
      </c>
      <c r="K1386">
        <f>VLOOKUP(PREVIOS!H1386,CICLO!A:B,2,FALSE)</f>
        <v>53</v>
      </c>
      <c r="L1386">
        <f>VLOOKUP(PREVIOS!I1386,PLAN!A:B,2,FALSE)</f>
        <v>6</v>
      </c>
    </row>
    <row r="1387" spans="1:12" x14ac:dyDescent="0.25">
      <c r="A1387" t="str">
        <f t="shared" si="21"/>
        <v>A704M259C1</v>
      </c>
      <c r="C1387">
        <v>1386</v>
      </c>
      <c r="D1387">
        <f>VLOOKUP(PREVIOS!C1387,ALUMNOS!A:B,2,FALSE)</f>
        <v>704</v>
      </c>
      <c r="E1387">
        <f>VLOOKUP(PREVIOS!E1387&amp;'TABLA PREVIOS'!J1387,MATERIAS!A:H,7,FALSE)</f>
        <v>259</v>
      </c>
      <c r="F1387">
        <f>VLOOKUP(PREVIOS!G1387,CONDICION!A:B,2,FALSE)</f>
        <v>1</v>
      </c>
      <c r="G1387">
        <f>IF(PREVIOS!AG1387=1,1,VLOOKUP(PREVIOS!AG1387,CALIFICACION!A:C,3,FALSE))</f>
        <v>1</v>
      </c>
      <c r="H1387" s="1" t="s">
        <v>534</v>
      </c>
      <c r="I1387" s="1" t="s">
        <v>534</v>
      </c>
      <c r="J1387">
        <f>VLOOKUP(PREVIOS!F1387&amp;VLOOKUP(PREVIOS!I1387,PLAN!A:B,2,FALSE),CURSO!A:D,4,FALSE)</f>
        <v>20</v>
      </c>
      <c r="K1387">
        <f>VLOOKUP(PREVIOS!H1387,CICLO!A:B,2,FALSE)</f>
        <v>53</v>
      </c>
      <c r="L1387">
        <f>VLOOKUP(PREVIOS!I1387,PLAN!A:B,2,FALSE)</f>
        <v>6</v>
      </c>
    </row>
    <row r="1388" spans="1:12" x14ac:dyDescent="0.25">
      <c r="A1388" t="str">
        <f t="shared" si="21"/>
        <v>A707M231C1</v>
      </c>
      <c r="C1388">
        <v>1387</v>
      </c>
      <c r="D1388">
        <f>VLOOKUP(PREVIOS!C1388,ALUMNOS!A:B,2,FALSE)</f>
        <v>707</v>
      </c>
      <c r="E1388">
        <f>VLOOKUP(PREVIOS!E1388&amp;'TABLA PREVIOS'!J1388,MATERIAS!A:H,7,FALSE)</f>
        <v>231</v>
      </c>
      <c r="F1388">
        <f>VLOOKUP(PREVIOS!G1388,CONDICION!A:B,2,FALSE)</f>
        <v>1</v>
      </c>
      <c r="G1388">
        <f>IF(PREVIOS!AG1388=1,1,VLOOKUP(PREVIOS!AG1388,CALIFICACION!A:C,3,FALSE))</f>
        <v>1</v>
      </c>
      <c r="H1388" s="1" t="s">
        <v>534</v>
      </c>
      <c r="I1388" s="1" t="s">
        <v>534</v>
      </c>
      <c r="J1388">
        <f>VLOOKUP(PREVIOS!F1388&amp;VLOOKUP(PREVIOS!I1388,PLAN!A:B,2,FALSE),CURSO!A:D,4,FALSE)</f>
        <v>18</v>
      </c>
      <c r="K1388">
        <f>VLOOKUP(PREVIOS!H1388,CICLO!A:B,2,FALSE)</f>
        <v>55</v>
      </c>
      <c r="L1388">
        <f>VLOOKUP(PREVIOS!I1388,PLAN!A:B,2,FALSE)</f>
        <v>5</v>
      </c>
    </row>
    <row r="1389" spans="1:12" x14ac:dyDescent="0.25">
      <c r="A1389" t="str">
        <f t="shared" si="21"/>
        <v>A707M233C1</v>
      </c>
      <c r="C1389">
        <v>1388</v>
      </c>
      <c r="D1389">
        <f>VLOOKUP(PREVIOS!C1389,ALUMNOS!A:B,2,FALSE)</f>
        <v>707</v>
      </c>
      <c r="E1389">
        <f>VLOOKUP(PREVIOS!E1389&amp;'TABLA PREVIOS'!J1389,MATERIAS!A:H,7,FALSE)</f>
        <v>233</v>
      </c>
      <c r="F1389">
        <f>VLOOKUP(PREVIOS!G1389,CONDICION!A:B,2,FALSE)</f>
        <v>1</v>
      </c>
      <c r="G1389">
        <f>IF(PREVIOS!AG1389=1,1,VLOOKUP(PREVIOS!AG1389,CALIFICACION!A:C,3,FALSE))</f>
        <v>1</v>
      </c>
      <c r="H1389" s="1" t="s">
        <v>534</v>
      </c>
      <c r="I1389" s="1" t="s">
        <v>534</v>
      </c>
      <c r="J1389">
        <f>VLOOKUP(PREVIOS!F1389&amp;VLOOKUP(PREVIOS!I1389,PLAN!A:B,2,FALSE),CURSO!A:D,4,FALSE)</f>
        <v>18</v>
      </c>
      <c r="K1389">
        <f>VLOOKUP(PREVIOS!H1389,CICLO!A:B,2,FALSE)</f>
        <v>55</v>
      </c>
      <c r="L1389">
        <f>VLOOKUP(PREVIOS!I1389,PLAN!A:B,2,FALSE)</f>
        <v>5</v>
      </c>
    </row>
    <row r="1390" spans="1:12" x14ac:dyDescent="0.25">
      <c r="A1390" t="str">
        <f t="shared" si="21"/>
        <v>A707M234C1</v>
      </c>
      <c r="C1390">
        <v>1389</v>
      </c>
      <c r="D1390">
        <f>VLOOKUP(PREVIOS!C1390,ALUMNOS!A:B,2,FALSE)</f>
        <v>707</v>
      </c>
      <c r="E1390">
        <f>VLOOKUP(PREVIOS!E1390&amp;'TABLA PREVIOS'!J1390,MATERIAS!A:H,7,FALSE)</f>
        <v>234</v>
      </c>
      <c r="F1390">
        <f>VLOOKUP(PREVIOS!G1390,CONDICION!A:B,2,FALSE)</f>
        <v>1</v>
      </c>
      <c r="G1390">
        <f>IF(PREVIOS!AG1390=1,1,VLOOKUP(PREVIOS!AG1390,CALIFICACION!A:C,3,FALSE))</f>
        <v>1</v>
      </c>
      <c r="H1390" s="1" t="s">
        <v>534</v>
      </c>
      <c r="I1390" s="1" t="s">
        <v>534</v>
      </c>
      <c r="J1390">
        <f>VLOOKUP(PREVIOS!F1390&amp;VLOOKUP(PREVIOS!I1390,PLAN!A:B,2,FALSE),CURSO!A:D,4,FALSE)</f>
        <v>18</v>
      </c>
      <c r="K1390">
        <f>VLOOKUP(PREVIOS!H1390,CICLO!A:B,2,FALSE)</f>
        <v>55</v>
      </c>
      <c r="L1390">
        <f>VLOOKUP(PREVIOS!I1390,PLAN!A:B,2,FALSE)</f>
        <v>5</v>
      </c>
    </row>
    <row r="1391" spans="1:12" x14ac:dyDescent="0.25">
      <c r="A1391" t="str">
        <f t="shared" si="21"/>
        <v>A707M229C1</v>
      </c>
      <c r="C1391">
        <v>1390</v>
      </c>
      <c r="D1391">
        <f>VLOOKUP(PREVIOS!C1391,ALUMNOS!A:B,2,FALSE)</f>
        <v>707</v>
      </c>
      <c r="E1391">
        <f>VLOOKUP(PREVIOS!E1391&amp;'TABLA PREVIOS'!J1391,MATERIAS!A:H,7,FALSE)</f>
        <v>229</v>
      </c>
      <c r="F1391">
        <f>VLOOKUP(PREVIOS!G1391,CONDICION!A:B,2,FALSE)</f>
        <v>1</v>
      </c>
      <c r="G1391">
        <f>IF(PREVIOS!AG1391=1,1,VLOOKUP(PREVIOS!AG1391,CALIFICACION!A:C,3,FALSE))</f>
        <v>1</v>
      </c>
      <c r="H1391" s="1" t="s">
        <v>534</v>
      </c>
      <c r="I1391" s="1" t="s">
        <v>534</v>
      </c>
      <c r="J1391">
        <f>VLOOKUP(PREVIOS!F1391&amp;VLOOKUP(PREVIOS!I1391,PLAN!A:B,2,FALSE),CURSO!A:D,4,FALSE)</f>
        <v>18</v>
      </c>
      <c r="K1391">
        <f>VLOOKUP(PREVIOS!H1391,CICLO!A:B,2,FALSE)</f>
        <v>55</v>
      </c>
      <c r="L1391">
        <f>VLOOKUP(PREVIOS!I1391,PLAN!A:B,2,FALSE)</f>
        <v>5</v>
      </c>
    </row>
    <row r="1392" spans="1:12" x14ac:dyDescent="0.25">
      <c r="A1392" t="str">
        <f t="shared" si="21"/>
        <v>A735M234C1</v>
      </c>
      <c r="C1392">
        <v>1391</v>
      </c>
      <c r="D1392">
        <f>VLOOKUP(PREVIOS!C1392,ALUMNOS!A:B,2,FALSE)</f>
        <v>735</v>
      </c>
      <c r="E1392">
        <f>VLOOKUP(PREVIOS!E1392&amp;'TABLA PREVIOS'!J1392,MATERIAS!A:H,7,FALSE)</f>
        <v>234</v>
      </c>
      <c r="F1392">
        <f>VLOOKUP(PREVIOS!G1392,CONDICION!A:B,2,FALSE)</f>
        <v>1</v>
      </c>
      <c r="G1392">
        <f>IF(PREVIOS!AG1392=1,1,VLOOKUP(PREVIOS!AG1392,CALIFICACION!A:C,3,FALSE))</f>
        <v>1</v>
      </c>
      <c r="H1392" s="1" t="s">
        <v>534</v>
      </c>
      <c r="I1392" s="1" t="s">
        <v>534</v>
      </c>
      <c r="J1392">
        <f>VLOOKUP(PREVIOS!F1392&amp;VLOOKUP(PREVIOS!I1392,PLAN!A:B,2,FALSE),CURSO!A:D,4,FALSE)</f>
        <v>18</v>
      </c>
      <c r="K1392">
        <f>VLOOKUP(PREVIOS!H1392,CICLO!A:B,2,FALSE)</f>
        <v>52</v>
      </c>
      <c r="L1392">
        <f>VLOOKUP(PREVIOS!I1392,PLAN!A:B,2,FALSE)</f>
        <v>5</v>
      </c>
    </row>
    <row r="1393" spans="1:12" x14ac:dyDescent="0.25">
      <c r="A1393" t="str">
        <f t="shared" si="21"/>
        <v>A735M245C1</v>
      </c>
      <c r="C1393">
        <v>1392</v>
      </c>
      <c r="D1393">
        <f>VLOOKUP(PREVIOS!C1393,ALUMNOS!A:B,2,FALSE)</f>
        <v>735</v>
      </c>
      <c r="E1393">
        <f>VLOOKUP(PREVIOS!E1393&amp;'TABLA PREVIOS'!J1393,MATERIAS!A:H,7,FALSE)</f>
        <v>245</v>
      </c>
      <c r="F1393">
        <f>VLOOKUP(PREVIOS!G1393,CONDICION!A:B,2,FALSE)</f>
        <v>1</v>
      </c>
      <c r="G1393">
        <f>IF(PREVIOS!AG1393=1,1,VLOOKUP(PREVIOS!AG1393,CALIFICACION!A:C,3,FALSE))</f>
        <v>1</v>
      </c>
      <c r="H1393" s="1" t="s">
        <v>534</v>
      </c>
      <c r="I1393" s="1" t="s">
        <v>534</v>
      </c>
      <c r="J1393">
        <f>VLOOKUP(PREVIOS!F1393&amp;VLOOKUP(PREVIOS!I1393,PLAN!A:B,2,FALSE),CURSO!A:D,4,FALSE)</f>
        <v>19</v>
      </c>
      <c r="K1393">
        <f>VLOOKUP(PREVIOS!H1393,CICLO!A:B,2,FALSE)</f>
        <v>53</v>
      </c>
      <c r="L1393">
        <f>VLOOKUP(PREVIOS!I1393,PLAN!A:B,2,FALSE)</f>
        <v>5</v>
      </c>
    </row>
    <row r="1394" spans="1:12" x14ac:dyDescent="0.25">
      <c r="A1394" t="str">
        <f t="shared" si="21"/>
        <v>A746M229C1</v>
      </c>
      <c r="C1394">
        <v>1393</v>
      </c>
      <c r="D1394">
        <f>VLOOKUP(PREVIOS!C1394,ALUMNOS!A:B,2,FALSE)</f>
        <v>746</v>
      </c>
      <c r="E1394">
        <f>VLOOKUP(PREVIOS!E1394&amp;'TABLA PREVIOS'!J1394,MATERIAS!A:H,7,FALSE)</f>
        <v>229</v>
      </c>
      <c r="F1394">
        <f>VLOOKUP(PREVIOS!G1394,CONDICION!A:B,2,FALSE)</f>
        <v>1</v>
      </c>
      <c r="G1394">
        <f>IF(PREVIOS!AG1394=1,1,VLOOKUP(PREVIOS!AG1394,CALIFICACION!A:C,3,FALSE))</f>
        <v>1</v>
      </c>
      <c r="H1394" s="1" t="s">
        <v>534</v>
      </c>
      <c r="I1394" s="1" t="s">
        <v>534</v>
      </c>
      <c r="J1394">
        <f>VLOOKUP(PREVIOS!F1394&amp;VLOOKUP(PREVIOS!I1394,PLAN!A:B,2,FALSE),CURSO!A:D,4,FALSE)</f>
        <v>18</v>
      </c>
      <c r="K1394">
        <f>VLOOKUP(PREVIOS!H1394,CICLO!A:B,2,FALSE)</f>
        <v>52</v>
      </c>
      <c r="L1394">
        <f>VLOOKUP(PREVIOS!I1394,PLAN!A:B,2,FALSE)</f>
        <v>5</v>
      </c>
    </row>
    <row r="1395" spans="1:12" x14ac:dyDescent="0.25">
      <c r="A1395" t="str">
        <f t="shared" si="21"/>
        <v>A746M260C1</v>
      </c>
      <c r="C1395">
        <v>1394</v>
      </c>
      <c r="D1395">
        <f>VLOOKUP(PREVIOS!C1395,ALUMNOS!A:B,2,FALSE)</f>
        <v>746</v>
      </c>
      <c r="E1395">
        <f>VLOOKUP(PREVIOS!E1395&amp;'TABLA PREVIOS'!J1395,MATERIAS!A:H,7,FALSE)</f>
        <v>260</v>
      </c>
      <c r="F1395">
        <f>VLOOKUP(PREVIOS!G1395,CONDICION!A:B,2,FALSE)</f>
        <v>1</v>
      </c>
      <c r="G1395">
        <f>IF(PREVIOS!AG1395=1,1,VLOOKUP(PREVIOS!AG1395,CALIFICACION!A:C,3,FALSE))</f>
        <v>1</v>
      </c>
      <c r="H1395" s="1" t="s">
        <v>534</v>
      </c>
      <c r="I1395" s="1" t="s">
        <v>534</v>
      </c>
      <c r="J1395">
        <f>VLOOKUP(PREVIOS!F1395&amp;VLOOKUP(PREVIOS!I1395,PLAN!A:B,2,FALSE),CURSO!A:D,4,FALSE)</f>
        <v>20</v>
      </c>
      <c r="K1395">
        <f>VLOOKUP(PREVIOS!H1395,CICLO!A:B,2,FALSE)</f>
        <v>54</v>
      </c>
      <c r="L1395">
        <f>VLOOKUP(PREVIOS!I1395,PLAN!A:B,2,FALSE)</f>
        <v>6</v>
      </c>
    </row>
    <row r="1396" spans="1:12" x14ac:dyDescent="0.25">
      <c r="A1396" t="str">
        <f t="shared" si="21"/>
        <v>A746M262C1</v>
      </c>
      <c r="C1396">
        <v>1395</v>
      </c>
      <c r="D1396">
        <f>VLOOKUP(PREVIOS!C1396,ALUMNOS!A:B,2,FALSE)</f>
        <v>746</v>
      </c>
      <c r="E1396">
        <f>VLOOKUP(PREVIOS!E1396&amp;'TABLA PREVIOS'!J1396,MATERIAS!A:H,7,FALSE)</f>
        <v>262</v>
      </c>
      <c r="F1396">
        <f>VLOOKUP(PREVIOS!G1396,CONDICION!A:B,2,FALSE)</f>
        <v>1</v>
      </c>
      <c r="G1396">
        <f>IF(PREVIOS!AG1396=1,1,VLOOKUP(PREVIOS!AG1396,CALIFICACION!A:C,3,FALSE))</f>
        <v>1</v>
      </c>
      <c r="H1396" s="1" t="s">
        <v>534</v>
      </c>
      <c r="I1396" s="1" t="s">
        <v>534</v>
      </c>
      <c r="J1396">
        <f>VLOOKUP(PREVIOS!F1396&amp;VLOOKUP(PREVIOS!I1396,PLAN!A:B,2,FALSE),CURSO!A:D,4,FALSE)</f>
        <v>20</v>
      </c>
      <c r="K1396">
        <f>VLOOKUP(PREVIOS!H1396,CICLO!A:B,2,FALSE)</f>
        <v>54</v>
      </c>
      <c r="L1396">
        <f>VLOOKUP(PREVIOS!I1396,PLAN!A:B,2,FALSE)</f>
        <v>6</v>
      </c>
    </row>
    <row r="1397" spans="1:12" x14ac:dyDescent="0.25">
      <c r="A1397" t="str">
        <f t="shared" si="21"/>
        <v>A746M261C1</v>
      </c>
      <c r="C1397">
        <v>1396</v>
      </c>
      <c r="D1397">
        <f>VLOOKUP(PREVIOS!C1397,ALUMNOS!A:B,2,FALSE)</f>
        <v>746</v>
      </c>
      <c r="E1397">
        <f>VLOOKUP(PREVIOS!E1397&amp;'TABLA PREVIOS'!J1397,MATERIAS!A:H,7,FALSE)</f>
        <v>261</v>
      </c>
      <c r="F1397">
        <f>VLOOKUP(PREVIOS!G1397,CONDICION!A:B,2,FALSE)</f>
        <v>1</v>
      </c>
      <c r="G1397">
        <f>IF(PREVIOS!AG1397=1,1,VLOOKUP(PREVIOS!AG1397,CALIFICACION!A:C,3,FALSE))</f>
        <v>1</v>
      </c>
      <c r="H1397" s="1" t="s">
        <v>534</v>
      </c>
      <c r="I1397" s="1" t="s">
        <v>534</v>
      </c>
      <c r="J1397">
        <f>VLOOKUP(PREVIOS!F1397&amp;VLOOKUP(PREVIOS!I1397,PLAN!A:B,2,FALSE),CURSO!A:D,4,FALSE)</f>
        <v>20</v>
      </c>
      <c r="K1397">
        <f>VLOOKUP(PREVIOS!H1397,CICLO!A:B,2,FALSE)</f>
        <v>54</v>
      </c>
      <c r="L1397">
        <f>VLOOKUP(PREVIOS!I1397,PLAN!A:B,2,FALSE)</f>
        <v>6</v>
      </c>
    </row>
    <row r="1398" spans="1:12" x14ac:dyDescent="0.25">
      <c r="A1398" t="str">
        <f t="shared" si="21"/>
        <v>A746M251C1</v>
      </c>
      <c r="C1398">
        <v>1397</v>
      </c>
      <c r="D1398">
        <f>VLOOKUP(PREVIOS!C1398,ALUMNOS!A:B,2,FALSE)</f>
        <v>746</v>
      </c>
      <c r="E1398">
        <f>VLOOKUP(PREVIOS!E1398&amp;'TABLA PREVIOS'!J1398,MATERIAS!A:H,7,FALSE)</f>
        <v>251</v>
      </c>
      <c r="F1398">
        <f>VLOOKUP(PREVIOS!G1398,CONDICION!A:B,2,FALSE)</f>
        <v>1</v>
      </c>
      <c r="G1398">
        <f>IF(PREVIOS!AG1398=1,1,VLOOKUP(PREVIOS!AG1398,CALIFICACION!A:C,3,FALSE))</f>
        <v>1</v>
      </c>
      <c r="H1398" s="1" t="s">
        <v>534</v>
      </c>
      <c r="I1398" s="1" t="s">
        <v>534</v>
      </c>
      <c r="J1398">
        <f>VLOOKUP(PREVIOS!F1398&amp;VLOOKUP(PREVIOS!I1398,PLAN!A:B,2,FALSE),CURSO!A:D,4,FALSE)</f>
        <v>20</v>
      </c>
      <c r="K1398">
        <f>VLOOKUP(PREVIOS!H1398,CICLO!A:B,2,FALSE)</f>
        <v>54</v>
      </c>
      <c r="L1398">
        <f>VLOOKUP(PREVIOS!I1398,PLAN!A:B,2,FALSE)</f>
        <v>6</v>
      </c>
    </row>
    <row r="1399" spans="1:12" x14ac:dyDescent="0.25">
      <c r="A1399" t="str">
        <f t="shared" si="21"/>
        <v>A746M259C1</v>
      </c>
      <c r="C1399">
        <v>1398</v>
      </c>
      <c r="D1399">
        <f>VLOOKUP(PREVIOS!C1399,ALUMNOS!A:B,2,FALSE)</f>
        <v>746</v>
      </c>
      <c r="E1399">
        <f>VLOOKUP(PREVIOS!E1399&amp;'TABLA PREVIOS'!J1399,MATERIAS!A:H,7,FALSE)</f>
        <v>259</v>
      </c>
      <c r="F1399">
        <f>VLOOKUP(PREVIOS!G1399,CONDICION!A:B,2,FALSE)</f>
        <v>1</v>
      </c>
      <c r="G1399">
        <f>IF(PREVIOS!AG1399=1,1,VLOOKUP(PREVIOS!AG1399,CALIFICACION!A:C,3,FALSE))</f>
        <v>1</v>
      </c>
      <c r="H1399" s="1" t="s">
        <v>534</v>
      </c>
      <c r="I1399" s="1" t="s">
        <v>534</v>
      </c>
      <c r="J1399">
        <f>VLOOKUP(PREVIOS!F1399&amp;VLOOKUP(PREVIOS!I1399,PLAN!A:B,2,FALSE),CURSO!A:D,4,FALSE)</f>
        <v>20</v>
      </c>
      <c r="K1399">
        <f>VLOOKUP(PREVIOS!H1399,CICLO!A:B,2,FALSE)</f>
        <v>54</v>
      </c>
      <c r="L1399">
        <f>VLOOKUP(PREVIOS!I1399,PLAN!A:B,2,FALSE)</f>
        <v>6</v>
      </c>
    </row>
    <row r="1400" spans="1:12" x14ac:dyDescent="0.25">
      <c r="A1400" t="str">
        <f t="shared" si="21"/>
        <v>A749M225C1</v>
      </c>
      <c r="C1400">
        <v>1399</v>
      </c>
      <c r="D1400">
        <f>VLOOKUP(PREVIOS!C1400,ALUMNOS!A:B,2,FALSE)</f>
        <v>749</v>
      </c>
      <c r="E1400">
        <f>VLOOKUP(PREVIOS!E1400&amp;'TABLA PREVIOS'!J1400,MATERIAS!A:H,7,FALSE)</f>
        <v>225</v>
      </c>
      <c r="F1400">
        <f>VLOOKUP(PREVIOS!G1400,CONDICION!A:B,2,FALSE)</f>
        <v>1</v>
      </c>
      <c r="G1400">
        <f>IF(PREVIOS!AG1400=1,1,VLOOKUP(PREVIOS!AG1400,CALIFICACION!A:C,3,FALSE))</f>
        <v>1</v>
      </c>
      <c r="H1400" s="1" t="s">
        <v>534</v>
      </c>
      <c r="I1400" s="1" t="s">
        <v>534</v>
      </c>
      <c r="J1400">
        <f>VLOOKUP(PREVIOS!F1400&amp;VLOOKUP(PREVIOS!I1400,PLAN!A:B,2,FALSE),CURSO!A:D,4,FALSE)</f>
        <v>17</v>
      </c>
      <c r="K1400">
        <f>VLOOKUP(PREVIOS!H1400,CICLO!A:B,2,FALSE)</f>
        <v>54</v>
      </c>
      <c r="L1400">
        <f>VLOOKUP(PREVIOS!I1400,PLAN!A:B,2,FALSE)</f>
        <v>5</v>
      </c>
    </row>
    <row r="1401" spans="1:12" x14ac:dyDescent="0.25">
      <c r="A1401" t="str">
        <f t="shared" si="21"/>
        <v>A749M218C1</v>
      </c>
      <c r="C1401">
        <v>1400</v>
      </c>
      <c r="D1401">
        <f>VLOOKUP(PREVIOS!C1401,ALUMNOS!A:B,2,FALSE)</f>
        <v>749</v>
      </c>
      <c r="E1401">
        <f>VLOOKUP(PREVIOS!E1401&amp;'TABLA PREVIOS'!J1401,MATERIAS!A:H,7,FALSE)</f>
        <v>218</v>
      </c>
      <c r="F1401">
        <f>VLOOKUP(PREVIOS!G1401,CONDICION!A:B,2,FALSE)</f>
        <v>1</v>
      </c>
      <c r="G1401">
        <f>IF(PREVIOS!AG1401=1,1,VLOOKUP(PREVIOS!AG1401,CALIFICACION!A:C,3,FALSE))</f>
        <v>1</v>
      </c>
      <c r="H1401" s="1" t="s">
        <v>534</v>
      </c>
      <c r="I1401" s="1" t="s">
        <v>534</v>
      </c>
      <c r="J1401">
        <f>VLOOKUP(PREVIOS!F1401&amp;VLOOKUP(PREVIOS!I1401,PLAN!A:B,2,FALSE),CURSO!A:D,4,FALSE)</f>
        <v>17</v>
      </c>
      <c r="K1401">
        <f>VLOOKUP(PREVIOS!H1401,CICLO!A:B,2,FALSE)</f>
        <v>54</v>
      </c>
      <c r="L1401">
        <f>VLOOKUP(PREVIOS!I1401,PLAN!A:B,2,FALSE)</f>
        <v>5</v>
      </c>
    </row>
    <row r="1402" spans="1:12" x14ac:dyDescent="0.25">
      <c r="A1402" t="str">
        <f t="shared" si="21"/>
        <v>A749M224C1</v>
      </c>
      <c r="C1402">
        <v>1401</v>
      </c>
      <c r="D1402">
        <f>VLOOKUP(PREVIOS!C1402,ALUMNOS!A:B,2,FALSE)</f>
        <v>749</v>
      </c>
      <c r="E1402">
        <f>VLOOKUP(PREVIOS!E1402&amp;'TABLA PREVIOS'!J1402,MATERIAS!A:H,7,FALSE)</f>
        <v>224</v>
      </c>
      <c r="F1402">
        <f>VLOOKUP(PREVIOS!G1402,CONDICION!A:B,2,FALSE)</f>
        <v>1</v>
      </c>
      <c r="G1402">
        <f>IF(PREVIOS!AG1402=1,1,VLOOKUP(PREVIOS!AG1402,CALIFICACION!A:C,3,FALSE))</f>
        <v>1</v>
      </c>
      <c r="H1402" s="1" t="s">
        <v>534</v>
      </c>
      <c r="I1402" s="1" t="s">
        <v>534</v>
      </c>
      <c r="J1402">
        <f>VLOOKUP(PREVIOS!F1402&amp;VLOOKUP(PREVIOS!I1402,PLAN!A:B,2,FALSE),CURSO!A:D,4,FALSE)</f>
        <v>17</v>
      </c>
      <c r="K1402">
        <f>VLOOKUP(PREVIOS!H1402,CICLO!A:B,2,FALSE)</f>
        <v>54</v>
      </c>
      <c r="L1402">
        <f>VLOOKUP(PREVIOS!I1402,PLAN!A:B,2,FALSE)</f>
        <v>5</v>
      </c>
    </row>
    <row r="1403" spans="1:12" x14ac:dyDescent="0.25">
      <c r="A1403" t="str">
        <f t="shared" si="21"/>
        <v>A767M234C1</v>
      </c>
      <c r="C1403">
        <v>1402</v>
      </c>
      <c r="D1403">
        <f>VLOOKUP(PREVIOS!C1403,ALUMNOS!A:B,2,FALSE)</f>
        <v>767</v>
      </c>
      <c r="E1403">
        <f>VLOOKUP(PREVIOS!E1403&amp;'TABLA PREVIOS'!J1403,MATERIAS!A:H,7,FALSE)</f>
        <v>234</v>
      </c>
      <c r="F1403">
        <f>VLOOKUP(PREVIOS!G1403,CONDICION!A:B,2,FALSE)</f>
        <v>1</v>
      </c>
      <c r="G1403">
        <f>IF(PREVIOS!AG1403=1,1,VLOOKUP(PREVIOS!AG1403,CALIFICACION!A:C,3,FALSE))</f>
        <v>1</v>
      </c>
      <c r="H1403" s="1" t="s">
        <v>534</v>
      </c>
      <c r="I1403" s="1" t="s">
        <v>534</v>
      </c>
      <c r="J1403">
        <f>VLOOKUP(PREVIOS!F1403&amp;VLOOKUP(PREVIOS!I1403,PLAN!A:B,2,FALSE),CURSO!A:D,4,FALSE)</f>
        <v>18</v>
      </c>
      <c r="K1403">
        <f>VLOOKUP(PREVIOS!H1403,CICLO!A:B,2,FALSE)</f>
        <v>53</v>
      </c>
      <c r="L1403">
        <f>VLOOKUP(PREVIOS!I1403,PLAN!A:B,2,FALSE)</f>
        <v>5</v>
      </c>
    </row>
    <row r="1404" spans="1:12" x14ac:dyDescent="0.25">
      <c r="A1404" t="str">
        <f t="shared" si="21"/>
        <v>A767M245C1</v>
      </c>
      <c r="C1404">
        <v>1403</v>
      </c>
      <c r="D1404">
        <f>VLOOKUP(PREVIOS!C1404,ALUMNOS!A:B,2,FALSE)</f>
        <v>767</v>
      </c>
      <c r="E1404">
        <f>VLOOKUP(PREVIOS!E1404&amp;'TABLA PREVIOS'!J1404,MATERIAS!A:H,7,FALSE)</f>
        <v>245</v>
      </c>
      <c r="F1404">
        <f>VLOOKUP(PREVIOS!G1404,CONDICION!A:B,2,FALSE)</f>
        <v>1</v>
      </c>
      <c r="G1404">
        <f>IF(PREVIOS!AG1404=1,1,VLOOKUP(PREVIOS!AG1404,CALIFICACION!A:C,3,FALSE))</f>
        <v>1</v>
      </c>
      <c r="H1404" s="1" t="s">
        <v>534</v>
      </c>
      <c r="I1404" s="1" t="s">
        <v>534</v>
      </c>
      <c r="J1404">
        <f>VLOOKUP(PREVIOS!F1404&amp;VLOOKUP(PREVIOS!I1404,PLAN!A:B,2,FALSE),CURSO!A:D,4,FALSE)</f>
        <v>19</v>
      </c>
      <c r="K1404">
        <f>VLOOKUP(PREVIOS!H1404,CICLO!A:B,2,FALSE)</f>
        <v>54</v>
      </c>
      <c r="L1404">
        <f>VLOOKUP(PREVIOS!I1404,PLAN!A:B,2,FALSE)</f>
        <v>5</v>
      </c>
    </row>
    <row r="1405" spans="1:12" x14ac:dyDescent="0.25">
      <c r="A1405" t="str">
        <f t="shared" si="21"/>
        <v>A787M236C1</v>
      </c>
      <c r="C1405">
        <v>1404</v>
      </c>
      <c r="D1405">
        <f>VLOOKUP(PREVIOS!C1405,ALUMNOS!A:B,2,FALSE)</f>
        <v>787</v>
      </c>
      <c r="E1405">
        <f>VLOOKUP(PREVIOS!E1405&amp;'TABLA PREVIOS'!J1405,MATERIAS!A:H,7,FALSE)</f>
        <v>236</v>
      </c>
      <c r="F1405">
        <f>VLOOKUP(PREVIOS!G1405,CONDICION!A:B,2,FALSE)</f>
        <v>1</v>
      </c>
      <c r="G1405">
        <f>IF(PREVIOS!AG1405=1,1,VLOOKUP(PREVIOS!AG1405,CALIFICACION!A:C,3,FALSE))</f>
        <v>1</v>
      </c>
      <c r="H1405" s="1" t="s">
        <v>534</v>
      </c>
      <c r="I1405" s="1" t="s">
        <v>534</v>
      </c>
      <c r="J1405">
        <f>VLOOKUP(PREVIOS!F1405&amp;VLOOKUP(PREVIOS!I1405,PLAN!A:B,2,FALSE),CURSO!A:D,4,FALSE)</f>
        <v>18</v>
      </c>
      <c r="K1405">
        <f>VLOOKUP(PREVIOS!H1405,CICLO!A:B,2,FALSE)</f>
        <v>53</v>
      </c>
      <c r="L1405">
        <f>VLOOKUP(PREVIOS!I1405,PLAN!A:B,2,FALSE)</f>
        <v>5</v>
      </c>
    </row>
    <row r="1406" spans="1:12" x14ac:dyDescent="0.25">
      <c r="A1406" t="str">
        <f t="shared" si="21"/>
        <v>A787M230C1</v>
      </c>
      <c r="C1406">
        <v>1405</v>
      </c>
      <c r="D1406">
        <f>VLOOKUP(PREVIOS!C1406,ALUMNOS!A:B,2,FALSE)</f>
        <v>787</v>
      </c>
      <c r="E1406">
        <f>VLOOKUP(PREVIOS!E1406&amp;'TABLA PREVIOS'!J1406,MATERIAS!A:H,7,FALSE)</f>
        <v>230</v>
      </c>
      <c r="F1406">
        <f>VLOOKUP(PREVIOS!G1406,CONDICION!A:B,2,FALSE)</f>
        <v>1</v>
      </c>
      <c r="G1406">
        <f>IF(PREVIOS!AG1406=1,1,VLOOKUP(PREVIOS!AG1406,CALIFICACION!A:C,3,FALSE))</f>
        <v>1</v>
      </c>
      <c r="H1406" s="1" t="s">
        <v>534</v>
      </c>
      <c r="I1406" s="1" t="s">
        <v>534</v>
      </c>
      <c r="J1406">
        <f>VLOOKUP(PREVIOS!F1406&amp;VLOOKUP(PREVIOS!I1406,PLAN!A:B,2,FALSE),CURSO!A:D,4,FALSE)</f>
        <v>18</v>
      </c>
      <c r="K1406">
        <f>VLOOKUP(PREVIOS!H1406,CICLO!A:B,2,FALSE)</f>
        <v>53</v>
      </c>
      <c r="L1406">
        <f>VLOOKUP(PREVIOS!I1406,PLAN!A:B,2,FALSE)</f>
        <v>5</v>
      </c>
    </row>
  </sheetData>
  <autoFilter ref="C1:L1406" xr:uid="{00000000-0001-0000-0000-000000000000}"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8BE35-45C6-4A83-A86E-73624C78D642}">
  <dimension ref="A1:P169"/>
  <sheetViews>
    <sheetView workbookViewId="0">
      <selection activeCell="J4" sqref="J4"/>
    </sheetView>
  </sheetViews>
  <sheetFormatPr baseColWidth="10" defaultRowHeight="15" x14ac:dyDescent="0.25"/>
  <cols>
    <col min="1" max="1" width="15.5703125" bestFit="1" customWidth="1"/>
    <col min="2" max="2" width="18.140625" style="5" bestFit="1" customWidth="1"/>
    <col min="3" max="3" width="8.5703125" bestFit="1" customWidth="1"/>
    <col min="4" max="4" width="10.5703125" bestFit="1" customWidth="1"/>
    <col min="5" max="6" width="18.140625" bestFit="1" customWidth="1"/>
    <col min="11" max="11" width="38.28515625" bestFit="1" customWidth="1"/>
    <col min="12" max="12" width="18.140625" bestFit="1" customWidth="1"/>
    <col min="13" max="13" width="8.5703125" bestFit="1" customWidth="1"/>
    <col min="14" max="14" width="10.5703125" bestFit="1" customWidth="1"/>
    <col min="15" max="16" width="18.140625" bestFit="1" customWidth="1"/>
  </cols>
  <sheetData>
    <row r="1" spans="1:16" x14ac:dyDescent="0.25">
      <c r="A1" t="s">
        <v>611</v>
      </c>
      <c r="B1" s="5" t="s">
        <v>612</v>
      </c>
      <c r="C1" t="s">
        <v>613</v>
      </c>
      <c r="D1" t="s">
        <v>7</v>
      </c>
      <c r="E1" t="s">
        <v>2</v>
      </c>
      <c r="F1" t="s">
        <v>3</v>
      </c>
      <c r="K1" t="s">
        <v>630</v>
      </c>
    </row>
    <row r="2" spans="1:16" x14ac:dyDescent="0.25">
      <c r="A2">
        <v>1</v>
      </c>
      <c r="B2" s="5" t="str">
        <f>TEXT(EXAMENES!F2, "aaaa-mm-dd") &amp; " " &amp; TEXT(EXAMENES!G2, "hh:mm:ss")</f>
        <v>miércoles-04-17 08:00:00</v>
      </c>
      <c r="C2">
        <f>EXAMENES!L2</f>
        <v>1</v>
      </c>
      <c r="D2">
        <f>EXAMENES!O2</f>
        <v>225</v>
      </c>
      <c r="E2" t="s">
        <v>619</v>
      </c>
      <c r="F2" t="s">
        <v>619</v>
      </c>
    </row>
    <row r="3" spans="1:16" x14ac:dyDescent="0.25">
      <c r="A3">
        <v>2</v>
      </c>
      <c r="B3" s="5" t="str">
        <f>TEXT(EXAMENES!F3, "aaaa-mm-dd") &amp; " " &amp; TEXT(EXAMENES!G3, "hh:mm:ss")</f>
        <v>miércoles-04-17 08:00:00</v>
      </c>
      <c r="C3">
        <f>EXAMENES!L3</f>
        <v>1</v>
      </c>
      <c r="D3">
        <f>EXAMENES!O3</f>
        <v>225</v>
      </c>
      <c r="E3" t="s">
        <v>619</v>
      </c>
      <c r="F3" t="s">
        <v>619</v>
      </c>
      <c r="K3" t="s">
        <v>611</v>
      </c>
      <c r="L3" t="s">
        <v>612</v>
      </c>
      <c r="M3" t="s">
        <v>613</v>
      </c>
      <c r="N3" t="s">
        <v>7</v>
      </c>
      <c r="O3" t="s">
        <v>2</v>
      </c>
      <c r="P3" t="s">
        <v>3</v>
      </c>
    </row>
    <row r="4" spans="1:16" x14ac:dyDescent="0.25">
      <c r="A4">
        <v>3</v>
      </c>
      <c r="B4" s="5" t="str">
        <f>TEXT(EXAMENES!F4, "aaaa-mm-dd") &amp; " " &amp; TEXT(EXAMENES!G4, "hh:mm:ss")</f>
        <v>miércoles-04-17 08:00:00</v>
      </c>
      <c r="C4">
        <f>EXAMENES!L4</f>
        <v>1</v>
      </c>
      <c r="D4">
        <f>EXAMENES!O4</f>
        <v>235</v>
      </c>
      <c r="E4" t="s">
        <v>619</v>
      </c>
      <c r="F4" t="s">
        <v>619</v>
      </c>
      <c r="J4" t="str">
        <f>"T"&amp;M4&amp;"M"&amp;N4</f>
        <v>T1M225</v>
      </c>
      <c r="K4">
        <v>1</v>
      </c>
      <c r="L4" t="s">
        <v>619</v>
      </c>
      <c r="M4">
        <v>1</v>
      </c>
      <c r="N4">
        <v>225</v>
      </c>
      <c r="O4" t="s">
        <v>619</v>
      </c>
      <c r="P4" t="s">
        <v>619</v>
      </c>
    </row>
    <row r="5" spans="1:16" x14ac:dyDescent="0.25">
      <c r="A5">
        <v>4</v>
      </c>
      <c r="B5" s="5" t="str">
        <f>TEXT(EXAMENES!F5, "aaaa-mm-dd") &amp; " " &amp; TEXT(EXAMENES!G5, "hh:mm:ss")</f>
        <v>miércoles-04-17 08:00:00</v>
      </c>
      <c r="C5">
        <f>EXAMENES!L5</f>
        <v>1</v>
      </c>
      <c r="D5">
        <f>EXAMENES!O5</f>
        <v>235</v>
      </c>
      <c r="E5" t="s">
        <v>619</v>
      </c>
      <c r="F5" t="s">
        <v>619</v>
      </c>
      <c r="J5" t="str">
        <f t="shared" ref="J5:J68" si="0">"T"&amp;M5&amp;"M"&amp;N5</f>
        <v>T1M235</v>
      </c>
      <c r="K5">
        <v>2</v>
      </c>
      <c r="L5" t="s">
        <v>619</v>
      </c>
      <c r="M5">
        <v>1</v>
      </c>
      <c r="N5">
        <v>235</v>
      </c>
      <c r="O5" t="s">
        <v>619</v>
      </c>
      <c r="P5" t="s">
        <v>619</v>
      </c>
    </row>
    <row r="6" spans="1:16" x14ac:dyDescent="0.25">
      <c r="A6">
        <v>5</v>
      </c>
      <c r="B6" s="5" t="str">
        <f>TEXT(EXAMENES!F6, "aaaa-mm-dd") &amp; " " &amp; TEXT(EXAMENES!G6, "hh:mm:ss")</f>
        <v>jueves-04-18 08:00:00</v>
      </c>
      <c r="C6">
        <f>EXAMENES!L6</f>
        <v>1</v>
      </c>
      <c r="D6">
        <f>EXAMENES!O6</f>
        <v>258</v>
      </c>
      <c r="E6" t="s">
        <v>620</v>
      </c>
      <c r="F6" t="s">
        <v>620</v>
      </c>
      <c r="J6" t="str">
        <f t="shared" si="0"/>
        <v>T1M258</v>
      </c>
      <c r="K6">
        <v>3</v>
      </c>
      <c r="L6" t="s">
        <v>620</v>
      </c>
      <c r="M6">
        <v>1</v>
      </c>
      <c r="N6">
        <v>258</v>
      </c>
      <c r="O6" t="s">
        <v>620</v>
      </c>
      <c r="P6" t="s">
        <v>620</v>
      </c>
    </row>
    <row r="7" spans="1:16" x14ac:dyDescent="0.25">
      <c r="A7">
        <v>6</v>
      </c>
      <c r="B7" s="5" t="str">
        <f>TEXT(EXAMENES!F7, "aaaa-mm-dd") &amp; " " &amp; TEXT(EXAMENES!G7, "hh:mm:ss")</f>
        <v>jueves-04-18 08:00:00</v>
      </c>
      <c r="C7">
        <f>EXAMENES!L7</f>
        <v>1</v>
      </c>
      <c r="D7">
        <f>EXAMENES!O7</f>
        <v>272</v>
      </c>
      <c r="E7" t="s">
        <v>620</v>
      </c>
      <c r="F7" t="s">
        <v>620</v>
      </c>
      <c r="J7" t="str">
        <f t="shared" si="0"/>
        <v>T1M272</v>
      </c>
      <c r="K7">
        <v>4</v>
      </c>
      <c r="L7" t="s">
        <v>620</v>
      </c>
      <c r="M7">
        <v>1</v>
      </c>
      <c r="N7">
        <v>272</v>
      </c>
      <c r="O7" t="s">
        <v>620</v>
      </c>
      <c r="P7" t="s">
        <v>620</v>
      </c>
    </row>
    <row r="8" spans="1:16" x14ac:dyDescent="0.25">
      <c r="A8">
        <v>7</v>
      </c>
      <c r="B8" s="5" t="str">
        <f>TEXT(EXAMENES!F8, "aaaa-mm-dd") &amp; " " &amp; TEXT(EXAMENES!G8, "hh:mm:ss")</f>
        <v>viernes-04-19 08:00:00</v>
      </c>
      <c r="C8">
        <f>EXAMENES!L8</f>
        <v>1</v>
      </c>
      <c r="D8">
        <f>EXAMENES!O8</f>
        <v>221</v>
      </c>
      <c r="E8" t="s">
        <v>621</v>
      </c>
      <c r="F8" t="s">
        <v>621</v>
      </c>
      <c r="J8" t="str">
        <f t="shared" si="0"/>
        <v>T1M221</v>
      </c>
      <c r="K8">
        <v>5</v>
      </c>
      <c r="L8" t="s">
        <v>621</v>
      </c>
      <c r="M8">
        <v>1</v>
      </c>
      <c r="N8">
        <v>221</v>
      </c>
      <c r="O8" t="s">
        <v>621</v>
      </c>
      <c r="P8" t="s">
        <v>621</v>
      </c>
    </row>
    <row r="9" spans="1:16" x14ac:dyDescent="0.25">
      <c r="A9">
        <v>8</v>
      </c>
      <c r="B9" s="5" t="str">
        <f>TEXT(EXAMENES!F9, "aaaa-mm-dd") &amp; " " &amp; TEXT(EXAMENES!G9, "hh:mm:ss")</f>
        <v>viernes-04-19 08:00:00</v>
      </c>
      <c r="C9">
        <f>EXAMENES!L9</f>
        <v>1</v>
      </c>
      <c r="D9">
        <f>EXAMENES!O9</f>
        <v>221</v>
      </c>
      <c r="E9" t="s">
        <v>621</v>
      </c>
      <c r="F9" t="s">
        <v>621</v>
      </c>
      <c r="J9" t="str">
        <f t="shared" si="0"/>
        <v>T1M232</v>
      </c>
      <c r="K9">
        <v>6</v>
      </c>
      <c r="L9" t="s">
        <v>621</v>
      </c>
      <c r="M9">
        <v>1</v>
      </c>
      <c r="N9">
        <v>232</v>
      </c>
      <c r="O9" t="s">
        <v>621</v>
      </c>
      <c r="P9" t="s">
        <v>621</v>
      </c>
    </row>
    <row r="10" spans="1:16" x14ac:dyDescent="0.25">
      <c r="A10">
        <v>9</v>
      </c>
      <c r="B10" s="5" t="str">
        <f>TEXT(EXAMENES!F10, "aaaa-mm-dd") &amp; " " &amp; TEXT(EXAMENES!G10, "hh:mm:ss")</f>
        <v>viernes-04-19 08:00:00</v>
      </c>
      <c r="C10">
        <f>EXAMENES!L10</f>
        <v>1</v>
      </c>
      <c r="D10">
        <f>EXAMENES!O10</f>
        <v>221</v>
      </c>
      <c r="E10" t="s">
        <v>621</v>
      </c>
      <c r="F10" t="s">
        <v>621</v>
      </c>
      <c r="J10" t="str">
        <f t="shared" si="0"/>
        <v>T1M281</v>
      </c>
      <c r="K10">
        <v>7</v>
      </c>
      <c r="L10" t="s">
        <v>621</v>
      </c>
      <c r="M10">
        <v>1</v>
      </c>
      <c r="N10">
        <v>281</v>
      </c>
      <c r="O10" t="s">
        <v>621</v>
      </c>
      <c r="P10" t="s">
        <v>621</v>
      </c>
    </row>
    <row r="11" spans="1:16" x14ac:dyDescent="0.25">
      <c r="A11">
        <v>10</v>
      </c>
      <c r="B11" s="5" t="str">
        <f>TEXT(EXAMENES!F11, "aaaa-mm-dd") &amp; " " &amp; TEXT(EXAMENES!G11, "hh:mm:ss")</f>
        <v>viernes-04-19 08:00:00</v>
      </c>
      <c r="C11">
        <f>EXAMENES!L11</f>
        <v>1</v>
      </c>
      <c r="D11">
        <f>EXAMENES!O11</f>
        <v>232</v>
      </c>
      <c r="E11" t="s">
        <v>621</v>
      </c>
      <c r="F11" t="s">
        <v>621</v>
      </c>
      <c r="J11" t="str">
        <f t="shared" si="0"/>
        <v>T1M207</v>
      </c>
      <c r="K11">
        <v>8</v>
      </c>
      <c r="L11" t="s">
        <v>621</v>
      </c>
      <c r="M11">
        <v>1</v>
      </c>
      <c r="N11">
        <v>207</v>
      </c>
      <c r="O11" t="s">
        <v>621</v>
      </c>
      <c r="P11" t="s">
        <v>621</v>
      </c>
    </row>
    <row r="12" spans="1:16" x14ac:dyDescent="0.25">
      <c r="A12">
        <v>11</v>
      </c>
      <c r="B12" s="5" t="str">
        <f>TEXT(EXAMENES!F12, "aaaa-mm-dd") &amp; " " &amp; TEXT(EXAMENES!G12, "hh:mm:ss")</f>
        <v>viernes-04-19 08:00:00</v>
      </c>
      <c r="C12">
        <f>EXAMENES!L12</f>
        <v>1</v>
      </c>
      <c r="D12">
        <f>EXAMENES!O12</f>
        <v>281</v>
      </c>
      <c r="E12" t="s">
        <v>621</v>
      </c>
      <c r="F12" t="s">
        <v>621</v>
      </c>
      <c r="J12" t="str">
        <f t="shared" si="0"/>
        <v>T1M223</v>
      </c>
      <c r="K12">
        <v>9</v>
      </c>
      <c r="L12" t="s">
        <v>622</v>
      </c>
      <c r="M12">
        <v>1</v>
      </c>
      <c r="N12">
        <v>223</v>
      </c>
      <c r="O12" t="s">
        <v>622</v>
      </c>
      <c r="P12" t="s">
        <v>622</v>
      </c>
    </row>
    <row r="13" spans="1:16" x14ac:dyDescent="0.25">
      <c r="A13">
        <v>12</v>
      </c>
      <c r="B13" s="5" t="str">
        <f>TEXT(EXAMENES!F13, "aaaa-mm-dd") &amp; " " &amp; TEXT(EXAMENES!G13, "hh:mm:ss")</f>
        <v>viernes-04-19 08:00:00</v>
      </c>
      <c r="C13">
        <f>EXAMENES!L13</f>
        <v>1</v>
      </c>
      <c r="D13">
        <f>EXAMENES!O13</f>
        <v>207</v>
      </c>
      <c r="E13" t="s">
        <v>621</v>
      </c>
      <c r="F13" t="s">
        <v>621</v>
      </c>
      <c r="J13" t="str">
        <f t="shared" si="0"/>
        <v>T1M233</v>
      </c>
      <c r="K13">
        <v>10</v>
      </c>
      <c r="L13" t="s">
        <v>623</v>
      </c>
      <c r="M13">
        <v>1</v>
      </c>
      <c r="N13">
        <v>233</v>
      </c>
      <c r="O13" t="s">
        <v>623</v>
      </c>
      <c r="P13" t="s">
        <v>623</v>
      </c>
    </row>
    <row r="14" spans="1:16" x14ac:dyDescent="0.25">
      <c r="A14">
        <v>13</v>
      </c>
      <c r="B14" s="5" t="str">
        <f>TEXT(EXAMENES!F14, "aaaa-mm-dd") &amp; " " &amp; TEXT(EXAMENES!G14, "hh:mm:ss")</f>
        <v>viernes-04-19 08:00:00</v>
      </c>
      <c r="C14">
        <f>EXAMENES!L14</f>
        <v>1</v>
      </c>
      <c r="D14">
        <f>EXAMENES!O14</f>
        <v>281</v>
      </c>
      <c r="E14" t="s">
        <v>621</v>
      </c>
      <c r="F14" t="s">
        <v>621</v>
      </c>
      <c r="J14" t="str">
        <f t="shared" si="0"/>
        <v>T1M237</v>
      </c>
      <c r="K14">
        <v>11</v>
      </c>
      <c r="L14" t="s">
        <v>622</v>
      </c>
      <c r="M14">
        <v>1</v>
      </c>
      <c r="N14">
        <v>237</v>
      </c>
      <c r="O14" t="s">
        <v>622</v>
      </c>
      <c r="P14" t="s">
        <v>622</v>
      </c>
    </row>
    <row r="15" spans="1:16" x14ac:dyDescent="0.25">
      <c r="A15">
        <v>14</v>
      </c>
      <c r="B15" s="5" t="str">
        <f>TEXT(EXAMENES!F15, "aaaa-mm-dd") &amp; " " &amp; TEXT(EXAMENES!G15, "hh:mm:ss")</f>
        <v>viernes-04-19 08:00:00</v>
      </c>
      <c r="C15">
        <f>EXAMENES!L15</f>
        <v>1</v>
      </c>
      <c r="D15">
        <f>EXAMENES!O15</f>
        <v>281</v>
      </c>
      <c r="E15" t="s">
        <v>621</v>
      </c>
      <c r="F15" t="s">
        <v>621</v>
      </c>
      <c r="J15" t="str">
        <f t="shared" si="0"/>
        <v>T1M243</v>
      </c>
      <c r="K15">
        <v>12</v>
      </c>
      <c r="L15" t="s">
        <v>622</v>
      </c>
      <c r="M15">
        <v>1</v>
      </c>
      <c r="N15">
        <v>243</v>
      </c>
      <c r="O15" t="s">
        <v>622</v>
      </c>
      <c r="P15" t="s">
        <v>622</v>
      </c>
    </row>
    <row r="16" spans="1:16" x14ac:dyDescent="0.25">
      <c r="A16">
        <v>15</v>
      </c>
      <c r="B16" s="5" t="str">
        <f>TEXT(EXAMENES!F16, "aaaa-mm-dd") &amp; " " &amp; TEXT(EXAMENES!G16, "hh:mm:ss")</f>
        <v>lunes-04-22 13:00:00</v>
      </c>
      <c r="C16">
        <f>EXAMENES!L16</f>
        <v>1</v>
      </c>
      <c r="D16">
        <f>EXAMENES!O16</f>
        <v>223</v>
      </c>
      <c r="E16" t="s">
        <v>622</v>
      </c>
      <c r="F16" t="s">
        <v>622</v>
      </c>
      <c r="J16" t="str">
        <f t="shared" si="0"/>
        <v>T1M244</v>
      </c>
      <c r="K16">
        <v>13</v>
      </c>
      <c r="L16" t="s">
        <v>623</v>
      </c>
      <c r="M16">
        <v>1</v>
      </c>
      <c r="N16">
        <v>244</v>
      </c>
      <c r="O16" t="s">
        <v>623</v>
      </c>
      <c r="P16" t="s">
        <v>623</v>
      </c>
    </row>
    <row r="17" spans="1:16" x14ac:dyDescent="0.25">
      <c r="A17">
        <v>16</v>
      </c>
      <c r="B17" s="5" t="str">
        <f>TEXT(EXAMENES!F17, "aaaa-mm-dd") &amp; " " &amp; TEXT(EXAMENES!G17, "hh:mm:ss")</f>
        <v>lunes-04-22 13:00:00</v>
      </c>
      <c r="C17">
        <f>EXAMENES!L17</f>
        <v>1</v>
      </c>
      <c r="D17">
        <f>EXAMENES!O17</f>
        <v>223</v>
      </c>
      <c r="E17" t="s">
        <v>622</v>
      </c>
      <c r="F17" t="s">
        <v>622</v>
      </c>
      <c r="J17" t="str">
        <f t="shared" si="0"/>
        <v>T1M220</v>
      </c>
      <c r="K17">
        <v>14</v>
      </c>
      <c r="L17" t="s">
        <v>624</v>
      </c>
      <c r="M17">
        <v>1</v>
      </c>
      <c r="N17">
        <v>220</v>
      </c>
      <c r="O17" t="s">
        <v>624</v>
      </c>
      <c r="P17" t="s">
        <v>624</v>
      </c>
    </row>
    <row r="18" spans="1:16" x14ac:dyDescent="0.25">
      <c r="A18">
        <v>17</v>
      </c>
      <c r="B18" s="5" t="str">
        <f>TEXT(EXAMENES!F18, "aaaa-mm-dd") &amp; " " &amp; TEXT(EXAMENES!G18, "hh:mm:ss")</f>
        <v>lunes-04-29 13:00:00</v>
      </c>
      <c r="C18">
        <f>EXAMENES!L18</f>
        <v>1</v>
      </c>
      <c r="D18">
        <f>EXAMENES!O18</f>
        <v>233</v>
      </c>
      <c r="E18" t="s">
        <v>623</v>
      </c>
      <c r="F18" t="s">
        <v>623</v>
      </c>
      <c r="J18" t="str">
        <f t="shared" si="0"/>
        <v>T1M230</v>
      </c>
      <c r="K18">
        <v>15</v>
      </c>
      <c r="L18" t="s">
        <v>624</v>
      </c>
      <c r="M18">
        <v>1</v>
      </c>
      <c r="N18">
        <v>230</v>
      </c>
      <c r="O18" t="s">
        <v>624</v>
      </c>
      <c r="P18" t="s">
        <v>624</v>
      </c>
    </row>
    <row r="19" spans="1:16" x14ac:dyDescent="0.25">
      <c r="A19">
        <v>18</v>
      </c>
      <c r="B19" s="5" t="str">
        <f>TEXT(EXAMENES!F19, "aaaa-mm-dd") &amp; " " &amp; TEXT(EXAMENES!G19, "hh:mm:ss")</f>
        <v>lunes-04-22 13:00:00</v>
      </c>
      <c r="C19">
        <f>EXAMENES!L19</f>
        <v>1</v>
      </c>
      <c r="D19">
        <f>EXAMENES!O19</f>
        <v>237</v>
      </c>
      <c r="E19" t="s">
        <v>622</v>
      </c>
      <c r="F19" t="s">
        <v>622</v>
      </c>
      <c r="J19" t="str">
        <f t="shared" si="0"/>
        <v>T1M240</v>
      </c>
      <c r="K19">
        <v>16</v>
      </c>
      <c r="L19" t="s">
        <v>624</v>
      </c>
      <c r="M19">
        <v>1</v>
      </c>
      <c r="N19">
        <v>240</v>
      </c>
      <c r="O19" t="s">
        <v>624</v>
      </c>
      <c r="P19" t="s">
        <v>624</v>
      </c>
    </row>
    <row r="20" spans="1:16" x14ac:dyDescent="0.25">
      <c r="A20">
        <v>19</v>
      </c>
      <c r="B20" s="5" t="str">
        <f>TEXT(EXAMENES!F20, "aaaa-mm-dd") &amp; " " &amp; TEXT(EXAMENES!G20, "hh:mm:ss")</f>
        <v>lunes-04-22 13:00:00</v>
      </c>
      <c r="C20">
        <f>EXAMENES!L20</f>
        <v>1</v>
      </c>
      <c r="D20">
        <f>EXAMENES!O20</f>
        <v>243</v>
      </c>
      <c r="E20" t="s">
        <v>622</v>
      </c>
      <c r="F20" t="s">
        <v>622</v>
      </c>
      <c r="J20" t="str">
        <f t="shared" si="0"/>
        <v>T1M265</v>
      </c>
      <c r="K20">
        <v>17</v>
      </c>
      <c r="L20" t="s">
        <v>624</v>
      </c>
      <c r="M20">
        <v>1</v>
      </c>
      <c r="N20">
        <v>265</v>
      </c>
      <c r="O20" t="s">
        <v>624</v>
      </c>
      <c r="P20" t="s">
        <v>624</v>
      </c>
    </row>
    <row r="21" spans="1:16" x14ac:dyDescent="0.25">
      <c r="A21">
        <v>20</v>
      </c>
      <c r="B21" s="5" t="str">
        <f>TEXT(EXAMENES!F21, "aaaa-mm-dd") &amp; " " &amp; TEXT(EXAMENES!G21, "hh:mm:ss")</f>
        <v>lunes-04-29 13:00:00</v>
      </c>
      <c r="C21">
        <f>EXAMENES!L21</f>
        <v>1</v>
      </c>
      <c r="D21">
        <f>EXAMENES!O21</f>
        <v>244</v>
      </c>
      <c r="E21" t="s">
        <v>623</v>
      </c>
      <c r="F21" t="s">
        <v>623</v>
      </c>
      <c r="J21" t="str">
        <f t="shared" si="0"/>
        <v>T1M224</v>
      </c>
      <c r="K21">
        <v>18</v>
      </c>
      <c r="L21" t="s">
        <v>625</v>
      </c>
      <c r="M21">
        <v>1</v>
      </c>
      <c r="N21">
        <v>224</v>
      </c>
      <c r="O21" t="s">
        <v>625</v>
      </c>
      <c r="P21" t="s">
        <v>625</v>
      </c>
    </row>
    <row r="22" spans="1:16" x14ac:dyDescent="0.25">
      <c r="A22">
        <v>21</v>
      </c>
      <c r="B22" s="5" t="str">
        <f>TEXT(EXAMENES!F22, "aaaa-mm-dd") &amp; " " &amp; TEXT(EXAMENES!G22, "hh:mm:ss")</f>
        <v>lunes-04-29 13:00:00</v>
      </c>
      <c r="C22">
        <f>EXAMENES!L22</f>
        <v>1</v>
      </c>
      <c r="D22">
        <f>EXAMENES!O22</f>
        <v>244</v>
      </c>
      <c r="E22" t="s">
        <v>623</v>
      </c>
      <c r="F22" t="s">
        <v>623</v>
      </c>
      <c r="J22" t="str">
        <f t="shared" si="0"/>
        <v>T1M234</v>
      </c>
      <c r="K22">
        <v>19</v>
      </c>
      <c r="L22" t="s">
        <v>625</v>
      </c>
      <c r="M22">
        <v>1</v>
      </c>
      <c r="N22">
        <v>234</v>
      </c>
      <c r="O22" t="s">
        <v>625</v>
      </c>
      <c r="P22" t="s">
        <v>625</v>
      </c>
    </row>
    <row r="23" spans="1:16" x14ac:dyDescent="0.25">
      <c r="A23">
        <v>22</v>
      </c>
      <c r="B23" s="5" t="str">
        <f>TEXT(EXAMENES!F23, "aaaa-mm-dd") &amp; " " &amp; TEXT(EXAMENES!G23, "hh:mm:ss")</f>
        <v>martes-04-23 08:00:00</v>
      </c>
      <c r="C23">
        <f>EXAMENES!L23</f>
        <v>1</v>
      </c>
      <c r="D23">
        <f>EXAMENES!O23</f>
        <v>220</v>
      </c>
      <c r="E23" t="s">
        <v>624</v>
      </c>
      <c r="F23" t="s">
        <v>624</v>
      </c>
      <c r="J23" t="str">
        <f t="shared" si="0"/>
        <v>T1M256</v>
      </c>
      <c r="K23">
        <v>20</v>
      </c>
      <c r="L23" t="s">
        <v>625</v>
      </c>
      <c r="M23">
        <v>1</v>
      </c>
      <c r="N23">
        <v>256</v>
      </c>
      <c r="O23" t="s">
        <v>625</v>
      </c>
      <c r="P23" t="s">
        <v>625</v>
      </c>
    </row>
    <row r="24" spans="1:16" x14ac:dyDescent="0.25">
      <c r="A24">
        <v>23</v>
      </c>
      <c r="B24" s="5" t="str">
        <f>TEXT(EXAMENES!F24, "aaaa-mm-dd") &amp; " " &amp; TEXT(EXAMENES!G24, "hh:mm:ss")</f>
        <v>martes-04-23 08:00:00</v>
      </c>
      <c r="C24">
        <f>EXAMENES!L24</f>
        <v>1</v>
      </c>
      <c r="D24">
        <f>EXAMENES!O24</f>
        <v>220</v>
      </c>
      <c r="E24" t="s">
        <v>624</v>
      </c>
      <c r="F24" t="s">
        <v>624</v>
      </c>
      <c r="J24" t="str">
        <f t="shared" si="0"/>
        <v>T1M187</v>
      </c>
      <c r="K24">
        <v>21</v>
      </c>
      <c r="L24" t="s">
        <v>625</v>
      </c>
      <c r="M24">
        <v>1</v>
      </c>
      <c r="N24">
        <v>187</v>
      </c>
      <c r="O24" t="s">
        <v>625</v>
      </c>
      <c r="P24" t="s">
        <v>625</v>
      </c>
    </row>
    <row r="25" spans="1:16" x14ac:dyDescent="0.25">
      <c r="A25">
        <v>24</v>
      </c>
      <c r="B25" s="5" t="str">
        <f>TEXT(EXAMENES!F25, "aaaa-mm-dd") &amp; " " &amp; TEXT(EXAMENES!G25, "hh:mm:ss")</f>
        <v>martes-04-23 08:00:00</v>
      </c>
      <c r="C25">
        <f>EXAMENES!L25</f>
        <v>1</v>
      </c>
      <c r="D25">
        <f>EXAMENES!O25</f>
        <v>220</v>
      </c>
      <c r="E25" t="s">
        <v>624</v>
      </c>
      <c r="F25" t="s">
        <v>624</v>
      </c>
      <c r="J25" t="str">
        <f t="shared" si="0"/>
        <v>T1M219</v>
      </c>
      <c r="K25">
        <v>22</v>
      </c>
      <c r="L25" t="s">
        <v>623</v>
      </c>
      <c r="M25">
        <v>1</v>
      </c>
      <c r="N25">
        <v>219</v>
      </c>
      <c r="O25" t="s">
        <v>623</v>
      </c>
      <c r="P25" t="s">
        <v>623</v>
      </c>
    </row>
    <row r="26" spans="1:16" x14ac:dyDescent="0.25">
      <c r="A26">
        <v>25</v>
      </c>
      <c r="B26" s="5" t="str">
        <f>TEXT(EXAMENES!F26, "aaaa-mm-dd") &amp; " " &amp; TEXT(EXAMENES!G26, "hh:mm:ss")</f>
        <v>martes-04-23 08:00:00</v>
      </c>
      <c r="C26">
        <f>EXAMENES!L26</f>
        <v>1</v>
      </c>
      <c r="D26">
        <f>EXAMENES!O26</f>
        <v>220</v>
      </c>
      <c r="E26" t="s">
        <v>624</v>
      </c>
      <c r="F26" t="s">
        <v>624</v>
      </c>
      <c r="J26" t="str">
        <f t="shared" si="0"/>
        <v>T1M229</v>
      </c>
      <c r="K26">
        <v>23</v>
      </c>
      <c r="L26" t="s">
        <v>623</v>
      </c>
      <c r="M26">
        <v>1</v>
      </c>
      <c r="N26">
        <v>229</v>
      </c>
      <c r="O26" t="s">
        <v>623</v>
      </c>
      <c r="P26" t="s">
        <v>623</v>
      </c>
    </row>
    <row r="27" spans="1:16" x14ac:dyDescent="0.25">
      <c r="A27">
        <v>26</v>
      </c>
      <c r="B27" s="5" t="str">
        <f>TEXT(EXAMENES!F27, "aaaa-mm-dd") &amp; " " &amp; TEXT(EXAMENES!G27, "hh:mm:ss")</f>
        <v>martes-04-23 08:00:00</v>
      </c>
      <c r="C27">
        <f>EXAMENES!L27</f>
        <v>1</v>
      </c>
      <c r="D27">
        <f>EXAMENES!O27</f>
        <v>220</v>
      </c>
      <c r="E27" t="s">
        <v>624</v>
      </c>
      <c r="F27" t="s">
        <v>624</v>
      </c>
      <c r="J27" t="str">
        <f t="shared" si="0"/>
        <v>T1M155</v>
      </c>
      <c r="K27">
        <v>24</v>
      </c>
      <c r="L27" t="s">
        <v>623</v>
      </c>
      <c r="M27">
        <v>1</v>
      </c>
      <c r="N27">
        <v>155</v>
      </c>
      <c r="O27" t="s">
        <v>623</v>
      </c>
      <c r="P27" t="s">
        <v>623</v>
      </c>
    </row>
    <row r="28" spans="1:16" x14ac:dyDescent="0.25">
      <c r="A28">
        <v>27</v>
      </c>
      <c r="B28" s="5" t="str">
        <f>TEXT(EXAMENES!F28, "aaaa-mm-dd") &amp; " " &amp; TEXT(EXAMENES!G28, "hh:mm:ss")</f>
        <v>martes-04-23 08:00:00</v>
      </c>
      <c r="C28">
        <f>EXAMENES!L28</f>
        <v>1</v>
      </c>
      <c r="D28">
        <f>EXAMENES!O28</f>
        <v>220</v>
      </c>
      <c r="E28" t="s">
        <v>624</v>
      </c>
      <c r="F28" t="s">
        <v>624</v>
      </c>
      <c r="J28" t="str">
        <f t="shared" si="0"/>
        <v>T1M239</v>
      </c>
      <c r="K28">
        <v>25</v>
      </c>
      <c r="L28" t="s">
        <v>623</v>
      </c>
      <c r="M28">
        <v>1</v>
      </c>
      <c r="N28">
        <v>239</v>
      </c>
      <c r="O28" t="s">
        <v>623</v>
      </c>
      <c r="P28" t="s">
        <v>623</v>
      </c>
    </row>
    <row r="29" spans="1:16" x14ac:dyDescent="0.25">
      <c r="A29">
        <v>28</v>
      </c>
      <c r="B29" s="5" t="str">
        <f>TEXT(EXAMENES!F29, "aaaa-mm-dd") &amp; " " &amp; TEXT(EXAMENES!G29, "hh:mm:ss")</f>
        <v>martes-04-23 08:00:00</v>
      </c>
      <c r="C29">
        <f>EXAMENES!L29</f>
        <v>1</v>
      </c>
      <c r="D29">
        <f>EXAMENES!O29</f>
        <v>220</v>
      </c>
      <c r="E29" t="s">
        <v>624</v>
      </c>
      <c r="F29" t="s">
        <v>624</v>
      </c>
      <c r="J29" t="str">
        <f t="shared" si="0"/>
        <v>T1M279</v>
      </c>
      <c r="K29">
        <v>26</v>
      </c>
      <c r="L29" t="s">
        <v>623</v>
      </c>
      <c r="M29">
        <v>1</v>
      </c>
      <c r="N29">
        <v>279</v>
      </c>
      <c r="O29" t="s">
        <v>623</v>
      </c>
      <c r="P29" t="s">
        <v>623</v>
      </c>
    </row>
    <row r="30" spans="1:16" x14ac:dyDescent="0.25">
      <c r="A30">
        <v>29</v>
      </c>
      <c r="B30" s="5" t="str">
        <f>TEXT(EXAMENES!F30, "aaaa-mm-dd") &amp; " " &amp; TEXT(EXAMENES!G30, "hh:mm:ss")</f>
        <v>martes-04-23 08:00:00</v>
      </c>
      <c r="C30">
        <f>EXAMENES!L30</f>
        <v>1</v>
      </c>
      <c r="D30">
        <f>EXAMENES!O30</f>
        <v>220</v>
      </c>
      <c r="E30" t="s">
        <v>624</v>
      </c>
      <c r="F30" t="s">
        <v>624</v>
      </c>
      <c r="J30" t="str">
        <f t="shared" si="0"/>
        <v>T1M260</v>
      </c>
      <c r="K30">
        <v>27</v>
      </c>
      <c r="L30" t="s">
        <v>623</v>
      </c>
      <c r="M30">
        <v>1</v>
      </c>
      <c r="N30">
        <v>260</v>
      </c>
      <c r="O30" t="s">
        <v>623</v>
      </c>
      <c r="P30" t="s">
        <v>623</v>
      </c>
    </row>
    <row r="31" spans="1:16" x14ac:dyDescent="0.25">
      <c r="A31">
        <v>30</v>
      </c>
      <c r="B31" s="5" t="str">
        <f>TEXT(EXAMENES!F31, "aaaa-mm-dd") &amp; " " &amp; TEXT(EXAMENES!G31, "hh:mm:ss")</f>
        <v>martes-04-23 08:00:00</v>
      </c>
      <c r="C31">
        <f>EXAMENES!L31</f>
        <v>1</v>
      </c>
      <c r="D31">
        <f>EXAMENES!O31</f>
        <v>220</v>
      </c>
      <c r="E31" t="s">
        <v>624</v>
      </c>
      <c r="F31" t="s">
        <v>624</v>
      </c>
      <c r="J31" t="str">
        <f t="shared" si="0"/>
        <v>T1M259</v>
      </c>
      <c r="K31">
        <v>28</v>
      </c>
      <c r="L31" t="s">
        <v>623</v>
      </c>
      <c r="M31">
        <v>1</v>
      </c>
      <c r="N31">
        <v>259</v>
      </c>
      <c r="O31" t="s">
        <v>623</v>
      </c>
      <c r="P31" t="s">
        <v>623</v>
      </c>
    </row>
    <row r="32" spans="1:16" x14ac:dyDescent="0.25">
      <c r="A32">
        <v>31</v>
      </c>
      <c r="B32" s="5" t="str">
        <f>TEXT(EXAMENES!F32, "aaaa-mm-dd") &amp; " " &amp; TEXT(EXAMENES!G32, "hh:mm:ss")</f>
        <v>martes-04-23 08:00:00</v>
      </c>
      <c r="C32">
        <f>EXAMENES!L32</f>
        <v>1</v>
      </c>
      <c r="D32">
        <f>EXAMENES!O32</f>
        <v>220</v>
      </c>
      <c r="E32" t="s">
        <v>624</v>
      </c>
      <c r="F32" t="s">
        <v>624</v>
      </c>
      <c r="J32" t="str">
        <f t="shared" si="0"/>
        <v>T1M273</v>
      </c>
      <c r="K32">
        <v>29</v>
      </c>
      <c r="L32" t="s">
        <v>623</v>
      </c>
      <c r="M32">
        <v>1</v>
      </c>
      <c r="N32">
        <v>273</v>
      </c>
      <c r="O32" t="s">
        <v>623</v>
      </c>
      <c r="P32" t="s">
        <v>623</v>
      </c>
    </row>
    <row r="33" spans="1:16" x14ac:dyDescent="0.25">
      <c r="A33">
        <v>32</v>
      </c>
      <c r="B33" s="5" t="str">
        <f>TEXT(EXAMENES!F33, "aaaa-mm-dd") &amp; " " &amp; TEXT(EXAMENES!G33, "hh:mm:ss")</f>
        <v>martes-04-23 08:00:00</v>
      </c>
      <c r="C33">
        <f>EXAMENES!L33</f>
        <v>1</v>
      </c>
      <c r="D33">
        <f>EXAMENES!O33</f>
        <v>230</v>
      </c>
      <c r="E33" t="s">
        <v>624</v>
      </c>
      <c r="F33" t="s">
        <v>624</v>
      </c>
      <c r="J33" t="str">
        <f t="shared" si="0"/>
        <v>T1M285</v>
      </c>
      <c r="K33">
        <v>30</v>
      </c>
      <c r="L33" t="s">
        <v>623</v>
      </c>
      <c r="M33">
        <v>1</v>
      </c>
      <c r="N33">
        <v>285</v>
      </c>
      <c r="O33" t="s">
        <v>623</v>
      </c>
      <c r="P33" t="s">
        <v>623</v>
      </c>
    </row>
    <row r="34" spans="1:16" x14ac:dyDescent="0.25">
      <c r="A34">
        <v>33</v>
      </c>
      <c r="B34" s="5" t="str">
        <f>TEXT(EXAMENES!F34, "aaaa-mm-dd") &amp; " " &amp; TEXT(EXAMENES!G34, "hh:mm:ss")</f>
        <v>martes-04-23 08:00:00</v>
      </c>
      <c r="C34">
        <f>EXAMENES!L34</f>
        <v>1</v>
      </c>
      <c r="D34">
        <f>EXAMENES!O34</f>
        <v>230</v>
      </c>
      <c r="E34" t="s">
        <v>624</v>
      </c>
      <c r="F34" t="s">
        <v>624</v>
      </c>
      <c r="J34" t="str">
        <f t="shared" si="0"/>
        <v>T1M289</v>
      </c>
      <c r="K34">
        <v>31</v>
      </c>
      <c r="L34" t="s">
        <v>623</v>
      </c>
      <c r="M34">
        <v>1</v>
      </c>
      <c r="N34">
        <v>289</v>
      </c>
      <c r="O34" t="s">
        <v>623</v>
      </c>
      <c r="P34" t="s">
        <v>623</v>
      </c>
    </row>
    <row r="35" spans="1:16" x14ac:dyDescent="0.25">
      <c r="A35">
        <v>34</v>
      </c>
      <c r="B35" s="5" t="str">
        <f>TEXT(EXAMENES!F35, "aaaa-mm-dd") &amp; " " &amp; TEXT(EXAMENES!G35, "hh:mm:ss")</f>
        <v>martes-04-23 08:00:00</v>
      </c>
      <c r="C35">
        <f>EXAMENES!L35</f>
        <v>1</v>
      </c>
      <c r="D35">
        <f>EXAMENES!O35</f>
        <v>230</v>
      </c>
      <c r="E35" t="s">
        <v>624</v>
      </c>
      <c r="F35" t="s">
        <v>624</v>
      </c>
      <c r="J35" t="str">
        <f t="shared" si="0"/>
        <v>T1M287</v>
      </c>
      <c r="K35">
        <v>32</v>
      </c>
      <c r="L35" t="s">
        <v>623</v>
      </c>
      <c r="M35">
        <v>1</v>
      </c>
      <c r="N35">
        <v>287</v>
      </c>
      <c r="O35" t="s">
        <v>623</v>
      </c>
      <c r="P35" t="s">
        <v>623</v>
      </c>
    </row>
    <row r="36" spans="1:16" x14ac:dyDescent="0.25">
      <c r="A36">
        <v>35</v>
      </c>
      <c r="B36" s="5" t="str">
        <f>TEXT(EXAMENES!F36, "aaaa-mm-dd") &amp; " " &amp; TEXT(EXAMENES!G36, "hh:mm:ss")</f>
        <v>martes-04-23 08:00:00</v>
      </c>
      <c r="C36">
        <f>EXAMENES!L36</f>
        <v>1</v>
      </c>
      <c r="D36">
        <f>EXAMENES!O36</f>
        <v>230</v>
      </c>
      <c r="E36" t="s">
        <v>624</v>
      </c>
      <c r="F36" t="s">
        <v>624</v>
      </c>
      <c r="J36" t="str">
        <f t="shared" si="0"/>
        <v>T1M286</v>
      </c>
      <c r="K36">
        <v>33</v>
      </c>
      <c r="L36" t="s">
        <v>623</v>
      </c>
      <c r="M36">
        <v>1</v>
      </c>
      <c r="N36">
        <v>286</v>
      </c>
      <c r="O36" t="s">
        <v>623</v>
      </c>
      <c r="P36" t="s">
        <v>623</v>
      </c>
    </row>
    <row r="37" spans="1:16" x14ac:dyDescent="0.25">
      <c r="A37">
        <v>36</v>
      </c>
      <c r="B37" s="5" t="str">
        <f>TEXT(EXAMENES!F37, "aaaa-mm-dd") &amp; " " &amp; TEXT(EXAMENES!G37, "hh:mm:ss")</f>
        <v>martes-04-23 08:00:00</v>
      </c>
      <c r="C37">
        <f>EXAMENES!L37</f>
        <v>1</v>
      </c>
      <c r="D37">
        <f>EXAMENES!O37</f>
        <v>230</v>
      </c>
      <c r="E37" t="s">
        <v>624</v>
      </c>
      <c r="F37" t="s">
        <v>624</v>
      </c>
      <c r="J37" t="str">
        <f t="shared" si="0"/>
        <v>T1M288</v>
      </c>
      <c r="K37">
        <v>34</v>
      </c>
      <c r="L37" t="s">
        <v>623</v>
      </c>
      <c r="M37">
        <v>1</v>
      </c>
      <c r="N37">
        <v>288</v>
      </c>
      <c r="O37" t="s">
        <v>623</v>
      </c>
      <c r="P37" t="s">
        <v>623</v>
      </c>
    </row>
    <row r="38" spans="1:16" x14ac:dyDescent="0.25">
      <c r="A38">
        <v>37</v>
      </c>
      <c r="B38" s="5" t="str">
        <f>TEXT(EXAMENES!F38, "aaaa-mm-dd") &amp; " " &amp; TEXT(EXAMENES!G38, "hh:mm:ss")</f>
        <v>martes-04-23 08:00:00</v>
      </c>
      <c r="C38">
        <f>EXAMENES!L38</f>
        <v>1</v>
      </c>
      <c r="D38">
        <f>EXAMENES!O38</f>
        <v>230</v>
      </c>
      <c r="E38" t="s">
        <v>624</v>
      </c>
      <c r="F38" t="s">
        <v>624</v>
      </c>
      <c r="J38" t="str">
        <f t="shared" si="0"/>
        <v>T1M290</v>
      </c>
      <c r="K38">
        <v>35</v>
      </c>
      <c r="L38" t="s">
        <v>623</v>
      </c>
      <c r="M38">
        <v>1</v>
      </c>
      <c r="N38">
        <v>290</v>
      </c>
      <c r="O38" t="s">
        <v>623</v>
      </c>
      <c r="P38" t="s">
        <v>623</v>
      </c>
    </row>
    <row r="39" spans="1:16" x14ac:dyDescent="0.25">
      <c r="A39">
        <v>38</v>
      </c>
      <c r="B39" s="5" t="str">
        <f>TEXT(EXAMENES!F39, "aaaa-mm-dd") &amp; " " &amp; TEXT(EXAMENES!G39, "hh:mm:ss")</f>
        <v>martes-04-23 08:00:00</v>
      </c>
      <c r="C39">
        <f>EXAMENES!L39</f>
        <v>1</v>
      </c>
      <c r="D39">
        <f>EXAMENES!O39</f>
        <v>230</v>
      </c>
      <c r="E39" t="s">
        <v>624</v>
      </c>
      <c r="F39" t="s">
        <v>624</v>
      </c>
      <c r="J39" t="str">
        <f t="shared" si="0"/>
        <v>T2M221</v>
      </c>
      <c r="K39">
        <v>36</v>
      </c>
      <c r="L39" t="s">
        <v>626</v>
      </c>
      <c r="M39">
        <v>2</v>
      </c>
      <c r="N39">
        <v>221</v>
      </c>
      <c r="O39" t="s">
        <v>626</v>
      </c>
      <c r="P39" t="s">
        <v>626</v>
      </c>
    </row>
    <row r="40" spans="1:16" x14ac:dyDescent="0.25">
      <c r="A40">
        <v>39</v>
      </c>
      <c r="B40" s="5" t="str">
        <f>TEXT(EXAMENES!F40, "aaaa-mm-dd") &amp; " " &amp; TEXT(EXAMENES!G40, "hh:mm:ss")</f>
        <v>martes-04-23 08:00:00</v>
      </c>
      <c r="C40">
        <f>EXAMENES!L40</f>
        <v>1</v>
      </c>
      <c r="D40">
        <f>EXAMENES!O40</f>
        <v>230</v>
      </c>
      <c r="E40" t="s">
        <v>624</v>
      </c>
      <c r="F40" t="s">
        <v>624</v>
      </c>
      <c r="J40" t="str">
        <f t="shared" si="0"/>
        <v>T2M220</v>
      </c>
      <c r="K40">
        <v>37</v>
      </c>
      <c r="L40" t="s">
        <v>626</v>
      </c>
      <c r="M40">
        <v>2</v>
      </c>
      <c r="N40">
        <v>220</v>
      </c>
      <c r="O40" t="s">
        <v>626</v>
      </c>
      <c r="P40" t="s">
        <v>626</v>
      </c>
    </row>
    <row r="41" spans="1:16" x14ac:dyDescent="0.25">
      <c r="A41">
        <v>40</v>
      </c>
      <c r="B41" s="5" t="str">
        <f>TEXT(EXAMENES!F41, "aaaa-mm-dd") &amp; " " &amp; TEXT(EXAMENES!G41, "hh:mm:ss")</f>
        <v>martes-04-23 08:00:00</v>
      </c>
      <c r="C41">
        <f>EXAMENES!L41</f>
        <v>1</v>
      </c>
      <c r="D41">
        <f>EXAMENES!O41</f>
        <v>230</v>
      </c>
      <c r="E41" t="s">
        <v>624</v>
      </c>
      <c r="F41" t="s">
        <v>624</v>
      </c>
      <c r="J41" t="str">
        <f t="shared" si="0"/>
        <v>T2M232</v>
      </c>
      <c r="K41">
        <v>38</v>
      </c>
      <c r="L41" t="s">
        <v>626</v>
      </c>
      <c r="M41">
        <v>2</v>
      </c>
      <c r="N41">
        <v>232</v>
      </c>
      <c r="O41" t="s">
        <v>626</v>
      </c>
      <c r="P41" t="s">
        <v>626</v>
      </c>
    </row>
    <row r="42" spans="1:16" x14ac:dyDescent="0.25">
      <c r="A42">
        <v>41</v>
      </c>
      <c r="B42" s="5" t="str">
        <f>TEXT(EXAMENES!F42, "aaaa-mm-dd") &amp; " " &amp; TEXT(EXAMENES!G42, "hh:mm:ss")</f>
        <v>martes-04-23 08:00:00</v>
      </c>
      <c r="C42">
        <f>EXAMENES!L42</f>
        <v>1</v>
      </c>
      <c r="D42">
        <f>EXAMENES!O42</f>
        <v>240</v>
      </c>
      <c r="E42" t="s">
        <v>624</v>
      </c>
      <c r="F42" t="s">
        <v>624</v>
      </c>
      <c r="J42" t="str">
        <f t="shared" si="0"/>
        <v>T2M230</v>
      </c>
      <c r="K42">
        <v>39</v>
      </c>
      <c r="L42" t="s">
        <v>626</v>
      </c>
      <c r="M42">
        <v>2</v>
      </c>
      <c r="N42">
        <v>230</v>
      </c>
      <c r="O42" t="s">
        <v>626</v>
      </c>
      <c r="P42" t="s">
        <v>626</v>
      </c>
    </row>
    <row r="43" spans="1:16" x14ac:dyDescent="0.25">
      <c r="A43">
        <v>42</v>
      </c>
      <c r="B43" s="5" t="str">
        <f>TEXT(EXAMENES!F43, "aaaa-mm-dd") &amp; " " &amp; TEXT(EXAMENES!G43, "hh:mm:ss")</f>
        <v>martes-04-23 08:00:00</v>
      </c>
      <c r="C43">
        <f>EXAMENES!L43</f>
        <v>1</v>
      </c>
      <c r="D43">
        <f>EXAMENES!O43</f>
        <v>240</v>
      </c>
      <c r="E43" t="s">
        <v>624</v>
      </c>
      <c r="F43" t="s">
        <v>624</v>
      </c>
      <c r="J43" t="str">
        <f t="shared" si="0"/>
        <v>T2M249</v>
      </c>
      <c r="K43">
        <v>40</v>
      </c>
      <c r="L43" t="s">
        <v>626</v>
      </c>
      <c r="M43">
        <v>2</v>
      </c>
      <c r="N43">
        <v>249</v>
      </c>
      <c r="O43" t="s">
        <v>626</v>
      </c>
      <c r="P43" t="s">
        <v>626</v>
      </c>
    </row>
    <row r="44" spans="1:16" x14ac:dyDescent="0.25">
      <c r="A44">
        <v>43</v>
      </c>
      <c r="B44" s="5" t="str">
        <f>TEXT(EXAMENES!F44, "aaaa-mm-dd") &amp; " " &amp; TEXT(EXAMENES!G44, "hh:mm:ss")</f>
        <v>martes-04-23 08:00:00</v>
      </c>
      <c r="C44">
        <f>EXAMENES!L44</f>
        <v>1</v>
      </c>
      <c r="D44">
        <f>EXAMENES!O44</f>
        <v>240</v>
      </c>
      <c r="E44" t="s">
        <v>624</v>
      </c>
      <c r="F44" t="s">
        <v>624</v>
      </c>
      <c r="J44" t="str">
        <f t="shared" si="0"/>
        <v>T2M240</v>
      </c>
      <c r="K44">
        <v>41</v>
      </c>
      <c r="L44" t="s">
        <v>626</v>
      </c>
      <c r="M44">
        <v>2</v>
      </c>
      <c r="N44">
        <v>240</v>
      </c>
      <c r="O44" t="s">
        <v>626</v>
      </c>
      <c r="P44" t="s">
        <v>626</v>
      </c>
    </row>
    <row r="45" spans="1:16" x14ac:dyDescent="0.25">
      <c r="A45">
        <v>44</v>
      </c>
      <c r="B45" s="5" t="str">
        <f>TEXT(EXAMENES!F45, "aaaa-mm-dd") &amp; " " &amp; TEXT(EXAMENES!G45, "hh:mm:ss")</f>
        <v>martes-04-23 08:00:00</v>
      </c>
      <c r="C45">
        <f>EXAMENES!L45</f>
        <v>1</v>
      </c>
      <c r="D45">
        <f>EXAMENES!O45</f>
        <v>240</v>
      </c>
      <c r="E45" t="s">
        <v>624</v>
      </c>
      <c r="F45" t="s">
        <v>624</v>
      </c>
      <c r="J45" t="str">
        <f t="shared" si="0"/>
        <v>T2M253</v>
      </c>
      <c r="K45">
        <v>42</v>
      </c>
      <c r="L45" t="s">
        <v>626</v>
      </c>
      <c r="M45">
        <v>2</v>
      </c>
      <c r="N45">
        <v>253</v>
      </c>
      <c r="O45" t="s">
        <v>626</v>
      </c>
      <c r="P45" t="s">
        <v>626</v>
      </c>
    </row>
    <row r="46" spans="1:16" x14ac:dyDescent="0.25">
      <c r="A46">
        <v>45</v>
      </c>
      <c r="B46" s="5" t="str">
        <f>TEXT(EXAMENES!F46, "aaaa-mm-dd") &amp; " " &amp; TEXT(EXAMENES!G46, "hh:mm:ss")</f>
        <v>martes-04-23 08:00:00</v>
      </c>
      <c r="C46">
        <f>EXAMENES!L46</f>
        <v>1</v>
      </c>
      <c r="D46">
        <f>EXAMENES!O46</f>
        <v>240</v>
      </c>
      <c r="E46" t="s">
        <v>624</v>
      </c>
      <c r="F46" t="s">
        <v>624</v>
      </c>
      <c r="J46" t="str">
        <f t="shared" si="0"/>
        <v>T2M252</v>
      </c>
      <c r="K46">
        <v>43</v>
      </c>
      <c r="L46" t="s">
        <v>626</v>
      </c>
      <c r="M46">
        <v>2</v>
      </c>
      <c r="N46">
        <v>252</v>
      </c>
      <c r="O46" t="s">
        <v>626</v>
      </c>
      <c r="P46" t="s">
        <v>626</v>
      </c>
    </row>
    <row r="47" spans="1:16" x14ac:dyDescent="0.25">
      <c r="A47">
        <v>46</v>
      </c>
      <c r="B47" s="5" t="str">
        <f>TEXT(EXAMENES!F47, "aaaa-mm-dd") &amp; " " &amp; TEXT(EXAMENES!G47, "hh:mm:ss")</f>
        <v>martes-04-23 08:00:00</v>
      </c>
      <c r="C47">
        <f>EXAMENES!L47</f>
        <v>1</v>
      </c>
      <c r="D47">
        <f>EXAMENES!O47</f>
        <v>240</v>
      </c>
      <c r="E47" t="s">
        <v>624</v>
      </c>
      <c r="F47" t="s">
        <v>624</v>
      </c>
      <c r="J47" t="str">
        <f t="shared" si="0"/>
        <v>T2M272</v>
      </c>
      <c r="K47">
        <v>44</v>
      </c>
      <c r="L47" t="s">
        <v>626</v>
      </c>
      <c r="M47">
        <v>2</v>
      </c>
      <c r="N47">
        <v>272</v>
      </c>
      <c r="O47" t="s">
        <v>626</v>
      </c>
      <c r="P47" t="s">
        <v>626</v>
      </c>
    </row>
    <row r="48" spans="1:16" x14ac:dyDescent="0.25">
      <c r="A48">
        <v>47</v>
      </c>
      <c r="B48" s="5" t="str">
        <f>TEXT(EXAMENES!F48, "aaaa-mm-dd") &amp; " " &amp; TEXT(EXAMENES!G48, "hh:mm:ss")</f>
        <v>martes-04-23 08:00:00</v>
      </c>
      <c r="C48">
        <f>EXAMENES!L48</f>
        <v>1</v>
      </c>
      <c r="D48">
        <f>EXAMENES!O48</f>
        <v>265</v>
      </c>
      <c r="E48" t="s">
        <v>624</v>
      </c>
      <c r="F48" t="s">
        <v>624</v>
      </c>
      <c r="J48" t="str">
        <f t="shared" si="0"/>
        <v>T2M265</v>
      </c>
      <c r="K48">
        <v>45</v>
      </c>
      <c r="L48" t="s">
        <v>626</v>
      </c>
      <c r="M48">
        <v>2</v>
      </c>
      <c r="N48">
        <v>265</v>
      </c>
      <c r="O48" t="s">
        <v>626</v>
      </c>
      <c r="P48" t="s">
        <v>626</v>
      </c>
    </row>
    <row r="49" spans="1:16" x14ac:dyDescent="0.25">
      <c r="A49">
        <v>48</v>
      </c>
      <c r="B49" s="5" t="str">
        <f>TEXT(EXAMENES!F49, "aaaa-mm-dd") &amp; " " &amp; TEXT(EXAMENES!G49, "hh:mm:ss")</f>
        <v>martes-04-23 08:00:00</v>
      </c>
      <c r="C49">
        <f>EXAMENES!L49</f>
        <v>1</v>
      </c>
      <c r="D49">
        <f>EXAMENES!O49</f>
        <v>265</v>
      </c>
      <c r="E49" t="s">
        <v>624</v>
      </c>
      <c r="F49" t="s">
        <v>624</v>
      </c>
      <c r="J49" t="str">
        <f t="shared" si="0"/>
        <v>T2M291</v>
      </c>
      <c r="K49">
        <v>46</v>
      </c>
      <c r="L49" t="s">
        <v>626</v>
      </c>
      <c r="M49">
        <v>2</v>
      </c>
      <c r="N49">
        <v>291</v>
      </c>
      <c r="O49" t="s">
        <v>626</v>
      </c>
      <c r="P49" t="s">
        <v>626</v>
      </c>
    </row>
    <row r="50" spans="1:16" x14ac:dyDescent="0.25">
      <c r="A50">
        <v>49</v>
      </c>
      <c r="B50" s="5" t="str">
        <f>TEXT(EXAMENES!F50, "aaaa-mm-dd") &amp; " " &amp; TEXT(EXAMENES!G50, "hh:mm:ss")</f>
        <v>martes-04-23 08:00:00</v>
      </c>
      <c r="C50">
        <f>EXAMENES!L50</f>
        <v>1</v>
      </c>
      <c r="D50">
        <f>EXAMENES!O50</f>
        <v>265</v>
      </c>
      <c r="E50" t="s">
        <v>624</v>
      </c>
      <c r="F50" t="s">
        <v>624</v>
      </c>
      <c r="J50" t="str">
        <f t="shared" si="0"/>
        <v>T2M280</v>
      </c>
      <c r="K50">
        <v>47</v>
      </c>
      <c r="L50" t="s">
        <v>626</v>
      </c>
      <c r="M50">
        <v>2</v>
      </c>
      <c r="N50">
        <v>280</v>
      </c>
      <c r="O50" t="s">
        <v>626</v>
      </c>
      <c r="P50" t="s">
        <v>626</v>
      </c>
    </row>
    <row r="51" spans="1:16" x14ac:dyDescent="0.25">
      <c r="A51">
        <v>50</v>
      </c>
      <c r="B51" s="5" t="str">
        <f>TEXT(EXAMENES!F51, "aaaa-mm-dd") &amp; " " &amp; TEXT(EXAMENES!G51, "hh:mm:ss")</f>
        <v>martes-04-23 08:00:00</v>
      </c>
      <c r="C51">
        <f>EXAMENES!L51</f>
        <v>1</v>
      </c>
      <c r="D51">
        <f>EXAMENES!O51</f>
        <v>265</v>
      </c>
      <c r="E51" t="s">
        <v>624</v>
      </c>
      <c r="F51" t="s">
        <v>624</v>
      </c>
      <c r="J51" t="str">
        <f t="shared" si="0"/>
        <v>T2M281</v>
      </c>
      <c r="K51">
        <v>48</v>
      </c>
      <c r="L51" t="s">
        <v>626</v>
      </c>
      <c r="M51">
        <v>2</v>
      </c>
      <c r="N51">
        <v>281</v>
      </c>
      <c r="O51" t="s">
        <v>626</v>
      </c>
      <c r="P51" t="s">
        <v>626</v>
      </c>
    </row>
    <row r="52" spans="1:16" x14ac:dyDescent="0.25">
      <c r="A52">
        <v>51</v>
      </c>
      <c r="B52" s="5" t="str">
        <f>TEXT(EXAMENES!F52, "aaaa-mm-dd") &amp; " " &amp; TEXT(EXAMENES!G52, "hh:mm:ss")</f>
        <v>martes-04-23 08:00:00</v>
      </c>
      <c r="C52">
        <f>EXAMENES!L52</f>
        <v>1</v>
      </c>
      <c r="D52">
        <f>EXAMENES!O52</f>
        <v>265</v>
      </c>
      <c r="E52" t="s">
        <v>624</v>
      </c>
      <c r="F52" t="s">
        <v>624</v>
      </c>
      <c r="J52" t="str">
        <f t="shared" si="0"/>
        <v>T2M237</v>
      </c>
      <c r="K52">
        <v>49</v>
      </c>
      <c r="L52" t="s">
        <v>627</v>
      </c>
      <c r="M52">
        <v>2</v>
      </c>
      <c r="N52">
        <v>237</v>
      </c>
      <c r="O52" t="s">
        <v>627</v>
      </c>
      <c r="P52" t="s">
        <v>627</v>
      </c>
    </row>
    <row r="53" spans="1:16" x14ac:dyDescent="0.25">
      <c r="A53">
        <v>52</v>
      </c>
      <c r="B53" s="5" t="str">
        <f>TEXT(EXAMENES!F53, "aaaa-mm-dd") &amp; " " &amp; TEXT(EXAMENES!G53, "hh:mm:ss")</f>
        <v>miércoles-04-24 13:00:00</v>
      </c>
      <c r="C53">
        <f>EXAMENES!L53</f>
        <v>1</v>
      </c>
      <c r="D53">
        <f>EXAMENES!O53</f>
        <v>224</v>
      </c>
      <c r="E53" t="s">
        <v>625</v>
      </c>
      <c r="F53" t="s">
        <v>625</v>
      </c>
      <c r="J53" t="str">
        <f t="shared" si="0"/>
        <v>T2M244</v>
      </c>
      <c r="K53">
        <v>50</v>
      </c>
      <c r="L53" t="s">
        <v>627</v>
      </c>
      <c r="M53">
        <v>2</v>
      </c>
      <c r="N53">
        <v>244</v>
      </c>
      <c r="O53" t="s">
        <v>627</v>
      </c>
      <c r="P53" t="s">
        <v>627</v>
      </c>
    </row>
    <row r="54" spans="1:16" x14ac:dyDescent="0.25">
      <c r="A54">
        <v>53</v>
      </c>
      <c r="B54" s="5" t="str">
        <f>TEXT(EXAMENES!F54, "aaaa-mm-dd") &amp; " " &amp; TEXT(EXAMENES!G54, "hh:mm:ss")</f>
        <v>miércoles-04-24 13:00:00</v>
      </c>
      <c r="C54">
        <f>EXAMENES!L54</f>
        <v>1</v>
      </c>
      <c r="D54">
        <f>EXAMENES!O54</f>
        <v>224</v>
      </c>
      <c r="E54" t="s">
        <v>625</v>
      </c>
      <c r="F54" t="s">
        <v>625</v>
      </c>
      <c r="J54" t="str">
        <f t="shared" si="0"/>
        <v>T2M274</v>
      </c>
      <c r="K54">
        <v>51</v>
      </c>
      <c r="L54" t="s">
        <v>628</v>
      </c>
      <c r="M54">
        <v>2</v>
      </c>
      <c r="N54">
        <v>274</v>
      </c>
      <c r="O54" t="s">
        <v>628</v>
      </c>
      <c r="P54" t="s">
        <v>628</v>
      </c>
    </row>
    <row r="55" spans="1:16" x14ac:dyDescent="0.25">
      <c r="A55">
        <v>54</v>
      </c>
      <c r="B55" s="5" t="str">
        <f>TEXT(EXAMENES!F55, "aaaa-mm-dd") &amp; " " &amp; TEXT(EXAMENES!G55, "hh:mm:ss")</f>
        <v>miércoles-04-24 13:00:00</v>
      </c>
      <c r="C55">
        <f>EXAMENES!L55</f>
        <v>1</v>
      </c>
      <c r="D55">
        <f>EXAMENES!O55</f>
        <v>224</v>
      </c>
      <c r="E55" t="s">
        <v>625</v>
      </c>
      <c r="F55" t="s">
        <v>625</v>
      </c>
      <c r="J55" t="str">
        <f t="shared" si="0"/>
        <v>T2M275</v>
      </c>
      <c r="K55">
        <v>52</v>
      </c>
      <c r="L55" t="s">
        <v>628</v>
      </c>
      <c r="M55">
        <v>2</v>
      </c>
      <c r="N55">
        <v>275</v>
      </c>
      <c r="O55" t="s">
        <v>628</v>
      </c>
      <c r="P55" t="s">
        <v>628</v>
      </c>
    </row>
    <row r="56" spans="1:16" x14ac:dyDescent="0.25">
      <c r="A56">
        <v>55</v>
      </c>
      <c r="B56" s="5" t="str">
        <f>TEXT(EXAMENES!F56, "aaaa-mm-dd") &amp; " " &amp; TEXT(EXAMENES!G56, "hh:mm:ss")</f>
        <v>miércoles-04-24 13:00:00</v>
      </c>
      <c r="C56">
        <f>EXAMENES!L56</f>
        <v>1</v>
      </c>
      <c r="D56">
        <f>EXAMENES!O56</f>
        <v>224</v>
      </c>
      <c r="E56" t="s">
        <v>625</v>
      </c>
      <c r="F56" t="s">
        <v>625</v>
      </c>
      <c r="J56" t="str">
        <f t="shared" si="0"/>
        <v>T2M292</v>
      </c>
      <c r="K56">
        <v>53</v>
      </c>
      <c r="L56" t="s">
        <v>627</v>
      </c>
      <c r="M56">
        <v>2</v>
      </c>
      <c r="N56">
        <v>292</v>
      </c>
      <c r="O56" t="s">
        <v>627</v>
      </c>
      <c r="P56" t="s">
        <v>627</v>
      </c>
    </row>
    <row r="57" spans="1:16" x14ac:dyDescent="0.25">
      <c r="A57">
        <v>56</v>
      </c>
      <c r="B57" s="5" t="str">
        <f>TEXT(EXAMENES!F57, "aaaa-mm-dd") &amp; " " &amp; TEXT(EXAMENES!G57, "hh:mm:ss")</f>
        <v>miércoles-04-24 13:00:00</v>
      </c>
      <c r="C57">
        <f>EXAMENES!L57</f>
        <v>1</v>
      </c>
      <c r="D57">
        <f>EXAMENES!O57</f>
        <v>234</v>
      </c>
      <c r="E57" t="s">
        <v>625</v>
      </c>
      <c r="F57" t="s">
        <v>625</v>
      </c>
      <c r="J57" t="str">
        <f t="shared" si="0"/>
        <v>T2M225</v>
      </c>
      <c r="K57">
        <v>54</v>
      </c>
      <c r="L57" t="s">
        <v>629</v>
      </c>
      <c r="M57">
        <v>2</v>
      </c>
      <c r="N57">
        <v>225</v>
      </c>
      <c r="O57" t="s">
        <v>629</v>
      </c>
      <c r="P57" t="s">
        <v>629</v>
      </c>
    </row>
    <row r="58" spans="1:16" x14ac:dyDescent="0.25">
      <c r="A58">
        <v>57</v>
      </c>
      <c r="B58" s="5" t="str">
        <f>TEXT(EXAMENES!F58, "aaaa-mm-dd") &amp; " " &amp; TEXT(EXAMENES!G58, "hh:mm:ss")</f>
        <v>miércoles-04-24 13:00:00</v>
      </c>
      <c r="C58">
        <f>EXAMENES!L58</f>
        <v>1</v>
      </c>
      <c r="D58">
        <f>EXAMENES!O58</f>
        <v>256</v>
      </c>
      <c r="E58" t="s">
        <v>625</v>
      </c>
      <c r="F58" t="s">
        <v>625</v>
      </c>
      <c r="J58" t="str">
        <f t="shared" si="0"/>
        <v>T2M219</v>
      </c>
      <c r="K58">
        <v>55</v>
      </c>
      <c r="L58" t="s">
        <v>629</v>
      </c>
      <c r="M58">
        <v>2</v>
      </c>
      <c r="N58">
        <v>219</v>
      </c>
      <c r="O58" t="s">
        <v>629</v>
      </c>
      <c r="P58" t="s">
        <v>629</v>
      </c>
    </row>
    <row r="59" spans="1:16" x14ac:dyDescent="0.25">
      <c r="A59">
        <v>58</v>
      </c>
      <c r="B59" s="5" t="str">
        <f>TEXT(EXAMENES!F59, "aaaa-mm-dd") &amp; " " &amp; TEXT(EXAMENES!G59, "hh:mm:ss")</f>
        <v>miércoles-04-24 13:00:00</v>
      </c>
      <c r="C59">
        <f>EXAMENES!L59</f>
        <v>1</v>
      </c>
      <c r="D59">
        <f>EXAMENES!O59</f>
        <v>187</v>
      </c>
      <c r="E59" t="s">
        <v>625</v>
      </c>
      <c r="F59" t="s">
        <v>625</v>
      </c>
      <c r="J59" t="str">
        <f t="shared" si="0"/>
        <v>T2M235</v>
      </c>
      <c r="K59">
        <v>56</v>
      </c>
      <c r="L59" t="s">
        <v>629</v>
      </c>
      <c r="M59">
        <v>2</v>
      </c>
      <c r="N59">
        <v>235</v>
      </c>
      <c r="O59" t="s">
        <v>629</v>
      </c>
      <c r="P59" t="s">
        <v>629</v>
      </c>
    </row>
    <row r="60" spans="1:16" x14ac:dyDescent="0.25">
      <c r="A60">
        <v>59</v>
      </c>
      <c r="B60" s="5" t="str">
        <f>TEXT(EXAMENES!F60, "aaaa-mm-dd") &amp; " " &amp; TEXT(EXAMENES!G60, "hh:mm:ss")</f>
        <v>lunes-04-29 13:00:00</v>
      </c>
      <c r="C60">
        <f>EXAMENES!L60</f>
        <v>1</v>
      </c>
      <c r="D60">
        <f>EXAMENES!O60</f>
        <v>219</v>
      </c>
      <c r="E60" t="s">
        <v>623</v>
      </c>
      <c r="F60" t="s">
        <v>623</v>
      </c>
      <c r="J60" t="str">
        <f t="shared" si="0"/>
        <v>T2M234</v>
      </c>
      <c r="K60">
        <v>57</v>
      </c>
      <c r="L60" t="s">
        <v>629</v>
      </c>
      <c r="M60">
        <v>2</v>
      </c>
      <c r="N60">
        <v>234</v>
      </c>
      <c r="O60" t="s">
        <v>629</v>
      </c>
      <c r="P60" t="s">
        <v>629</v>
      </c>
    </row>
    <row r="61" spans="1:16" x14ac:dyDescent="0.25">
      <c r="A61">
        <v>60</v>
      </c>
      <c r="B61" s="5" t="str">
        <f>TEXT(EXAMENES!F61, "aaaa-mm-dd") &amp; " " &amp; TEXT(EXAMENES!G61, "hh:mm:ss")</f>
        <v>lunes-04-29 13:00:00</v>
      </c>
      <c r="C61">
        <f>EXAMENES!L61</f>
        <v>1</v>
      </c>
      <c r="D61">
        <f>EXAMENES!O61</f>
        <v>219</v>
      </c>
      <c r="E61" t="s">
        <v>623</v>
      </c>
      <c r="F61" t="s">
        <v>623</v>
      </c>
      <c r="J61" t="str">
        <f t="shared" si="0"/>
        <v>T2M229</v>
      </c>
      <c r="K61">
        <v>58</v>
      </c>
      <c r="L61" t="s">
        <v>629</v>
      </c>
      <c r="M61">
        <v>2</v>
      </c>
      <c r="N61">
        <v>229</v>
      </c>
      <c r="O61" t="s">
        <v>629</v>
      </c>
      <c r="P61" t="s">
        <v>629</v>
      </c>
    </row>
    <row r="62" spans="1:16" x14ac:dyDescent="0.25">
      <c r="A62">
        <v>61</v>
      </c>
      <c r="B62" s="5" t="str">
        <f>TEXT(EXAMENES!F62, "aaaa-mm-dd") &amp; " " &amp; TEXT(EXAMENES!G62, "hh:mm:ss")</f>
        <v>lunes-04-29 13:00:00</v>
      </c>
      <c r="C62">
        <f>EXAMENES!L62</f>
        <v>1</v>
      </c>
      <c r="D62">
        <f>EXAMENES!O62</f>
        <v>219</v>
      </c>
      <c r="E62" t="s">
        <v>623</v>
      </c>
      <c r="F62" t="s">
        <v>623</v>
      </c>
      <c r="J62" t="str">
        <f t="shared" si="0"/>
        <v>T2M245</v>
      </c>
      <c r="K62">
        <v>59</v>
      </c>
      <c r="L62" t="s">
        <v>629</v>
      </c>
      <c r="M62">
        <v>2</v>
      </c>
      <c r="N62">
        <v>245</v>
      </c>
      <c r="O62" t="s">
        <v>629</v>
      </c>
      <c r="P62" t="s">
        <v>629</v>
      </c>
    </row>
    <row r="63" spans="1:16" x14ac:dyDescent="0.25">
      <c r="A63">
        <v>62</v>
      </c>
      <c r="B63" s="5" t="str">
        <f>TEXT(EXAMENES!F63, "aaaa-mm-dd") &amp; " " &amp; TEXT(EXAMENES!G63, "hh:mm:ss")</f>
        <v>lunes-04-29 13:00:00</v>
      </c>
      <c r="C63">
        <f>EXAMENES!L63</f>
        <v>1</v>
      </c>
      <c r="D63">
        <f>EXAMENES!O63</f>
        <v>219</v>
      </c>
      <c r="E63" t="s">
        <v>623</v>
      </c>
      <c r="F63" t="s">
        <v>623</v>
      </c>
      <c r="J63" t="str">
        <f t="shared" si="0"/>
        <v>T2M239</v>
      </c>
      <c r="K63">
        <v>60</v>
      </c>
      <c r="L63" t="s">
        <v>629</v>
      </c>
      <c r="M63">
        <v>2</v>
      </c>
      <c r="N63">
        <v>239</v>
      </c>
      <c r="O63" t="s">
        <v>629</v>
      </c>
      <c r="P63" t="s">
        <v>629</v>
      </c>
    </row>
    <row r="64" spans="1:16" x14ac:dyDescent="0.25">
      <c r="A64">
        <v>63</v>
      </c>
      <c r="B64" s="5" t="str">
        <f>TEXT(EXAMENES!F64, "aaaa-mm-dd") &amp; " " &amp; TEXT(EXAMENES!G64, "hh:mm:ss")</f>
        <v>lunes-04-29 13:00:00</v>
      </c>
      <c r="C64">
        <f>EXAMENES!L64</f>
        <v>1</v>
      </c>
      <c r="D64">
        <f>EXAMENES!O64</f>
        <v>229</v>
      </c>
      <c r="E64" t="s">
        <v>623</v>
      </c>
      <c r="F64" t="s">
        <v>623</v>
      </c>
      <c r="J64" t="str">
        <f t="shared" si="0"/>
        <v>T2M251</v>
      </c>
      <c r="K64">
        <v>61</v>
      </c>
      <c r="L64" t="s">
        <v>629</v>
      </c>
      <c r="M64">
        <v>2</v>
      </c>
      <c r="N64">
        <v>251</v>
      </c>
      <c r="O64" t="s">
        <v>629</v>
      </c>
      <c r="P64" t="s">
        <v>629</v>
      </c>
    </row>
    <row r="65" spans="1:16" x14ac:dyDescent="0.25">
      <c r="A65">
        <v>64</v>
      </c>
      <c r="B65" s="5" t="str">
        <f>TEXT(EXAMENES!F65, "aaaa-mm-dd") &amp; " " &amp; TEXT(EXAMENES!G65, "hh:mm:ss")</f>
        <v>lunes-04-29 13:00:00</v>
      </c>
      <c r="C65">
        <f>EXAMENES!L65</f>
        <v>1</v>
      </c>
      <c r="D65">
        <f>EXAMENES!O65</f>
        <v>229</v>
      </c>
      <c r="E65" t="s">
        <v>623</v>
      </c>
      <c r="F65" t="s">
        <v>623</v>
      </c>
      <c r="J65" t="str">
        <f t="shared" si="0"/>
        <v>T2M263</v>
      </c>
      <c r="K65">
        <v>62</v>
      </c>
      <c r="L65" t="s">
        <v>629</v>
      </c>
      <c r="M65">
        <v>2</v>
      </c>
      <c r="N65">
        <v>263</v>
      </c>
      <c r="O65" t="s">
        <v>629</v>
      </c>
      <c r="P65" t="s">
        <v>629</v>
      </c>
    </row>
    <row r="66" spans="1:16" x14ac:dyDescent="0.25">
      <c r="A66">
        <v>65</v>
      </c>
      <c r="B66" s="5" t="str">
        <f>TEXT(EXAMENES!F66, "aaaa-mm-dd") &amp; " " &amp; TEXT(EXAMENES!G66, "hh:mm:ss")</f>
        <v>lunes-04-29 13:00:00</v>
      </c>
      <c r="C66">
        <f>EXAMENES!L66</f>
        <v>1</v>
      </c>
      <c r="D66">
        <f>EXAMENES!O66</f>
        <v>229</v>
      </c>
      <c r="E66" t="s">
        <v>623</v>
      </c>
      <c r="F66" t="s">
        <v>623</v>
      </c>
      <c r="J66" t="str">
        <f t="shared" si="0"/>
        <v>T2M279</v>
      </c>
      <c r="K66">
        <v>63</v>
      </c>
      <c r="L66" t="s">
        <v>629</v>
      </c>
      <c r="M66">
        <v>2</v>
      </c>
      <c r="N66">
        <v>279</v>
      </c>
      <c r="O66" t="s">
        <v>629</v>
      </c>
      <c r="P66" t="s">
        <v>629</v>
      </c>
    </row>
    <row r="67" spans="1:16" x14ac:dyDescent="0.25">
      <c r="A67">
        <v>66</v>
      </c>
      <c r="B67" s="5" t="str">
        <f>TEXT(EXAMENES!F67, "aaaa-mm-dd") &amp; " " &amp; TEXT(EXAMENES!G67, "hh:mm:ss")</f>
        <v>lunes-04-29 13:00:00</v>
      </c>
      <c r="C67">
        <f>EXAMENES!L67</f>
        <v>1</v>
      </c>
      <c r="D67">
        <f>EXAMENES!O67</f>
        <v>229</v>
      </c>
      <c r="E67" t="s">
        <v>623</v>
      </c>
      <c r="F67" t="s">
        <v>623</v>
      </c>
      <c r="J67" t="str">
        <f t="shared" si="0"/>
        <v>T2M260</v>
      </c>
      <c r="K67">
        <v>64</v>
      </c>
      <c r="L67" t="s">
        <v>628</v>
      </c>
      <c r="M67">
        <v>2</v>
      </c>
      <c r="N67">
        <v>260</v>
      </c>
      <c r="O67" t="s">
        <v>628</v>
      </c>
      <c r="P67" t="s">
        <v>628</v>
      </c>
    </row>
    <row r="68" spans="1:16" x14ac:dyDescent="0.25">
      <c r="A68">
        <v>67</v>
      </c>
      <c r="B68" s="5" t="str">
        <f>TEXT(EXAMENES!F68, "aaaa-mm-dd") &amp; " " &amp; TEXT(EXAMENES!G68, "hh:mm:ss")</f>
        <v>lunes-04-29 13:00:00</v>
      </c>
      <c r="C68">
        <f>EXAMENES!L68</f>
        <v>1</v>
      </c>
      <c r="D68">
        <f>EXAMENES!O68</f>
        <v>229</v>
      </c>
      <c r="E68" t="s">
        <v>623</v>
      </c>
      <c r="F68" t="s">
        <v>623</v>
      </c>
      <c r="J68" t="str">
        <f t="shared" si="0"/>
        <v>T2M259</v>
      </c>
      <c r="K68">
        <v>65</v>
      </c>
      <c r="L68" t="s">
        <v>628</v>
      </c>
      <c r="M68">
        <v>2</v>
      </c>
      <c r="N68">
        <v>259</v>
      </c>
      <c r="O68" t="s">
        <v>628</v>
      </c>
      <c r="P68" t="s">
        <v>628</v>
      </c>
    </row>
    <row r="69" spans="1:16" x14ac:dyDescent="0.25">
      <c r="A69">
        <v>68</v>
      </c>
      <c r="B69" s="5" t="str">
        <f>TEXT(EXAMENES!F69, "aaaa-mm-dd") &amp; " " &amp; TEXT(EXAMENES!G69, "hh:mm:ss")</f>
        <v>lunes-04-29 13:00:00</v>
      </c>
      <c r="C69">
        <f>EXAMENES!L69</f>
        <v>1</v>
      </c>
      <c r="D69">
        <f>EXAMENES!O69</f>
        <v>155</v>
      </c>
      <c r="E69" t="s">
        <v>623</v>
      </c>
      <c r="F69" t="s">
        <v>623</v>
      </c>
      <c r="J69" t="str">
        <f t="shared" ref="J69:J74" si="1">"T"&amp;M69&amp;"M"&amp;N69</f>
        <v>T2M277</v>
      </c>
      <c r="K69">
        <v>66</v>
      </c>
      <c r="L69" t="s">
        <v>628</v>
      </c>
      <c r="M69">
        <v>2</v>
      </c>
      <c r="N69">
        <v>277</v>
      </c>
      <c r="O69" t="s">
        <v>628</v>
      </c>
      <c r="P69" t="s">
        <v>628</v>
      </c>
    </row>
    <row r="70" spans="1:16" x14ac:dyDescent="0.25">
      <c r="A70">
        <v>69</v>
      </c>
      <c r="B70" s="5" t="str">
        <f>TEXT(EXAMENES!F70, "aaaa-mm-dd") &amp; " " &amp; TEXT(EXAMENES!G70, "hh:mm:ss")</f>
        <v>lunes-04-29 13:00:00</v>
      </c>
      <c r="C70">
        <f>EXAMENES!L70</f>
        <v>1</v>
      </c>
      <c r="D70">
        <f>EXAMENES!O70</f>
        <v>239</v>
      </c>
      <c r="E70" t="s">
        <v>623</v>
      </c>
      <c r="F70" t="s">
        <v>623</v>
      </c>
      <c r="J70" t="str">
        <f t="shared" si="1"/>
        <v>T2M273</v>
      </c>
      <c r="K70">
        <v>67</v>
      </c>
      <c r="L70" t="s">
        <v>628</v>
      </c>
      <c r="M70">
        <v>2</v>
      </c>
      <c r="N70">
        <v>273</v>
      </c>
      <c r="O70" t="s">
        <v>628</v>
      </c>
      <c r="P70" t="s">
        <v>628</v>
      </c>
    </row>
    <row r="71" spans="1:16" x14ac:dyDescent="0.25">
      <c r="A71">
        <v>70</v>
      </c>
      <c r="B71" s="5" t="str">
        <f>TEXT(EXAMENES!F71, "aaaa-mm-dd") &amp; " " &amp; TEXT(EXAMENES!G71, "hh:mm:ss")</f>
        <v>lunes-04-29 13:00:00</v>
      </c>
      <c r="C71">
        <f>EXAMENES!L71</f>
        <v>1</v>
      </c>
      <c r="D71">
        <f>EXAMENES!O71</f>
        <v>239</v>
      </c>
      <c r="E71" t="s">
        <v>623</v>
      </c>
      <c r="F71" t="s">
        <v>623</v>
      </c>
      <c r="J71" t="str">
        <f t="shared" si="1"/>
        <v>T2M285</v>
      </c>
      <c r="K71">
        <v>68</v>
      </c>
      <c r="L71" t="s">
        <v>628</v>
      </c>
      <c r="M71">
        <v>2</v>
      </c>
      <c r="N71">
        <v>285</v>
      </c>
      <c r="O71" t="s">
        <v>628</v>
      </c>
      <c r="P71" t="s">
        <v>628</v>
      </c>
    </row>
    <row r="72" spans="1:16" x14ac:dyDescent="0.25">
      <c r="A72">
        <v>71</v>
      </c>
      <c r="B72" s="5" t="str">
        <f>TEXT(EXAMENES!F72, "aaaa-mm-dd") &amp; " " &amp; TEXT(EXAMENES!G72, "hh:mm:ss")</f>
        <v>lunes-04-29 13:00:00</v>
      </c>
      <c r="C72">
        <f>EXAMENES!L72</f>
        <v>1</v>
      </c>
      <c r="D72">
        <f>EXAMENES!O72</f>
        <v>279</v>
      </c>
      <c r="E72" t="s">
        <v>623</v>
      </c>
      <c r="F72" t="s">
        <v>623</v>
      </c>
      <c r="J72" t="str">
        <f t="shared" si="1"/>
        <v>T2M286</v>
      </c>
      <c r="K72">
        <v>69</v>
      </c>
      <c r="L72" t="s">
        <v>628</v>
      </c>
      <c r="M72">
        <v>2</v>
      </c>
      <c r="N72">
        <v>286</v>
      </c>
      <c r="O72" t="s">
        <v>628</v>
      </c>
      <c r="P72" t="s">
        <v>628</v>
      </c>
    </row>
    <row r="73" spans="1:16" x14ac:dyDescent="0.25">
      <c r="A73">
        <v>72</v>
      </c>
      <c r="B73" s="5" t="str">
        <f>TEXT(EXAMENES!F73, "aaaa-mm-dd") &amp; " " &amp; TEXT(EXAMENES!G73, "hh:mm:ss")</f>
        <v>lunes-04-29 13:00:00</v>
      </c>
      <c r="C73">
        <f>EXAMENES!L73</f>
        <v>1</v>
      </c>
      <c r="D73">
        <f>EXAMENES!O73</f>
        <v>279</v>
      </c>
      <c r="E73" t="s">
        <v>623</v>
      </c>
      <c r="F73" t="s">
        <v>623</v>
      </c>
      <c r="J73" t="str">
        <f t="shared" si="1"/>
        <v>T2M288</v>
      </c>
      <c r="K73">
        <v>70</v>
      </c>
      <c r="L73" t="s">
        <v>628</v>
      </c>
      <c r="M73">
        <v>2</v>
      </c>
      <c r="N73">
        <v>288</v>
      </c>
      <c r="O73" t="s">
        <v>628</v>
      </c>
      <c r="P73" t="s">
        <v>628</v>
      </c>
    </row>
    <row r="74" spans="1:16" x14ac:dyDescent="0.25">
      <c r="A74">
        <v>73</v>
      </c>
      <c r="B74" s="5" t="str">
        <f>TEXT(EXAMENES!F74, "aaaa-mm-dd") &amp; " " &amp; TEXT(EXAMENES!G74, "hh:mm:ss")</f>
        <v>lunes-04-29 13:00:00</v>
      </c>
      <c r="C74">
        <f>EXAMENES!L74</f>
        <v>1</v>
      </c>
      <c r="D74">
        <f>EXAMENES!O74</f>
        <v>279</v>
      </c>
      <c r="E74" t="s">
        <v>623</v>
      </c>
      <c r="F74" t="s">
        <v>623</v>
      </c>
      <c r="J74" t="str">
        <f t="shared" si="1"/>
        <v>T2M290</v>
      </c>
      <c r="K74">
        <v>71</v>
      </c>
      <c r="L74" t="s">
        <v>628</v>
      </c>
      <c r="M74">
        <v>2</v>
      </c>
      <c r="N74">
        <v>290</v>
      </c>
      <c r="O74" t="s">
        <v>628</v>
      </c>
      <c r="P74" t="s">
        <v>628</v>
      </c>
    </row>
    <row r="75" spans="1:16" x14ac:dyDescent="0.25">
      <c r="A75">
        <v>74</v>
      </c>
      <c r="B75" s="5" t="str">
        <f>TEXT(EXAMENES!F75, "aaaa-mm-dd") &amp; " " &amp; TEXT(EXAMENES!G75, "hh:mm:ss")</f>
        <v>lunes-04-29 13:00:00</v>
      </c>
      <c r="C75">
        <f>EXAMENES!L75</f>
        <v>1</v>
      </c>
      <c r="D75">
        <f>EXAMENES!O75</f>
        <v>279</v>
      </c>
      <c r="E75" t="s">
        <v>623</v>
      </c>
      <c r="F75" t="s">
        <v>623</v>
      </c>
    </row>
    <row r="76" spans="1:16" x14ac:dyDescent="0.25">
      <c r="A76">
        <v>75</v>
      </c>
      <c r="B76" s="5" t="str">
        <f>TEXT(EXAMENES!F76, "aaaa-mm-dd") &amp; " " &amp; TEXT(EXAMENES!G76, "hh:mm:ss")</f>
        <v>lunes-04-29 13:00:00</v>
      </c>
      <c r="C76">
        <f>EXAMENES!L76</f>
        <v>1</v>
      </c>
      <c r="D76">
        <f>EXAMENES!O76</f>
        <v>260</v>
      </c>
      <c r="E76" t="s">
        <v>623</v>
      </c>
      <c r="F76" t="s">
        <v>623</v>
      </c>
    </row>
    <row r="77" spans="1:16" x14ac:dyDescent="0.25">
      <c r="A77">
        <v>76</v>
      </c>
      <c r="B77" s="5" t="str">
        <f>TEXT(EXAMENES!F77, "aaaa-mm-dd") &amp; " " &amp; TEXT(EXAMENES!G77, "hh:mm:ss")</f>
        <v>lunes-04-29 13:00:00</v>
      </c>
      <c r="C77">
        <f>EXAMENES!L77</f>
        <v>1</v>
      </c>
      <c r="D77">
        <f>EXAMENES!O77</f>
        <v>260</v>
      </c>
      <c r="E77" t="s">
        <v>623</v>
      </c>
      <c r="F77" t="s">
        <v>623</v>
      </c>
    </row>
    <row r="78" spans="1:16" x14ac:dyDescent="0.25">
      <c r="A78">
        <v>77</v>
      </c>
      <c r="B78" s="5" t="str">
        <f>TEXT(EXAMENES!F78, "aaaa-mm-dd") &amp; " " &amp; TEXT(EXAMENES!G78, "hh:mm:ss")</f>
        <v>lunes-04-29 13:00:00</v>
      </c>
      <c r="C78">
        <f>EXAMENES!L78</f>
        <v>1</v>
      </c>
      <c r="D78">
        <f>EXAMENES!O78</f>
        <v>260</v>
      </c>
      <c r="E78" t="s">
        <v>623</v>
      </c>
      <c r="F78" t="s">
        <v>623</v>
      </c>
    </row>
    <row r="79" spans="1:16" x14ac:dyDescent="0.25">
      <c r="A79">
        <v>78</v>
      </c>
      <c r="B79" s="5" t="str">
        <f>TEXT(EXAMENES!F79, "aaaa-mm-dd") &amp; " " &amp; TEXT(EXAMENES!G79, "hh:mm:ss")</f>
        <v>lunes-04-29 13:00:00</v>
      </c>
      <c r="C79">
        <f>EXAMENES!L79</f>
        <v>1</v>
      </c>
      <c r="D79">
        <f>EXAMENES!O79</f>
        <v>260</v>
      </c>
      <c r="E79" t="s">
        <v>623</v>
      </c>
      <c r="F79" t="s">
        <v>623</v>
      </c>
    </row>
    <row r="80" spans="1:16" x14ac:dyDescent="0.25">
      <c r="A80">
        <v>79</v>
      </c>
      <c r="B80" s="5" t="str">
        <f>TEXT(EXAMENES!F80, "aaaa-mm-dd") &amp; " " &amp; TEXT(EXAMENES!G80, "hh:mm:ss")</f>
        <v>lunes-04-29 13:00:00</v>
      </c>
      <c r="C80">
        <f>EXAMENES!L80</f>
        <v>1</v>
      </c>
      <c r="D80">
        <f>EXAMENES!O80</f>
        <v>259</v>
      </c>
      <c r="E80" t="s">
        <v>623</v>
      </c>
      <c r="F80" t="s">
        <v>623</v>
      </c>
    </row>
    <row r="81" spans="1:6" x14ac:dyDescent="0.25">
      <c r="A81">
        <v>80</v>
      </c>
      <c r="B81" s="5" t="str">
        <f>TEXT(EXAMENES!F81, "aaaa-mm-dd") &amp; " " &amp; TEXT(EXAMENES!G81, "hh:mm:ss")</f>
        <v>lunes-04-29 13:00:00</v>
      </c>
      <c r="C81">
        <f>EXAMENES!L81</f>
        <v>1</v>
      </c>
      <c r="D81">
        <f>EXAMENES!O81</f>
        <v>259</v>
      </c>
      <c r="E81" t="s">
        <v>623</v>
      </c>
      <c r="F81" t="s">
        <v>623</v>
      </c>
    </row>
    <row r="82" spans="1:6" x14ac:dyDescent="0.25">
      <c r="A82">
        <v>81</v>
      </c>
      <c r="B82" s="5" t="str">
        <f>TEXT(EXAMENES!F82, "aaaa-mm-dd") &amp; " " &amp; TEXT(EXAMENES!G82, "hh:mm:ss")</f>
        <v>lunes-04-29 13:00:00</v>
      </c>
      <c r="C82">
        <f>EXAMENES!L82</f>
        <v>1</v>
      </c>
      <c r="D82">
        <f>EXAMENES!O82</f>
        <v>259</v>
      </c>
      <c r="E82" t="s">
        <v>623</v>
      </c>
      <c r="F82" t="s">
        <v>623</v>
      </c>
    </row>
    <row r="83" spans="1:6" x14ac:dyDescent="0.25">
      <c r="A83">
        <v>82</v>
      </c>
      <c r="B83" s="5" t="str">
        <f>TEXT(EXAMENES!F83, "aaaa-mm-dd") &amp; " " &amp; TEXT(EXAMENES!G83, "hh:mm:ss")</f>
        <v>lunes-04-29 13:00:00</v>
      </c>
      <c r="C83">
        <f>EXAMENES!L83</f>
        <v>1</v>
      </c>
      <c r="D83">
        <f>EXAMENES!O83</f>
        <v>273</v>
      </c>
      <c r="E83" t="s">
        <v>623</v>
      </c>
      <c r="F83" t="s">
        <v>623</v>
      </c>
    </row>
    <row r="84" spans="1:6" x14ac:dyDescent="0.25">
      <c r="A84">
        <v>83</v>
      </c>
      <c r="B84" s="5" t="str">
        <f>TEXT(EXAMENES!F84, "aaaa-mm-dd") &amp; " " &amp; TEXT(EXAMENES!G84, "hh:mm:ss")</f>
        <v>lunes-04-29 13:00:00</v>
      </c>
      <c r="C84">
        <f>EXAMENES!L84</f>
        <v>1</v>
      </c>
      <c r="D84">
        <f>EXAMENES!O84</f>
        <v>273</v>
      </c>
      <c r="E84" t="s">
        <v>623</v>
      </c>
      <c r="F84" t="s">
        <v>623</v>
      </c>
    </row>
    <row r="85" spans="1:6" x14ac:dyDescent="0.25">
      <c r="A85">
        <v>84</v>
      </c>
      <c r="B85" s="5" t="str">
        <f>TEXT(EXAMENES!F85, "aaaa-mm-dd") &amp; " " &amp; TEXT(EXAMENES!G85, "hh:mm:ss")</f>
        <v>lunes-04-29 13:00:00</v>
      </c>
      <c r="C85">
        <f>EXAMENES!L85</f>
        <v>1</v>
      </c>
      <c r="D85">
        <f>EXAMENES!O85</f>
        <v>285</v>
      </c>
      <c r="E85" t="s">
        <v>623</v>
      </c>
      <c r="F85" t="s">
        <v>623</v>
      </c>
    </row>
    <row r="86" spans="1:6" x14ac:dyDescent="0.25">
      <c r="A86">
        <v>85</v>
      </c>
      <c r="B86" s="5" t="str">
        <f>TEXT(EXAMENES!F86, "aaaa-mm-dd") &amp; " " &amp; TEXT(EXAMENES!G86, "hh:mm:ss")</f>
        <v>lunes-04-29 13:00:00</v>
      </c>
      <c r="C86">
        <f>EXAMENES!L86</f>
        <v>1</v>
      </c>
      <c r="D86">
        <f>EXAMENES!O86</f>
        <v>289</v>
      </c>
      <c r="E86" t="s">
        <v>623</v>
      </c>
      <c r="F86" t="s">
        <v>623</v>
      </c>
    </row>
    <row r="87" spans="1:6" x14ac:dyDescent="0.25">
      <c r="A87">
        <v>86</v>
      </c>
      <c r="B87" s="5" t="str">
        <f>TEXT(EXAMENES!F87, "aaaa-mm-dd") &amp; " " &amp; TEXT(EXAMENES!G87, "hh:mm:ss")</f>
        <v>lunes-04-29 13:00:00</v>
      </c>
      <c r="C87">
        <f>EXAMENES!L87</f>
        <v>1</v>
      </c>
      <c r="D87">
        <f>EXAMENES!O87</f>
        <v>287</v>
      </c>
      <c r="E87" t="s">
        <v>623</v>
      </c>
      <c r="F87" t="s">
        <v>623</v>
      </c>
    </row>
    <row r="88" spans="1:6" x14ac:dyDescent="0.25">
      <c r="A88">
        <v>87</v>
      </c>
      <c r="B88" s="5" t="str">
        <f>TEXT(EXAMENES!F88, "aaaa-mm-dd") &amp; " " &amp; TEXT(EXAMENES!G88, "hh:mm:ss")</f>
        <v>lunes-04-29 13:00:00</v>
      </c>
      <c r="C88">
        <f>EXAMENES!L88</f>
        <v>1</v>
      </c>
      <c r="D88">
        <f>EXAMENES!O88</f>
        <v>286</v>
      </c>
      <c r="E88" t="s">
        <v>623</v>
      </c>
      <c r="F88" t="s">
        <v>623</v>
      </c>
    </row>
    <row r="89" spans="1:6" x14ac:dyDescent="0.25">
      <c r="A89">
        <v>88</v>
      </c>
      <c r="B89" s="5" t="str">
        <f>TEXT(EXAMENES!F89, "aaaa-mm-dd") &amp; " " &amp; TEXT(EXAMENES!G89, "hh:mm:ss")</f>
        <v>lunes-04-29 13:00:00</v>
      </c>
      <c r="C89">
        <f>EXAMENES!L89</f>
        <v>1</v>
      </c>
      <c r="D89">
        <f>EXAMENES!O89</f>
        <v>288</v>
      </c>
      <c r="E89" t="s">
        <v>623</v>
      </c>
      <c r="F89" t="s">
        <v>623</v>
      </c>
    </row>
    <row r="90" spans="1:6" x14ac:dyDescent="0.25">
      <c r="A90">
        <v>89</v>
      </c>
      <c r="B90" s="5" t="str">
        <f>TEXT(EXAMENES!F90, "aaaa-mm-dd") &amp; " " &amp; TEXT(EXAMENES!G90, "hh:mm:ss")</f>
        <v>lunes-04-29 13:00:00</v>
      </c>
      <c r="C90">
        <f>EXAMENES!L90</f>
        <v>1</v>
      </c>
      <c r="D90">
        <f>EXAMENES!O90</f>
        <v>288</v>
      </c>
      <c r="E90" t="s">
        <v>623</v>
      </c>
      <c r="F90" t="s">
        <v>623</v>
      </c>
    </row>
    <row r="91" spans="1:6" x14ac:dyDescent="0.25">
      <c r="A91">
        <v>90</v>
      </c>
      <c r="B91" s="5" t="str">
        <f>TEXT(EXAMENES!F91, "aaaa-mm-dd") &amp; " " &amp; TEXT(EXAMENES!G91, "hh:mm:ss")</f>
        <v>lunes-04-29 13:00:00</v>
      </c>
      <c r="C91">
        <f>EXAMENES!L91</f>
        <v>1</v>
      </c>
      <c r="D91">
        <f>EXAMENES!O91</f>
        <v>288</v>
      </c>
      <c r="E91" t="s">
        <v>623</v>
      </c>
      <c r="F91" t="s">
        <v>623</v>
      </c>
    </row>
    <row r="92" spans="1:6" x14ac:dyDescent="0.25">
      <c r="A92">
        <v>91</v>
      </c>
      <c r="B92" s="5" t="str">
        <f>TEXT(EXAMENES!F92, "aaaa-mm-dd") &amp; " " &amp; TEXT(EXAMENES!G92, "hh:mm:ss")</f>
        <v>lunes-04-29 13:00:00</v>
      </c>
      <c r="C92">
        <f>EXAMENES!L92</f>
        <v>1</v>
      </c>
      <c r="D92">
        <f>EXAMENES!O92</f>
        <v>288</v>
      </c>
      <c r="E92" t="s">
        <v>623</v>
      </c>
      <c r="F92" t="s">
        <v>623</v>
      </c>
    </row>
    <row r="93" spans="1:6" x14ac:dyDescent="0.25">
      <c r="A93">
        <v>92</v>
      </c>
      <c r="B93" s="5" t="str">
        <f>TEXT(EXAMENES!F93, "aaaa-mm-dd") &amp; " " &amp; TEXT(EXAMENES!G93, "hh:mm:ss")</f>
        <v>lunes-04-29 13:00:00</v>
      </c>
      <c r="C93">
        <f>EXAMENES!L93</f>
        <v>1</v>
      </c>
      <c r="D93">
        <f>EXAMENES!O93</f>
        <v>290</v>
      </c>
      <c r="E93" t="s">
        <v>623</v>
      </c>
      <c r="F93" t="s">
        <v>623</v>
      </c>
    </row>
    <row r="94" spans="1:6" x14ac:dyDescent="0.25">
      <c r="A94">
        <v>93</v>
      </c>
      <c r="B94" s="5" t="str">
        <f>TEXT(EXAMENES!F94, "aaaa-mm-dd") &amp; " " &amp; TEXT(EXAMENES!G94, "hh:mm:ss")</f>
        <v>lunes-04-29 13:00:00</v>
      </c>
      <c r="C94">
        <f>EXAMENES!L94</f>
        <v>1</v>
      </c>
      <c r="D94">
        <f>EXAMENES!O94</f>
        <v>290</v>
      </c>
      <c r="E94" t="s">
        <v>623</v>
      </c>
      <c r="F94" t="s">
        <v>623</v>
      </c>
    </row>
    <row r="95" spans="1:6" x14ac:dyDescent="0.25">
      <c r="A95">
        <v>94</v>
      </c>
      <c r="B95" s="5" t="str">
        <f>TEXT(EXAMENES!F95, "aaaa-mm-dd") &amp; " " &amp; TEXT(EXAMENES!G95, "hh:mm:ss")</f>
        <v>lunes-04-29 13:00:00</v>
      </c>
      <c r="C95">
        <f>EXAMENES!L95</f>
        <v>1</v>
      </c>
      <c r="D95">
        <f>EXAMENES!O95</f>
        <v>290</v>
      </c>
      <c r="E95" t="s">
        <v>623</v>
      </c>
      <c r="F95" t="s">
        <v>623</v>
      </c>
    </row>
    <row r="96" spans="1:6" x14ac:dyDescent="0.25">
      <c r="A96">
        <v>95</v>
      </c>
      <c r="B96" s="5" t="str">
        <f>TEXT(EXAMENES!F96, "aaaa-mm-dd") &amp; " " &amp; TEXT(EXAMENES!G96, "hh:mm:ss")</f>
        <v>lunes-04-29 13:00:00</v>
      </c>
      <c r="C96">
        <f>EXAMENES!L96</f>
        <v>1</v>
      </c>
      <c r="D96">
        <f>EXAMENES!O96</f>
        <v>273</v>
      </c>
      <c r="E96" t="s">
        <v>623</v>
      </c>
      <c r="F96" t="s">
        <v>623</v>
      </c>
    </row>
    <row r="97" spans="1:6" x14ac:dyDescent="0.25">
      <c r="A97">
        <v>96</v>
      </c>
      <c r="B97" s="5" t="str">
        <f>TEXT(EXAMENES!F97, "aaaa-mm-dd") &amp; " " &amp; TEXT(EXAMENES!G97, "hh:mm:ss")</f>
        <v>lunes-07-01 08:00:00</v>
      </c>
      <c r="C97">
        <f>EXAMENES!L97</f>
        <v>2</v>
      </c>
      <c r="D97">
        <f>EXAMENES!O97</f>
        <v>221</v>
      </c>
      <c r="E97" t="s">
        <v>626</v>
      </c>
      <c r="F97" t="s">
        <v>626</v>
      </c>
    </row>
    <row r="98" spans="1:6" x14ac:dyDescent="0.25">
      <c r="A98">
        <v>97</v>
      </c>
      <c r="B98" s="5" t="str">
        <f>TEXT(EXAMENES!F98, "aaaa-mm-dd") &amp; " " &amp; TEXT(EXAMENES!G98, "hh:mm:ss")</f>
        <v>lunes-07-01 08:00:00</v>
      </c>
      <c r="C98">
        <f>EXAMENES!L98</f>
        <v>2</v>
      </c>
      <c r="D98">
        <f>EXAMENES!O98</f>
        <v>221</v>
      </c>
      <c r="E98" t="s">
        <v>626</v>
      </c>
      <c r="F98" t="s">
        <v>626</v>
      </c>
    </row>
    <row r="99" spans="1:6" x14ac:dyDescent="0.25">
      <c r="A99">
        <v>98</v>
      </c>
      <c r="B99" s="5" t="str">
        <f>TEXT(EXAMENES!F99, "aaaa-mm-dd") &amp; " " &amp; TEXT(EXAMENES!G99, "hh:mm:ss")</f>
        <v>lunes-07-01 08:00:00</v>
      </c>
      <c r="C99">
        <f>EXAMENES!L99</f>
        <v>2</v>
      </c>
      <c r="D99">
        <f>EXAMENES!O99</f>
        <v>220</v>
      </c>
      <c r="E99" t="s">
        <v>626</v>
      </c>
      <c r="F99" t="s">
        <v>626</v>
      </c>
    </row>
    <row r="100" spans="1:6" x14ac:dyDescent="0.25">
      <c r="A100">
        <v>99</v>
      </c>
      <c r="B100" s="5" t="str">
        <f>TEXT(EXAMENES!F100, "aaaa-mm-dd") &amp; " " &amp; TEXT(EXAMENES!G100, "hh:mm:ss")</f>
        <v>lunes-07-01 08:00:00</v>
      </c>
      <c r="C100">
        <f>EXAMENES!L100</f>
        <v>2</v>
      </c>
      <c r="D100">
        <f>EXAMENES!O100</f>
        <v>220</v>
      </c>
      <c r="E100" t="s">
        <v>626</v>
      </c>
      <c r="F100" t="s">
        <v>626</v>
      </c>
    </row>
    <row r="101" spans="1:6" x14ac:dyDescent="0.25">
      <c r="A101">
        <v>100</v>
      </c>
      <c r="B101" s="5" t="str">
        <f>TEXT(EXAMENES!F101, "aaaa-mm-dd") &amp; " " &amp; TEXT(EXAMENES!G101, "hh:mm:ss")</f>
        <v>lunes-07-01 08:00:00</v>
      </c>
      <c r="C101">
        <f>EXAMENES!L101</f>
        <v>2</v>
      </c>
      <c r="D101">
        <f>EXAMENES!O101</f>
        <v>220</v>
      </c>
      <c r="E101" t="s">
        <v>626</v>
      </c>
      <c r="F101" t="s">
        <v>626</v>
      </c>
    </row>
    <row r="102" spans="1:6" x14ac:dyDescent="0.25">
      <c r="A102">
        <v>101</v>
      </c>
      <c r="B102" s="5" t="str">
        <f>TEXT(EXAMENES!F102, "aaaa-mm-dd") &amp; " " &amp; TEXT(EXAMENES!G102, "hh:mm:ss")</f>
        <v>lunes-07-01 08:00:00</v>
      </c>
      <c r="C102">
        <f>EXAMENES!L102</f>
        <v>2</v>
      </c>
      <c r="D102">
        <f>EXAMENES!O102</f>
        <v>220</v>
      </c>
      <c r="E102" t="s">
        <v>626</v>
      </c>
      <c r="F102" t="s">
        <v>626</v>
      </c>
    </row>
    <row r="103" spans="1:6" x14ac:dyDescent="0.25">
      <c r="A103">
        <v>102</v>
      </c>
      <c r="B103" s="5" t="str">
        <f>TEXT(EXAMENES!F103, "aaaa-mm-dd") &amp; " " &amp; TEXT(EXAMENES!G103, "hh:mm:ss")</f>
        <v>lunes-07-01 08:00:00</v>
      </c>
      <c r="C103">
        <f>EXAMENES!L103</f>
        <v>2</v>
      </c>
      <c r="D103">
        <f>EXAMENES!O103</f>
        <v>220</v>
      </c>
      <c r="E103" t="s">
        <v>626</v>
      </c>
      <c r="F103" t="s">
        <v>626</v>
      </c>
    </row>
    <row r="104" spans="1:6" x14ac:dyDescent="0.25">
      <c r="A104">
        <v>103</v>
      </c>
      <c r="B104" s="5" t="str">
        <f>TEXT(EXAMENES!F104, "aaaa-mm-dd") &amp; " " &amp; TEXT(EXAMENES!G104, "hh:mm:ss")</f>
        <v>lunes-07-01 08:00:00</v>
      </c>
      <c r="C104">
        <f>EXAMENES!L104</f>
        <v>2</v>
      </c>
      <c r="D104">
        <f>EXAMENES!O104</f>
        <v>220</v>
      </c>
      <c r="E104" t="s">
        <v>626</v>
      </c>
      <c r="F104" t="s">
        <v>626</v>
      </c>
    </row>
    <row r="105" spans="1:6" x14ac:dyDescent="0.25">
      <c r="A105">
        <v>104</v>
      </c>
      <c r="B105" s="5" t="str">
        <f>TEXT(EXAMENES!F105, "aaaa-mm-dd") &amp; " " &amp; TEXT(EXAMENES!G105, "hh:mm:ss")</f>
        <v>lunes-07-01 08:00:00</v>
      </c>
      <c r="C105">
        <f>EXAMENES!L105</f>
        <v>2</v>
      </c>
      <c r="D105">
        <f>EXAMENES!O105</f>
        <v>220</v>
      </c>
      <c r="E105" t="s">
        <v>626</v>
      </c>
      <c r="F105" t="s">
        <v>626</v>
      </c>
    </row>
    <row r="106" spans="1:6" x14ac:dyDescent="0.25">
      <c r="A106">
        <v>105</v>
      </c>
      <c r="B106" s="5" t="str">
        <f>TEXT(EXAMENES!F106, "aaaa-mm-dd") &amp; " " &amp; TEXT(EXAMENES!G106, "hh:mm:ss")</f>
        <v>lunes-07-01 08:00:00</v>
      </c>
      <c r="C106">
        <f>EXAMENES!L106</f>
        <v>2</v>
      </c>
      <c r="D106">
        <f>EXAMENES!O106</f>
        <v>232</v>
      </c>
      <c r="E106" t="s">
        <v>626</v>
      </c>
      <c r="F106" t="s">
        <v>626</v>
      </c>
    </row>
    <row r="107" spans="1:6" x14ac:dyDescent="0.25">
      <c r="A107">
        <v>106</v>
      </c>
      <c r="B107" s="5" t="str">
        <f>TEXT(EXAMENES!F107, "aaaa-mm-dd") &amp; " " &amp; TEXT(EXAMENES!G107, "hh:mm:ss")</f>
        <v>lunes-07-01 08:00:00</v>
      </c>
      <c r="C107">
        <f>EXAMENES!L107</f>
        <v>2</v>
      </c>
      <c r="D107">
        <f>EXAMENES!O107</f>
        <v>230</v>
      </c>
      <c r="E107" t="s">
        <v>626</v>
      </c>
      <c r="F107" t="s">
        <v>626</v>
      </c>
    </row>
    <row r="108" spans="1:6" x14ac:dyDescent="0.25">
      <c r="A108">
        <v>107</v>
      </c>
      <c r="B108" s="5" t="str">
        <f>TEXT(EXAMENES!F108, "aaaa-mm-dd") &amp; " " &amp; TEXT(EXAMENES!G108, "hh:mm:ss")</f>
        <v>lunes-07-01 08:00:00</v>
      </c>
      <c r="C108">
        <f>EXAMENES!L108</f>
        <v>2</v>
      </c>
      <c r="D108">
        <f>EXAMENES!O108</f>
        <v>230</v>
      </c>
      <c r="E108" t="s">
        <v>626</v>
      </c>
      <c r="F108" t="s">
        <v>626</v>
      </c>
    </row>
    <row r="109" spans="1:6" x14ac:dyDescent="0.25">
      <c r="A109">
        <v>108</v>
      </c>
      <c r="B109" s="5" t="str">
        <f>TEXT(EXAMENES!F109, "aaaa-mm-dd") &amp; " " &amp; TEXT(EXAMENES!G109, "hh:mm:ss")</f>
        <v>lunes-07-01 08:00:00</v>
      </c>
      <c r="C109">
        <f>EXAMENES!L109</f>
        <v>2</v>
      </c>
      <c r="D109">
        <f>EXAMENES!O109</f>
        <v>230</v>
      </c>
      <c r="E109" t="s">
        <v>626</v>
      </c>
      <c r="F109" t="s">
        <v>626</v>
      </c>
    </row>
    <row r="110" spans="1:6" x14ac:dyDescent="0.25">
      <c r="A110">
        <v>109</v>
      </c>
      <c r="B110" s="5" t="str">
        <f>TEXT(EXAMENES!F110, "aaaa-mm-dd") &amp; " " &amp; TEXT(EXAMENES!G110, "hh:mm:ss")</f>
        <v>lunes-07-01 08:00:00</v>
      </c>
      <c r="C110">
        <f>EXAMENES!L110</f>
        <v>2</v>
      </c>
      <c r="D110">
        <f>EXAMENES!O110</f>
        <v>230</v>
      </c>
      <c r="E110" t="s">
        <v>626</v>
      </c>
      <c r="F110" t="s">
        <v>626</v>
      </c>
    </row>
    <row r="111" spans="1:6" x14ac:dyDescent="0.25">
      <c r="A111">
        <v>110</v>
      </c>
      <c r="B111" s="5" t="str">
        <f>TEXT(EXAMENES!F111, "aaaa-mm-dd") &amp; " " &amp; TEXT(EXAMENES!G111, "hh:mm:ss")</f>
        <v>lunes-07-01 08:00:00</v>
      </c>
      <c r="C111">
        <f>EXAMENES!L111</f>
        <v>2</v>
      </c>
      <c r="D111">
        <f>EXAMENES!O111</f>
        <v>230</v>
      </c>
      <c r="E111" t="s">
        <v>626</v>
      </c>
      <c r="F111" t="s">
        <v>626</v>
      </c>
    </row>
    <row r="112" spans="1:6" x14ac:dyDescent="0.25">
      <c r="A112">
        <v>111</v>
      </c>
      <c r="B112" s="5" t="str">
        <f>TEXT(EXAMENES!F112, "aaaa-mm-dd") &amp; " " &amp; TEXT(EXAMENES!G112, "hh:mm:ss")</f>
        <v>lunes-07-01 08:00:00</v>
      </c>
      <c r="C112">
        <f>EXAMENES!L112</f>
        <v>2</v>
      </c>
      <c r="D112">
        <f>EXAMENES!O112</f>
        <v>230</v>
      </c>
      <c r="E112" t="s">
        <v>626</v>
      </c>
      <c r="F112" t="s">
        <v>626</v>
      </c>
    </row>
    <row r="113" spans="1:6" x14ac:dyDescent="0.25">
      <c r="A113">
        <v>112</v>
      </c>
      <c r="B113" s="5" t="str">
        <f>TEXT(EXAMENES!F113, "aaaa-mm-dd") &amp; " " &amp; TEXT(EXAMENES!G113, "hh:mm:ss")</f>
        <v>lunes-07-01 08:00:00</v>
      </c>
      <c r="C113">
        <f>EXAMENES!L113</f>
        <v>2</v>
      </c>
      <c r="D113">
        <f>EXAMENES!O113</f>
        <v>230</v>
      </c>
      <c r="E113" t="s">
        <v>626</v>
      </c>
      <c r="F113" t="s">
        <v>626</v>
      </c>
    </row>
    <row r="114" spans="1:6" x14ac:dyDescent="0.25">
      <c r="A114">
        <v>113</v>
      </c>
      <c r="B114" s="5" t="str">
        <f>TEXT(EXAMENES!F114, "aaaa-mm-dd") &amp; " " &amp; TEXT(EXAMENES!G114, "hh:mm:ss")</f>
        <v>lunes-07-01 08:00:00</v>
      </c>
      <c r="C114">
        <f>EXAMENES!L114</f>
        <v>2</v>
      </c>
      <c r="D114">
        <f>EXAMENES!O114</f>
        <v>230</v>
      </c>
      <c r="E114" t="s">
        <v>626</v>
      </c>
      <c r="F114" t="s">
        <v>626</v>
      </c>
    </row>
    <row r="115" spans="1:6" x14ac:dyDescent="0.25">
      <c r="A115">
        <v>114</v>
      </c>
      <c r="B115" s="5" t="str">
        <f>TEXT(EXAMENES!F115, "aaaa-mm-dd") &amp; " " &amp; TEXT(EXAMENES!G115, "hh:mm:ss")</f>
        <v>lunes-07-01 08:00:00</v>
      </c>
      <c r="C115">
        <f>EXAMENES!L115</f>
        <v>2</v>
      </c>
      <c r="D115">
        <f>EXAMENES!O115</f>
        <v>230</v>
      </c>
      <c r="E115" t="s">
        <v>626</v>
      </c>
      <c r="F115" t="s">
        <v>626</v>
      </c>
    </row>
    <row r="116" spans="1:6" x14ac:dyDescent="0.25">
      <c r="A116">
        <v>115</v>
      </c>
      <c r="B116" s="5" t="str">
        <f>TEXT(EXAMENES!F116, "aaaa-mm-dd") &amp; " " &amp; TEXT(EXAMENES!G116, "hh:mm:ss")</f>
        <v>lunes-07-01 08:00:00</v>
      </c>
      <c r="C116">
        <f>EXAMENES!L116</f>
        <v>2</v>
      </c>
      <c r="D116">
        <f>EXAMENES!O116</f>
        <v>249</v>
      </c>
      <c r="E116" t="s">
        <v>626</v>
      </c>
      <c r="F116" t="s">
        <v>626</v>
      </c>
    </row>
    <row r="117" spans="1:6" x14ac:dyDescent="0.25">
      <c r="A117">
        <v>116</v>
      </c>
      <c r="B117" s="5" t="str">
        <f>TEXT(EXAMENES!F117, "aaaa-mm-dd") &amp; " " &amp; TEXT(EXAMENES!G117, "hh:mm:ss")</f>
        <v>lunes-07-01 08:00:00</v>
      </c>
      <c r="C117">
        <f>EXAMENES!L117</f>
        <v>2</v>
      </c>
      <c r="D117">
        <f>EXAMENES!O117</f>
        <v>240</v>
      </c>
      <c r="E117" t="s">
        <v>626</v>
      </c>
      <c r="F117" t="s">
        <v>626</v>
      </c>
    </row>
    <row r="118" spans="1:6" x14ac:dyDescent="0.25">
      <c r="A118">
        <v>117</v>
      </c>
      <c r="B118" s="5" t="str">
        <f>TEXT(EXAMENES!F118, "aaaa-mm-dd") &amp; " " &amp; TEXT(EXAMENES!G118, "hh:mm:ss")</f>
        <v>lunes-07-01 08:00:00</v>
      </c>
      <c r="C118">
        <f>EXAMENES!L118</f>
        <v>2</v>
      </c>
      <c r="D118">
        <f>EXAMENES!O118</f>
        <v>240</v>
      </c>
      <c r="E118" t="s">
        <v>626</v>
      </c>
      <c r="F118" t="s">
        <v>626</v>
      </c>
    </row>
    <row r="119" spans="1:6" x14ac:dyDescent="0.25">
      <c r="A119">
        <v>118</v>
      </c>
      <c r="B119" s="5" t="str">
        <f>TEXT(EXAMENES!F119, "aaaa-mm-dd") &amp; " " &amp; TEXT(EXAMENES!G119, "hh:mm:ss")</f>
        <v>lunes-07-01 08:00:00</v>
      </c>
      <c r="C119">
        <f>EXAMENES!L119</f>
        <v>2</v>
      </c>
      <c r="D119">
        <f>EXAMENES!O119</f>
        <v>240</v>
      </c>
      <c r="E119" t="s">
        <v>626</v>
      </c>
      <c r="F119" t="s">
        <v>626</v>
      </c>
    </row>
    <row r="120" spans="1:6" x14ac:dyDescent="0.25">
      <c r="A120">
        <v>119</v>
      </c>
      <c r="B120" s="5" t="str">
        <f>TEXT(EXAMENES!F120, "aaaa-mm-dd") &amp; " " &amp; TEXT(EXAMENES!G120, "hh:mm:ss")</f>
        <v>lunes-07-01 08:00:00</v>
      </c>
      <c r="C120">
        <f>EXAMENES!L120</f>
        <v>2</v>
      </c>
      <c r="D120">
        <f>EXAMENES!O120</f>
        <v>253</v>
      </c>
      <c r="E120" t="s">
        <v>626</v>
      </c>
      <c r="F120" t="s">
        <v>626</v>
      </c>
    </row>
    <row r="121" spans="1:6" x14ac:dyDescent="0.25">
      <c r="A121">
        <v>120</v>
      </c>
      <c r="B121" s="5" t="str">
        <f>TEXT(EXAMENES!F121, "aaaa-mm-dd") &amp; " " &amp; TEXT(EXAMENES!G121, "hh:mm:ss")</f>
        <v>lunes-07-01 08:00:00</v>
      </c>
      <c r="C121">
        <f>EXAMENES!L121</f>
        <v>2</v>
      </c>
      <c r="D121">
        <f>EXAMENES!O121</f>
        <v>252</v>
      </c>
      <c r="E121" t="s">
        <v>626</v>
      </c>
      <c r="F121" t="s">
        <v>626</v>
      </c>
    </row>
    <row r="122" spans="1:6" x14ac:dyDescent="0.25">
      <c r="A122">
        <v>121</v>
      </c>
      <c r="B122" s="5" t="str">
        <f>TEXT(EXAMENES!F122, "aaaa-mm-dd") &amp; " " &amp; TEXT(EXAMENES!G122, "hh:mm:ss")</f>
        <v>lunes-07-01 08:00:00</v>
      </c>
      <c r="C122">
        <f>EXAMENES!L122</f>
        <v>2</v>
      </c>
      <c r="D122">
        <f>EXAMENES!O122</f>
        <v>272</v>
      </c>
      <c r="E122" t="s">
        <v>626</v>
      </c>
      <c r="F122" t="s">
        <v>626</v>
      </c>
    </row>
    <row r="123" spans="1:6" x14ac:dyDescent="0.25">
      <c r="A123">
        <v>122</v>
      </c>
      <c r="B123" s="5" t="str">
        <f>TEXT(EXAMENES!F123, "aaaa-mm-dd") &amp; " " &amp; TEXT(EXAMENES!G123, "hh:mm:ss")</f>
        <v>lunes-07-01 08:00:00</v>
      </c>
      <c r="C123">
        <f>EXAMENES!L123</f>
        <v>2</v>
      </c>
      <c r="D123">
        <f>EXAMENES!O123</f>
        <v>265</v>
      </c>
      <c r="E123" t="s">
        <v>626</v>
      </c>
      <c r="F123" t="s">
        <v>626</v>
      </c>
    </row>
    <row r="124" spans="1:6" x14ac:dyDescent="0.25">
      <c r="A124">
        <v>123</v>
      </c>
      <c r="B124" s="5" t="str">
        <f>TEXT(EXAMENES!F124, "aaaa-mm-dd") &amp; " " &amp; TEXT(EXAMENES!G124, "hh:mm:ss")</f>
        <v>lunes-07-01 08:00:00</v>
      </c>
      <c r="C124">
        <f>EXAMENES!L124</f>
        <v>2</v>
      </c>
      <c r="D124">
        <f>EXAMENES!O124</f>
        <v>291</v>
      </c>
      <c r="E124" t="s">
        <v>626</v>
      </c>
      <c r="F124" t="s">
        <v>626</v>
      </c>
    </row>
    <row r="125" spans="1:6" x14ac:dyDescent="0.25">
      <c r="A125">
        <v>124</v>
      </c>
      <c r="B125" s="5" t="str">
        <f>TEXT(EXAMENES!F125, "aaaa-mm-dd") &amp; " " &amp; TEXT(EXAMENES!G125, "hh:mm:ss")</f>
        <v>lunes-07-01 08:00:00</v>
      </c>
      <c r="C125">
        <f>EXAMENES!L125</f>
        <v>2</v>
      </c>
      <c r="D125">
        <f>EXAMENES!O125</f>
        <v>280</v>
      </c>
      <c r="E125" t="s">
        <v>626</v>
      </c>
      <c r="F125" t="s">
        <v>626</v>
      </c>
    </row>
    <row r="126" spans="1:6" x14ac:dyDescent="0.25">
      <c r="A126">
        <v>125</v>
      </c>
      <c r="B126" s="5" t="str">
        <f>TEXT(EXAMENES!F126, "aaaa-mm-dd") &amp; " " &amp; TEXT(EXAMENES!G126, "hh:mm:ss")</f>
        <v>lunes-07-01 08:00:00</v>
      </c>
      <c r="C126">
        <f>EXAMENES!L126</f>
        <v>2</v>
      </c>
      <c r="D126">
        <f>EXAMENES!O126</f>
        <v>281</v>
      </c>
      <c r="E126" t="s">
        <v>626</v>
      </c>
      <c r="F126" t="s">
        <v>626</v>
      </c>
    </row>
    <row r="127" spans="1:6" x14ac:dyDescent="0.25">
      <c r="A127">
        <v>126</v>
      </c>
      <c r="B127" s="5" t="str">
        <f>TEXT(EXAMENES!F127, "aaaa-mm-dd") &amp; " " &amp; TEXT(EXAMENES!G127, "hh:mm:ss")</f>
        <v>lunes-07-01 08:00:00</v>
      </c>
      <c r="C127">
        <f>EXAMENES!L127</f>
        <v>2</v>
      </c>
      <c r="D127">
        <f>EXAMENES!O127</f>
        <v>281</v>
      </c>
      <c r="E127" t="s">
        <v>626</v>
      </c>
      <c r="F127" t="s">
        <v>626</v>
      </c>
    </row>
    <row r="128" spans="1:6" x14ac:dyDescent="0.25">
      <c r="A128">
        <v>127</v>
      </c>
      <c r="B128" s="5" t="str">
        <f>TEXT(EXAMENES!F128, "aaaa-mm-dd") &amp; " " &amp; TEXT(EXAMENES!G128, "hh:mm:ss")</f>
        <v>lunes-07-01 13:00:00</v>
      </c>
      <c r="C128">
        <f>EXAMENES!L128</f>
        <v>2</v>
      </c>
      <c r="D128">
        <f>EXAMENES!O128</f>
        <v>237</v>
      </c>
      <c r="E128" t="s">
        <v>627</v>
      </c>
      <c r="F128" t="s">
        <v>627</v>
      </c>
    </row>
    <row r="129" spans="1:6" x14ac:dyDescent="0.25">
      <c r="A129">
        <v>128</v>
      </c>
      <c r="B129" s="5" t="str">
        <f>TEXT(EXAMENES!F129, "aaaa-mm-dd") &amp; " " &amp; TEXT(EXAMENES!G129, "hh:mm:ss")</f>
        <v>lunes-07-01 13:00:00</v>
      </c>
      <c r="C129">
        <f>EXAMENES!L129</f>
        <v>2</v>
      </c>
      <c r="D129">
        <f>EXAMENES!O129</f>
        <v>244</v>
      </c>
      <c r="E129" t="s">
        <v>627</v>
      </c>
      <c r="F129" t="s">
        <v>627</v>
      </c>
    </row>
    <row r="130" spans="1:6" x14ac:dyDescent="0.25">
      <c r="A130">
        <v>129</v>
      </c>
      <c r="B130" s="5" t="str">
        <f>TEXT(EXAMENES!F130, "aaaa-mm-dd") &amp; " " &amp; TEXT(EXAMENES!G130, "hh:mm:ss")</f>
        <v>martes-07-02 13:00:00</v>
      </c>
      <c r="C130">
        <f>EXAMENES!L130</f>
        <v>2</v>
      </c>
      <c r="D130">
        <f>EXAMENES!O130</f>
        <v>274</v>
      </c>
      <c r="E130" t="s">
        <v>628</v>
      </c>
      <c r="F130" t="s">
        <v>628</v>
      </c>
    </row>
    <row r="131" spans="1:6" x14ac:dyDescent="0.25">
      <c r="A131">
        <v>130</v>
      </c>
      <c r="B131" s="5" t="str">
        <f>TEXT(EXAMENES!F131, "aaaa-mm-dd") &amp; " " &amp; TEXT(EXAMENES!G131, "hh:mm:ss")</f>
        <v>martes-07-02 13:00:00</v>
      </c>
      <c r="C131">
        <f>EXAMENES!L131</f>
        <v>2</v>
      </c>
      <c r="D131">
        <f>EXAMENES!O131</f>
        <v>275</v>
      </c>
      <c r="E131" t="s">
        <v>628</v>
      </c>
      <c r="F131" t="s">
        <v>628</v>
      </c>
    </row>
    <row r="132" spans="1:6" x14ac:dyDescent="0.25">
      <c r="A132">
        <v>131</v>
      </c>
      <c r="B132" s="5" t="str">
        <f>TEXT(EXAMENES!F132, "aaaa-mm-dd") &amp; " " &amp; TEXT(EXAMENES!G132, "hh:mm:ss")</f>
        <v>lunes-07-01 13:00:00</v>
      </c>
      <c r="C132">
        <f>EXAMENES!L132</f>
        <v>2</v>
      </c>
      <c r="D132">
        <f>EXAMENES!O132</f>
        <v>292</v>
      </c>
      <c r="E132" t="s">
        <v>627</v>
      </c>
      <c r="F132" t="s">
        <v>627</v>
      </c>
    </row>
    <row r="133" spans="1:6" x14ac:dyDescent="0.25">
      <c r="A133">
        <v>132</v>
      </c>
      <c r="B133" s="5" t="str">
        <f>TEXT(EXAMENES!F133, "aaaa-mm-dd") &amp; " " &amp; TEXT(EXAMENES!G133, "hh:mm:ss")</f>
        <v>lunes-07-01 13:00:00</v>
      </c>
      <c r="C133">
        <f>EXAMENES!L133</f>
        <v>2</v>
      </c>
      <c r="D133">
        <f>EXAMENES!O133</f>
        <v>292</v>
      </c>
      <c r="E133" t="s">
        <v>627</v>
      </c>
      <c r="F133" t="s">
        <v>627</v>
      </c>
    </row>
    <row r="134" spans="1:6" x14ac:dyDescent="0.25">
      <c r="A134">
        <v>133</v>
      </c>
      <c r="B134" s="5" t="str">
        <f>TEXT(EXAMENES!F134, "aaaa-mm-dd") &amp; " " &amp; TEXT(EXAMENES!G134, "hh:mm:ss")</f>
        <v>martes-07-02 08:00:00</v>
      </c>
      <c r="C134">
        <f>EXAMENES!L134</f>
        <v>2</v>
      </c>
      <c r="D134">
        <f>EXAMENES!O134</f>
        <v>225</v>
      </c>
      <c r="E134" t="s">
        <v>629</v>
      </c>
      <c r="F134" t="s">
        <v>629</v>
      </c>
    </row>
    <row r="135" spans="1:6" x14ac:dyDescent="0.25">
      <c r="A135">
        <v>134</v>
      </c>
      <c r="B135" s="5" t="str">
        <f>TEXT(EXAMENES!F135, "aaaa-mm-dd") &amp; " " &amp; TEXT(EXAMENES!G135, "hh:mm:ss")</f>
        <v>martes-07-02 08:00:00</v>
      </c>
      <c r="C135">
        <f>EXAMENES!L135</f>
        <v>2</v>
      </c>
      <c r="D135">
        <f>EXAMENES!O135</f>
        <v>219</v>
      </c>
      <c r="E135" t="s">
        <v>629</v>
      </c>
      <c r="F135" t="s">
        <v>629</v>
      </c>
    </row>
    <row r="136" spans="1:6" x14ac:dyDescent="0.25">
      <c r="A136">
        <v>135</v>
      </c>
      <c r="B136" s="5" t="str">
        <f>TEXT(EXAMENES!F136, "aaaa-mm-dd") &amp; " " &amp; TEXT(EXAMENES!G136, "hh:mm:ss")</f>
        <v>martes-07-02 08:00:00</v>
      </c>
      <c r="C136">
        <f>EXAMENES!L136</f>
        <v>2</v>
      </c>
      <c r="D136">
        <f>EXAMENES!O136</f>
        <v>219</v>
      </c>
      <c r="E136" t="s">
        <v>629</v>
      </c>
      <c r="F136" t="s">
        <v>629</v>
      </c>
    </row>
    <row r="137" spans="1:6" x14ac:dyDescent="0.25">
      <c r="A137">
        <v>136</v>
      </c>
      <c r="B137" s="5" t="str">
        <f>TEXT(EXAMENES!F137, "aaaa-mm-dd") &amp; " " &amp; TEXT(EXAMENES!G137, "hh:mm:ss")</f>
        <v>martes-07-02 08:00:00</v>
      </c>
      <c r="C137">
        <f>EXAMENES!L137</f>
        <v>2</v>
      </c>
      <c r="D137">
        <f>EXAMENES!O137</f>
        <v>219</v>
      </c>
      <c r="E137" t="s">
        <v>629</v>
      </c>
      <c r="F137" t="s">
        <v>629</v>
      </c>
    </row>
    <row r="138" spans="1:6" x14ac:dyDescent="0.25">
      <c r="A138">
        <v>137</v>
      </c>
      <c r="B138" s="5" t="str">
        <f>TEXT(EXAMENES!F138, "aaaa-mm-dd") &amp; " " &amp; TEXT(EXAMENES!G138, "hh:mm:ss")</f>
        <v>martes-07-02 08:00:00</v>
      </c>
      <c r="C138">
        <f>EXAMENES!L138</f>
        <v>2</v>
      </c>
      <c r="D138">
        <f>EXAMENES!O138</f>
        <v>219</v>
      </c>
      <c r="E138" t="s">
        <v>629</v>
      </c>
      <c r="F138" t="s">
        <v>629</v>
      </c>
    </row>
    <row r="139" spans="1:6" x14ac:dyDescent="0.25">
      <c r="A139">
        <v>138</v>
      </c>
      <c r="B139" s="5" t="str">
        <f>TEXT(EXAMENES!F139, "aaaa-mm-dd") &amp; " " &amp; TEXT(EXAMENES!G139, "hh:mm:ss")</f>
        <v>martes-07-02 08:00:00</v>
      </c>
      <c r="C139">
        <f>EXAMENES!L139</f>
        <v>2</v>
      </c>
      <c r="D139">
        <f>EXAMENES!O139</f>
        <v>219</v>
      </c>
      <c r="E139" t="s">
        <v>629</v>
      </c>
      <c r="F139" t="s">
        <v>629</v>
      </c>
    </row>
    <row r="140" spans="1:6" x14ac:dyDescent="0.25">
      <c r="A140">
        <v>139</v>
      </c>
      <c r="B140" s="5" t="str">
        <f>TEXT(EXAMENES!F140, "aaaa-mm-dd") &amp; " " &amp; TEXT(EXAMENES!G140, "hh:mm:ss")</f>
        <v>martes-07-02 08:00:00</v>
      </c>
      <c r="C140">
        <f>EXAMENES!L140</f>
        <v>2</v>
      </c>
      <c r="D140">
        <f>EXAMENES!O140</f>
        <v>235</v>
      </c>
      <c r="E140" t="s">
        <v>629</v>
      </c>
      <c r="F140" t="s">
        <v>629</v>
      </c>
    </row>
    <row r="141" spans="1:6" x14ac:dyDescent="0.25">
      <c r="A141">
        <v>140</v>
      </c>
      <c r="B141" s="5" t="str">
        <f>TEXT(EXAMENES!F141, "aaaa-mm-dd") &amp; " " &amp; TEXT(EXAMENES!G141, "hh:mm:ss")</f>
        <v>martes-07-02 08:00:00</v>
      </c>
      <c r="C141">
        <f>EXAMENES!L141</f>
        <v>2</v>
      </c>
      <c r="D141">
        <f>EXAMENES!O141</f>
        <v>234</v>
      </c>
      <c r="E141" t="s">
        <v>629</v>
      </c>
      <c r="F141" t="s">
        <v>629</v>
      </c>
    </row>
    <row r="142" spans="1:6" x14ac:dyDescent="0.25">
      <c r="A142">
        <v>141</v>
      </c>
      <c r="B142" s="5" t="str">
        <f>TEXT(EXAMENES!F142, "aaaa-mm-dd") &amp; " " &amp; TEXT(EXAMENES!G142, "hh:mm:ss")</f>
        <v>martes-07-02 08:00:00</v>
      </c>
      <c r="C142">
        <f>EXAMENES!L142</f>
        <v>2</v>
      </c>
      <c r="D142">
        <f>EXAMENES!O142</f>
        <v>234</v>
      </c>
      <c r="E142" t="s">
        <v>629</v>
      </c>
      <c r="F142" t="s">
        <v>629</v>
      </c>
    </row>
    <row r="143" spans="1:6" x14ac:dyDescent="0.25">
      <c r="A143">
        <v>142</v>
      </c>
      <c r="B143" s="5" t="str">
        <f>TEXT(EXAMENES!F143, "aaaa-mm-dd") &amp; " " &amp; TEXT(EXAMENES!G143, "hh:mm:ss")</f>
        <v>martes-07-02 08:00:00</v>
      </c>
      <c r="C143">
        <f>EXAMENES!L143</f>
        <v>2</v>
      </c>
      <c r="D143">
        <f>EXAMENES!O143</f>
        <v>229</v>
      </c>
      <c r="E143" t="s">
        <v>629</v>
      </c>
      <c r="F143" t="s">
        <v>629</v>
      </c>
    </row>
    <row r="144" spans="1:6" x14ac:dyDescent="0.25">
      <c r="A144">
        <v>143</v>
      </c>
      <c r="B144" s="5" t="str">
        <f>TEXT(EXAMENES!F144, "aaaa-mm-dd") &amp; " " &amp; TEXT(EXAMENES!G144, "hh:mm:ss")</f>
        <v>martes-07-02 08:00:00</v>
      </c>
      <c r="C144">
        <f>EXAMENES!L144</f>
        <v>2</v>
      </c>
      <c r="D144">
        <f>EXAMENES!O144</f>
        <v>229</v>
      </c>
      <c r="E144" t="s">
        <v>629</v>
      </c>
      <c r="F144" t="s">
        <v>629</v>
      </c>
    </row>
    <row r="145" spans="1:6" x14ac:dyDescent="0.25">
      <c r="A145">
        <v>144</v>
      </c>
      <c r="B145" s="5" t="str">
        <f>TEXT(EXAMENES!F145, "aaaa-mm-dd") &amp; " " &amp; TEXT(EXAMENES!G145, "hh:mm:ss")</f>
        <v>martes-07-02 08:00:00</v>
      </c>
      <c r="C145">
        <f>EXAMENES!L145</f>
        <v>2</v>
      </c>
      <c r="D145">
        <f>EXAMENES!O145</f>
        <v>229</v>
      </c>
      <c r="E145" t="s">
        <v>629</v>
      </c>
      <c r="F145" t="s">
        <v>629</v>
      </c>
    </row>
    <row r="146" spans="1:6" x14ac:dyDescent="0.25">
      <c r="A146">
        <v>145</v>
      </c>
      <c r="B146" s="5" t="str">
        <f>TEXT(EXAMENES!F146, "aaaa-mm-dd") &amp; " " &amp; TEXT(EXAMENES!G146, "hh:mm:ss")</f>
        <v>martes-07-02 08:00:00</v>
      </c>
      <c r="C146">
        <f>EXAMENES!L146</f>
        <v>2</v>
      </c>
      <c r="D146">
        <f>EXAMENES!O146</f>
        <v>245</v>
      </c>
      <c r="E146" t="s">
        <v>629</v>
      </c>
      <c r="F146" t="s">
        <v>629</v>
      </c>
    </row>
    <row r="147" spans="1:6" x14ac:dyDescent="0.25">
      <c r="A147">
        <v>146</v>
      </c>
      <c r="B147" s="5" t="str">
        <f>TEXT(EXAMENES!F147, "aaaa-mm-dd") &amp; " " &amp; TEXT(EXAMENES!G147, "hh:mm:ss")</f>
        <v>martes-07-02 08:00:00</v>
      </c>
      <c r="C147">
        <f>EXAMENES!L147</f>
        <v>2</v>
      </c>
      <c r="D147">
        <f>EXAMENES!O147</f>
        <v>239</v>
      </c>
      <c r="E147" t="s">
        <v>629</v>
      </c>
      <c r="F147" t="s">
        <v>629</v>
      </c>
    </row>
    <row r="148" spans="1:6" x14ac:dyDescent="0.25">
      <c r="A148">
        <v>147</v>
      </c>
      <c r="B148" s="5" t="str">
        <f>TEXT(EXAMENES!F148, "aaaa-mm-dd") &amp; " " &amp; TEXT(EXAMENES!G148, "hh:mm:ss")</f>
        <v>martes-07-02 08:00:00</v>
      </c>
      <c r="C148">
        <f>EXAMENES!L148</f>
        <v>2</v>
      </c>
      <c r="D148">
        <f>EXAMENES!O148</f>
        <v>251</v>
      </c>
      <c r="E148" t="s">
        <v>629</v>
      </c>
      <c r="F148" t="s">
        <v>629</v>
      </c>
    </row>
    <row r="149" spans="1:6" x14ac:dyDescent="0.25">
      <c r="A149">
        <v>148</v>
      </c>
      <c r="B149" s="5" t="str">
        <f>TEXT(EXAMENES!F149, "aaaa-mm-dd") &amp; " " &amp; TEXT(EXAMENES!G149, "hh:mm:ss")</f>
        <v>martes-07-02 08:00:00</v>
      </c>
      <c r="C149">
        <f>EXAMENES!L149</f>
        <v>2</v>
      </c>
      <c r="D149">
        <f>EXAMENES!O149</f>
        <v>263</v>
      </c>
      <c r="E149" t="s">
        <v>629</v>
      </c>
      <c r="F149" t="s">
        <v>629</v>
      </c>
    </row>
    <row r="150" spans="1:6" x14ac:dyDescent="0.25">
      <c r="A150">
        <v>149</v>
      </c>
      <c r="B150" s="5" t="str">
        <f>TEXT(EXAMENES!F150, "aaaa-mm-dd") &amp; " " &amp; TEXT(EXAMENES!G150, "hh:mm:ss")</f>
        <v>martes-07-02 08:00:00</v>
      </c>
      <c r="C150">
        <f>EXAMENES!L150</f>
        <v>2</v>
      </c>
      <c r="D150">
        <f>EXAMENES!O150</f>
        <v>279</v>
      </c>
      <c r="E150" t="s">
        <v>629</v>
      </c>
      <c r="F150" t="s">
        <v>629</v>
      </c>
    </row>
    <row r="151" spans="1:6" x14ac:dyDescent="0.25">
      <c r="A151">
        <v>150</v>
      </c>
      <c r="B151" s="5" t="str">
        <f>TEXT(EXAMENES!F151, "aaaa-mm-dd") &amp; " " &amp; TEXT(EXAMENES!G151, "hh:mm:ss")</f>
        <v>martes-07-02 08:00:00</v>
      </c>
      <c r="C151">
        <f>EXAMENES!L151</f>
        <v>2</v>
      </c>
      <c r="D151">
        <f>EXAMENES!O151</f>
        <v>279</v>
      </c>
      <c r="E151" t="s">
        <v>629</v>
      </c>
      <c r="F151" t="s">
        <v>629</v>
      </c>
    </row>
    <row r="152" spans="1:6" x14ac:dyDescent="0.25">
      <c r="A152">
        <v>151</v>
      </c>
      <c r="B152" s="5" t="str">
        <f>TEXT(EXAMENES!F152, "aaaa-mm-dd") &amp; " " &amp; TEXT(EXAMENES!G152, "hh:mm:ss")</f>
        <v>martes-07-02 13:00:00</v>
      </c>
      <c r="C152">
        <f>EXAMENES!L152</f>
        <v>2</v>
      </c>
      <c r="D152">
        <f>EXAMENES!O152</f>
        <v>260</v>
      </c>
      <c r="E152" t="s">
        <v>628</v>
      </c>
      <c r="F152" t="s">
        <v>628</v>
      </c>
    </row>
    <row r="153" spans="1:6" x14ac:dyDescent="0.25">
      <c r="A153">
        <v>152</v>
      </c>
      <c r="B153" s="5" t="str">
        <f>TEXT(EXAMENES!F153, "aaaa-mm-dd") &amp; " " &amp; TEXT(EXAMENES!G153, "hh:mm:ss")</f>
        <v>martes-07-02 13:00:00</v>
      </c>
      <c r="C153">
        <f>EXAMENES!L153</f>
        <v>2</v>
      </c>
      <c r="D153">
        <f>EXAMENES!O153</f>
        <v>259</v>
      </c>
      <c r="E153" t="s">
        <v>628</v>
      </c>
      <c r="F153" t="s">
        <v>628</v>
      </c>
    </row>
    <row r="154" spans="1:6" x14ac:dyDescent="0.25">
      <c r="A154">
        <v>153</v>
      </c>
      <c r="B154" s="5" t="str">
        <f>TEXT(EXAMENES!F154, "aaaa-mm-dd") &amp; " " &amp; TEXT(EXAMENES!G154, "hh:mm:ss")</f>
        <v>martes-07-02 13:00:00</v>
      </c>
      <c r="C154">
        <f>EXAMENES!L154</f>
        <v>2</v>
      </c>
      <c r="D154">
        <f>EXAMENES!O154</f>
        <v>274</v>
      </c>
      <c r="E154" t="s">
        <v>628</v>
      </c>
      <c r="F154" t="s">
        <v>628</v>
      </c>
    </row>
    <row r="155" spans="1:6" x14ac:dyDescent="0.25">
      <c r="A155">
        <v>154</v>
      </c>
      <c r="B155" s="5" t="str">
        <f>TEXT(EXAMENES!F155, "aaaa-mm-dd") &amp; " " &amp; TEXT(EXAMENES!G155, "hh:mm:ss")</f>
        <v>martes-07-02 13:00:00</v>
      </c>
      <c r="C155">
        <f>EXAMENES!L155</f>
        <v>2</v>
      </c>
      <c r="D155">
        <f>EXAMENES!O155</f>
        <v>274</v>
      </c>
      <c r="E155" t="s">
        <v>628</v>
      </c>
      <c r="F155" t="s">
        <v>628</v>
      </c>
    </row>
    <row r="156" spans="1:6" x14ac:dyDescent="0.25">
      <c r="A156">
        <v>155</v>
      </c>
      <c r="B156" s="5" t="str">
        <f>TEXT(EXAMENES!F156, "aaaa-mm-dd") &amp; " " &amp; TEXT(EXAMENES!G156, "hh:mm:ss")</f>
        <v>martes-07-02 13:00:00</v>
      </c>
      <c r="C156">
        <f>EXAMENES!L156</f>
        <v>2</v>
      </c>
      <c r="D156">
        <f>EXAMENES!O156</f>
        <v>274</v>
      </c>
      <c r="E156" t="s">
        <v>628</v>
      </c>
      <c r="F156" t="s">
        <v>628</v>
      </c>
    </row>
    <row r="157" spans="1:6" x14ac:dyDescent="0.25">
      <c r="A157">
        <v>156</v>
      </c>
      <c r="B157" s="5" t="str">
        <f>TEXT(EXAMENES!F157, "aaaa-mm-dd") &amp; " " &amp; TEXT(EXAMENES!G157, "hh:mm:ss")</f>
        <v>martes-07-02 13:00:00</v>
      </c>
      <c r="C157">
        <f>EXAMENES!L157</f>
        <v>2</v>
      </c>
      <c r="D157">
        <f>EXAMENES!O157</f>
        <v>277</v>
      </c>
      <c r="E157" t="s">
        <v>628</v>
      </c>
      <c r="F157" t="s">
        <v>628</v>
      </c>
    </row>
    <row r="158" spans="1:6" x14ac:dyDescent="0.25">
      <c r="A158">
        <v>157</v>
      </c>
      <c r="B158" s="5" t="str">
        <f>TEXT(EXAMENES!F158, "aaaa-mm-dd") &amp; " " &amp; TEXT(EXAMENES!G158, "hh:mm:ss")</f>
        <v>martes-07-02 13:00:00</v>
      </c>
      <c r="C158">
        <f>EXAMENES!L158</f>
        <v>2</v>
      </c>
      <c r="D158">
        <f>EXAMENES!O158</f>
        <v>275</v>
      </c>
      <c r="E158" t="s">
        <v>628</v>
      </c>
      <c r="F158" t="s">
        <v>628</v>
      </c>
    </row>
    <row r="159" spans="1:6" x14ac:dyDescent="0.25">
      <c r="A159">
        <v>158</v>
      </c>
      <c r="B159" s="5" t="str">
        <f>TEXT(EXAMENES!F159, "aaaa-mm-dd") &amp; " " &amp; TEXT(EXAMENES!G159, "hh:mm:ss")</f>
        <v>martes-07-02 13:00:00</v>
      </c>
      <c r="C159">
        <f>EXAMENES!L159</f>
        <v>2</v>
      </c>
      <c r="D159">
        <f>EXAMENES!O159</f>
        <v>273</v>
      </c>
      <c r="E159" t="s">
        <v>628</v>
      </c>
      <c r="F159" t="s">
        <v>628</v>
      </c>
    </row>
    <row r="160" spans="1:6" x14ac:dyDescent="0.25">
      <c r="A160">
        <v>159</v>
      </c>
      <c r="B160" s="5" t="str">
        <f>TEXT(EXAMENES!F160, "aaaa-mm-dd") &amp; " " &amp; TEXT(EXAMENES!G160, "hh:mm:ss")</f>
        <v>martes-07-02 13:00:00</v>
      </c>
      <c r="C160">
        <f>EXAMENES!L160</f>
        <v>2</v>
      </c>
      <c r="D160">
        <f>EXAMENES!O160</f>
        <v>273</v>
      </c>
      <c r="E160" t="s">
        <v>628</v>
      </c>
      <c r="F160" t="s">
        <v>628</v>
      </c>
    </row>
    <row r="161" spans="1:6" x14ac:dyDescent="0.25">
      <c r="A161">
        <v>160</v>
      </c>
      <c r="B161" s="5" t="str">
        <f>TEXT(EXAMENES!F161, "aaaa-mm-dd") &amp; " " &amp; TEXT(EXAMENES!G161, "hh:mm:ss")</f>
        <v>martes-07-02 13:00:00</v>
      </c>
      <c r="C161">
        <f>EXAMENES!L161</f>
        <v>2</v>
      </c>
      <c r="D161">
        <f>EXAMENES!O161</f>
        <v>273</v>
      </c>
      <c r="E161" t="s">
        <v>628</v>
      </c>
      <c r="F161" t="s">
        <v>628</v>
      </c>
    </row>
    <row r="162" spans="1:6" x14ac:dyDescent="0.25">
      <c r="A162">
        <v>161</v>
      </c>
      <c r="B162" s="5" t="str">
        <f>TEXT(EXAMENES!F162, "aaaa-mm-dd") &amp; " " &amp; TEXT(EXAMENES!G162, "hh:mm:ss")</f>
        <v>martes-07-02 13:00:00</v>
      </c>
      <c r="C162">
        <f>EXAMENES!L162</f>
        <v>2</v>
      </c>
      <c r="D162">
        <f>EXAMENES!O162</f>
        <v>285</v>
      </c>
      <c r="E162" t="s">
        <v>628</v>
      </c>
      <c r="F162" t="s">
        <v>628</v>
      </c>
    </row>
    <row r="163" spans="1:6" x14ac:dyDescent="0.25">
      <c r="A163">
        <v>162</v>
      </c>
      <c r="B163" s="5" t="str">
        <f>TEXT(EXAMENES!F163, "aaaa-mm-dd") &amp; " " &amp; TEXT(EXAMENES!G163, "hh:mm:ss")</f>
        <v>martes-07-02 13:00:00</v>
      </c>
      <c r="C163">
        <f>EXAMENES!L163</f>
        <v>2</v>
      </c>
      <c r="D163">
        <f>EXAMENES!O163</f>
        <v>285</v>
      </c>
      <c r="E163" t="s">
        <v>628</v>
      </c>
      <c r="F163" t="s">
        <v>628</v>
      </c>
    </row>
    <row r="164" spans="1:6" x14ac:dyDescent="0.25">
      <c r="A164">
        <v>163</v>
      </c>
      <c r="B164" s="5" t="str">
        <f>TEXT(EXAMENES!F164, "aaaa-mm-dd") &amp; " " &amp; TEXT(EXAMENES!G164, "hh:mm:ss")</f>
        <v>martes-07-02 13:00:00</v>
      </c>
      <c r="C164">
        <f>EXAMENES!L164</f>
        <v>2</v>
      </c>
      <c r="D164">
        <f>EXAMENES!O164</f>
        <v>286</v>
      </c>
      <c r="E164" t="s">
        <v>628</v>
      </c>
      <c r="F164" t="s">
        <v>628</v>
      </c>
    </row>
    <row r="165" spans="1:6" x14ac:dyDescent="0.25">
      <c r="A165">
        <v>164</v>
      </c>
      <c r="B165" s="5" t="str">
        <f>TEXT(EXAMENES!F165, "aaaa-mm-dd") &amp; " " &amp; TEXT(EXAMENES!G165, "hh:mm:ss")</f>
        <v>martes-07-02 13:00:00</v>
      </c>
      <c r="C165">
        <f>EXAMENES!L165</f>
        <v>2</v>
      </c>
      <c r="D165">
        <f>EXAMENES!O165</f>
        <v>288</v>
      </c>
      <c r="E165" t="s">
        <v>628</v>
      </c>
      <c r="F165" t="s">
        <v>628</v>
      </c>
    </row>
    <row r="166" spans="1:6" x14ac:dyDescent="0.25">
      <c r="A166">
        <v>165</v>
      </c>
      <c r="B166" s="5" t="str">
        <f>TEXT(EXAMENES!F166, "aaaa-mm-dd") &amp; " " &amp; TEXT(EXAMENES!G166, "hh:mm:ss")</f>
        <v>martes-07-02 13:00:00</v>
      </c>
      <c r="C166">
        <f>EXAMENES!L166</f>
        <v>2</v>
      </c>
      <c r="D166">
        <f>EXAMENES!O166</f>
        <v>288</v>
      </c>
      <c r="E166" t="s">
        <v>628</v>
      </c>
      <c r="F166" t="s">
        <v>628</v>
      </c>
    </row>
    <row r="167" spans="1:6" x14ac:dyDescent="0.25">
      <c r="A167">
        <v>166</v>
      </c>
      <c r="B167" s="5" t="str">
        <f>TEXT(EXAMENES!F167, "aaaa-mm-dd") &amp; " " &amp; TEXT(EXAMENES!G167, "hh:mm:ss")</f>
        <v>martes-07-02 13:00:00</v>
      </c>
      <c r="C167">
        <f>EXAMENES!L167</f>
        <v>2</v>
      </c>
      <c r="D167">
        <f>EXAMENES!O167</f>
        <v>288</v>
      </c>
      <c r="E167" t="s">
        <v>628</v>
      </c>
      <c r="F167" t="s">
        <v>628</v>
      </c>
    </row>
    <row r="168" spans="1:6" x14ac:dyDescent="0.25">
      <c r="A168">
        <v>167</v>
      </c>
      <c r="B168" s="5" t="str">
        <f>TEXT(EXAMENES!F168, "aaaa-mm-dd") &amp; " " &amp; TEXT(EXAMENES!G168, "hh:mm:ss")</f>
        <v>martes-07-02 13:00:00</v>
      </c>
      <c r="C168">
        <f>EXAMENES!L168</f>
        <v>2</v>
      </c>
      <c r="D168">
        <f>EXAMENES!O168</f>
        <v>290</v>
      </c>
      <c r="E168" t="s">
        <v>628</v>
      </c>
      <c r="F168" t="s">
        <v>628</v>
      </c>
    </row>
    <row r="169" spans="1:6" x14ac:dyDescent="0.25">
      <c r="A169">
        <v>168</v>
      </c>
      <c r="B169" s="5" t="str">
        <f>TEXT(EXAMENES!F169, "aaaa-mm-dd") &amp; " " &amp; TEXT(EXAMENES!G169, "hh:mm:ss")</f>
        <v>martes-07-02 13:00:00</v>
      </c>
      <c r="C169">
        <f>EXAMENES!L169</f>
        <v>2</v>
      </c>
      <c r="D169">
        <f>EXAMENES!O169</f>
        <v>290</v>
      </c>
      <c r="E169" t="s">
        <v>628</v>
      </c>
      <c r="F169" t="s">
        <v>628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7CDE1-BDAD-4CF7-8D27-EE15E34BB593}">
  <dimension ref="A1:I169"/>
  <sheetViews>
    <sheetView workbookViewId="0">
      <selection activeCell="I169" sqref="A1:I169"/>
    </sheetView>
  </sheetViews>
  <sheetFormatPr baseColWidth="10" defaultRowHeight="15" x14ac:dyDescent="0.25"/>
  <cols>
    <col min="1" max="1" width="13.28515625" bestFit="1" customWidth="1"/>
    <col min="2" max="2" width="9.28515625" bestFit="1" customWidth="1"/>
    <col min="3" max="3" width="8.5703125" bestFit="1" customWidth="1"/>
    <col min="4" max="4" width="15.5703125" bestFit="1" customWidth="1"/>
    <col min="5" max="5" width="13.5703125" bestFit="1" customWidth="1"/>
    <col min="6" max="7" width="5.140625" bestFit="1" customWidth="1"/>
    <col min="8" max="9" width="18.140625" bestFit="1" customWidth="1"/>
  </cols>
  <sheetData>
    <row r="1" spans="1:9" x14ac:dyDescent="0.25">
      <c r="A1" t="s">
        <v>632</v>
      </c>
      <c r="B1" t="s">
        <v>61</v>
      </c>
      <c r="C1" t="s">
        <v>613</v>
      </c>
      <c r="D1" t="s">
        <v>611</v>
      </c>
      <c r="E1" t="s">
        <v>47</v>
      </c>
      <c r="F1" t="s">
        <v>633</v>
      </c>
      <c r="G1" t="s">
        <v>634</v>
      </c>
      <c r="H1" t="s">
        <v>2</v>
      </c>
      <c r="I1" t="s">
        <v>3</v>
      </c>
    </row>
    <row r="2" spans="1:9" x14ac:dyDescent="0.25">
      <c r="A2">
        <v>1</v>
      </c>
      <c r="B2">
        <f>VLOOKUP("A"&amp;EXAMENES!Q2&amp;"M"&amp;EXAMENES!O2&amp;"C"&amp;EXAMENES!R2,'TABLA PREVIOS'!A:C,3,FALSE)</f>
        <v>61</v>
      </c>
      <c r="C2">
        <f>EXAMENES!L2</f>
        <v>1</v>
      </c>
      <c r="D2">
        <f>VLOOKUP("T"&amp;EXAMENES!L2&amp;"M"&amp;EXAMENES!O2,'TABLA FECHASEXAMEN'!J:K,2,FALSE)</f>
        <v>1</v>
      </c>
      <c r="E2">
        <f>EXAMENES!P2</f>
        <v>2</v>
      </c>
      <c r="F2">
        <f>EXAMENES!J2</f>
        <v>68</v>
      </c>
      <c r="G2">
        <f>EXAMENES!K2</f>
        <v>19</v>
      </c>
      <c r="H2" t="str">
        <f>VLOOKUP(D2,'TABLA FECHASEXAMEN'!K:L,2,FALSE)</f>
        <v>2024-04-17 08:00:00</v>
      </c>
      <c r="I2" t="str">
        <f>VLOOKUP(D2,'TABLA FECHASEXAMEN'!K:L,2,FALSE)</f>
        <v>2024-04-17 08:00:00</v>
      </c>
    </row>
    <row r="3" spans="1:9" x14ac:dyDescent="0.25">
      <c r="A3">
        <v>2</v>
      </c>
      <c r="B3">
        <f>VLOOKUP("A"&amp;EXAMENES!Q3&amp;"M"&amp;EXAMENES!O3&amp;"C"&amp;EXAMENES!R3,'TABLA PREVIOS'!A:C,3,FALSE)</f>
        <v>127</v>
      </c>
      <c r="C3">
        <f>EXAMENES!L3</f>
        <v>1</v>
      </c>
      <c r="D3">
        <f>VLOOKUP("T"&amp;EXAMENES!L3&amp;"M"&amp;EXAMENES!O3,'TABLA FECHASEXAMEN'!J:K,2,FALSE)</f>
        <v>1</v>
      </c>
      <c r="E3">
        <f>EXAMENES!P3</f>
        <v>2</v>
      </c>
      <c r="F3">
        <f>EXAMENES!J3</f>
        <v>68</v>
      </c>
      <c r="G3">
        <f>EXAMENES!K3</f>
        <v>19</v>
      </c>
      <c r="H3" t="str">
        <f>VLOOKUP(D3,'TABLA FECHASEXAMEN'!K:L,2,FALSE)</f>
        <v>2024-04-17 08:00:00</v>
      </c>
      <c r="I3" t="str">
        <f>VLOOKUP(D3,'TABLA FECHASEXAMEN'!K:L,2,FALSE)</f>
        <v>2024-04-17 08:00:00</v>
      </c>
    </row>
    <row r="4" spans="1:9" x14ac:dyDescent="0.25">
      <c r="A4">
        <v>3</v>
      </c>
      <c r="B4">
        <f>VLOOKUP("A"&amp;EXAMENES!Q4&amp;"M"&amp;EXAMENES!O4&amp;"C"&amp;EXAMENES!R4,'TABLA PREVIOS'!A:C,3,FALSE)</f>
        <v>117</v>
      </c>
      <c r="C4">
        <f>EXAMENES!L4</f>
        <v>1</v>
      </c>
      <c r="D4">
        <f>VLOOKUP("T"&amp;EXAMENES!L4&amp;"M"&amp;EXAMENES!O4,'TABLA FECHASEXAMEN'!J:K,2,FALSE)</f>
        <v>2</v>
      </c>
      <c r="E4">
        <f>EXAMENES!P4</f>
        <v>2</v>
      </c>
      <c r="F4">
        <f>EXAMENES!J4</f>
        <v>68</v>
      </c>
      <c r="G4">
        <f>EXAMENES!K4</f>
        <v>20</v>
      </c>
      <c r="H4" t="str">
        <f>VLOOKUP(D4,'TABLA FECHASEXAMEN'!K:L,2,FALSE)</f>
        <v>2024-04-17 08:00:00</v>
      </c>
      <c r="I4" t="str">
        <f>VLOOKUP(D4,'TABLA FECHASEXAMEN'!K:L,2,FALSE)</f>
        <v>2024-04-17 08:00:00</v>
      </c>
    </row>
    <row r="5" spans="1:9" x14ac:dyDescent="0.25">
      <c r="A5">
        <v>4</v>
      </c>
      <c r="B5">
        <f>VLOOKUP("A"&amp;EXAMENES!Q5&amp;"M"&amp;EXAMENES!O5&amp;"C"&amp;EXAMENES!R5,'TABLA PREVIOS'!A:C,3,FALSE)</f>
        <v>91</v>
      </c>
      <c r="C5">
        <f>EXAMENES!L5</f>
        <v>1</v>
      </c>
      <c r="D5">
        <f>VLOOKUP("T"&amp;EXAMENES!L5&amp;"M"&amp;EXAMENES!O5,'TABLA FECHASEXAMEN'!J:K,2,FALSE)</f>
        <v>2</v>
      </c>
      <c r="E5">
        <f>EXAMENES!P5</f>
        <v>2</v>
      </c>
      <c r="F5">
        <f>EXAMENES!J5</f>
        <v>68</v>
      </c>
      <c r="G5">
        <f>EXAMENES!K5</f>
        <v>20</v>
      </c>
      <c r="H5" t="str">
        <f>VLOOKUP(D5,'TABLA FECHASEXAMEN'!K:L,2,FALSE)</f>
        <v>2024-04-17 08:00:00</v>
      </c>
      <c r="I5" t="str">
        <f>VLOOKUP(D5,'TABLA FECHASEXAMEN'!K:L,2,FALSE)</f>
        <v>2024-04-17 08:00:00</v>
      </c>
    </row>
    <row r="6" spans="1:9" x14ac:dyDescent="0.25">
      <c r="A6">
        <v>5</v>
      </c>
      <c r="B6">
        <f>VLOOKUP("A"&amp;EXAMENES!Q6&amp;"M"&amp;EXAMENES!O6&amp;"C"&amp;EXAMENES!R6,'TABLA PREVIOS'!A:C,3,FALSE)</f>
        <v>291</v>
      </c>
      <c r="C6">
        <f>EXAMENES!L6</f>
        <v>1</v>
      </c>
      <c r="D6">
        <f>VLOOKUP("T"&amp;EXAMENES!L6&amp;"M"&amp;EXAMENES!O6,'TABLA FECHASEXAMEN'!J:K,2,FALSE)</f>
        <v>3</v>
      </c>
      <c r="E6">
        <f>EXAMENES!P6</f>
        <v>5</v>
      </c>
      <c r="F6">
        <f>EXAMENES!J6</f>
        <v>68</v>
      </c>
      <c r="G6">
        <f>EXAMENES!K6</f>
        <v>21</v>
      </c>
      <c r="H6" t="str">
        <f>VLOOKUP(D6,'TABLA FECHASEXAMEN'!K:L,2,FALSE)</f>
        <v>2024-04-18 08:00:00</v>
      </c>
      <c r="I6" t="str">
        <f>VLOOKUP(D6,'TABLA FECHASEXAMEN'!K:L,2,FALSE)</f>
        <v>2024-04-18 08:00:00</v>
      </c>
    </row>
    <row r="7" spans="1:9" x14ac:dyDescent="0.25">
      <c r="A7">
        <v>6</v>
      </c>
      <c r="B7">
        <f>VLOOKUP("A"&amp;EXAMENES!Q7&amp;"M"&amp;EXAMENES!O7&amp;"C"&amp;EXAMENES!R7,'TABLA PREVIOS'!A:C,3,FALSE)</f>
        <v>1039</v>
      </c>
      <c r="C7">
        <f>EXAMENES!L7</f>
        <v>1</v>
      </c>
      <c r="D7">
        <f>VLOOKUP("T"&amp;EXAMENES!L7&amp;"M"&amp;EXAMENES!O7,'TABLA FECHASEXAMEN'!J:K,2,FALSE)</f>
        <v>4</v>
      </c>
      <c r="E7">
        <f>EXAMENES!P7</f>
        <v>9</v>
      </c>
      <c r="F7">
        <f>EXAMENES!J7</f>
        <v>68</v>
      </c>
      <c r="G7">
        <f>EXAMENES!K7</f>
        <v>22</v>
      </c>
      <c r="H7" t="str">
        <f>VLOOKUP(D7,'TABLA FECHASEXAMEN'!K:L,2,FALSE)</f>
        <v>2024-04-18 08:00:00</v>
      </c>
      <c r="I7" t="str">
        <f>VLOOKUP(D7,'TABLA FECHASEXAMEN'!K:L,2,FALSE)</f>
        <v>2024-04-18 08:00:00</v>
      </c>
    </row>
    <row r="8" spans="1:9" x14ac:dyDescent="0.25">
      <c r="A8">
        <v>7</v>
      </c>
      <c r="B8">
        <f>VLOOKUP("A"&amp;EXAMENES!Q8&amp;"M"&amp;EXAMENES!O8&amp;"C"&amp;EXAMENES!R8,'TABLA PREVIOS'!A:C,3,FALSE)</f>
        <v>58</v>
      </c>
      <c r="C8">
        <f>EXAMENES!L8</f>
        <v>1</v>
      </c>
      <c r="D8">
        <f>VLOOKUP("T"&amp;EXAMENES!L8&amp;"M"&amp;EXAMENES!O8,'TABLA FECHASEXAMEN'!J:K,2,FALSE)</f>
        <v>5</v>
      </c>
      <c r="E8">
        <f>EXAMENES!P8</f>
        <v>2</v>
      </c>
      <c r="F8">
        <f>EXAMENES!J8</f>
        <v>68</v>
      </c>
      <c r="G8">
        <f>EXAMENES!K8</f>
        <v>24</v>
      </c>
      <c r="H8" t="str">
        <f>VLOOKUP(D8,'TABLA FECHASEXAMEN'!K:L,2,FALSE)</f>
        <v>2024-04-19 08:00:00</v>
      </c>
      <c r="I8" t="str">
        <f>VLOOKUP(D8,'TABLA FECHASEXAMEN'!K:L,2,FALSE)</f>
        <v>2024-04-19 08:00:00</v>
      </c>
    </row>
    <row r="9" spans="1:9" x14ac:dyDescent="0.25">
      <c r="A9">
        <v>8</v>
      </c>
      <c r="B9">
        <f>VLOOKUP("A"&amp;EXAMENES!Q9&amp;"M"&amp;EXAMENES!O9&amp;"C"&amp;EXAMENES!R9,'TABLA PREVIOS'!A:C,3,FALSE)</f>
        <v>60</v>
      </c>
      <c r="C9">
        <f>EXAMENES!L9</f>
        <v>1</v>
      </c>
      <c r="D9">
        <f>VLOOKUP("T"&amp;EXAMENES!L9&amp;"M"&amp;EXAMENES!O9,'TABLA FECHASEXAMEN'!J:K,2,FALSE)</f>
        <v>5</v>
      </c>
      <c r="E9">
        <f>EXAMENES!P9</f>
        <v>2</v>
      </c>
      <c r="F9">
        <f>EXAMENES!J9</f>
        <v>68</v>
      </c>
      <c r="G9">
        <f>EXAMENES!K9</f>
        <v>24</v>
      </c>
      <c r="H9" t="str">
        <f>VLOOKUP(D9,'TABLA FECHASEXAMEN'!K:L,2,FALSE)</f>
        <v>2024-04-19 08:00:00</v>
      </c>
      <c r="I9" t="str">
        <f>VLOOKUP(D9,'TABLA FECHASEXAMEN'!K:L,2,FALSE)</f>
        <v>2024-04-19 08:00:00</v>
      </c>
    </row>
    <row r="10" spans="1:9" x14ac:dyDescent="0.25">
      <c r="A10">
        <v>9</v>
      </c>
      <c r="B10">
        <f>VLOOKUP("A"&amp;EXAMENES!Q10&amp;"M"&amp;EXAMENES!O10&amp;"C"&amp;EXAMENES!R10,'TABLA PREVIOS'!A:C,3,FALSE)</f>
        <v>41</v>
      </c>
      <c r="C10">
        <f>EXAMENES!L10</f>
        <v>1</v>
      </c>
      <c r="D10">
        <f>VLOOKUP("T"&amp;EXAMENES!L10&amp;"M"&amp;EXAMENES!O10,'TABLA FECHASEXAMEN'!J:K,2,FALSE)</f>
        <v>5</v>
      </c>
      <c r="E10">
        <f>EXAMENES!P10</f>
        <v>2</v>
      </c>
      <c r="F10">
        <f>EXAMENES!J10</f>
        <v>68</v>
      </c>
      <c r="G10">
        <f>EXAMENES!K10</f>
        <v>24</v>
      </c>
      <c r="H10" t="str">
        <f>VLOOKUP(D10,'TABLA FECHASEXAMEN'!K:L,2,FALSE)</f>
        <v>2024-04-19 08:00:00</v>
      </c>
      <c r="I10" t="str">
        <f>VLOOKUP(D10,'TABLA FECHASEXAMEN'!K:L,2,FALSE)</f>
        <v>2024-04-19 08:00:00</v>
      </c>
    </row>
    <row r="11" spans="1:9" x14ac:dyDescent="0.25">
      <c r="A11">
        <v>10</v>
      </c>
      <c r="B11">
        <f>VLOOKUP("A"&amp;EXAMENES!Q11&amp;"M"&amp;EXAMENES!O11&amp;"C"&amp;EXAMENES!R11,'TABLA PREVIOS'!A:C,3,FALSE)</f>
        <v>212</v>
      </c>
      <c r="C11">
        <f>EXAMENES!L11</f>
        <v>1</v>
      </c>
      <c r="D11">
        <f>VLOOKUP("T"&amp;EXAMENES!L11&amp;"M"&amp;EXAMENES!O11,'TABLA FECHASEXAMEN'!J:K,2,FALSE)</f>
        <v>6</v>
      </c>
      <c r="E11">
        <f>EXAMENES!P11</f>
        <v>2</v>
      </c>
      <c r="F11">
        <f>EXAMENES!J11</f>
        <v>68</v>
      </c>
      <c r="G11">
        <f>EXAMENES!K11</f>
        <v>25</v>
      </c>
      <c r="H11" t="str">
        <f>VLOOKUP(D11,'TABLA FECHASEXAMEN'!K:L,2,FALSE)</f>
        <v>2024-04-19 08:00:00</v>
      </c>
      <c r="I11" t="str">
        <f>VLOOKUP(D11,'TABLA FECHASEXAMEN'!K:L,2,FALSE)</f>
        <v>2024-04-19 08:00:00</v>
      </c>
    </row>
    <row r="12" spans="1:9" x14ac:dyDescent="0.25">
      <c r="A12">
        <v>11</v>
      </c>
      <c r="B12">
        <f>VLOOKUP("A"&amp;EXAMENES!Q12&amp;"M"&amp;EXAMENES!O12&amp;"C"&amp;EXAMENES!R12,'TABLA PREVIOS'!A:C,3,FALSE)</f>
        <v>1112</v>
      </c>
      <c r="C12">
        <f>EXAMENES!L12</f>
        <v>1</v>
      </c>
      <c r="D12">
        <f>VLOOKUP("T"&amp;EXAMENES!L12&amp;"M"&amp;EXAMENES!O12,'TABLA FECHASEXAMEN'!J:K,2,FALSE)</f>
        <v>7</v>
      </c>
      <c r="E12">
        <f>EXAMENES!P12</f>
        <v>2</v>
      </c>
      <c r="F12">
        <f>EXAMENES!J12</f>
        <v>68</v>
      </c>
      <c r="G12">
        <f>EXAMENES!K12</f>
        <v>23</v>
      </c>
      <c r="H12" t="str">
        <f>VLOOKUP(D12,'TABLA FECHASEXAMEN'!K:L,2,FALSE)</f>
        <v>2024-04-19 08:00:00</v>
      </c>
      <c r="I12" t="str">
        <f>VLOOKUP(D12,'TABLA FECHASEXAMEN'!K:L,2,FALSE)</f>
        <v>2024-04-19 08:00:00</v>
      </c>
    </row>
    <row r="13" spans="1:9" x14ac:dyDescent="0.25">
      <c r="A13">
        <v>12</v>
      </c>
      <c r="B13">
        <f>VLOOKUP("A"&amp;EXAMENES!Q13&amp;"M"&amp;EXAMENES!O13&amp;"C"&amp;EXAMENES!R13,'TABLA PREVIOS'!A:C,3,FALSE)</f>
        <v>1339</v>
      </c>
      <c r="C13">
        <f>EXAMENES!L13</f>
        <v>1</v>
      </c>
      <c r="D13">
        <f>VLOOKUP("T"&amp;EXAMENES!L13&amp;"M"&amp;EXAMENES!O13,'TABLA FECHASEXAMEN'!J:K,2,FALSE)</f>
        <v>8</v>
      </c>
      <c r="E13">
        <f>EXAMENES!P13</f>
        <v>9</v>
      </c>
      <c r="F13">
        <f>EXAMENES!J13</f>
        <v>68</v>
      </c>
      <c r="G13">
        <f>EXAMENES!K13</f>
        <v>23</v>
      </c>
      <c r="H13" t="str">
        <f>VLOOKUP(D13,'TABLA FECHASEXAMEN'!K:L,2,FALSE)</f>
        <v>2024-04-19 08:00:00</v>
      </c>
      <c r="I13" t="str">
        <f>VLOOKUP(D13,'TABLA FECHASEXAMEN'!K:L,2,FALSE)</f>
        <v>2024-04-19 08:00:00</v>
      </c>
    </row>
    <row r="14" spans="1:9" x14ac:dyDescent="0.25">
      <c r="A14">
        <v>13</v>
      </c>
      <c r="B14">
        <f>VLOOKUP("A"&amp;EXAMENES!Q14&amp;"M"&amp;EXAMENES!O14&amp;"C"&amp;EXAMENES!R14,'TABLA PREVIOS'!A:C,3,FALSE)</f>
        <v>1115</v>
      </c>
      <c r="C14">
        <f>EXAMENES!L14</f>
        <v>1</v>
      </c>
      <c r="D14">
        <f>VLOOKUP("T"&amp;EXAMENES!L14&amp;"M"&amp;EXAMENES!O14,'TABLA FECHASEXAMEN'!J:K,2,FALSE)</f>
        <v>7</v>
      </c>
      <c r="E14">
        <f>EXAMENES!P14</f>
        <v>6</v>
      </c>
      <c r="F14">
        <f>EXAMENES!J14</f>
        <v>68</v>
      </c>
      <c r="G14">
        <f>EXAMENES!K14</f>
        <v>23</v>
      </c>
      <c r="H14" t="str">
        <f>VLOOKUP(D14,'TABLA FECHASEXAMEN'!K:L,2,FALSE)</f>
        <v>2024-04-19 08:00:00</v>
      </c>
      <c r="I14" t="str">
        <f>VLOOKUP(D14,'TABLA FECHASEXAMEN'!K:L,2,FALSE)</f>
        <v>2024-04-19 08:00:00</v>
      </c>
    </row>
    <row r="15" spans="1:9" x14ac:dyDescent="0.25">
      <c r="A15">
        <v>14</v>
      </c>
      <c r="B15">
        <f>VLOOKUP("A"&amp;EXAMENES!Q15&amp;"M"&amp;EXAMENES!O15&amp;"C"&amp;EXAMENES!R15,'TABLA PREVIOS'!A:C,3,FALSE)</f>
        <v>1119</v>
      </c>
      <c r="C15">
        <f>EXAMENES!L15</f>
        <v>1</v>
      </c>
      <c r="D15">
        <f>VLOOKUP("T"&amp;EXAMENES!L15&amp;"M"&amp;EXAMENES!O15,'TABLA FECHASEXAMEN'!J:K,2,FALSE)</f>
        <v>7</v>
      </c>
      <c r="E15">
        <f>EXAMENES!P15</f>
        <v>2</v>
      </c>
      <c r="F15">
        <f>EXAMENES!J15</f>
        <v>68</v>
      </c>
      <c r="G15">
        <f>EXAMENES!K15</f>
        <v>23</v>
      </c>
      <c r="H15" t="str">
        <f>VLOOKUP(D15,'TABLA FECHASEXAMEN'!K:L,2,FALSE)</f>
        <v>2024-04-19 08:00:00</v>
      </c>
      <c r="I15" t="str">
        <f>VLOOKUP(D15,'TABLA FECHASEXAMEN'!K:L,2,FALSE)</f>
        <v>2024-04-19 08:00:00</v>
      </c>
    </row>
    <row r="16" spans="1:9" x14ac:dyDescent="0.25">
      <c r="A16">
        <v>15</v>
      </c>
      <c r="B16">
        <f>VLOOKUP("A"&amp;EXAMENES!Q16&amp;"M"&amp;EXAMENES!O16&amp;"C"&amp;EXAMENES!R16,'TABLA PREVIOS'!A:C,3,FALSE)</f>
        <v>43</v>
      </c>
      <c r="C16">
        <f>EXAMENES!L16</f>
        <v>1</v>
      </c>
      <c r="D16">
        <f>VLOOKUP("T"&amp;EXAMENES!L16&amp;"M"&amp;EXAMENES!O16,'TABLA FECHASEXAMEN'!J:K,2,FALSE)</f>
        <v>9</v>
      </c>
      <c r="E16">
        <f>EXAMENES!P16</f>
        <v>2</v>
      </c>
      <c r="F16">
        <f>EXAMENES!J16</f>
        <v>68</v>
      </c>
      <c r="G16">
        <f>EXAMENES!K16</f>
        <v>26</v>
      </c>
      <c r="H16" t="str">
        <f>VLOOKUP(D16,'TABLA FECHASEXAMEN'!K:L,2,FALSE)</f>
        <v>2024-04-22 13:00:00</v>
      </c>
      <c r="I16" t="str">
        <f>VLOOKUP(D16,'TABLA FECHASEXAMEN'!K:L,2,FALSE)</f>
        <v>2024-04-22 13:00:00</v>
      </c>
    </row>
    <row r="17" spans="1:9" x14ac:dyDescent="0.25">
      <c r="A17">
        <v>16</v>
      </c>
      <c r="B17">
        <f>VLOOKUP("A"&amp;EXAMENES!Q17&amp;"M"&amp;EXAMENES!O17&amp;"C"&amp;EXAMENES!R17,'TABLA PREVIOS'!A:C,3,FALSE)</f>
        <v>29</v>
      </c>
      <c r="C17">
        <f>EXAMENES!L17</f>
        <v>1</v>
      </c>
      <c r="D17">
        <f>VLOOKUP("T"&amp;EXAMENES!L17&amp;"M"&amp;EXAMENES!O17,'TABLA FECHASEXAMEN'!J:K,2,FALSE)</f>
        <v>9</v>
      </c>
      <c r="E17">
        <f>EXAMENES!P17</f>
        <v>2</v>
      </c>
      <c r="F17">
        <f>EXAMENES!J17</f>
        <v>68</v>
      </c>
      <c r="G17">
        <f>EXAMENES!K17</f>
        <v>26</v>
      </c>
      <c r="H17" t="str">
        <f>VLOOKUP(D17,'TABLA FECHASEXAMEN'!K:L,2,FALSE)</f>
        <v>2024-04-22 13:00:00</v>
      </c>
      <c r="I17" t="str">
        <f>VLOOKUP(D17,'TABLA FECHASEXAMEN'!K:L,2,FALSE)</f>
        <v>2024-04-22 13:00:00</v>
      </c>
    </row>
    <row r="18" spans="1:9" x14ac:dyDescent="0.25">
      <c r="A18">
        <v>17</v>
      </c>
      <c r="B18">
        <f>VLOOKUP("A"&amp;EXAMENES!Q18&amp;"M"&amp;EXAMENES!O18&amp;"C"&amp;EXAMENES!R18,'TABLA PREVIOS'!A:C,3,FALSE)</f>
        <v>80</v>
      </c>
      <c r="C18">
        <f>EXAMENES!L18</f>
        <v>1</v>
      </c>
      <c r="D18">
        <f>VLOOKUP("T"&amp;EXAMENES!L18&amp;"M"&amp;EXAMENES!O18,'TABLA FECHASEXAMEN'!J:K,2,FALSE)</f>
        <v>10</v>
      </c>
      <c r="E18">
        <f>EXAMENES!P18</f>
        <v>2</v>
      </c>
      <c r="F18">
        <f>EXAMENES!J18</f>
        <v>68</v>
      </c>
      <c r="G18">
        <f>EXAMENES!K18</f>
        <v>42</v>
      </c>
      <c r="H18" t="str">
        <f>VLOOKUP(D18,'TABLA FECHASEXAMEN'!K:L,2,FALSE)</f>
        <v>2024-04-29 13:00:00</v>
      </c>
      <c r="I18" t="str">
        <f>VLOOKUP(D18,'TABLA FECHASEXAMEN'!K:L,2,FALSE)</f>
        <v>2024-04-29 13:00:00</v>
      </c>
    </row>
    <row r="19" spans="1:9" x14ac:dyDescent="0.25">
      <c r="A19">
        <v>18</v>
      </c>
      <c r="B19">
        <f>VLOOKUP("A"&amp;EXAMENES!Q19&amp;"M"&amp;EXAMENES!O19&amp;"C"&amp;EXAMENES!R19,'TABLA PREVIOS'!A:C,3,FALSE)</f>
        <v>96</v>
      </c>
      <c r="C19">
        <f>EXAMENES!L19</f>
        <v>1</v>
      </c>
      <c r="D19">
        <f>VLOOKUP("T"&amp;EXAMENES!L19&amp;"M"&amp;EXAMENES!O19,'TABLA FECHASEXAMEN'!J:K,2,FALSE)</f>
        <v>11</v>
      </c>
      <c r="E19">
        <f>EXAMENES!P19</f>
        <v>2</v>
      </c>
      <c r="F19">
        <f>EXAMENES!J19</f>
        <v>68</v>
      </c>
      <c r="G19">
        <f>EXAMENES!K19</f>
        <v>28</v>
      </c>
      <c r="H19" t="str">
        <f>VLOOKUP(D19,'TABLA FECHASEXAMEN'!K:L,2,FALSE)</f>
        <v>2024-04-22 13:00:00</v>
      </c>
      <c r="I19" t="str">
        <f>VLOOKUP(D19,'TABLA FECHASEXAMEN'!K:L,2,FALSE)</f>
        <v>2024-04-22 13:00:00</v>
      </c>
    </row>
    <row r="20" spans="1:9" x14ac:dyDescent="0.25">
      <c r="A20">
        <v>19</v>
      </c>
      <c r="B20">
        <f>VLOOKUP("A"&amp;EXAMENES!Q20&amp;"M"&amp;EXAMENES!O20&amp;"C"&amp;EXAMENES!R20,'TABLA PREVIOS'!A:C,3,FALSE)</f>
        <v>203</v>
      </c>
      <c r="C20">
        <f>EXAMENES!L20</f>
        <v>1</v>
      </c>
      <c r="D20">
        <f>VLOOKUP("T"&amp;EXAMENES!L20&amp;"M"&amp;EXAMENES!O20,'TABLA FECHASEXAMEN'!J:K,2,FALSE)</f>
        <v>12</v>
      </c>
      <c r="E20">
        <f>EXAMENES!P20</f>
        <v>9</v>
      </c>
      <c r="F20">
        <f>EXAMENES!J20</f>
        <v>68</v>
      </c>
      <c r="G20">
        <f>EXAMENES!K20</f>
        <v>27</v>
      </c>
      <c r="H20" t="str">
        <f>VLOOKUP(D20,'TABLA FECHASEXAMEN'!K:L,2,FALSE)</f>
        <v>2024-04-22 13:00:00</v>
      </c>
      <c r="I20" t="str">
        <f>VLOOKUP(D20,'TABLA FECHASEXAMEN'!K:L,2,FALSE)</f>
        <v>2024-04-22 13:00:00</v>
      </c>
    </row>
    <row r="21" spans="1:9" x14ac:dyDescent="0.25">
      <c r="A21">
        <v>20</v>
      </c>
      <c r="B21">
        <f>VLOOKUP("A"&amp;EXAMENES!Q21&amp;"M"&amp;EXAMENES!O21&amp;"C"&amp;EXAMENES!R21,'TABLA PREVIOS'!A:C,3,FALSE)</f>
        <v>318</v>
      </c>
      <c r="C21">
        <f>EXAMENES!L21</f>
        <v>1</v>
      </c>
      <c r="D21">
        <f>VLOOKUP("T"&amp;EXAMENES!L21&amp;"M"&amp;EXAMENES!O21,'TABLA FECHASEXAMEN'!J:K,2,FALSE)</f>
        <v>13</v>
      </c>
      <c r="E21">
        <f>EXAMENES!P21</f>
        <v>9</v>
      </c>
      <c r="F21">
        <f>EXAMENES!J21</f>
        <v>68</v>
      </c>
      <c r="G21">
        <f>EXAMENES!K21</f>
        <v>43</v>
      </c>
      <c r="H21" t="str">
        <f>VLOOKUP(D21,'TABLA FECHASEXAMEN'!K:L,2,FALSE)</f>
        <v>2024-04-29 13:00:00</v>
      </c>
      <c r="I21" t="str">
        <f>VLOOKUP(D21,'TABLA FECHASEXAMEN'!K:L,2,FALSE)</f>
        <v>2024-04-29 13:00:00</v>
      </c>
    </row>
    <row r="22" spans="1:9" x14ac:dyDescent="0.25">
      <c r="A22">
        <v>21</v>
      </c>
      <c r="B22">
        <f>VLOOKUP("A"&amp;EXAMENES!Q22&amp;"M"&amp;EXAMENES!O22&amp;"C"&amp;EXAMENES!R22,'TABLA PREVIOS'!A:C,3,FALSE)</f>
        <v>193</v>
      </c>
      <c r="C22">
        <f>EXAMENES!L22</f>
        <v>1</v>
      </c>
      <c r="D22">
        <f>VLOOKUP("T"&amp;EXAMENES!L22&amp;"M"&amp;EXAMENES!O22,'TABLA FECHASEXAMEN'!J:K,2,FALSE)</f>
        <v>13</v>
      </c>
      <c r="E22">
        <f>EXAMENES!P22</f>
        <v>6</v>
      </c>
      <c r="F22">
        <f>EXAMENES!J22</f>
        <v>68</v>
      </c>
      <c r="G22">
        <f>EXAMENES!K22</f>
        <v>43</v>
      </c>
      <c r="H22" t="str">
        <f>VLOOKUP(D22,'TABLA FECHASEXAMEN'!K:L,2,FALSE)</f>
        <v>2024-04-29 13:00:00</v>
      </c>
      <c r="I22" t="str">
        <f>VLOOKUP(D22,'TABLA FECHASEXAMEN'!K:L,2,FALSE)</f>
        <v>2024-04-29 13:00:00</v>
      </c>
    </row>
    <row r="23" spans="1:9" x14ac:dyDescent="0.25">
      <c r="A23">
        <v>22</v>
      </c>
      <c r="B23">
        <f>VLOOKUP("A"&amp;EXAMENES!Q23&amp;"M"&amp;EXAMENES!O23&amp;"C"&amp;EXAMENES!R23,'TABLA PREVIOS'!A:C,3,FALSE)</f>
        <v>14</v>
      </c>
      <c r="C23">
        <f>EXAMENES!L23</f>
        <v>1</v>
      </c>
      <c r="D23">
        <f>VLOOKUP("T"&amp;EXAMENES!L23&amp;"M"&amp;EXAMENES!O23,'TABLA FECHASEXAMEN'!J:K,2,FALSE)</f>
        <v>14</v>
      </c>
      <c r="E23">
        <f>EXAMENES!P23</f>
        <v>2</v>
      </c>
      <c r="F23">
        <f>EXAMENES!J23</f>
        <v>68</v>
      </c>
      <c r="G23">
        <f>EXAMENES!K23</f>
        <v>29</v>
      </c>
      <c r="H23" t="str">
        <f>VLOOKUP(D23,'TABLA FECHASEXAMEN'!K:L,2,FALSE)</f>
        <v>2024-04-23 08:00:00</v>
      </c>
      <c r="I23" t="str">
        <f>VLOOKUP(D23,'TABLA FECHASEXAMEN'!K:L,2,FALSE)</f>
        <v>2024-04-23 08:00:00</v>
      </c>
    </row>
    <row r="24" spans="1:9" x14ac:dyDescent="0.25">
      <c r="A24">
        <v>23</v>
      </c>
      <c r="B24">
        <f>VLOOKUP("A"&amp;EXAMENES!Q24&amp;"M"&amp;EXAMENES!O24&amp;"C"&amp;EXAMENES!R24,'TABLA PREVIOS'!A:C,3,FALSE)</f>
        <v>2</v>
      </c>
      <c r="C24">
        <f>EXAMENES!L24</f>
        <v>1</v>
      </c>
      <c r="D24">
        <f>VLOOKUP("T"&amp;EXAMENES!L24&amp;"M"&amp;EXAMENES!O24,'TABLA FECHASEXAMEN'!J:K,2,FALSE)</f>
        <v>14</v>
      </c>
      <c r="E24">
        <f>EXAMENES!P24</f>
        <v>4</v>
      </c>
      <c r="F24">
        <f>EXAMENES!J24</f>
        <v>68</v>
      </c>
      <c r="G24">
        <f>EXAMENES!K24</f>
        <v>29</v>
      </c>
      <c r="H24" t="str">
        <f>VLOOKUP(D24,'TABLA FECHASEXAMEN'!K:L,2,FALSE)</f>
        <v>2024-04-23 08:00:00</v>
      </c>
      <c r="I24" t="str">
        <f>VLOOKUP(D24,'TABLA FECHASEXAMEN'!K:L,2,FALSE)</f>
        <v>2024-04-23 08:00:00</v>
      </c>
    </row>
    <row r="25" spans="1:9" x14ac:dyDescent="0.25">
      <c r="A25">
        <v>24</v>
      </c>
      <c r="B25">
        <f>VLOOKUP("A"&amp;EXAMENES!Q25&amp;"M"&amp;EXAMENES!O25&amp;"C"&amp;EXAMENES!R25,'TABLA PREVIOS'!A:C,3,FALSE)</f>
        <v>23</v>
      </c>
      <c r="C25">
        <f>EXAMENES!L25</f>
        <v>1</v>
      </c>
      <c r="D25">
        <f>VLOOKUP("T"&amp;EXAMENES!L25&amp;"M"&amp;EXAMENES!O25,'TABLA FECHASEXAMEN'!J:K,2,FALSE)</f>
        <v>14</v>
      </c>
      <c r="E25">
        <f>EXAMENES!P25</f>
        <v>2</v>
      </c>
      <c r="F25">
        <f>EXAMENES!J25</f>
        <v>68</v>
      </c>
      <c r="G25">
        <f>EXAMENES!K25</f>
        <v>29</v>
      </c>
      <c r="H25" t="str">
        <f>VLOOKUP(D25,'TABLA FECHASEXAMEN'!K:L,2,FALSE)</f>
        <v>2024-04-23 08:00:00</v>
      </c>
      <c r="I25" t="str">
        <f>VLOOKUP(D25,'TABLA FECHASEXAMEN'!K:L,2,FALSE)</f>
        <v>2024-04-23 08:00:00</v>
      </c>
    </row>
    <row r="26" spans="1:9" x14ac:dyDescent="0.25">
      <c r="A26">
        <v>25</v>
      </c>
      <c r="B26">
        <f>VLOOKUP("A"&amp;EXAMENES!Q26&amp;"M"&amp;EXAMENES!O26&amp;"C"&amp;EXAMENES!R26,'TABLA PREVIOS'!A:C,3,FALSE)</f>
        <v>108</v>
      </c>
      <c r="C26">
        <f>EXAMENES!L26</f>
        <v>1</v>
      </c>
      <c r="D26">
        <f>VLOOKUP("T"&amp;EXAMENES!L26&amp;"M"&amp;EXAMENES!O26,'TABLA FECHASEXAMEN'!J:K,2,FALSE)</f>
        <v>14</v>
      </c>
      <c r="E26">
        <f>EXAMENES!P26</f>
        <v>2</v>
      </c>
      <c r="F26">
        <f>EXAMENES!J26</f>
        <v>68</v>
      </c>
      <c r="G26">
        <f>EXAMENES!K26</f>
        <v>29</v>
      </c>
      <c r="H26" t="str">
        <f>VLOOKUP(D26,'TABLA FECHASEXAMEN'!K:L,2,FALSE)</f>
        <v>2024-04-23 08:00:00</v>
      </c>
      <c r="I26" t="str">
        <f>VLOOKUP(D26,'TABLA FECHASEXAMEN'!K:L,2,FALSE)</f>
        <v>2024-04-23 08:00:00</v>
      </c>
    </row>
    <row r="27" spans="1:9" x14ac:dyDescent="0.25">
      <c r="A27">
        <v>26</v>
      </c>
      <c r="B27">
        <f>VLOOKUP("A"&amp;EXAMENES!Q27&amp;"M"&amp;EXAMENES!O27&amp;"C"&amp;EXAMENES!R27,'TABLA PREVIOS'!A:C,3,FALSE)</f>
        <v>9</v>
      </c>
      <c r="C27">
        <f>EXAMENES!L27</f>
        <v>1</v>
      </c>
      <c r="D27">
        <f>VLOOKUP("T"&amp;EXAMENES!L27&amp;"M"&amp;EXAMENES!O27,'TABLA FECHASEXAMEN'!J:K,2,FALSE)</f>
        <v>14</v>
      </c>
      <c r="E27">
        <f>EXAMENES!P27</f>
        <v>9</v>
      </c>
      <c r="F27">
        <f>EXAMENES!J27</f>
        <v>68</v>
      </c>
      <c r="G27">
        <f>EXAMENES!K27</f>
        <v>29</v>
      </c>
      <c r="H27" t="str">
        <f>VLOOKUP(D27,'TABLA FECHASEXAMEN'!K:L,2,FALSE)</f>
        <v>2024-04-23 08:00:00</v>
      </c>
      <c r="I27" t="str">
        <f>VLOOKUP(D27,'TABLA FECHASEXAMEN'!K:L,2,FALSE)</f>
        <v>2024-04-23 08:00:00</v>
      </c>
    </row>
    <row r="28" spans="1:9" x14ac:dyDescent="0.25">
      <c r="A28">
        <v>27</v>
      </c>
      <c r="B28">
        <f>VLOOKUP("A"&amp;EXAMENES!Q28&amp;"M"&amp;EXAMENES!O28&amp;"C"&amp;EXAMENES!R28,'TABLA PREVIOS'!A:C,3,FALSE)</f>
        <v>27</v>
      </c>
      <c r="C28">
        <f>EXAMENES!L28</f>
        <v>1</v>
      </c>
      <c r="D28">
        <f>VLOOKUP("T"&amp;EXAMENES!L28&amp;"M"&amp;EXAMENES!O28,'TABLA FECHASEXAMEN'!J:K,2,FALSE)</f>
        <v>14</v>
      </c>
      <c r="E28">
        <f>EXAMENES!P28</f>
        <v>4</v>
      </c>
      <c r="F28">
        <f>EXAMENES!J28</f>
        <v>68</v>
      </c>
      <c r="G28">
        <f>EXAMENES!K28</f>
        <v>29</v>
      </c>
      <c r="H28" t="str">
        <f>VLOOKUP(D28,'TABLA FECHASEXAMEN'!K:L,2,FALSE)</f>
        <v>2024-04-23 08:00:00</v>
      </c>
      <c r="I28" t="str">
        <f>VLOOKUP(D28,'TABLA FECHASEXAMEN'!K:L,2,FALSE)</f>
        <v>2024-04-23 08:00:00</v>
      </c>
    </row>
    <row r="29" spans="1:9" x14ac:dyDescent="0.25">
      <c r="A29">
        <v>28</v>
      </c>
      <c r="B29">
        <f>VLOOKUP("A"&amp;EXAMENES!Q29&amp;"M"&amp;EXAMENES!O29&amp;"C"&amp;EXAMENES!R29,'TABLA PREVIOS'!A:C,3,FALSE)</f>
        <v>30</v>
      </c>
      <c r="C29">
        <f>EXAMENES!L29</f>
        <v>1</v>
      </c>
      <c r="D29">
        <f>VLOOKUP("T"&amp;EXAMENES!L29&amp;"M"&amp;EXAMENES!O29,'TABLA FECHASEXAMEN'!J:K,2,FALSE)</f>
        <v>14</v>
      </c>
      <c r="E29">
        <f>EXAMENES!P29</f>
        <v>2</v>
      </c>
      <c r="F29">
        <f>EXAMENES!J29</f>
        <v>68</v>
      </c>
      <c r="G29">
        <f>EXAMENES!K29</f>
        <v>29</v>
      </c>
      <c r="H29" t="str">
        <f>VLOOKUP(D29,'TABLA FECHASEXAMEN'!K:L,2,FALSE)</f>
        <v>2024-04-23 08:00:00</v>
      </c>
      <c r="I29" t="str">
        <f>VLOOKUP(D29,'TABLA FECHASEXAMEN'!K:L,2,FALSE)</f>
        <v>2024-04-23 08:00:00</v>
      </c>
    </row>
    <row r="30" spans="1:9" x14ac:dyDescent="0.25">
      <c r="A30">
        <v>29</v>
      </c>
      <c r="B30">
        <f>VLOOKUP("A"&amp;EXAMENES!Q30&amp;"M"&amp;EXAMENES!O30&amp;"C"&amp;EXAMENES!R30,'TABLA PREVIOS'!A:C,3,FALSE)</f>
        <v>34</v>
      </c>
      <c r="C30">
        <f>EXAMENES!L30</f>
        <v>1</v>
      </c>
      <c r="D30">
        <f>VLOOKUP("T"&amp;EXAMENES!L30&amp;"M"&amp;EXAMENES!O30,'TABLA FECHASEXAMEN'!J:K,2,FALSE)</f>
        <v>14</v>
      </c>
      <c r="E30">
        <f>EXAMENES!P30</f>
        <v>4</v>
      </c>
      <c r="F30">
        <f>EXAMENES!J30</f>
        <v>68</v>
      </c>
      <c r="G30">
        <f>EXAMENES!K30</f>
        <v>29</v>
      </c>
      <c r="H30" t="str">
        <f>VLOOKUP(D30,'TABLA FECHASEXAMEN'!K:L,2,FALSE)</f>
        <v>2024-04-23 08:00:00</v>
      </c>
      <c r="I30" t="str">
        <f>VLOOKUP(D30,'TABLA FECHASEXAMEN'!K:L,2,FALSE)</f>
        <v>2024-04-23 08:00:00</v>
      </c>
    </row>
    <row r="31" spans="1:9" x14ac:dyDescent="0.25">
      <c r="A31">
        <v>30</v>
      </c>
      <c r="B31">
        <f>VLOOKUP("A"&amp;EXAMENES!Q31&amp;"M"&amp;EXAMENES!O31&amp;"C"&amp;EXAMENES!R31,'TABLA PREVIOS'!A:C,3,FALSE)</f>
        <v>36</v>
      </c>
      <c r="C31">
        <f>EXAMENES!L31</f>
        <v>1</v>
      </c>
      <c r="D31">
        <f>VLOOKUP("T"&amp;EXAMENES!L31&amp;"M"&amp;EXAMENES!O31,'TABLA FECHASEXAMEN'!J:K,2,FALSE)</f>
        <v>14</v>
      </c>
      <c r="E31">
        <f>EXAMENES!P31</f>
        <v>2</v>
      </c>
      <c r="F31">
        <f>EXAMENES!J31</f>
        <v>68</v>
      </c>
      <c r="G31">
        <f>EXAMENES!K31</f>
        <v>29</v>
      </c>
      <c r="H31" t="str">
        <f>VLOOKUP(D31,'TABLA FECHASEXAMEN'!K:L,2,FALSE)</f>
        <v>2024-04-23 08:00:00</v>
      </c>
      <c r="I31" t="str">
        <f>VLOOKUP(D31,'TABLA FECHASEXAMEN'!K:L,2,FALSE)</f>
        <v>2024-04-23 08:00:00</v>
      </c>
    </row>
    <row r="32" spans="1:9" x14ac:dyDescent="0.25">
      <c r="A32">
        <v>31</v>
      </c>
      <c r="B32">
        <f>VLOOKUP("A"&amp;EXAMENES!Q32&amp;"M"&amp;EXAMENES!O32&amp;"C"&amp;EXAMENES!R32,'TABLA PREVIOS'!A:C,3,FALSE)</f>
        <v>124</v>
      </c>
      <c r="C32">
        <f>EXAMENES!L32</f>
        <v>1</v>
      </c>
      <c r="D32">
        <f>VLOOKUP("T"&amp;EXAMENES!L32&amp;"M"&amp;EXAMENES!O32,'TABLA FECHASEXAMEN'!J:K,2,FALSE)</f>
        <v>14</v>
      </c>
      <c r="E32">
        <f>EXAMENES!P32</f>
        <v>4</v>
      </c>
      <c r="F32">
        <f>EXAMENES!J32</f>
        <v>68</v>
      </c>
      <c r="G32">
        <f>EXAMENES!K32</f>
        <v>29</v>
      </c>
      <c r="H32" t="str">
        <f>VLOOKUP(D32,'TABLA FECHASEXAMEN'!K:L,2,FALSE)</f>
        <v>2024-04-23 08:00:00</v>
      </c>
      <c r="I32" t="str">
        <f>VLOOKUP(D32,'TABLA FECHASEXAMEN'!K:L,2,FALSE)</f>
        <v>2024-04-23 08:00:00</v>
      </c>
    </row>
    <row r="33" spans="1:9" x14ac:dyDescent="0.25">
      <c r="A33">
        <v>32</v>
      </c>
      <c r="B33">
        <f>VLOOKUP("A"&amp;EXAMENES!Q33&amp;"M"&amp;EXAMENES!O33&amp;"C"&amp;EXAMENES!R33,'TABLA PREVIOS'!A:C,3,FALSE)</f>
        <v>103</v>
      </c>
      <c r="C33">
        <f>EXAMENES!L33</f>
        <v>1</v>
      </c>
      <c r="D33">
        <f>VLOOKUP("T"&amp;EXAMENES!L33&amp;"M"&amp;EXAMENES!O33,'TABLA FECHASEXAMEN'!J:K,2,FALSE)</f>
        <v>15</v>
      </c>
      <c r="E33">
        <f>EXAMENES!P33</f>
        <v>4</v>
      </c>
      <c r="F33">
        <f>EXAMENES!J33</f>
        <v>68</v>
      </c>
      <c r="G33">
        <f>EXAMENES!K33</f>
        <v>30</v>
      </c>
      <c r="H33" t="str">
        <f>VLOOKUP(D33,'TABLA FECHASEXAMEN'!K:L,2,FALSE)</f>
        <v>2024-04-23 08:00:00</v>
      </c>
      <c r="I33" t="str">
        <f>VLOOKUP(D33,'TABLA FECHASEXAMEN'!K:L,2,FALSE)</f>
        <v>2024-04-23 08:00:00</v>
      </c>
    </row>
    <row r="34" spans="1:9" x14ac:dyDescent="0.25">
      <c r="A34">
        <v>33</v>
      </c>
      <c r="B34">
        <f>VLOOKUP("A"&amp;EXAMENES!Q34&amp;"M"&amp;EXAMENES!O34&amp;"C"&amp;EXAMENES!R34,'TABLA PREVIOS'!A:C,3,FALSE)</f>
        <v>238</v>
      </c>
      <c r="C34">
        <f>EXAMENES!L34</f>
        <v>1</v>
      </c>
      <c r="D34">
        <f>VLOOKUP("T"&amp;EXAMENES!L34&amp;"M"&amp;EXAMENES!O34,'TABLA FECHASEXAMEN'!J:K,2,FALSE)</f>
        <v>15</v>
      </c>
      <c r="E34">
        <f>EXAMENES!P34</f>
        <v>2</v>
      </c>
      <c r="F34">
        <f>EXAMENES!J34</f>
        <v>68</v>
      </c>
      <c r="G34">
        <f>EXAMENES!K34</f>
        <v>30</v>
      </c>
      <c r="H34" t="str">
        <f>VLOOKUP(D34,'TABLA FECHASEXAMEN'!K:L,2,FALSE)</f>
        <v>2024-04-23 08:00:00</v>
      </c>
      <c r="I34" t="str">
        <f>VLOOKUP(D34,'TABLA FECHASEXAMEN'!K:L,2,FALSE)</f>
        <v>2024-04-23 08:00:00</v>
      </c>
    </row>
    <row r="35" spans="1:9" x14ac:dyDescent="0.25">
      <c r="A35">
        <v>34</v>
      </c>
      <c r="B35">
        <f>VLOOKUP("A"&amp;EXAMENES!Q35&amp;"M"&amp;EXAMENES!O35&amp;"C"&amp;EXAMENES!R35,'TABLA PREVIOS'!A:C,3,FALSE)</f>
        <v>110</v>
      </c>
      <c r="C35">
        <f>EXAMENES!L35</f>
        <v>1</v>
      </c>
      <c r="D35">
        <f>VLOOKUP("T"&amp;EXAMENES!L35&amp;"M"&amp;EXAMENES!O35,'TABLA FECHASEXAMEN'!J:K,2,FALSE)</f>
        <v>15</v>
      </c>
      <c r="E35">
        <f>EXAMENES!P35</f>
        <v>2</v>
      </c>
      <c r="F35">
        <f>EXAMENES!J35</f>
        <v>68</v>
      </c>
      <c r="G35">
        <f>EXAMENES!K35</f>
        <v>30</v>
      </c>
      <c r="H35" t="str">
        <f>VLOOKUP(D35,'TABLA FECHASEXAMEN'!K:L,2,FALSE)</f>
        <v>2024-04-23 08:00:00</v>
      </c>
      <c r="I35" t="str">
        <f>VLOOKUP(D35,'TABLA FECHASEXAMEN'!K:L,2,FALSE)</f>
        <v>2024-04-23 08:00:00</v>
      </c>
    </row>
    <row r="36" spans="1:9" x14ac:dyDescent="0.25">
      <c r="A36">
        <v>35</v>
      </c>
      <c r="B36">
        <f>VLOOKUP("A"&amp;EXAMENES!Q36&amp;"M"&amp;EXAMENES!O36&amp;"C"&amp;EXAMENES!R36,'TABLA PREVIOS'!A:C,3,FALSE)</f>
        <v>81</v>
      </c>
      <c r="C36">
        <f>EXAMENES!L36</f>
        <v>1</v>
      </c>
      <c r="D36">
        <f>VLOOKUP("T"&amp;EXAMENES!L36&amp;"M"&amp;EXAMENES!O36,'TABLA FECHASEXAMEN'!J:K,2,FALSE)</f>
        <v>15</v>
      </c>
      <c r="E36">
        <f>EXAMENES!P36</f>
        <v>2</v>
      </c>
      <c r="F36">
        <f>EXAMENES!J36</f>
        <v>68</v>
      </c>
      <c r="G36">
        <f>EXAMENES!K36</f>
        <v>30</v>
      </c>
      <c r="H36" t="str">
        <f>VLOOKUP(D36,'TABLA FECHASEXAMEN'!K:L,2,FALSE)</f>
        <v>2024-04-23 08:00:00</v>
      </c>
      <c r="I36" t="str">
        <f>VLOOKUP(D36,'TABLA FECHASEXAMEN'!K:L,2,FALSE)</f>
        <v>2024-04-23 08:00:00</v>
      </c>
    </row>
    <row r="37" spans="1:9" x14ac:dyDescent="0.25">
      <c r="A37">
        <v>36</v>
      </c>
      <c r="B37">
        <f>VLOOKUP("A"&amp;EXAMENES!Q37&amp;"M"&amp;EXAMENES!O37&amp;"C"&amp;EXAMENES!R37,'TABLA PREVIOS'!A:C,3,FALSE)</f>
        <v>195</v>
      </c>
      <c r="C37">
        <f>EXAMENES!L37</f>
        <v>1</v>
      </c>
      <c r="D37">
        <f>VLOOKUP("T"&amp;EXAMENES!L37&amp;"M"&amp;EXAMENES!O37,'TABLA FECHASEXAMEN'!J:K,2,FALSE)</f>
        <v>15</v>
      </c>
      <c r="E37">
        <f>EXAMENES!P37</f>
        <v>4</v>
      </c>
      <c r="F37">
        <f>EXAMENES!J37</f>
        <v>68</v>
      </c>
      <c r="G37">
        <f>EXAMENES!K37</f>
        <v>30</v>
      </c>
      <c r="H37" t="str">
        <f>VLOOKUP(D37,'TABLA FECHASEXAMEN'!K:L,2,FALSE)</f>
        <v>2024-04-23 08:00:00</v>
      </c>
      <c r="I37" t="str">
        <f>VLOOKUP(D37,'TABLA FECHASEXAMEN'!K:L,2,FALSE)</f>
        <v>2024-04-23 08:00:00</v>
      </c>
    </row>
    <row r="38" spans="1:9" x14ac:dyDescent="0.25">
      <c r="A38">
        <v>37</v>
      </c>
      <c r="B38">
        <f>VLOOKUP("A"&amp;EXAMENES!Q38&amp;"M"&amp;EXAMENES!O38&amp;"C"&amp;EXAMENES!R38,'TABLA PREVIOS'!A:C,3,FALSE)</f>
        <v>146</v>
      </c>
      <c r="C38">
        <f>EXAMENES!L38</f>
        <v>1</v>
      </c>
      <c r="D38">
        <f>VLOOKUP("T"&amp;EXAMENES!L38&amp;"M"&amp;EXAMENES!O38,'TABLA FECHASEXAMEN'!J:K,2,FALSE)</f>
        <v>15</v>
      </c>
      <c r="E38">
        <f>EXAMENES!P38</f>
        <v>4</v>
      </c>
      <c r="F38">
        <f>EXAMENES!J38</f>
        <v>68</v>
      </c>
      <c r="G38">
        <f>EXAMENES!K38</f>
        <v>30</v>
      </c>
      <c r="H38" t="str">
        <f>VLOOKUP(D38,'TABLA FECHASEXAMEN'!K:L,2,FALSE)</f>
        <v>2024-04-23 08:00:00</v>
      </c>
      <c r="I38" t="str">
        <f>VLOOKUP(D38,'TABLA FECHASEXAMEN'!K:L,2,FALSE)</f>
        <v>2024-04-23 08:00:00</v>
      </c>
    </row>
    <row r="39" spans="1:9" x14ac:dyDescent="0.25">
      <c r="A39">
        <v>38</v>
      </c>
      <c r="B39">
        <f>VLOOKUP("A"&amp;EXAMENES!Q39&amp;"M"&amp;EXAMENES!O39&amp;"C"&amp;EXAMENES!R39,'TABLA PREVIOS'!A:C,3,FALSE)</f>
        <v>88</v>
      </c>
      <c r="C39">
        <f>EXAMENES!L39</f>
        <v>1</v>
      </c>
      <c r="D39">
        <f>VLOOKUP("T"&amp;EXAMENES!L39&amp;"M"&amp;EXAMENES!O39,'TABLA FECHASEXAMEN'!J:K,2,FALSE)</f>
        <v>15</v>
      </c>
      <c r="E39">
        <f>EXAMENES!P39</f>
        <v>2</v>
      </c>
      <c r="F39">
        <f>EXAMENES!J39</f>
        <v>68</v>
      </c>
      <c r="G39">
        <f>EXAMENES!K39</f>
        <v>30</v>
      </c>
      <c r="H39" t="str">
        <f>VLOOKUP(D39,'TABLA FECHASEXAMEN'!K:L,2,FALSE)</f>
        <v>2024-04-23 08:00:00</v>
      </c>
      <c r="I39" t="str">
        <f>VLOOKUP(D39,'TABLA FECHASEXAMEN'!K:L,2,FALSE)</f>
        <v>2024-04-23 08:00:00</v>
      </c>
    </row>
    <row r="40" spans="1:9" x14ac:dyDescent="0.25">
      <c r="A40">
        <v>39</v>
      </c>
      <c r="B40">
        <f>VLOOKUP("A"&amp;EXAMENES!Q40&amp;"M"&amp;EXAMENES!O40&amp;"C"&amp;EXAMENES!R40,'TABLA PREVIOS'!A:C,3,FALSE)</f>
        <v>126</v>
      </c>
      <c r="C40">
        <f>EXAMENES!L40</f>
        <v>1</v>
      </c>
      <c r="D40">
        <f>VLOOKUP("T"&amp;EXAMENES!L40&amp;"M"&amp;EXAMENES!O40,'TABLA FECHASEXAMEN'!J:K,2,FALSE)</f>
        <v>15</v>
      </c>
      <c r="E40">
        <f>EXAMENES!P40</f>
        <v>4</v>
      </c>
      <c r="F40">
        <f>EXAMENES!J40</f>
        <v>68</v>
      </c>
      <c r="G40">
        <f>EXAMENES!K40</f>
        <v>30</v>
      </c>
      <c r="H40" t="str">
        <f>VLOOKUP(D40,'TABLA FECHASEXAMEN'!K:L,2,FALSE)</f>
        <v>2024-04-23 08:00:00</v>
      </c>
      <c r="I40" t="str">
        <f>VLOOKUP(D40,'TABLA FECHASEXAMEN'!K:L,2,FALSE)</f>
        <v>2024-04-23 08:00:00</v>
      </c>
    </row>
    <row r="41" spans="1:9" x14ac:dyDescent="0.25">
      <c r="A41">
        <v>40</v>
      </c>
      <c r="B41">
        <f>VLOOKUP("A"&amp;EXAMENES!Q41&amp;"M"&amp;EXAMENES!O41&amp;"C"&amp;EXAMENES!R41,'TABLA PREVIOS'!A:C,3,FALSE)</f>
        <v>1116</v>
      </c>
      <c r="C41">
        <f>EXAMENES!L41</f>
        <v>1</v>
      </c>
      <c r="D41">
        <f>VLOOKUP("T"&amp;EXAMENES!L41&amp;"M"&amp;EXAMENES!O41,'TABLA FECHASEXAMEN'!J:K,2,FALSE)</f>
        <v>15</v>
      </c>
      <c r="E41">
        <f>EXAMENES!P41</f>
        <v>2</v>
      </c>
      <c r="F41">
        <f>EXAMENES!J41</f>
        <v>68</v>
      </c>
      <c r="G41">
        <f>EXAMENES!K41</f>
        <v>30</v>
      </c>
      <c r="H41" t="str">
        <f>VLOOKUP(D41,'TABLA FECHASEXAMEN'!K:L,2,FALSE)</f>
        <v>2024-04-23 08:00:00</v>
      </c>
      <c r="I41" t="str">
        <f>VLOOKUP(D41,'TABLA FECHASEXAMEN'!K:L,2,FALSE)</f>
        <v>2024-04-23 08:00:00</v>
      </c>
    </row>
    <row r="42" spans="1:9" x14ac:dyDescent="0.25">
      <c r="A42">
        <v>41</v>
      </c>
      <c r="B42">
        <f>VLOOKUP("A"&amp;EXAMENES!Q42&amp;"M"&amp;EXAMENES!O42&amp;"C"&amp;EXAMENES!R42,'TABLA PREVIOS'!A:C,3,FALSE)</f>
        <v>163</v>
      </c>
      <c r="C42">
        <f>EXAMENES!L42</f>
        <v>1</v>
      </c>
      <c r="D42">
        <f>VLOOKUP("T"&amp;EXAMENES!L42&amp;"M"&amp;EXAMENES!O42,'TABLA FECHASEXAMEN'!J:K,2,FALSE)</f>
        <v>16</v>
      </c>
      <c r="E42">
        <f>EXAMENES!P42</f>
        <v>4</v>
      </c>
      <c r="F42">
        <f>EXAMENES!J42</f>
        <v>68</v>
      </c>
      <c r="G42">
        <f>EXAMENES!K42</f>
        <v>31</v>
      </c>
      <c r="H42" t="str">
        <f>VLOOKUP(D42,'TABLA FECHASEXAMEN'!K:L,2,FALSE)</f>
        <v>2024-04-23 08:00:00</v>
      </c>
      <c r="I42" t="str">
        <f>VLOOKUP(D42,'TABLA FECHASEXAMEN'!K:L,2,FALSE)</f>
        <v>2024-04-23 08:00:00</v>
      </c>
    </row>
    <row r="43" spans="1:9" x14ac:dyDescent="0.25">
      <c r="A43">
        <v>42</v>
      </c>
      <c r="B43">
        <f>VLOOKUP("A"&amp;EXAMENES!Q43&amp;"M"&amp;EXAMENES!O43&amp;"C"&amp;EXAMENES!R43,'TABLA PREVIOS'!A:C,3,FALSE)</f>
        <v>192</v>
      </c>
      <c r="C43">
        <f>EXAMENES!L43</f>
        <v>1</v>
      </c>
      <c r="D43">
        <f>VLOOKUP("T"&amp;EXAMENES!L43&amp;"M"&amp;EXAMENES!O43,'TABLA FECHASEXAMEN'!J:K,2,FALSE)</f>
        <v>16</v>
      </c>
      <c r="E43">
        <f>EXAMENES!P43</f>
        <v>9</v>
      </c>
      <c r="F43">
        <f>EXAMENES!J43</f>
        <v>68</v>
      </c>
      <c r="G43">
        <f>EXAMENES!K43</f>
        <v>31</v>
      </c>
      <c r="H43" t="str">
        <f>VLOOKUP(D43,'TABLA FECHASEXAMEN'!K:L,2,FALSE)</f>
        <v>2024-04-23 08:00:00</v>
      </c>
      <c r="I43" t="str">
        <f>VLOOKUP(D43,'TABLA FECHASEXAMEN'!K:L,2,FALSE)</f>
        <v>2024-04-23 08:00:00</v>
      </c>
    </row>
    <row r="44" spans="1:9" x14ac:dyDescent="0.25">
      <c r="A44">
        <v>43</v>
      </c>
      <c r="B44">
        <f>VLOOKUP("A"&amp;EXAMENES!Q44&amp;"M"&amp;EXAMENES!O44&amp;"C"&amp;EXAMENES!R44,'TABLA PREVIOS'!A:C,3,FALSE)</f>
        <v>226</v>
      </c>
      <c r="C44">
        <f>EXAMENES!L44</f>
        <v>1</v>
      </c>
      <c r="D44">
        <f>VLOOKUP("T"&amp;EXAMENES!L44&amp;"M"&amp;EXAMENES!O44,'TABLA FECHASEXAMEN'!J:K,2,FALSE)</f>
        <v>16</v>
      </c>
      <c r="E44">
        <f>EXAMENES!P44</f>
        <v>2</v>
      </c>
      <c r="F44">
        <f>EXAMENES!J44</f>
        <v>68</v>
      </c>
      <c r="G44">
        <f>EXAMENES!K44</f>
        <v>31</v>
      </c>
      <c r="H44" t="str">
        <f>VLOOKUP(D44,'TABLA FECHASEXAMEN'!K:L,2,FALSE)</f>
        <v>2024-04-23 08:00:00</v>
      </c>
      <c r="I44" t="str">
        <f>VLOOKUP(D44,'TABLA FECHASEXAMEN'!K:L,2,FALSE)</f>
        <v>2024-04-23 08:00:00</v>
      </c>
    </row>
    <row r="45" spans="1:9" x14ac:dyDescent="0.25">
      <c r="A45">
        <v>44</v>
      </c>
      <c r="B45">
        <f>VLOOKUP("A"&amp;EXAMENES!Q45&amp;"M"&amp;EXAMENES!O45&amp;"C"&amp;EXAMENES!R45,'TABLA PREVIOS'!A:C,3,FALSE)</f>
        <v>194</v>
      </c>
      <c r="C45">
        <f>EXAMENES!L45</f>
        <v>1</v>
      </c>
      <c r="D45">
        <f>VLOOKUP("T"&amp;EXAMENES!L45&amp;"M"&amp;EXAMENES!O45,'TABLA FECHASEXAMEN'!J:K,2,FALSE)</f>
        <v>16</v>
      </c>
      <c r="E45">
        <f>EXAMENES!P45</f>
        <v>9</v>
      </c>
      <c r="F45">
        <f>EXAMENES!J45</f>
        <v>68</v>
      </c>
      <c r="G45">
        <f>EXAMENES!K45</f>
        <v>31</v>
      </c>
      <c r="H45" t="str">
        <f>VLOOKUP(D45,'TABLA FECHASEXAMEN'!K:L,2,FALSE)</f>
        <v>2024-04-23 08:00:00</v>
      </c>
      <c r="I45" t="str">
        <f>VLOOKUP(D45,'TABLA FECHASEXAMEN'!K:L,2,FALSE)</f>
        <v>2024-04-23 08:00:00</v>
      </c>
    </row>
    <row r="46" spans="1:9" x14ac:dyDescent="0.25">
      <c r="A46">
        <v>45</v>
      </c>
      <c r="B46">
        <f>VLOOKUP("A"&amp;EXAMENES!Q46&amp;"M"&amp;EXAMENES!O46&amp;"C"&amp;EXAMENES!R46,'TABLA PREVIOS'!A:C,3,FALSE)</f>
        <v>170</v>
      </c>
      <c r="C46">
        <f>EXAMENES!L46</f>
        <v>1</v>
      </c>
      <c r="D46">
        <f>VLOOKUP("T"&amp;EXAMENES!L46&amp;"M"&amp;EXAMENES!O46,'TABLA FECHASEXAMEN'!J:K,2,FALSE)</f>
        <v>16</v>
      </c>
      <c r="E46">
        <f>EXAMENES!P46</f>
        <v>9</v>
      </c>
      <c r="F46">
        <f>EXAMENES!J46</f>
        <v>68</v>
      </c>
      <c r="G46">
        <f>EXAMENES!K46</f>
        <v>31</v>
      </c>
      <c r="H46" t="str">
        <f>VLOOKUP(D46,'TABLA FECHASEXAMEN'!K:L,2,FALSE)</f>
        <v>2024-04-23 08:00:00</v>
      </c>
      <c r="I46" t="str">
        <f>VLOOKUP(D46,'TABLA FECHASEXAMEN'!K:L,2,FALSE)</f>
        <v>2024-04-23 08:00:00</v>
      </c>
    </row>
    <row r="47" spans="1:9" x14ac:dyDescent="0.25">
      <c r="A47">
        <v>46</v>
      </c>
      <c r="B47">
        <f>VLOOKUP("A"&amp;EXAMENES!Q47&amp;"M"&amp;EXAMENES!O47&amp;"C"&amp;EXAMENES!R47,'TABLA PREVIOS'!A:C,3,FALSE)</f>
        <v>187</v>
      </c>
      <c r="C47">
        <f>EXAMENES!L47</f>
        <v>1</v>
      </c>
      <c r="D47">
        <f>VLOOKUP("T"&amp;EXAMENES!L47&amp;"M"&amp;EXAMENES!O47,'TABLA FECHASEXAMEN'!J:K,2,FALSE)</f>
        <v>16</v>
      </c>
      <c r="E47">
        <f>EXAMENES!P47</f>
        <v>9</v>
      </c>
      <c r="F47">
        <f>EXAMENES!J47</f>
        <v>68</v>
      </c>
      <c r="G47">
        <f>EXAMENES!K47</f>
        <v>31</v>
      </c>
      <c r="H47" t="str">
        <f>VLOOKUP(D47,'TABLA FECHASEXAMEN'!K:L,2,FALSE)</f>
        <v>2024-04-23 08:00:00</v>
      </c>
      <c r="I47" t="str">
        <f>VLOOKUP(D47,'TABLA FECHASEXAMEN'!K:L,2,FALSE)</f>
        <v>2024-04-23 08:00:00</v>
      </c>
    </row>
    <row r="48" spans="1:9" x14ac:dyDescent="0.25">
      <c r="A48">
        <v>47</v>
      </c>
      <c r="B48">
        <f>VLOOKUP("A"&amp;EXAMENES!Q48&amp;"M"&amp;EXAMENES!O48&amp;"C"&amp;EXAMENES!R48,'TABLA PREVIOS'!A:C,3,FALSE)</f>
        <v>658</v>
      </c>
      <c r="C48">
        <f>EXAMENES!L48</f>
        <v>1</v>
      </c>
      <c r="D48">
        <f>VLOOKUP("T"&amp;EXAMENES!L48&amp;"M"&amp;EXAMENES!O48,'TABLA FECHASEXAMEN'!J:K,2,FALSE)</f>
        <v>17</v>
      </c>
      <c r="E48">
        <f>EXAMENES!P48</f>
        <v>2</v>
      </c>
      <c r="F48">
        <f>EXAMENES!J48</f>
        <v>68</v>
      </c>
      <c r="G48">
        <f>EXAMENES!K48</f>
        <v>32</v>
      </c>
      <c r="H48" t="str">
        <f>VLOOKUP(D48,'TABLA FECHASEXAMEN'!K:L,2,FALSE)</f>
        <v>2024-04-23 08:00:00</v>
      </c>
      <c r="I48" t="str">
        <f>VLOOKUP(D48,'TABLA FECHASEXAMEN'!K:L,2,FALSE)</f>
        <v>2024-04-23 08:00:00</v>
      </c>
    </row>
    <row r="49" spans="1:9" x14ac:dyDescent="0.25">
      <c r="A49">
        <v>48</v>
      </c>
      <c r="B49">
        <f>VLOOKUP("A"&amp;EXAMENES!Q49&amp;"M"&amp;EXAMENES!O49&amp;"C"&amp;EXAMENES!R49,'TABLA PREVIOS'!A:C,3,FALSE)</f>
        <v>266</v>
      </c>
      <c r="C49">
        <f>EXAMENES!L49</f>
        <v>1</v>
      </c>
      <c r="D49">
        <f>VLOOKUP("T"&amp;EXAMENES!L49&amp;"M"&amp;EXAMENES!O49,'TABLA FECHASEXAMEN'!J:K,2,FALSE)</f>
        <v>17</v>
      </c>
      <c r="E49">
        <f>EXAMENES!P49</f>
        <v>9</v>
      </c>
      <c r="F49">
        <f>EXAMENES!J49</f>
        <v>68</v>
      </c>
      <c r="G49">
        <f>EXAMENES!K49</f>
        <v>32</v>
      </c>
      <c r="H49" t="str">
        <f>VLOOKUP(D49,'TABLA FECHASEXAMEN'!K:L,2,FALSE)</f>
        <v>2024-04-23 08:00:00</v>
      </c>
      <c r="I49" t="str">
        <f>VLOOKUP(D49,'TABLA FECHASEXAMEN'!K:L,2,FALSE)</f>
        <v>2024-04-23 08:00:00</v>
      </c>
    </row>
    <row r="50" spans="1:9" x14ac:dyDescent="0.25">
      <c r="A50">
        <v>49</v>
      </c>
      <c r="B50">
        <f>VLOOKUP("A"&amp;EXAMENES!Q50&amp;"M"&amp;EXAMENES!O50&amp;"C"&amp;EXAMENES!R50,'TABLA PREVIOS'!A:C,3,FALSE)</f>
        <v>674</v>
      </c>
      <c r="C50">
        <f>EXAMENES!L50</f>
        <v>1</v>
      </c>
      <c r="D50">
        <f>VLOOKUP("T"&amp;EXAMENES!L50&amp;"M"&amp;EXAMENES!O50,'TABLA FECHASEXAMEN'!J:K,2,FALSE)</f>
        <v>17</v>
      </c>
      <c r="E50">
        <f>EXAMENES!P50</f>
        <v>2</v>
      </c>
      <c r="F50">
        <f>EXAMENES!J50</f>
        <v>68</v>
      </c>
      <c r="G50">
        <f>EXAMENES!K50</f>
        <v>32</v>
      </c>
      <c r="H50" t="str">
        <f>VLOOKUP(D50,'TABLA FECHASEXAMEN'!K:L,2,FALSE)</f>
        <v>2024-04-23 08:00:00</v>
      </c>
      <c r="I50" t="str">
        <f>VLOOKUP(D50,'TABLA FECHASEXAMEN'!K:L,2,FALSE)</f>
        <v>2024-04-23 08:00:00</v>
      </c>
    </row>
    <row r="51" spans="1:9" x14ac:dyDescent="0.25">
      <c r="A51">
        <v>50</v>
      </c>
      <c r="B51">
        <f>VLOOKUP("A"&amp;EXAMENES!Q51&amp;"M"&amp;EXAMENES!O51&amp;"C"&amp;EXAMENES!R51,'TABLA PREVIOS'!A:C,3,FALSE)</f>
        <v>269</v>
      </c>
      <c r="C51">
        <f>EXAMENES!L51</f>
        <v>1</v>
      </c>
      <c r="D51">
        <f>VLOOKUP("T"&amp;EXAMENES!L51&amp;"M"&amp;EXAMENES!O51,'TABLA FECHASEXAMEN'!J:K,2,FALSE)</f>
        <v>17</v>
      </c>
      <c r="E51">
        <f>EXAMENES!P51</f>
        <v>9</v>
      </c>
      <c r="F51">
        <f>EXAMENES!J51</f>
        <v>68</v>
      </c>
      <c r="G51">
        <f>EXAMENES!K51</f>
        <v>32</v>
      </c>
      <c r="H51" t="str">
        <f>VLOOKUP(D51,'TABLA FECHASEXAMEN'!K:L,2,FALSE)</f>
        <v>2024-04-23 08:00:00</v>
      </c>
      <c r="I51" t="str">
        <f>VLOOKUP(D51,'TABLA FECHASEXAMEN'!K:L,2,FALSE)</f>
        <v>2024-04-23 08:00:00</v>
      </c>
    </row>
    <row r="52" spans="1:9" x14ac:dyDescent="0.25">
      <c r="A52">
        <v>51</v>
      </c>
      <c r="B52">
        <f>VLOOKUP("A"&amp;EXAMENES!Q52&amp;"M"&amp;EXAMENES!O52&amp;"C"&amp;EXAMENES!R52,'TABLA PREVIOS'!A:C,3,FALSE)</f>
        <v>272</v>
      </c>
      <c r="C52">
        <f>EXAMENES!L52</f>
        <v>1</v>
      </c>
      <c r="D52">
        <f>VLOOKUP("T"&amp;EXAMENES!L52&amp;"M"&amp;EXAMENES!O52,'TABLA FECHASEXAMEN'!J:K,2,FALSE)</f>
        <v>17</v>
      </c>
      <c r="E52">
        <f>EXAMENES!P52</f>
        <v>2</v>
      </c>
      <c r="F52">
        <f>EXAMENES!J52</f>
        <v>68</v>
      </c>
      <c r="G52">
        <f>EXAMENES!K52</f>
        <v>32</v>
      </c>
      <c r="H52" t="str">
        <f>VLOOKUP(D52,'TABLA FECHASEXAMEN'!K:L,2,FALSE)</f>
        <v>2024-04-23 08:00:00</v>
      </c>
      <c r="I52" t="str">
        <f>VLOOKUP(D52,'TABLA FECHASEXAMEN'!K:L,2,FALSE)</f>
        <v>2024-04-23 08:00:00</v>
      </c>
    </row>
    <row r="53" spans="1:9" x14ac:dyDescent="0.25">
      <c r="A53">
        <v>52</v>
      </c>
      <c r="B53">
        <f>VLOOKUP("A"&amp;EXAMENES!Q53&amp;"M"&amp;EXAMENES!O53&amp;"C"&amp;EXAMENES!R53,'TABLA PREVIOS'!A:C,3,FALSE)</f>
        <v>3</v>
      </c>
      <c r="C53">
        <f>EXAMENES!L53</f>
        <v>1</v>
      </c>
      <c r="D53">
        <f>VLOOKUP("T"&amp;EXAMENES!L53&amp;"M"&amp;EXAMENES!O53,'TABLA FECHASEXAMEN'!J:K,2,FALSE)</f>
        <v>18</v>
      </c>
      <c r="E53">
        <f>EXAMENES!P53</f>
        <v>4</v>
      </c>
      <c r="F53">
        <f>EXAMENES!J53</f>
        <v>68</v>
      </c>
      <c r="G53">
        <f>EXAMENES!K53</f>
        <v>33</v>
      </c>
      <c r="H53" t="str">
        <f>VLOOKUP(D53,'TABLA FECHASEXAMEN'!K:L,2,FALSE)</f>
        <v>2024-04-24 13:00:00</v>
      </c>
      <c r="I53" t="str">
        <f>VLOOKUP(D53,'TABLA FECHASEXAMEN'!K:L,2,FALSE)</f>
        <v>2024-04-24 13:00:00</v>
      </c>
    </row>
    <row r="54" spans="1:9" x14ac:dyDescent="0.25">
      <c r="A54">
        <v>53</v>
      </c>
      <c r="B54">
        <f>VLOOKUP("A"&amp;EXAMENES!Q54&amp;"M"&amp;EXAMENES!O54&amp;"C"&amp;EXAMENES!R54,'TABLA PREVIOS'!A:C,3,FALSE)</f>
        <v>8</v>
      </c>
      <c r="C54">
        <f>EXAMENES!L54</f>
        <v>1</v>
      </c>
      <c r="D54">
        <f>VLOOKUP("T"&amp;EXAMENES!L54&amp;"M"&amp;EXAMENES!O54,'TABLA FECHASEXAMEN'!J:K,2,FALSE)</f>
        <v>18</v>
      </c>
      <c r="E54">
        <f>EXAMENES!P54</f>
        <v>2</v>
      </c>
      <c r="F54">
        <f>EXAMENES!J54</f>
        <v>68</v>
      </c>
      <c r="G54">
        <f>EXAMENES!K54</f>
        <v>33</v>
      </c>
      <c r="H54" t="str">
        <f>VLOOKUP(D54,'TABLA FECHASEXAMEN'!K:L,2,FALSE)</f>
        <v>2024-04-24 13:00:00</v>
      </c>
      <c r="I54" t="str">
        <f>VLOOKUP(D54,'TABLA FECHASEXAMEN'!K:L,2,FALSE)</f>
        <v>2024-04-24 13:00:00</v>
      </c>
    </row>
    <row r="55" spans="1:9" x14ac:dyDescent="0.25">
      <c r="A55">
        <v>54</v>
      </c>
      <c r="B55">
        <f>VLOOKUP("A"&amp;EXAMENES!Q55&amp;"M"&amp;EXAMENES!O55&amp;"C"&amp;EXAMENES!R55,'TABLA PREVIOS'!A:C,3,FALSE)</f>
        <v>35</v>
      </c>
      <c r="C55">
        <f>EXAMENES!L55</f>
        <v>1</v>
      </c>
      <c r="D55">
        <f>VLOOKUP("T"&amp;EXAMENES!L55&amp;"M"&amp;EXAMENES!O55,'TABLA FECHASEXAMEN'!J:K,2,FALSE)</f>
        <v>18</v>
      </c>
      <c r="E55">
        <f>EXAMENES!P55</f>
        <v>2</v>
      </c>
      <c r="F55">
        <f>EXAMENES!J55</f>
        <v>68</v>
      </c>
      <c r="G55">
        <f>EXAMENES!K55</f>
        <v>33</v>
      </c>
      <c r="H55" t="str">
        <f>VLOOKUP(D55,'TABLA FECHASEXAMEN'!K:L,2,FALSE)</f>
        <v>2024-04-24 13:00:00</v>
      </c>
      <c r="I55" t="str">
        <f>VLOOKUP(D55,'TABLA FECHASEXAMEN'!K:L,2,FALSE)</f>
        <v>2024-04-24 13:00:00</v>
      </c>
    </row>
    <row r="56" spans="1:9" x14ac:dyDescent="0.25">
      <c r="A56">
        <v>55</v>
      </c>
      <c r="B56">
        <f>VLOOKUP("A"&amp;EXAMENES!Q56&amp;"M"&amp;EXAMENES!O56&amp;"C"&amp;EXAMENES!R56,'TABLA PREVIOS'!A:C,3,FALSE)</f>
        <v>42</v>
      </c>
      <c r="C56">
        <f>EXAMENES!L56</f>
        <v>1</v>
      </c>
      <c r="D56">
        <f>VLOOKUP("T"&amp;EXAMENES!L56&amp;"M"&amp;EXAMENES!O56,'TABLA FECHASEXAMEN'!J:K,2,FALSE)</f>
        <v>18</v>
      </c>
      <c r="E56">
        <f>EXAMENES!P56</f>
        <v>2</v>
      </c>
      <c r="F56">
        <f>EXAMENES!J56</f>
        <v>68</v>
      </c>
      <c r="G56">
        <f>EXAMENES!K56</f>
        <v>33</v>
      </c>
      <c r="H56" t="str">
        <f>VLOOKUP(D56,'TABLA FECHASEXAMEN'!K:L,2,FALSE)</f>
        <v>2024-04-24 13:00:00</v>
      </c>
      <c r="I56" t="str">
        <f>VLOOKUP(D56,'TABLA FECHASEXAMEN'!K:L,2,FALSE)</f>
        <v>2024-04-24 13:00:00</v>
      </c>
    </row>
    <row r="57" spans="1:9" x14ac:dyDescent="0.25">
      <c r="A57">
        <v>56</v>
      </c>
      <c r="B57">
        <f>VLOOKUP("A"&amp;EXAMENES!Q57&amp;"M"&amp;EXAMENES!O57&amp;"C"&amp;EXAMENES!R57,'TABLA PREVIOS'!A:C,3,FALSE)</f>
        <v>89</v>
      </c>
      <c r="C57">
        <f>EXAMENES!L57</f>
        <v>1</v>
      </c>
      <c r="D57">
        <f>VLOOKUP("T"&amp;EXAMENES!L57&amp;"M"&amp;EXAMENES!O57,'TABLA FECHASEXAMEN'!J:K,2,FALSE)</f>
        <v>19</v>
      </c>
      <c r="E57">
        <f>EXAMENES!P57</f>
        <v>6</v>
      </c>
      <c r="F57">
        <f>EXAMENES!J57</f>
        <v>68</v>
      </c>
      <c r="G57">
        <f>EXAMENES!K57</f>
        <v>34</v>
      </c>
      <c r="H57" t="str">
        <f>VLOOKUP(D57,'TABLA FECHASEXAMEN'!K:L,2,FALSE)</f>
        <v>2024-04-24 13:00:00</v>
      </c>
      <c r="I57" t="str">
        <f>VLOOKUP(D57,'TABLA FECHASEXAMEN'!K:L,2,FALSE)</f>
        <v>2024-04-24 13:00:00</v>
      </c>
    </row>
    <row r="58" spans="1:9" x14ac:dyDescent="0.25">
      <c r="A58">
        <v>57</v>
      </c>
      <c r="B58">
        <f>VLOOKUP("A"&amp;EXAMENES!Q58&amp;"M"&amp;EXAMENES!O58&amp;"C"&amp;EXAMENES!R58,'TABLA PREVIOS'!A:C,3,FALSE)</f>
        <v>218</v>
      </c>
      <c r="C58">
        <f>EXAMENES!L58</f>
        <v>1</v>
      </c>
      <c r="D58">
        <f>VLOOKUP("T"&amp;EXAMENES!L58&amp;"M"&amp;EXAMENES!O58,'TABLA FECHASEXAMEN'!J:K,2,FALSE)</f>
        <v>20</v>
      </c>
      <c r="E58">
        <f>EXAMENES!P58</f>
        <v>9</v>
      </c>
      <c r="F58">
        <f>EXAMENES!J58</f>
        <v>68</v>
      </c>
      <c r="G58">
        <f>EXAMENES!K58</f>
        <v>36</v>
      </c>
      <c r="H58" t="str">
        <f>VLOOKUP(D58,'TABLA FECHASEXAMEN'!K:L,2,FALSE)</f>
        <v>2024-04-24 13:00:00</v>
      </c>
      <c r="I58" t="str">
        <f>VLOOKUP(D58,'TABLA FECHASEXAMEN'!K:L,2,FALSE)</f>
        <v>2024-04-24 13:00:00</v>
      </c>
    </row>
    <row r="59" spans="1:9" x14ac:dyDescent="0.25">
      <c r="A59">
        <v>58</v>
      </c>
      <c r="B59">
        <f>VLOOKUP("A"&amp;EXAMENES!Q59&amp;"M"&amp;EXAMENES!O59&amp;"C"&amp;EXAMENES!R59,'TABLA PREVIOS'!A:C,3,FALSE)</f>
        <v>1338</v>
      </c>
      <c r="C59">
        <f>EXAMENES!L59</f>
        <v>1</v>
      </c>
      <c r="D59">
        <f>VLOOKUP("T"&amp;EXAMENES!L59&amp;"M"&amp;EXAMENES!O59,'TABLA FECHASEXAMEN'!J:K,2,FALSE)</f>
        <v>21</v>
      </c>
      <c r="E59">
        <f>EXAMENES!P59</f>
        <v>9</v>
      </c>
      <c r="F59">
        <f>EXAMENES!J59</f>
        <v>68</v>
      </c>
      <c r="G59">
        <f>EXAMENES!K59</f>
        <v>35</v>
      </c>
      <c r="H59" t="str">
        <f>VLOOKUP(D59,'TABLA FECHASEXAMEN'!K:L,2,FALSE)</f>
        <v>2024-04-24 13:00:00</v>
      </c>
      <c r="I59" t="str">
        <f>VLOOKUP(D59,'TABLA FECHASEXAMEN'!K:L,2,FALSE)</f>
        <v>2024-04-24 13:00:00</v>
      </c>
    </row>
    <row r="60" spans="1:9" x14ac:dyDescent="0.25">
      <c r="A60">
        <v>59</v>
      </c>
      <c r="B60">
        <f>VLOOKUP("A"&amp;EXAMENES!Q60&amp;"M"&amp;EXAMENES!O60&amp;"C"&amp;EXAMENES!R60,'TABLA PREVIOS'!A:C,3,FALSE)</f>
        <v>44</v>
      </c>
      <c r="C60">
        <f>EXAMENES!L60</f>
        <v>1</v>
      </c>
      <c r="D60">
        <f>VLOOKUP("T"&amp;EXAMENES!L60&amp;"M"&amp;EXAMENES!O60,'TABLA FECHASEXAMEN'!J:K,2,FALSE)</f>
        <v>22</v>
      </c>
      <c r="E60">
        <f>EXAMENES!P60</f>
        <v>5</v>
      </c>
      <c r="F60">
        <f>EXAMENES!J60</f>
        <v>68</v>
      </c>
      <c r="G60">
        <f>EXAMENES!K60</f>
        <v>37</v>
      </c>
      <c r="H60" t="str">
        <f>VLOOKUP(D60,'TABLA FECHASEXAMEN'!K:L,2,FALSE)</f>
        <v>2024-04-29 13:00:00</v>
      </c>
      <c r="I60" t="str">
        <f>VLOOKUP(D60,'TABLA FECHASEXAMEN'!K:L,2,FALSE)</f>
        <v>2024-04-29 13:00:00</v>
      </c>
    </row>
    <row r="61" spans="1:9" x14ac:dyDescent="0.25">
      <c r="A61">
        <v>60</v>
      </c>
      <c r="B61">
        <f>VLOOKUP("A"&amp;EXAMENES!Q61&amp;"M"&amp;EXAMENES!O61&amp;"C"&amp;EXAMENES!R61,'TABLA PREVIOS'!A:C,3,FALSE)</f>
        <v>51</v>
      </c>
      <c r="C61">
        <f>EXAMENES!L61</f>
        <v>1</v>
      </c>
      <c r="D61">
        <f>VLOOKUP("T"&amp;EXAMENES!L61&amp;"M"&amp;EXAMENES!O61,'TABLA FECHASEXAMEN'!J:K,2,FALSE)</f>
        <v>22</v>
      </c>
      <c r="E61">
        <f>EXAMENES!P61</f>
        <v>5</v>
      </c>
      <c r="F61">
        <f>EXAMENES!J61</f>
        <v>68</v>
      </c>
      <c r="G61">
        <f>EXAMENES!K61</f>
        <v>37</v>
      </c>
      <c r="H61" t="str">
        <f>VLOOKUP(D61,'TABLA FECHASEXAMEN'!K:L,2,FALSE)</f>
        <v>2024-04-29 13:00:00</v>
      </c>
      <c r="I61" t="str">
        <f>VLOOKUP(D61,'TABLA FECHASEXAMEN'!K:L,2,FALSE)</f>
        <v>2024-04-29 13:00:00</v>
      </c>
    </row>
    <row r="62" spans="1:9" x14ac:dyDescent="0.25">
      <c r="A62">
        <v>61</v>
      </c>
      <c r="B62">
        <f>VLOOKUP("A"&amp;EXAMENES!Q62&amp;"M"&amp;EXAMENES!O62&amp;"C"&amp;EXAMENES!R62,'TABLA PREVIOS'!A:C,3,FALSE)</f>
        <v>54</v>
      </c>
      <c r="C62">
        <f>EXAMENES!L62</f>
        <v>1</v>
      </c>
      <c r="D62">
        <f>VLOOKUP("T"&amp;EXAMENES!L62&amp;"M"&amp;EXAMENES!O62,'TABLA FECHASEXAMEN'!J:K,2,FALSE)</f>
        <v>22</v>
      </c>
      <c r="E62">
        <f>EXAMENES!P62</f>
        <v>6</v>
      </c>
      <c r="F62">
        <f>EXAMENES!J62</f>
        <v>68</v>
      </c>
      <c r="G62">
        <f>EXAMENES!K62</f>
        <v>37</v>
      </c>
      <c r="H62" t="str">
        <f>VLOOKUP(D62,'TABLA FECHASEXAMEN'!K:L,2,FALSE)</f>
        <v>2024-04-29 13:00:00</v>
      </c>
      <c r="I62" t="str">
        <f>VLOOKUP(D62,'TABLA FECHASEXAMEN'!K:L,2,FALSE)</f>
        <v>2024-04-29 13:00:00</v>
      </c>
    </row>
    <row r="63" spans="1:9" x14ac:dyDescent="0.25">
      <c r="A63">
        <v>62</v>
      </c>
      <c r="B63">
        <f>VLOOKUP("A"&amp;EXAMENES!Q63&amp;"M"&amp;EXAMENES!O63&amp;"C"&amp;EXAMENES!R63,'TABLA PREVIOS'!A:C,3,FALSE)</f>
        <v>66</v>
      </c>
      <c r="C63">
        <f>EXAMENES!L63</f>
        <v>1</v>
      </c>
      <c r="D63">
        <f>VLOOKUP("T"&amp;EXAMENES!L63&amp;"M"&amp;EXAMENES!O63,'TABLA FECHASEXAMEN'!J:K,2,FALSE)</f>
        <v>22</v>
      </c>
      <c r="E63">
        <f>EXAMENES!P63</f>
        <v>4</v>
      </c>
      <c r="F63">
        <f>EXAMENES!J63</f>
        <v>68</v>
      </c>
      <c r="G63">
        <f>EXAMENES!K63</f>
        <v>37</v>
      </c>
      <c r="H63" t="str">
        <f>VLOOKUP(D63,'TABLA FECHASEXAMEN'!K:L,2,FALSE)</f>
        <v>2024-04-29 13:00:00</v>
      </c>
      <c r="I63" t="str">
        <f>VLOOKUP(D63,'TABLA FECHASEXAMEN'!K:L,2,FALSE)</f>
        <v>2024-04-29 13:00:00</v>
      </c>
    </row>
    <row r="64" spans="1:9" x14ac:dyDescent="0.25">
      <c r="A64">
        <v>63</v>
      </c>
      <c r="B64">
        <f>VLOOKUP("A"&amp;EXAMENES!Q64&amp;"M"&amp;EXAMENES!O64&amp;"C"&amp;EXAMENES!R64,'TABLA PREVIOS'!A:C,3,FALSE)</f>
        <v>71</v>
      </c>
      <c r="C64">
        <f>EXAMENES!L64</f>
        <v>1</v>
      </c>
      <c r="D64">
        <f>VLOOKUP("T"&amp;EXAMENES!L64&amp;"M"&amp;EXAMENES!O64,'TABLA FECHASEXAMEN'!J:K,2,FALSE)</f>
        <v>23</v>
      </c>
      <c r="E64">
        <f>EXAMENES!P64</f>
        <v>2</v>
      </c>
      <c r="F64">
        <f>EXAMENES!J64</f>
        <v>68</v>
      </c>
      <c r="G64">
        <f>EXAMENES!K64</f>
        <v>38</v>
      </c>
      <c r="H64" t="str">
        <f>VLOOKUP(D64,'TABLA FECHASEXAMEN'!K:L,2,FALSE)</f>
        <v>2024-04-29 13:00:00</v>
      </c>
      <c r="I64" t="str">
        <f>VLOOKUP(D64,'TABLA FECHASEXAMEN'!K:L,2,FALSE)</f>
        <v>2024-04-29 13:00:00</v>
      </c>
    </row>
    <row r="65" spans="1:9" x14ac:dyDescent="0.25">
      <c r="A65">
        <v>64</v>
      </c>
      <c r="B65">
        <f>VLOOKUP("A"&amp;EXAMENES!Q65&amp;"M"&amp;EXAMENES!O65&amp;"C"&amp;EXAMENES!R65,'TABLA PREVIOS'!A:C,3,FALSE)</f>
        <v>99</v>
      </c>
      <c r="C65">
        <f>EXAMENES!L65</f>
        <v>1</v>
      </c>
      <c r="D65">
        <f>VLOOKUP("T"&amp;EXAMENES!L65&amp;"M"&amp;EXAMENES!O65,'TABLA FECHASEXAMEN'!J:K,2,FALSE)</f>
        <v>23</v>
      </c>
      <c r="E65">
        <f>EXAMENES!P65</f>
        <v>5</v>
      </c>
      <c r="F65">
        <f>EXAMENES!J65</f>
        <v>68</v>
      </c>
      <c r="G65">
        <f>EXAMENES!K65</f>
        <v>38</v>
      </c>
      <c r="H65" t="str">
        <f>VLOOKUP(D65,'TABLA FECHASEXAMEN'!K:L,2,FALSE)</f>
        <v>2024-04-29 13:00:00</v>
      </c>
      <c r="I65" t="str">
        <f>VLOOKUP(D65,'TABLA FECHASEXAMEN'!K:L,2,FALSE)</f>
        <v>2024-04-29 13:00:00</v>
      </c>
    </row>
    <row r="66" spans="1:9" x14ac:dyDescent="0.25">
      <c r="A66">
        <v>65</v>
      </c>
      <c r="B66">
        <f>VLOOKUP("A"&amp;EXAMENES!Q66&amp;"M"&amp;EXAMENES!O66&amp;"C"&amp;EXAMENES!R66,'TABLA PREVIOS'!A:C,3,FALSE)</f>
        <v>144</v>
      </c>
      <c r="C66">
        <f>EXAMENES!L66</f>
        <v>1</v>
      </c>
      <c r="D66">
        <f>VLOOKUP("T"&amp;EXAMENES!L66&amp;"M"&amp;EXAMENES!O66,'TABLA FECHASEXAMEN'!J:K,2,FALSE)</f>
        <v>23</v>
      </c>
      <c r="E66">
        <f>EXAMENES!P66</f>
        <v>2</v>
      </c>
      <c r="F66">
        <f>EXAMENES!J66</f>
        <v>68</v>
      </c>
      <c r="G66">
        <f>EXAMENES!K66</f>
        <v>38</v>
      </c>
      <c r="H66" t="str">
        <f>VLOOKUP(D66,'TABLA FECHASEXAMEN'!K:L,2,FALSE)</f>
        <v>2024-04-29 13:00:00</v>
      </c>
      <c r="I66" t="str">
        <f>VLOOKUP(D66,'TABLA FECHASEXAMEN'!K:L,2,FALSE)</f>
        <v>2024-04-29 13:00:00</v>
      </c>
    </row>
    <row r="67" spans="1:9" x14ac:dyDescent="0.25">
      <c r="A67">
        <v>66</v>
      </c>
      <c r="B67">
        <f>VLOOKUP("A"&amp;EXAMENES!Q67&amp;"M"&amp;EXAMENES!O67&amp;"C"&amp;EXAMENES!R67,'TABLA PREVIOS'!A:C,3,FALSE)</f>
        <v>171</v>
      </c>
      <c r="C67">
        <f>EXAMENES!L67</f>
        <v>1</v>
      </c>
      <c r="D67">
        <f>VLOOKUP("T"&amp;EXAMENES!L67&amp;"M"&amp;EXAMENES!O67,'TABLA FECHASEXAMEN'!J:K,2,FALSE)</f>
        <v>23</v>
      </c>
      <c r="E67">
        <f>EXAMENES!P67</f>
        <v>6</v>
      </c>
      <c r="F67">
        <f>EXAMENES!J67</f>
        <v>68</v>
      </c>
      <c r="G67">
        <f>EXAMENES!K67</f>
        <v>38</v>
      </c>
      <c r="H67" t="str">
        <f>VLOOKUP(D67,'TABLA FECHASEXAMEN'!K:L,2,FALSE)</f>
        <v>2024-04-29 13:00:00</v>
      </c>
      <c r="I67" t="str">
        <f>VLOOKUP(D67,'TABLA FECHASEXAMEN'!K:L,2,FALSE)</f>
        <v>2024-04-29 13:00:00</v>
      </c>
    </row>
    <row r="68" spans="1:9" x14ac:dyDescent="0.25">
      <c r="A68">
        <v>67</v>
      </c>
      <c r="B68">
        <f>VLOOKUP("A"&amp;EXAMENES!Q68&amp;"M"&amp;EXAMENES!O68&amp;"C"&amp;EXAMENES!R68,'TABLA PREVIOS'!A:C,3,FALSE)</f>
        <v>206</v>
      </c>
      <c r="C68">
        <f>EXAMENES!L68</f>
        <v>1</v>
      </c>
      <c r="D68">
        <f>VLOOKUP("T"&amp;EXAMENES!L68&amp;"M"&amp;EXAMENES!O68,'TABLA FECHASEXAMEN'!J:K,2,FALSE)</f>
        <v>23</v>
      </c>
      <c r="E68">
        <f>EXAMENES!P68</f>
        <v>2</v>
      </c>
      <c r="F68">
        <f>EXAMENES!J68</f>
        <v>68</v>
      </c>
      <c r="G68">
        <f>EXAMENES!K68</f>
        <v>38</v>
      </c>
      <c r="H68" t="str">
        <f>VLOOKUP(D68,'TABLA FECHASEXAMEN'!K:L,2,FALSE)</f>
        <v>2024-04-29 13:00:00</v>
      </c>
      <c r="I68" t="str">
        <f>VLOOKUP(D68,'TABLA FECHASEXAMEN'!K:L,2,FALSE)</f>
        <v>2024-04-29 13:00:00</v>
      </c>
    </row>
    <row r="69" spans="1:9" x14ac:dyDescent="0.25">
      <c r="A69">
        <v>68</v>
      </c>
      <c r="B69">
        <f>VLOOKUP("A"&amp;EXAMENES!Q69&amp;"M"&amp;EXAMENES!O69&amp;"C"&amp;EXAMENES!R69,'TABLA PREVIOS'!A:C,3,FALSE)</f>
        <v>1337</v>
      </c>
      <c r="C69">
        <f>EXAMENES!L69</f>
        <v>1</v>
      </c>
      <c r="D69">
        <f>VLOOKUP("T"&amp;EXAMENES!L69&amp;"M"&amp;EXAMENES!O69,'TABLA FECHASEXAMEN'!J:K,2,FALSE)</f>
        <v>24</v>
      </c>
      <c r="E69">
        <f>EXAMENES!P69</f>
        <v>10</v>
      </c>
      <c r="F69">
        <f>EXAMENES!J69</f>
        <v>68</v>
      </c>
      <c r="G69">
        <f>EXAMENES!K69</f>
        <v>40</v>
      </c>
      <c r="H69" t="str">
        <f>VLOOKUP(D69,'TABLA FECHASEXAMEN'!K:L,2,FALSE)</f>
        <v>2024-04-29 13:00:00</v>
      </c>
      <c r="I69" t="str">
        <f>VLOOKUP(D69,'TABLA FECHASEXAMEN'!K:L,2,FALSE)</f>
        <v>2024-04-29 13:00:00</v>
      </c>
    </row>
    <row r="70" spans="1:9" x14ac:dyDescent="0.25">
      <c r="A70">
        <v>69</v>
      </c>
      <c r="B70">
        <f>VLOOKUP("A"&amp;EXAMENES!Q70&amp;"M"&amp;EXAMENES!O70&amp;"C"&amp;EXAMENES!R70,'TABLA PREVIOS'!A:C,3,FALSE)</f>
        <v>1030</v>
      </c>
      <c r="C70">
        <f>EXAMENES!L70</f>
        <v>1</v>
      </c>
      <c r="D70">
        <f>VLOOKUP("T"&amp;EXAMENES!L70&amp;"M"&amp;EXAMENES!O70,'TABLA FECHASEXAMEN'!J:K,2,FALSE)</f>
        <v>25</v>
      </c>
      <c r="E70">
        <f>EXAMENES!P70</f>
        <v>2</v>
      </c>
      <c r="F70">
        <f>EXAMENES!J70</f>
        <v>68</v>
      </c>
      <c r="G70">
        <f>EXAMENES!K70</f>
        <v>39</v>
      </c>
      <c r="H70" t="str">
        <f>VLOOKUP(D70,'TABLA FECHASEXAMEN'!K:L,2,FALSE)</f>
        <v>2024-04-29 13:00:00</v>
      </c>
      <c r="I70" t="str">
        <f>VLOOKUP(D70,'TABLA FECHASEXAMEN'!K:L,2,FALSE)</f>
        <v>2024-04-29 13:00:00</v>
      </c>
    </row>
    <row r="71" spans="1:9" x14ac:dyDescent="0.25">
      <c r="A71">
        <v>70</v>
      </c>
      <c r="B71">
        <f>VLOOKUP("A"&amp;EXAMENES!Q71&amp;"M"&amp;EXAMENES!O71&amp;"C"&amp;EXAMENES!R71,'TABLA PREVIOS'!A:C,3,FALSE)</f>
        <v>172</v>
      </c>
      <c r="C71">
        <f>EXAMENES!L71</f>
        <v>1</v>
      </c>
      <c r="D71">
        <f>VLOOKUP("T"&amp;EXAMENES!L71&amp;"M"&amp;EXAMENES!O71,'TABLA FECHASEXAMEN'!J:K,2,FALSE)</f>
        <v>25</v>
      </c>
      <c r="E71">
        <f>EXAMENES!P71</f>
        <v>2</v>
      </c>
      <c r="F71">
        <f>EXAMENES!J71</f>
        <v>68</v>
      </c>
      <c r="G71">
        <f>EXAMENES!K71</f>
        <v>39</v>
      </c>
      <c r="H71" t="str">
        <f>VLOOKUP(D71,'TABLA FECHASEXAMEN'!K:L,2,FALSE)</f>
        <v>2024-04-29 13:00:00</v>
      </c>
      <c r="I71" t="str">
        <f>VLOOKUP(D71,'TABLA FECHASEXAMEN'!K:L,2,FALSE)</f>
        <v>2024-04-29 13:00:00</v>
      </c>
    </row>
    <row r="72" spans="1:9" x14ac:dyDescent="0.25">
      <c r="A72">
        <v>71</v>
      </c>
      <c r="B72">
        <f>VLOOKUP("A"&amp;EXAMENES!Q72&amp;"M"&amp;EXAMENES!O72&amp;"C"&amp;EXAMENES!R72,'TABLA PREVIOS'!A:C,3,FALSE)</f>
        <v>800</v>
      </c>
      <c r="C72">
        <f>EXAMENES!L72</f>
        <v>1</v>
      </c>
      <c r="D72">
        <f>VLOOKUP("T"&amp;EXAMENES!L72&amp;"M"&amp;EXAMENES!O72,'TABLA FECHASEXAMEN'!J:K,2,FALSE)</f>
        <v>26</v>
      </c>
      <c r="E72">
        <f>EXAMENES!P72</f>
        <v>2</v>
      </c>
      <c r="F72">
        <f>EXAMENES!J72</f>
        <v>68</v>
      </c>
      <c r="G72">
        <f>EXAMENES!K72</f>
        <v>41</v>
      </c>
      <c r="H72" t="str">
        <f>VLOOKUP(D72,'TABLA FECHASEXAMEN'!K:L,2,FALSE)</f>
        <v>2024-04-29 13:00:00</v>
      </c>
      <c r="I72" t="str">
        <f>VLOOKUP(D72,'TABLA FECHASEXAMEN'!K:L,2,FALSE)</f>
        <v>2024-04-29 13:00:00</v>
      </c>
    </row>
    <row r="73" spans="1:9" x14ac:dyDescent="0.25">
      <c r="A73">
        <v>72</v>
      </c>
      <c r="B73">
        <f>VLOOKUP("A"&amp;EXAMENES!Q73&amp;"M"&amp;EXAMENES!O73&amp;"C"&amp;EXAMENES!R73,'TABLA PREVIOS'!A:C,3,FALSE)</f>
        <v>1038</v>
      </c>
      <c r="C73">
        <f>EXAMENES!L73</f>
        <v>1</v>
      </c>
      <c r="D73">
        <f>VLOOKUP("T"&amp;EXAMENES!L73&amp;"M"&amp;EXAMENES!O73,'TABLA FECHASEXAMEN'!J:K,2,FALSE)</f>
        <v>26</v>
      </c>
      <c r="E73">
        <f>EXAMENES!P73</f>
        <v>9</v>
      </c>
      <c r="F73">
        <f>EXAMENES!J73</f>
        <v>68</v>
      </c>
      <c r="G73">
        <f>EXAMENES!K73</f>
        <v>41</v>
      </c>
      <c r="H73" t="str">
        <f>VLOOKUP(D73,'TABLA FECHASEXAMEN'!K:L,2,FALSE)</f>
        <v>2024-04-29 13:00:00</v>
      </c>
      <c r="I73" t="str">
        <f>VLOOKUP(D73,'TABLA FECHASEXAMEN'!K:L,2,FALSE)</f>
        <v>2024-04-29 13:00:00</v>
      </c>
    </row>
    <row r="74" spans="1:9" x14ac:dyDescent="0.25">
      <c r="A74">
        <v>73</v>
      </c>
      <c r="B74">
        <f>VLOOKUP("A"&amp;EXAMENES!Q74&amp;"M"&amp;EXAMENES!O74&amp;"C"&amp;EXAMENES!R74,'TABLA PREVIOS'!A:C,3,FALSE)</f>
        <v>1041</v>
      </c>
      <c r="C74">
        <f>EXAMENES!L74</f>
        <v>1</v>
      </c>
      <c r="D74">
        <f>VLOOKUP("T"&amp;EXAMENES!L74&amp;"M"&amp;EXAMENES!O74,'TABLA FECHASEXAMEN'!J:K,2,FALSE)</f>
        <v>26</v>
      </c>
      <c r="E74">
        <f>EXAMENES!P74</f>
        <v>2</v>
      </c>
      <c r="F74">
        <f>EXAMENES!J74</f>
        <v>68</v>
      </c>
      <c r="G74">
        <f>EXAMENES!K74</f>
        <v>41</v>
      </c>
      <c r="H74" t="str">
        <f>VLOOKUP(D74,'TABLA FECHASEXAMEN'!K:L,2,FALSE)</f>
        <v>2024-04-29 13:00:00</v>
      </c>
      <c r="I74" t="str">
        <f>VLOOKUP(D74,'TABLA FECHASEXAMEN'!K:L,2,FALSE)</f>
        <v>2024-04-29 13:00:00</v>
      </c>
    </row>
    <row r="75" spans="1:9" x14ac:dyDescent="0.25">
      <c r="A75">
        <v>74</v>
      </c>
      <c r="B75">
        <f>VLOOKUP("A"&amp;EXAMENES!Q75&amp;"M"&amp;EXAMENES!O75&amp;"C"&amp;EXAMENES!R75,'TABLA PREVIOS'!A:C,3,FALSE)</f>
        <v>1053</v>
      </c>
      <c r="C75">
        <f>EXAMENES!L75</f>
        <v>1</v>
      </c>
      <c r="D75">
        <f>VLOOKUP("T"&amp;EXAMENES!L75&amp;"M"&amp;EXAMENES!O75,'TABLA FECHASEXAMEN'!J:K,2,FALSE)</f>
        <v>26</v>
      </c>
      <c r="E75">
        <f>EXAMENES!P75</f>
        <v>5</v>
      </c>
      <c r="F75">
        <f>EXAMENES!J75</f>
        <v>68</v>
      </c>
      <c r="G75">
        <f>EXAMENES!K75</f>
        <v>41</v>
      </c>
      <c r="H75" t="str">
        <f>VLOOKUP(D75,'TABLA FECHASEXAMEN'!K:L,2,FALSE)</f>
        <v>2024-04-29 13:00:00</v>
      </c>
      <c r="I75" t="str">
        <f>VLOOKUP(D75,'TABLA FECHASEXAMEN'!K:L,2,FALSE)</f>
        <v>2024-04-29 13:00:00</v>
      </c>
    </row>
    <row r="76" spans="1:9" x14ac:dyDescent="0.25">
      <c r="A76">
        <v>75</v>
      </c>
      <c r="B76">
        <f>VLOOKUP("A"&amp;EXAMENES!Q76&amp;"M"&amp;EXAMENES!O76&amp;"C"&amp;EXAMENES!R76,'TABLA PREVIOS'!A:C,3,FALSE)</f>
        <v>235</v>
      </c>
      <c r="C76">
        <f>EXAMENES!L76</f>
        <v>1</v>
      </c>
      <c r="D76">
        <f>VLOOKUP("T"&amp;EXAMENES!L76&amp;"M"&amp;EXAMENES!O76,'TABLA FECHASEXAMEN'!J:K,2,FALSE)</f>
        <v>27</v>
      </c>
      <c r="E76">
        <f>EXAMENES!P76</f>
        <v>2</v>
      </c>
      <c r="F76">
        <f>EXAMENES!J76</f>
        <v>58</v>
      </c>
      <c r="G76">
        <f>EXAMENES!K76</f>
        <v>197</v>
      </c>
      <c r="H76" t="str">
        <f>VLOOKUP(D76,'TABLA FECHASEXAMEN'!K:L,2,FALSE)</f>
        <v>2024-04-29 13:00:00</v>
      </c>
      <c r="I76" t="str">
        <f>VLOOKUP(D76,'TABLA FECHASEXAMEN'!K:L,2,FALSE)</f>
        <v>2024-04-29 13:00:00</v>
      </c>
    </row>
    <row r="77" spans="1:9" x14ac:dyDescent="0.25">
      <c r="A77">
        <v>76</v>
      </c>
      <c r="B77">
        <f>VLOOKUP("A"&amp;EXAMENES!Q77&amp;"M"&amp;EXAMENES!O77&amp;"C"&amp;EXAMENES!R77,'TABLA PREVIOS'!A:C,3,FALSE)</f>
        <v>922</v>
      </c>
      <c r="C77">
        <f>EXAMENES!L77</f>
        <v>1</v>
      </c>
      <c r="D77">
        <f>VLOOKUP("T"&amp;EXAMENES!L77&amp;"M"&amp;EXAMENES!O77,'TABLA FECHASEXAMEN'!J:K,2,FALSE)</f>
        <v>27</v>
      </c>
      <c r="E77">
        <f>EXAMENES!P77</f>
        <v>9</v>
      </c>
      <c r="F77">
        <f>EXAMENES!J77</f>
        <v>58</v>
      </c>
      <c r="G77">
        <f>EXAMENES!K77</f>
        <v>197</v>
      </c>
      <c r="H77" t="str">
        <f>VLOOKUP(D77,'TABLA FECHASEXAMEN'!K:L,2,FALSE)</f>
        <v>2024-04-29 13:00:00</v>
      </c>
      <c r="I77" t="str">
        <f>VLOOKUP(D77,'TABLA FECHASEXAMEN'!K:L,2,FALSE)</f>
        <v>2024-04-29 13:00:00</v>
      </c>
    </row>
    <row r="78" spans="1:9" x14ac:dyDescent="0.25">
      <c r="A78">
        <v>77</v>
      </c>
      <c r="B78">
        <f>VLOOKUP("A"&amp;EXAMENES!Q78&amp;"M"&amp;EXAMENES!O78&amp;"C"&amp;EXAMENES!R78,'TABLA PREVIOS'!A:C,3,FALSE)</f>
        <v>273</v>
      </c>
      <c r="C78">
        <f>EXAMENES!L78</f>
        <v>1</v>
      </c>
      <c r="D78">
        <f>VLOOKUP("T"&amp;EXAMENES!L78&amp;"M"&amp;EXAMENES!O78,'TABLA FECHASEXAMEN'!J:K,2,FALSE)</f>
        <v>27</v>
      </c>
      <c r="E78">
        <f>EXAMENES!P78</f>
        <v>9</v>
      </c>
      <c r="F78">
        <f>EXAMENES!J78</f>
        <v>58</v>
      </c>
      <c r="G78">
        <f>EXAMENES!K78</f>
        <v>197</v>
      </c>
      <c r="H78" t="str">
        <f>VLOOKUP(D78,'TABLA FECHASEXAMEN'!K:L,2,FALSE)</f>
        <v>2024-04-29 13:00:00</v>
      </c>
      <c r="I78" t="str">
        <f>VLOOKUP(D78,'TABLA FECHASEXAMEN'!K:L,2,FALSE)</f>
        <v>2024-04-29 13:00:00</v>
      </c>
    </row>
    <row r="79" spans="1:9" x14ac:dyDescent="0.25">
      <c r="A79">
        <v>78</v>
      </c>
      <c r="B79">
        <f>VLOOKUP("A"&amp;EXAMENES!Q79&amp;"M"&amp;EXAMENES!O79&amp;"C"&amp;EXAMENES!R79,'TABLA PREVIOS'!A:C,3,FALSE)</f>
        <v>233</v>
      </c>
      <c r="C79">
        <f>EXAMENES!L79</f>
        <v>1</v>
      </c>
      <c r="D79">
        <f>VLOOKUP("T"&amp;EXAMENES!L79&amp;"M"&amp;EXAMENES!O79,'TABLA FECHASEXAMEN'!J:K,2,FALSE)</f>
        <v>27</v>
      </c>
      <c r="E79">
        <f>EXAMENES!P79</f>
        <v>11</v>
      </c>
      <c r="F79">
        <f>EXAMENES!J79</f>
        <v>58</v>
      </c>
      <c r="G79">
        <f>EXAMENES!K79</f>
        <v>197</v>
      </c>
      <c r="H79" t="str">
        <f>VLOOKUP(D79,'TABLA FECHASEXAMEN'!K:L,2,FALSE)</f>
        <v>2024-04-29 13:00:00</v>
      </c>
      <c r="I79" t="str">
        <f>VLOOKUP(D79,'TABLA FECHASEXAMEN'!K:L,2,FALSE)</f>
        <v>2024-04-29 13:00:00</v>
      </c>
    </row>
    <row r="80" spans="1:9" x14ac:dyDescent="0.25">
      <c r="A80">
        <v>79</v>
      </c>
      <c r="B80">
        <f>VLOOKUP("A"&amp;EXAMENES!Q80&amp;"M"&amp;EXAMENES!O80&amp;"C"&amp;EXAMENES!R80,'TABLA PREVIOS'!A:C,3,FALSE)</f>
        <v>274</v>
      </c>
      <c r="C80">
        <f>EXAMENES!L80</f>
        <v>1</v>
      </c>
      <c r="D80">
        <f>VLOOKUP("T"&amp;EXAMENES!L80&amp;"M"&amp;EXAMENES!O80,'TABLA FECHASEXAMEN'!J:K,2,FALSE)</f>
        <v>28</v>
      </c>
      <c r="E80">
        <f>EXAMENES!P80</f>
        <v>4</v>
      </c>
      <c r="F80">
        <f>EXAMENES!J80</f>
        <v>58</v>
      </c>
      <c r="G80">
        <f>EXAMENES!K80</f>
        <v>198</v>
      </c>
      <c r="H80" t="str">
        <f>VLOOKUP(D80,'TABLA FECHASEXAMEN'!K:L,2,FALSE)</f>
        <v>2024-04-29 13:00:00</v>
      </c>
      <c r="I80" t="str">
        <f>VLOOKUP(D80,'TABLA FECHASEXAMEN'!K:L,2,FALSE)</f>
        <v>2024-04-29 13:00:00</v>
      </c>
    </row>
    <row r="81" spans="1:9" x14ac:dyDescent="0.25">
      <c r="A81">
        <v>80</v>
      </c>
      <c r="B81">
        <f>VLOOKUP("A"&amp;EXAMENES!Q81&amp;"M"&amp;EXAMENES!O81&amp;"C"&amp;EXAMENES!R81,'TABLA PREVIOS'!A:C,3,FALSE)</f>
        <v>234</v>
      </c>
      <c r="C81">
        <f>EXAMENES!L81</f>
        <v>1</v>
      </c>
      <c r="D81">
        <f>VLOOKUP("T"&amp;EXAMENES!L81&amp;"M"&amp;EXAMENES!O81,'TABLA FECHASEXAMEN'!J:K,2,FALSE)</f>
        <v>28</v>
      </c>
      <c r="E81">
        <f>EXAMENES!P81</f>
        <v>11</v>
      </c>
      <c r="F81">
        <f>EXAMENES!J81</f>
        <v>58</v>
      </c>
      <c r="G81">
        <f>EXAMENES!K81</f>
        <v>198</v>
      </c>
      <c r="H81" t="str">
        <f>VLOOKUP(D81,'TABLA FECHASEXAMEN'!K:L,2,FALSE)</f>
        <v>2024-04-29 13:00:00</v>
      </c>
      <c r="I81" t="str">
        <f>VLOOKUP(D81,'TABLA FECHASEXAMEN'!K:L,2,FALSE)</f>
        <v>2024-04-29 13:00:00</v>
      </c>
    </row>
    <row r="82" spans="1:9" x14ac:dyDescent="0.25">
      <c r="A82">
        <v>81</v>
      </c>
      <c r="B82">
        <f>VLOOKUP("A"&amp;EXAMENES!Q82&amp;"M"&amp;EXAMENES!O82&amp;"C"&amp;EXAMENES!R82,'TABLA PREVIOS'!A:C,3,FALSE)</f>
        <v>278</v>
      </c>
      <c r="C82">
        <f>EXAMENES!L82</f>
        <v>1</v>
      </c>
      <c r="D82">
        <f>VLOOKUP("T"&amp;EXAMENES!L82&amp;"M"&amp;EXAMENES!O82,'TABLA FECHASEXAMEN'!J:K,2,FALSE)</f>
        <v>28</v>
      </c>
      <c r="E82">
        <f>EXAMENES!P82</f>
        <v>2</v>
      </c>
      <c r="F82">
        <f>EXAMENES!J82</f>
        <v>68</v>
      </c>
      <c r="G82">
        <f>EXAMENES!K82</f>
        <v>44</v>
      </c>
      <c r="H82" t="str">
        <f>VLOOKUP(D82,'TABLA FECHASEXAMEN'!K:L,2,FALSE)</f>
        <v>2024-04-29 13:00:00</v>
      </c>
      <c r="I82" t="str">
        <f>VLOOKUP(D82,'TABLA FECHASEXAMEN'!K:L,2,FALSE)</f>
        <v>2024-04-29 13:00:00</v>
      </c>
    </row>
    <row r="83" spans="1:9" x14ac:dyDescent="0.25">
      <c r="A83">
        <v>82</v>
      </c>
      <c r="B83">
        <f>VLOOKUP("A"&amp;EXAMENES!Q83&amp;"M"&amp;EXAMENES!O83&amp;"C"&amp;EXAMENES!R83,'TABLA PREVIOS'!A:C,3,FALSE)</f>
        <v>1098</v>
      </c>
      <c r="C83">
        <f>EXAMENES!L83</f>
        <v>1</v>
      </c>
      <c r="D83">
        <f>VLOOKUP("T"&amp;EXAMENES!L83&amp;"M"&amp;EXAMENES!O83,'TABLA FECHASEXAMEN'!J:K,2,FALSE)</f>
        <v>29</v>
      </c>
      <c r="E83">
        <f>EXAMENES!P83</f>
        <v>9</v>
      </c>
      <c r="F83">
        <f>EXAMENES!J83</f>
        <v>58</v>
      </c>
      <c r="G83">
        <f>EXAMENES!K83</f>
        <v>199</v>
      </c>
      <c r="H83" t="str">
        <f>VLOOKUP(D83,'TABLA FECHASEXAMEN'!K:L,2,FALSE)</f>
        <v>2024-04-29 13:00:00</v>
      </c>
      <c r="I83" t="str">
        <f>VLOOKUP(D83,'TABLA FECHASEXAMEN'!K:L,2,FALSE)</f>
        <v>2024-04-29 13:00:00</v>
      </c>
    </row>
    <row r="84" spans="1:9" x14ac:dyDescent="0.25">
      <c r="A84">
        <v>83</v>
      </c>
      <c r="B84">
        <f>VLOOKUP("A"&amp;EXAMENES!Q84&amp;"M"&amp;EXAMENES!O84&amp;"C"&amp;EXAMENES!R84,'TABLA PREVIOS'!A:C,3,FALSE)</f>
        <v>271</v>
      </c>
      <c r="C84">
        <f>EXAMENES!L84</f>
        <v>1</v>
      </c>
      <c r="D84">
        <f>VLOOKUP("T"&amp;EXAMENES!L84&amp;"M"&amp;EXAMENES!O84,'TABLA FECHASEXAMEN'!J:K,2,FALSE)</f>
        <v>29</v>
      </c>
      <c r="E84">
        <f>EXAMENES!P84</f>
        <v>2</v>
      </c>
      <c r="F84">
        <f>EXAMENES!J84</f>
        <v>68</v>
      </c>
      <c r="G84">
        <f>EXAMENES!K84</f>
        <v>45</v>
      </c>
      <c r="H84" t="str">
        <f>VLOOKUP(D84,'TABLA FECHASEXAMEN'!K:L,2,FALSE)</f>
        <v>2024-04-29 13:00:00</v>
      </c>
      <c r="I84" t="str">
        <f>VLOOKUP(D84,'TABLA FECHASEXAMEN'!K:L,2,FALSE)</f>
        <v>2024-04-29 13:00:00</v>
      </c>
    </row>
    <row r="85" spans="1:9" x14ac:dyDescent="0.25">
      <c r="A85">
        <v>84</v>
      </c>
      <c r="B85">
        <f>VLOOKUP("A"&amp;EXAMENES!Q85&amp;"M"&amp;EXAMENES!O85&amp;"C"&amp;EXAMENES!R85,'TABLA PREVIOS'!A:C,3,FALSE)</f>
        <v>796</v>
      </c>
      <c r="C85">
        <f>EXAMENES!L85</f>
        <v>1</v>
      </c>
      <c r="D85">
        <f>VLOOKUP("T"&amp;EXAMENES!L85&amp;"M"&amp;EXAMENES!O85,'TABLA FECHASEXAMEN'!J:K,2,FALSE)</f>
        <v>30</v>
      </c>
      <c r="E85">
        <f>EXAMENES!P85</f>
        <v>2</v>
      </c>
      <c r="F85">
        <f>EXAMENES!J85</f>
        <v>68</v>
      </c>
      <c r="G85">
        <f>EXAMENES!K85</f>
        <v>49</v>
      </c>
      <c r="H85" t="str">
        <f>VLOOKUP(D85,'TABLA FECHASEXAMEN'!K:L,2,FALSE)</f>
        <v>2024-04-29 13:00:00</v>
      </c>
      <c r="I85" t="str">
        <f>VLOOKUP(D85,'TABLA FECHASEXAMEN'!K:L,2,FALSE)</f>
        <v>2024-04-29 13:00:00</v>
      </c>
    </row>
    <row r="86" spans="1:9" x14ac:dyDescent="0.25">
      <c r="A86">
        <v>85</v>
      </c>
      <c r="B86">
        <f>VLOOKUP("A"&amp;EXAMENES!Q86&amp;"M"&amp;EXAMENES!O86&amp;"C"&amp;EXAMENES!R86,'TABLA PREVIOS'!A:C,3,FALSE)</f>
        <v>797</v>
      </c>
      <c r="C86">
        <f>EXAMENES!L86</f>
        <v>1</v>
      </c>
      <c r="D86">
        <f>VLOOKUP("T"&amp;EXAMENES!L86&amp;"M"&amp;EXAMENES!O86,'TABLA FECHASEXAMEN'!J:K,2,FALSE)</f>
        <v>31</v>
      </c>
      <c r="E86">
        <f>EXAMENES!P86</f>
        <v>2</v>
      </c>
      <c r="F86">
        <f>EXAMENES!J86</f>
        <v>68</v>
      </c>
      <c r="G86">
        <f>EXAMENES!K86</f>
        <v>50</v>
      </c>
      <c r="H86" t="str">
        <f>VLOOKUP(D86,'TABLA FECHASEXAMEN'!K:L,2,FALSE)</f>
        <v>2024-04-29 13:00:00</v>
      </c>
      <c r="I86" t="str">
        <f>VLOOKUP(D86,'TABLA FECHASEXAMEN'!K:L,2,FALSE)</f>
        <v>2024-04-29 13:00:00</v>
      </c>
    </row>
    <row r="87" spans="1:9" x14ac:dyDescent="0.25">
      <c r="A87">
        <v>86</v>
      </c>
      <c r="B87">
        <f>VLOOKUP("A"&amp;EXAMENES!Q87&amp;"M"&amp;EXAMENES!O87&amp;"C"&amp;EXAMENES!R87,'TABLA PREVIOS'!A:C,3,FALSE)</f>
        <v>798</v>
      </c>
      <c r="C87">
        <f>EXAMENES!L87</f>
        <v>1</v>
      </c>
      <c r="D87">
        <f>VLOOKUP("T"&amp;EXAMENES!L87&amp;"M"&amp;EXAMENES!O87,'TABLA FECHASEXAMEN'!J:K,2,FALSE)</f>
        <v>32</v>
      </c>
      <c r="E87">
        <f>EXAMENES!P87</f>
        <v>2</v>
      </c>
      <c r="F87">
        <f>EXAMENES!J87</f>
        <v>68</v>
      </c>
      <c r="G87">
        <f>EXAMENES!K87</f>
        <v>46</v>
      </c>
      <c r="H87" t="str">
        <f>VLOOKUP(D87,'TABLA FECHASEXAMEN'!K:L,2,FALSE)</f>
        <v>2024-04-29 13:00:00</v>
      </c>
      <c r="I87" t="str">
        <f>VLOOKUP(D87,'TABLA FECHASEXAMEN'!K:L,2,FALSE)</f>
        <v>2024-04-29 13:00:00</v>
      </c>
    </row>
    <row r="88" spans="1:9" x14ac:dyDescent="0.25">
      <c r="A88">
        <v>87</v>
      </c>
      <c r="B88">
        <f>VLOOKUP("A"&amp;EXAMENES!Q88&amp;"M"&amp;EXAMENES!O88&amp;"C"&amp;EXAMENES!R88,'TABLA PREVIOS'!A:C,3,FALSE)</f>
        <v>799</v>
      </c>
      <c r="C88">
        <f>EXAMENES!L88</f>
        <v>1</v>
      </c>
      <c r="D88">
        <f>VLOOKUP("T"&amp;EXAMENES!L88&amp;"M"&amp;EXAMENES!O88,'TABLA FECHASEXAMEN'!J:K,2,FALSE)</f>
        <v>33</v>
      </c>
      <c r="E88">
        <f>EXAMENES!P88</f>
        <v>2</v>
      </c>
      <c r="F88">
        <f>EXAMENES!J88</f>
        <v>68</v>
      </c>
      <c r="G88">
        <f>EXAMENES!K88</f>
        <v>48</v>
      </c>
      <c r="H88" t="str">
        <f>VLOOKUP(D88,'TABLA FECHASEXAMEN'!K:L,2,FALSE)</f>
        <v>2024-04-29 13:00:00</v>
      </c>
      <c r="I88" t="str">
        <f>VLOOKUP(D88,'TABLA FECHASEXAMEN'!K:L,2,FALSE)</f>
        <v>2024-04-29 13:00:00</v>
      </c>
    </row>
    <row r="89" spans="1:9" x14ac:dyDescent="0.25">
      <c r="A89">
        <v>88</v>
      </c>
      <c r="B89">
        <f>VLOOKUP("A"&amp;EXAMENES!Q89&amp;"M"&amp;EXAMENES!O89&amp;"C"&amp;EXAMENES!R89,'TABLA PREVIOS'!A:C,3,FALSE)</f>
        <v>801</v>
      </c>
      <c r="C89">
        <f>EXAMENES!L89</f>
        <v>1</v>
      </c>
      <c r="D89">
        <f>VLOOKUP("T"&amp;EXAMENES!L89&amp;"M"&amp;EXAMENES!O89,'TABLA FECHASEXAMEN'!J:K,2,FALSE)</f>
        <v>34</v>
      </c>
      <c r="E89">
        <f>EXAMENES!P89</f>
        <v>2</v>
      </c>
      <c r="F89">
        <f>EXAMENES!J89</f>
        <v>68</v>
      </c>
      <c r="G89">
        <f>EXAMENES!K89</f>
        <v>47</v>
      </c>
      <c r="H89" t="str">
        <f>VLOOKUP(D89,'TABLA FECHASEXAMEN'!K:L,2,FALSE)</f>
        <v>2024-04-29 13:00:00</v>
      </c>
      <c r="I89" t="str">
        <f>VLOOKUP(D89,'TABLA FECHASEXAMEN'!K:L,2,FALSE)</f>
        <v>2024-04-29 13:00:00</v>
      </c>
    </row>
    <row r="90" spans="1:9" x14ac:dyDescent="0.25">
      <c r="A90">
        <v>89</v>
      </c>
      <c r="B90">
        <f>VLOOKUP("A"&amp;EXAMENES!Q90&amp;"M"&amp;EXAMENES!O90&amp;"C"&amp;EXAMENES!R90,'TABLA PREVIOS'!A:C,3,FALSE)</f>
        <v>1054</v>
      </c>
      <c r="C90">
        <f>EXAMENES!L90</f>
        <v>1</v>
      </c>
      <c r="D90">
        <f>VLOOKUP("T"&amp;EXAMENES!L90&amp;"M"&amp;EXAMENES!O90,'TABLA FECHASEXAMEN'!J:K,2,FALSE)</f>
        <v>34</v>
      </c>
      <c r="E90">
        <f>EXAMENES!P90</f>
        <v>9</v>
      </c>
      <c r="F90">
        <f>EXAMENES!J90</f>
        <v>68</v>
      </c>
      <c r="G90">
        <f>EXAMENES!K90</f>
        <v>47</v>
      </c>
      <c r="H90" t="str">
        <f>VLOOKUP(D90,'TABLA FECHASEXAMEN'!K:L,2,FALSE)</f>
        <v>2024-04-29 13:00:00</v>
      </c>
      <c r="I90" t="str">
        <f>VLOOKUP(D90,'TABLA FECHASEXAMEN'!K:L,2,FALSE)</f>
        <v>2024-04-29 13:00:00</v>
      </c>
    </row>
    <row r="91" spans="1:9" x14ac:dyDescent="0.25">
      <c r="A91">
        <v>90</v>
      </c>
      <c r="B91">
        <f>VLOOKUP("A"&amp;EXAMENES!Q91&amp;"M"&amp;EXAMENES!O91&amp;"C"&amp;EXAMENES!R91,'TABLA PREVIOS'!A:C,3,FALSE)</f>
        <v>1118</v>
      </c>
      <c r="C91">
        <f>EXAMENES!L91</f>
        <v>1</v>
      </c>
      <c r="D91">
        <f>VLOOKUP("T"&amp;EXAMENES!L91&amp;"M"&amp;EXAMENES!O91,'TABLA FECHASEXAMEN'!J:K,2,FALSE)</f>
        <v>34</v>
      </c>
      <c r="E91">
        <f>EXAMENES!P91</f>
        <v>2</v>
      </c>
      <c r="F91">
        <f>EXAMENES!J91</f>
        <v>68</v>
      </c>
      <c r="G91">
        <f>EXAMENES!K91</f>
        <v>47</v>
      </c>
      <c r="H91" t="str">
        <f>VLOOKUP(D91,'TABLA FECHASEXAMEN'!K:L,2,FALSE)</f>
        <v>2024-04-29 13:00:00</v>
      </c>
      <c r="I91" t="str">
        <f>VLOOKUP(D91,'TABLA FECHASEXAMEN'!K:L,2,FALSE)</f>
        <v>2024-04-29 13:00:00</v>
      </c>
    </row>
    <row r="92" spans="1:9" x14ac:dyDescent="0.25">
      <c r="A92">
        <v>91</v>
      </c>
      <c r="B92">
        <f>VLOOKUP("A"&amp;EXAMENES!Q92&amp;"M"&amp;EXAMENES!O92&amp;"C"&amp;EXAMENES!R92,'TABLA PREVIOS'!A:C,3,FALSE)</f>
        <v>1120</v>
      </c>
      <c r="C92">
        <f>EXAMENES!L92</f>
        <v>1</v>
      </c>
      <c r="D92">
        <f>VLOOKUP("T"&amp;EXAMENES!L92&amp;"M"&amp;EXAMENES!O92,'TABLA FECHASEXAMEN'!J:K,2,FALSE)</f>
        <v>34</v>
      </c>
      <c r="E92">
        <f>EXAMENES!P92</f>
        <v>9</v>
      </c>
      <c r="F92">
        <f>EXAMENES!J92</f>
        <v>68</v>
      </c>
      <c r="G92">
        <f>EXAMENES!K92</f>
        <v>47</v>
      </c>
      <c r="H92" t="str">
        <f>VLOOKUP(D92,'TABLA FECHASEXAMEN'!K:L,2,FALSE)</f>
        <v>2024-04-29 13:00:00</v>
      </c>
      <c r="I92" t="str">
        <f>VLOOKUP(D92,'TABLA FECHASEXAMEN'!K:L,2,FALSE)</f>
        <v>2024-04-29 13:00:00</v>
      </c>
    </row>
    <row r="93" spans="1:9" x14ac:dyDescent="0.25">
      <c r="A93">
        <v>92</v>
      </c>
      <c r="B93">
        <f>VLOOKUP("A"&amp;EXAMENES!Q93&amp;"M"&amp;EXAMENES!O93&amp;"C"&amp;EXAMENES!R93,'TABLA PREVIOS'!A:C,3,FALSE)</f>
        <v>802</v>
      </c>
      <c r="C93">
        <f>EXAMENES!L93</f>
        <v>1</v>
      </c>
      <c r="D93">
        <f>VLOOKUP("T"&amp;EXAMENES!L93&amp;"M"&amp;EXAMENES!O93,'TABLA FECHASEXAMEN'!J:K,2,FALSE)</f>
        <v>35</v>
      </c>
      <c r="E93">
        <f>EXAMENES!P93</f>
        <v>2</v>
      </c>
      <c r="F93">
        <f>EXAMENES!J93</f>
        <v>68</v>
      </c>
      <c r="G93">
        <f>EXAMENES!K93</f>
        <v>51</v>
      </c>
      <c r="H93" t="str">
        <f>VLOOKUP(D93,'TABLA FECHASEXAMEN'!K:L,2,FALSE)</f>
        <v>2024-04-29 13:00:00</v>
      </c>
      <c r="I93" t="str">
        <f>VLOOKUP(D93,'TABLA FECHASEXAMEN'!K:L,2,FALSE)</f>
        <v>2024-04-29 13:00:00</v>
      </c>
    </row>
    <row r="94" spans="1:9" x14ac:dyDescent="0.25">
      <c r="A94">
        <v>93</v>
      </c>
      <c r="B94">
        <f>VLOOKUP("A"&amp;EXAMENES!Q94&amp;"M"&amp;EXAMENES!O94&amp;"C"&amp;EXAMENES!R94,'TABLA PREVIOS'!A:C,3,FALSE)</f>
        <v>1099</v>
      </c>
      <c r="C94">
        <f>EXAMENES!L94</f>
        <v>1</v>
      </c>
      <c r="D94">
        <f>VLOOKUP("T"&amp;EXAMENES!L94&amp;"M"&amp;EXAMENES!O94,'TABLA FECHASEXAMEN'!J:K,2,FALSE)</f>
        <v>35</v>
      </c>
      <c r="E94">
        <f>EXAMENES!P94</f>
        <v>9</v>
      </c>
      <c r="F94">
        <f>EXAMENES!J94</f>
        <v>68</v>
      </c>
      <c r="G94">
        <f>EXAMENES!K94</f>
        <v>51</v>
      </c>
      <c r="H94" t="str">
        <f>VLOOKUP(D94,'TABLA FECHASEXAMEN'!K:L,2,FALSE)</f>
        <v>2024-04-29 13:00:00</v>
      </c>
      <c r="I94" t="str">
        <f>VLOOKUP(D94,'TABLA FECHASEXAMEN'!K:L,2,FALSE)</f>
        <v>2024-04-29 13:00:00</v>
      </c>
    </row>
    <row r="95" spans="1:9" x14ac:dyDescent="0.25">
      <c r="A95">
        <v>94</v>
      </c>
      <c r="B95">
        <f>VLOOKUP("A"&amp;EXAMENES!Q95&amp;"M"&amp;EXAMENES!O95&amp;"C"&amp;EXAMENES!R95,'TABLA PREVIOS'!A:C,3,FALSE)</f>
        <v>1153</v>
      </c>
      <c r="C95">
        <f>EXAMENES!L95</f>
        <v>1</v>
      </c>
      <c r="D95">
        <f>VLOOKUP("T"&amp;EXAMENES!L95&amp;"M"&amp;EXAMENES!O95,'TABLA FECHASEXAMEN'!J:K,2,FALSE)</f>
        <v>35</v>
      </c>
      <c r="E95">
        <f>EXAMENES!P95</f>
        <v>9</v>
      </c>
      <c r="F95">
        <f>EXAMENES!J95</f>
        <v>68</v>
      </c>
      <c r="G95">
        <f>EXAMENES!K95</f>
        <v>51</v>
      </c>
      <c r="H95" t="str">
        <f>VLOOKUP(D95,'TABLA FECHASEXAMEN'!K:L,2,FALSE)</f>
        <v>2024-04-29 13:00:00</v>
      </c>
      <c r="I95" t="str">
        <f>VLOOKUP(D95,'TABLA FECHASEXAMEN'!K:L,2,FALSE)</f>
        <v>2024-04-29 13:00:00</v>
      </c>
    </row>
    <row r="96" spans="1:9" x14ac:dyDescent="0.25">
      <c r="A96">
        <v>95</v>
      </c>
      <c r="B96">
        <f>VLOOKUP("A"&amp;EXAMENES!Q96&amp;"M"&amp;EXAMENES!O96&amp;"C"&amp;EXAMENES!R96,'TABLA PREVIOS'!A:C,3,FALSE)</f>
        <v>1137</v>
      </c>
      <c r="C96">
        <f>EXAMENES!L96</f>
        <v>1</v>
      </c>
      <c r="D96">
        <f>VLOOKUP("T"&amp;EXAMENES!L96&amp;"M"&amp;EXAMENES!O96,'TABLA FECHASEXAMEN'!J:K,2,FALSE)</f>
        <v>29</v>
      </c>
      <c r="E96">
        <f>EXAMENES!P96</f>
        <v>9</v>
      </c>
      <c r="F96">
        <f>EXAMENES!J96</f>
        <v>68</v>
      </c>
      <c r="G96">
        <f>EXAMENES!K96</f>
        <v>45</v>
      </c>
      <c r="H96" t="str">
        <f>VLOOKUP(D96,'TABLA FECHASEXAMEN'!K:L,2,FALSE)</f>
        <v>2024-04-29 13:00:00</v>
      </c>
      <c r="I96" t="str">
        <f>VLOOKUP(D96,'TABLA FECHASEXAMEN'!K:L,2,FALSE)</f>
        <v>2024-04-29 13:00:00</v>
      </c>
    </row>
    <row r="97" spans="1:9" x14ac:dyDescent="0.25">
      <c r="A97">
        <v>96</v>
      </c>
      <c r="B97">
        <f>VLOOKUP("A"&amp;EXAMENES!Q97&amp;"M"&amp;EXAMENES!O97&amp;"C"&amp;EXAMENES!R97,'TABLA PREVIOS'!A:C,3,FALSE)</f>
        <v>58</v>
      </c>
      <c r="C97">
        <f>EXAMENES!L97</f>
        <v>2</v>
      </c>
      <c r="D97">
        <f>VLOOKUP("T"&amp;EXAMENES!L97&amp;"M"&amp;EXAMENES!O97,'TABLA FECHASEXAMEN'!J:K,2,FALSE)</f>
        <v>36</v>
      </c>
      <c r="E97">
        <f>EXAMENES!P97</f>
        <v>2</v>
      </c>
      <c r="F97">
        <f>EXAMENES!J97</f>
        <v>68</v>
      </c>
      <c r="G97">
        <f>EXAMENES!K97</f>
        <v>56</v>
      </c>
      <c r="H97" t="str">
        <f>VLOOKUP(D97,'TABLA FECHASEXAMEN'!K:L,2,FALSE)</f>
        <v>2024-07-01 08:00:00</v>
      </c>
      <c r="I97" t="str">
        <f>VLOOKUP(D97,'TABLA FECHASEXAMEN'!K:L,2,FALSE)</f>
        <v>2024-07-01 08:00:00</v>
      </c>
    </row>
    <row r="98" spans="1:9" x14ac:dyDescent="0.25">
      <c r="A98">
        <v>97</v>
      </c>
      <c r="B98">
        <f>VLOOKUP("A"&amp;EXAMENES!Q98&amp;"M"&amp;EXAMENES!O98&amp;"C"&amp;EXAMENES!R98,'TABLA PREVIOS'!A:C,3,FALSE)</f>
        <v>62</v>
      </c>
      <c r="C98">
        <f>EXAMENES!L98</f>
        <v>2</v>
      </c>
      <c r="D98">
        <f>VLOOKUP("T"&amp;EXAMENES!L98&amp;"M"&amp;EXAMENES!O98,'TABLA FECHASEXAMEN'!J:K,2,FALSE)</f>
        <v>36</v>
      </c>
      <c r="E98">
        <f>EXAMENES!P98</f>
        <v>2</v>
      </c>
      <c r="F98">
        <f>EXAMENES!J98</f>
        <v>68</v>
      </c>
      <c r="G98">
        <f>EXAMENES!K98</f>
        <v>56</v>
      </c>
      <c r="H98" t="str">
        <f>VLOOKUP(D98,'TABLA FECHASEXAMEN'!K:L,2,FALSE)</f>
        <v>2024-07-01 08:00:00</v>
      </c>
      <c r="I98" t="str">
        <f>VLOOKUP(D98,'TABLA FECHASEXAMEN'!K:L,2,FALSE)</f>
        <v>2024-07-01 08:00:00</v>
      </c>
    </row>
    <row r="99" spans="1:9" x14ac:dyDescent="0.25">
      <c r="A99">
        <v>98</v>
      </c>
      <c r="B99">
        <f>VLOOKUP("A"&amp;EXAMENES!Q99&amp;"M"&amp;EXAMENES!O99&amp;"C"&amp;EXAMENES!R99,'TABLA PREVIOS'!A:C,3,FALSE)</f>
        <v>2</v>
      </c>
      <c r="C99">
        <f>EXAMENES!L99</f>
        <v>2</v>
      </c>
      <c r="D99">
        <f>VLOOKUP("T"&amp;EXAMENES!L99&amp;"M"&amp;EXAMENES!O99,'TABLA FECHASEXAMEN'!J:K,2,FALSE)</f>
        <v>37</v>
      </c>
      <c r="E99">
        <f>EXAMENES!P99</f>
        <v>4</v>
      </c>
      <c r="F99">
        <f>EXAMENES!J99</f>
        <v>68</v>
      </c>
      <c r="G99">
        <f>EXAMENES!K99</f>
        <v>60</v>
      </c>
      <c r="H99" t="str">
        <f>VLOOKUP(D99,'TABLA FECHASEXAMEN'!K:L,2,FALSE)</f>
        <v>2024-07-01 08:00:00</v>
      </c>
      <c r="I99" t="str">
        <f>VLOOKUP(D99,'TABLA FECHASEXAMEN'!K:L,2,FALSE)</f>
        <v>2024-07-01 08:00:00</v>
      </c>
    </row>
    <row r="100" spans="1:9" x14ac:dyDescent="0.25">
      <c r="A100">
        <v>99</v>
      </c>
      <c r="B100">
        <f>VLOOKUP("A"&amp;EXAMENES!Q100&amp;"M"&amp;EXAMENES!O100&amp;"C"&amp;EXAMENES!R100,'TABLA PREVIOS'!A:C,3,FALSE)</f>
        <v>52</v>
      </c>
      <c r="C100">
        <f>EXAMENES!L100</f>
        <v>2</v>
      </c>
      <c r="D100">
        <f>VLOOKUP("T"&amp;EXAMENES!L100&amp;"M"&amp;EXAMENES!O100,'TABLA FECHASEXAMEN'!J:K,2,FALSE)</f>
        <v>37</v>
      </c>
      <c r="E100">
        <f>EXAMENES!P100</f>
        <v>2</v>
      </c>
      <c r="F100">
        <f>EXAMENES!J100</f>
        <v>68</v>
      </c>
      <c r="G100">
        <f>EXAMENES!K100</f>
        <v>60</v>
      </c>
      <c r="H100" t="str">
        <f>VLOOKUP(D100,'TABLA FECHASEXAMEN'!K:L,2,FALSE)</f>
        <v>2024-07-01 08:00:00</v>
      </c>
      <c r="I100" t="str">
        <f>VLOOKUP(D100,'TABLA FECHASEXAMEN'!K:L,2,FALSE)</f>
        <v>2024-07-01 08:00:00</v>
      </c>
    </row>
    <row r="101" spans="1:9" x14ac:dyDescent="0.25">
      <c r="A101">
        <v>100</v>
      </c>
      <c r="B101">
        <f>VLOOKUP("A"&amp;EXAMENES!Q101&amp;"M"&amp;EXAMENES!O101&amp;"C"&amp;EXAMENES!R101,'TABLA PREVIOS'!A:C,3,FALSE)</f>
        <v>27</v>
      </c>
      <c r="C101">
        <f>EXAMENES!L101</f>
        <v>2</v>
      </c>
      <c r="D101">
        <f>VLOOKUP("T"&amp;EXAMENES!L101&amp;"M"&amp;EXAMENES!O101,'TABLA FECHASEXAMEN'!J:K,2,FALSE)</f>
        <v>37</v>
      </c>
      <c r="E101">
        <f>EXAMENES!P101</f>
        <v>4</v>
      </c>
      <c r="F101">
        <f>EXAMENES!J101</f>
        <v>68</v>
      </c>
      <c r="G101">
        <f>EXAMENES!K101</f>
        <v>60</v>
      </c>
      <c r="H101" t="str">
        <f>VLOOKUP(D101,'TABLA FECHASEXAMEN'!K:L,2,FALSE)</f>
        <v>2024-07-01 08:00:00</v>
      </c>
      <c r="I101" t="str">
        <f>VLOOKUP(D101,'TABLA FECHASEXAMEN'!K:L,2,FALSE)</f>
        <v>2024-07-01 08:00:00</v>
      </c>
    </row>
    <row r="102" spans="1:9" x14ac:dyDescent="0.25">
      <c r="A102">
        <v>101</v>
      </c>
      <c r="B102">
        <f>VLOOKUP("A"&amp;EXAMENES!Q102&amp;"M"&amp;EXAMENES!O102&amp;"C"&amp;EXAMENES!R102,'TABLA PREVIOS'!A:C,3,FALSE)</f>
        <v>55</v>
      </c>
      <c r="C102">
        <f>EXAMENES!L102</f>
        <v>2</v>
      </c>
      <c r="D102">
        <f>VLOOKUP("T"&amp;EXAMENES!L102&amp;"M"&amp;EXAMENES!O102,'TABLA FECHASEXAMEN'!J:K,2,FALSE)</f>
        <v>37</v>
      </c>
      <c r="E102">
        <f>EXAMENES!P102</f>
        <v>4</v>
      </c>
      <c r="F102">
        <f>EXAMENES!J102</f>
        <v>68</v>
      </c>
      <c r="G102">
        <f>EXAMENES!K102</f>
        <v>60</v>
      </c>
      <c r="H102" t="str">
        <f>VLOOKUP(D102,'TABLA FECHASEXAMEN'!K:L,2,FALSE)</f>
        <v>2024-07-01 08:00:00</v>
      </c>
      <c r="I102" t="str">
        <f>VLOOKUP(D102,'TABLA FECHASEXAMEN'!K:L,2,FALSE)</f>
        <v>2024-07-01 08:00:00</v>
      </c>
    </row>
    <row r="103" spans="1:9" x14ac:dyDescent="0.25">
      <c r="A103">
        <v>102</v>
      </c>
      <c r="B103">
        <f>VLOOKUP("A"&amp;EXAMENES!Q103&amp;"M"&amp;EXAMENES!O103&amp;"C"&amp;EXAMENES!R103,'TABLA PREVIOS'!A:C,3,FALSE)</f>
        <v>34</v>
      </c>
      <c r="C103">
        <f>EXAMENES!L103</f>
        <v>2</v>
      </c>
      <c r="D103">
        <f>VLOOKUP("T"&amp;EXAMENES!L103&amp;"M"&amp;EXAMENES!O103,'TABLA FECHASEXAMEN'!J:K,2,FALSE)</f>
        <v>37</v>
      </c>
      <c r="E103">
        <f>EXAMENES!P103</f>
        <v>9</v>
      </c>
      <c r="F103">
        <f>EXAMENES!J103</f>
        <v>68</v>
      </c>
      <c r="G103">
        <f>EXAMENES!K103</f>
        <v>60</v>
      </c>
      <c r="H103" t="str">
        <f>VLOOKUP(D103,'TABLA FECHASEXAMEN'!K:L,2,FALSE)</f>
        <v>2024-07-01 08:00:00</v>
      </c>
      <c r="I103" t="str">
        <f>VLOOKUP(D103,'TABLA FECHASEXAMEN'!K:L,2,FALSE)</f>
        <v>2024-07-01 08:00:00</v>
      </c>
    </row>
    <row r="104" spans="1:9" x14ac:dyDescent="0.25">
      <c r="A104">
        <v>103</v>
      </c>
      <c r="B104">
        <f>VLOOKUP("A"&amp;EXAMENES!Q104&amp;"M"&amp;EXAMENES!O104&amp;"C"&amp;EXAMENES!R104,'TABLA PREVIOS'!A:C,3,FALSE)</f>
        <v>56</v>
      </c>
      <c r="C104">
        <f>EXAMENES!L104</f>
        <v>2</v>
      </c>
      <c r="D104">
        <f>VLOOKUP("T"&amp;EXAMENES!L104&amp;"M"&amp;EXAMENES!O104,'TABLA FECHASEXAMEN'!J:K,2,FALSE)</f>
        <v>37</v>
      </c>
      <c r="E104">
        <f>EXAMENES!P104</f>
        <v>2</v>
      </c>
      <c r="F104">
        <f>EXAMENES!J104</f>
        <v>68</v>
      </c>
      <c r="G104">
        <f>EXAMENES!K104</f>
        <v>60</v>
      </c>
      <c r="H104" t="str">
        <f>VLOOKUP(D104,'TABLA FECHASEXAMEN'!K:L,2,FALSE)</f>
        <v>2024-07-01 08:00:00</v>
      </c>
      <c r="I104" t="str">
        <f>VLOOKUP(D104,'TABLA FECHASEXAMEN'!K:L,2,FALSE)</f>
        <v>2024-07-01 08:00:00</v>
      </c>
    </row>
    <row r="105" spans="1:9" x14ac:dyDescent="0.25">
      <c r="A105">
        <v>104</v>
      </c>
      <c r="B105">
        <f>VLOOKUP("A"&amp;EXAMENES!Q105&amp;"M"&amp;EXAMENES!O105&amp;"C"&amp;EXAMENES!R105,'TABLA PREVIOS'!A:C,3,FALSE)</f>
        <v>57</v>
      </c>
      <c r="C105">
        <f>EXAMENES!L105</f>
        <v>2</v>
      </c>
      <c r="D105">
        <f>VLOOKUP("T"&amp;EXAMENES!L105&amp;"M"&amp;EXAMENES!O105,'TABLA FECHASEXAMEN'!J:K,2,FALSE)</f>
        <v>37</v>
      </c>
      <c r="E105">
        <f>EXAMENES!P105</f>
        <v>2</v>
      </c>
      <c r="F105">
        <f>EXAMENES!J105</f>
        <v>68</v>
      </c>
      <c r="G105">
        <f>EXAMENES!K105</f>
        <v>60</v>
      </c>
      <c r="H105" t="str">
        <f>VLOOKUP(D105,'TABLA FECHASEXAMEN'!K:L,2,FALSE)</f>
        <v>2024-07-01 08:00:00</v>
      </c>
      <c r="I105" t="str">
        <f>VLOOKUP(D105,'TABLA FECHASEXAMEN'!K:L,2,FALSE)</f>
        <v>2024-07-01 08:00:00</v>
      </c>
    </row>
    <row r="106" spans="1:9" x14ac:dyDescent="0.25">
      <c r="A106">
        <v>105</v>
      </c>
      <c r="B106">
        <f>VLOOKUP("A"&amp;EXAMENES!Q106&amp;"M"&amp;EXAMENES!O106&amp;"C"&amp;EXAMENES!R106,'TABLA PREVIOS'!A:C,3,FALSE)</f>
        <v>98</v>
      </c>
      <c r="C106">
        <f>EXAMENES!L106</f>
        <v>2</v>
      </c>
      <c r="D106">
        <f>VLOOKUP("T"&amp;EXAMENES!L106&amp;"M"&amp;EXAMENES!O106,'TABLA FECHASEXAMEN'!J:K,2,FALSE)</f>
        <v>38</v>
      </c>
      <c r="E106">
        <f>EXAMENES!P106</f>
        <v>9</v>
      </c>
      <c r="F106">
        <f>EXAMENES!J106</f>
        <v>68</v>
      </c>
      <c r="G106">
        <f>EXAMENES!K106</f>
        <v>57</v>
      </c>
      <c r="H106" t="str">
        <f>VLOOKUP(D106,'TABLA FECHASEXAMEN'!K:L,2,FALSE)</f>
        <v>2024-07-01 08:00:00</v>
      </c>
      <c r="I106" t="str">
        <f>VLOOKUP(D106,'TABLA FECHASEXAMEN'!K:L,2,FALSE)</f>
        <v>2024-07-01 08:00:00</v>
      </c>
    </row>
    <row r="107" spans="1:9" x14ac:dyDescent="0.25">
      <c r="A107">
        <v>106</v>
      </c>
      <c r="B107">
        <f>VLOOKUP("A"&amp;EXAMENES!Q107&amp;"M"&amp;EXAMENES!O107&amp;"C"&amp;EXAMENES!R107,'TABLA PREVIOS'!A:C,3,FALSE)</f>
        <v>134</v>
      </c>
      <c r="C107">
        <f>EXAMENES!L107</f>
        <v>2</v>
      </c>
      <c r="D107">
        <f>VLOOKUP("T"&amp;EXAMENES!L107&amp;"M"&amp;EXAMENES!O107,'TABLA FECHASEXAMEN'!J:K,2,FALSE)</f>
        <v>39</v>
      </c>
      <c r="E107">
        <f>EXAMENES!P107</f>
        <v>9</v>
      </c>
      <c r="F107">
        <f>EXAMENES!J107</f>
        <v>68</v>
      </c>
      <c r="G107">
        <f>EXAMENES!K107</f>
        <v>61</v>
      </c>
      <c r="H107" t="str">
        <f>VLOOKUP(D107,'TABLA FECHASEXAMEN'!K:L,2,FALSE)</f>
        <v>2024-07-01 08:00:00</v>
      </c>
      <c r="I107" t="str">
        <f>VLOOKUP(D107,'TABLA FECHASEXAMEN'!K:L,2,FALSE)</f>
        <v>2024-07-01 08:00:00</v>
      </c>
    </row>
    <row r="108" spans="1:9" x14ac:dyDescent="0.25">
      <c r="A108">
        <v>107</v>
      </c>
      <c r="B108">
        <f>VLOOKUP("A"&amp;EXAMENES!Q108&amp;"M"&amp;EXAMENES!O108&amp;"C"&amp;EXAMENES!R108,'TABLA PREVIOS'!A:C,3,FALSE)</f>
        <v>103</v>
      </c>
      <c r="C108">
        <f>EXAMENES!L108</f>
        <v>2</v>
      </c>
      <c r="D108">
        <f>VLOOKUP("T"&amp;EXAMENES!L108&amp;"M"&amp;EXAMENES!O108,'TABLA FECHASEXAMEN'!J:K,2,FALSE)</f>
        <v>39</v>
      </c>
      <c r="E108">
        <f>EXAMENES!P108</f>
        <v>6</v>
      </c>
      <c r="F108">
        <f>EXAMENES!J108</f>
        <v>68</v>
      </c>
      <c r="G108">
        <f>EXAMENES!K108</f>
        <v>61</v>
      </c>
      <c r="H108" t="str">
        <f>VLOOKUP(D108,'TABLA FECHASEXAMEN'!K:L,2,FALSE)</f>
        <v>2024-07-01 08:00:00</v>
      </c>
      <c r="I108" t="str">
        <f>VLOOKUP(D108,'TABLA FECHASEXAMEN'!K:L,2,FALSE)</f>
        <v>2024-07-01 08:00:00</v>
      </c>
    </row>
    <row r="109" spans="1:9" x14ac:dyDescent="0.25">
      <c r="A109">
        <v>108</v>
      </c>
      <c r="B109">
        <f>VLOOKUP("A"&amp;EXAMENES!Q109&amp;"M"&amp;EXAMENES!O109&amp;"C"&amp;EXAMENES!R109,'TABLA PREVIOS'!A:C,3,FALSE)</f>
        <v>110</v>
      </c>
      <c r="C109">
        <f>EXAMENES!L109</f>
        <v>2</v>
      </c>
      <c r="D109">
        <f>VLOOKUP("T"&amp;EXAMENES!L109&amp;"M"&amp;EXAMENES!O109,'TABLA FECHASEXAMEN'!J:K,2,FALSE)</f>
        <v>39</v>
      </c>
      <c r="E109">
        <f>EXAMENES!P109</f>
        <v>9</v>
      </c>
      <c r="F109">
        <f>EXAMENES!J109</f>
        <v>68</v>
      </c>
      <c r="G109">
        <f>EXAMENES!K109</f>
        <v>61</v>
      </c>
      <c r="H109" t="str">
        <f>VLOOKUP(D109,'TABLA FECHASEXAMEN'!K:L,2,FALSE)</f>
        <v>2024-07-01 08:00:00</v>
      </c>
      <c r="I109" t="str">
        <f>VLOOKUP(D109,'TABLA FECHASEXAMEN'!K:L,2,FALSE)</f>
        <v>2024-07-01 08:00:00</v>
      </c>
    </row>
    <row r="110" spans="1:9" x14ac:dyDescent="0.25">
      <c r="A110">
        <v>109</v>
      </c>
      <c r="B110">
        <f>VLOOKUP("A"&amp;EXAMENES!Q110&amp;"M"&amp;EXAMENES!O110&amp;"C"&amp;EXAMENES!R110,'TABLA PREVIOS'!A:C,3,FALSE)</f>
        <v>142</v>
      </c>
      <c r="C110">
        <f>EXAMENES!L110</f>
        <v>2</v>
      </c>
      <c r="D110">
        <f>VLOOKUP("T"&amp;EXAMENES!L110&amp;"M"&amp;EXAMENES!O110,'TABLA FECHASEXAMEN'!J:K,2,FALSE)</f>
        <v>39</v>
      </c>
      <c r="E110">
        <f>EXAMENES!P110</f>
        <v>4</v>
      </c>
      <c r="F110">
        <f>EXAMENES!J110</f>
        <v>68</v>
      </c>
      <c r="G110">
        <f>EXAMENES!K110</f>
        <v>61</v>
      </c>
      <c r="H110" t="str">
        <f>VLOOKUP(D110,'TABLA FECHASEXAMEN'!K:L,2,FALSE)</f>
        <v>2024-07-01 08:00:00</v>
      </c>
      <c r="I110" t="str">
        <f>VLOOKUP(D110,'TABLA FECHASEXAMEN'!K:L,2,FALSE)</f>
        <v>2024-07-01 08:00:00</v>
      </c>
    </row>
    <row r="111" spans="1:9" x14ac:dyDescent="0.25">
      <c r="A111">
        <v>110</v>
      </c>
      <c r="B111">
        <f>VLOOKUP("A"&amp;EXAMENES!Q111&amp;"M"&amp;EXAMENES!O111&amp;"C"&amp;EXAMENES!R111,'TABLA PREVIOS'!A:C,3,FALSE)</f>
        <v>113</v>
      </c>
      <c r="C111">
        <f>EXAMENES!L111</f>
        <v>2</v>
      </c>
      <c r="D111">
        <f>VLOOKUP("T"&amp;EXAMENES!L111&amp;"M"&amp;EXAMENES!O111,'TABLA FECHASEXAMEN'!J:K,2,FALSE)</f>
        <v>39</v>
      </c>
      <c r="E111">
        <f>EXAMENES!P111</f>
        <v>2</v>
      </c>
      <c r="F111">
        <f>EXAMENES!J111</f>
        <v>68</v>
      </c>
      <c r="G111">
        <f>EXAMENES!K111</f>
        <v>61</v>
      </c>
      <c r="H111" t="str">
        <f>VLOOKUP(D111,'TABLA FECHASEXAMEN'!K:L,2,FALSE)</f>
        <v>2024-07-01 08:00:00</v>
      </c>
      <c r="I111" t="str">
        <f>VLOOKUP(D111,'TABLA FECHASEXAMEN'!K:L,2,FALSE)</f>
        <v>2024-07-01 08:00:00</v>
      </c>
    </row>
    <row r="112" spans="1:9" x14ac:dyDescent="0.25">
      <c r="A112">
        <v>111</v>
      </c>
      <c r="B112">
        <f>VLOOKUP("A"&amp;EXAMENES!Q112&amp;"M"&amp;EXAMENES!O112&amp;"C"&amp;EXAMENES!R112,'TABLA PREVIOS'!A:C,3,FALSE)</f>
        <v>116</v>
      </c>
      <c r="C112">
        <f>EXAMENES!L112</f>
        <v>2</v>
      </c>
      <c r="D112">
        <f>VLOOKUP("T"&amp;EXAMENES!L112&amp;"M"&amp;EXAMENES!O112,'TABLA FECHASEXAMEN'!J:K,2,FALSE)</f>
        <v>39</v>
      </c>
      <c r="E112">
        <f>EXAMENES!P112</f>
        <v>2</v>
      </c>
      <c r="F112">
        <f>EXAMENES!J112</f>
        <v>68</v>
      </c>
      <c r="G112">
        <f>EXAMENES!K112</f>
        <v>61</v>
      </c>
      <c r="H112" t="str">
        <f>VLOOKUP(D112,'TABLA FECHASEXAMEN'!K:L,2,FALSE)</f>
        <v>2024-07-01 08:00:00</v>
      </c>
      <c r="I112" t="str">
        <f>VLOOKUP(D112,'TABLA FECHASEXAMEN'!K:L,2,FALSE)</f>
        <v>2024-07-01 08:00:00</v>
      </c>
    </row>
    <row r="113" spans="1:9" x14ac:dyDescent="0.25">
      <c r="A113">
        <v>112</v>
      </c>
      <c r="B113">
        <f>VLOOKUP("A"&amp;EXAMENES!Q113&amp;"M"&amp;EXAMENES!O113&amp;"C"&amp;EXAMENES!R113,'TABLA PREVIOS'!A:C,3,FALSE)</f>
        <v>146</v>
      </c>
      <c r="C113">
        <f>EXAMENES!L113</f>
        <v>2</v>
      </c>
      <c r="D113">
        <f>VLOOKUP("T"&amp;EXAMENES!L113&amp;"M"&amp;EXAMENES!O113,'TABLA FECHASEXAMEN'!J:K,2,FALSE)</f>
        <v>39</v>
      </c>
      <c r="E113">
        <f>EXAMENES!P113</f>
        <v>9</v>
      </c>
      <c r="F113">
        <f>EXAMENES!J113</f>
        <v>68</v>
      </c>
      <c r="G113">
        <f>EXAMENES!K113</f>
        <v>61</v>
      </c>
      <c r="H113" t="str">
        <f>VLOOKUP(D113,'TABLA FECHASEXAMEN'!K:L,2,FALSE)</f>
        <v>2024-07-01 08:00:00</v>
      </c>
      <c r="I113" t="str">
        <f>VLOOKUP(D113,'TABLA FECHASEXAMEN'!K:L,2,FALSE)</f>
        <v>2024-07-01 08:00:00</v>
      </c>
    </row>
    <row r="114" spans="1:9" x14ac:dyDescent="0.25">
      <c r="A114">
        <v>113</v>
      </c>
      <c r="B114">
        <f>VLOOKUP("A"&amp;EXAMENES!Q114&amp;"M"&amp;EXAMENES!O114&amp;"C"&amp;EXAMENES!R114,'TABLA PREVIOS'!A:C,3,FALSE)</f>
        <v>1116</v>
      </c>
      <c r="C114">
        <f>EXAMENES!L114</f>
        <v>2</v>
      </c>
      <c r="D114">
        <f>VLOOKUP("T"&amp;EXAMENES!L114&amp;"M"&amp;EXAMENES!O114,'TABLA FECHASEXAMEN'!J:K,2,FALSE)</f>
        <v>39</v>
      </c>
      <c r="E114">
        <f>EXAMENES!P114</f>
        <v>9</v>
      </c>
      <c r="F114">
        <f>EXAMENES!J114</f>
        <v>68</v>
      </c>
      <c r="G114">
        <f>EXAMENES!K114</f>
        <v>61</v>
      </c>
      <c r="H114" t="str">
        <f>VLOOKUP(D114,'TABLA FECHASEXAMEN'!K:L,2,FALSE)</f>
        <v>2024-07-01 08:00:00</v>
      </c>
      <c r="I114" t="str">
        <f>VLOOKUP(D114,'TABLA FECHASEXAMEN'!K:L,2,FALSE)</f>
        <v>2024-07-01 08:00:00</v>
      </c>
    </row>
    <row r="115" spans="1:9" x14ac:dyDescent="0.25">
      <c r="A115">
        <v>114</v>
      </c>
      <c r="B115">
        <f>VLOOKUP("A"&amp;EXAMENES!Q115&amp;"M"&amp;EXAMENES!O115&amp;"C"&amp;EXAMENES!R115,'TABLA PREVIOS'!A:C,3,FALSE)</f>
        <v>176</v>
      </c>
      <c r="C115">
        <f>EXAMENES!L115</f>
        <v>2</v>
      </c>
      <c r="D115">
        <f>VLOOKUP("T"&amp;EXAMENES!L115&amp;"M"&amp;EXAMENES!O115,'TABLA FECHASEXAMEN'!J:K,2,FALSE)</f>
        <v>39</v>
      </c>
      <c r="E115">
        <f>EXAMENES!P115</f>
        <v>2</v>
      </c>
      <c r="F115">
        <f>EXAMENES!J115</f>
        <v>68</v>
      </c>
      <c r="G115">
        <f>EXAMENES!K115</f>
        <v>61</v>
      </c>
      <c r="H115" t="str">
        <f>VLOOKUP(D115,'TABLA FECHASEXAMEN'!K:L,2,FALSE)</f>
        <v>2024-07-01 08:00:00</v>
      </c>
      <c r="I115" t="str">
        <f>VLOOKUP(D115,'TABLA FECHASEXAMEN'!K:L,2,FALSE)</f>
        <v>2024-07-01 08:00:00</v>
      </c>
    </row>
    <row r="116" spans="1:9" x14ac:dyDescent="0.25">
      <c r="A116">
        <v>115</v>
      </c>
      <c r="B116">
        <f>VLOOKUP("A"&amp;EXAMENES!Q116&amp;"M"&amp;EXAMENES!O116&amp;"C"&amp;EXAMENES!R116,'TABLA PREVIOS'!A:C,3,FALSE)</f>
        <v>202</v>
      </c>
      <c r="C116">
        <f>EXAMENES!L116</f>
        <v>2</v>
      </c>
      <c r="D116">
        <f>VLOOKUP("T"&amp;EXAMENES!L116&amp;"M"&amp;EXAMENES!O116,'TABLA FECHASEXAMEN'!J:K,2,FALSE)</f>
        <v>40</v>
      </c>
      <c r="E116">
        <f>EXAMENES!P116</f>
        <v>9</v>
      </c>
      <c r="F116">
        <f>EXAMENES!J116</f>
        <v>68</v>
      </c>
      <c r="G116">
        <f>EXAMENES!K116</f>
        <v>53</v>
      </c>
      <c r="H116" t="str">
        <f>VLOOKUP(D116,'TABLA FECHASEXAMEN'!K:L,2,FALSE)</f>
        <v>2024-07-01 08:00:00</v>
      </c>
      <c r="I116" t="str">
        <f>VLOOKUP(D116,'TABLA FECHASEXAMEN'!K:L,2,FALSE)</f>
        <v>2024-07-01 08:00:00</v>
      </c>
    </row>
    <row r="117" spans="1:9" x14ac:dyDescent="0.25">
      <c r="A117">
        <v>116</v>
      </c>
      <c r="B117">
        <f>VLOOKUP("A"&amp;EXAMENES!Q117&amp;"M"&amp;EXAMENES!O117&amp;"C"&amp;EXAMENES!R117,'TABLA PREVIOS'!A:C,3,FALSE)</f>
        <v>163</v>
      </c>
      <c r="C117">
        <f>EXAMENES!L117</f>
        <v>2</v>
      </c>
      <c r="D117">
        <f>VLOOKUP("T"&amp;EXAMENES!L117&amp;"M"&amp;EXAMENES!O117,'TABLA FECHASEXAMEN'!J:K,2,FALSE)</f>
        <v>41</v>
      </c>
      <c r="E117">
        <f>EXAMENES!P117</f>
        <v>4</v>
      </c>
      <c r="F117">
        <f>EXAMENES!J117</f>
        <v>68</v>
      </c>
      <c r="G117">
        <f>EXAMENES!K117</f>
        <v>62</v>
      </c>
      <c r="H117" t="str">
        <f>VLOOKUP(D117,'TABLA FECHASEXAMEN'!K:L,2,FALSE)</f>
        <v>2024-07-01 08:00:00</v>
      </c>
      <c r="I117" t="str">
        <f>VLOOKUP(D117,'TABLA FECHASEXAMEN'!K:L,2,FALSE)</f>
        <v>2024-07-01 08:00:00</v>
      </c>
    </row>
    <row r="118" spans="1:9" x14ac:dyDescent="0.25">
      <c r="A118">
        <v>117</v>
      </c>
      <c r="B118">
        <f>VLOOKUP("A"&amp;EXAMENES!Q118&amp;"M"&amp;EXAMENES!O118&amp;"C"&amp;EXAMENES!R118,'TABLA PREVIOS'!A:C,3,FALSE)</f>
        <v>164</v>
      </c>
      <c r="C118">
        <f>EXAMENES!L118</f>
        <v>2</v>
      </c>
      <c r="D118">
        <f>VLOOKUP("T"&amp;EXAMENES!L118&amp;"M"&amp;EXAMENES!O118,'TABLA FECHASEXAMEN'!J:K,2,FALSE)</f>
        <v>41</v>
      </c>
      <c r="E118">
        <f>EXAMENES!P118</f>
        <v>4</v>
      </c>
      <c r="F118">
        <f>EXAMENES!J118</f>
        <v>68</v>
      </c>
      <c r="G118">
        <f>EXAMENES!K118</f>
        <v>62</v>
      </c>
      <c r="H118" t="str">
        <f>VLOOKUP(D118,'TABLA FECHASEXAMEN'!K:L,2,FALSE)</f>
        <v>2024-07-01 08:00:00</v>
      </c>
      <c r="I118" t="str">
        <f>VLOOKUP(D118,'TABLA FECHASEXAMEN'!K:L,2,FALSE)</f>
        <v>2024-07-01 08:00:00</v>
      </c>
    </row>
    <row r="119" spans="1:9" x14ac:dyDescent="0.25">
      <c r="A119">
        <v>118</v>
      </c>
      <c r="B119">
        <f>VLOOKUP("A"&amp;EXAMENES!Q119&amp;"M"&amp;EXAMENES!O119&amp;"C"&amp;EXAMENES!R119,'TABLA PREVIOS'!A:C,3,FALSE)</f>
        <v>226</v>
      </c>
      <c r="C119">
        <f>EXAMENES!L119</f>
        <v>2</v>
      </c>
      <c r="D119">
        <f>VLOOKUP("T"&amp;EXAMENES!L119&amp;"M"&amp;EXAMENES!O119,'TABLA FECHASEXAMEN'!J:K,2,FALSE)</f>
        <v>41</v>
      </c>
      <c r="E119">
        <f>EXAMENES!P119</f>
        <v>9</v>
      </c>
      <c r="F119">
        <f>EXAMENES!J119</f>
        <v>68</v>
      </c>
      <c r="G119">
        <f>EXAMENES!K119</f>
        <v>62</v>
      </c>
      <c r="H119" t="str">
        <f>VLOOKUP(D119,'TABLA FECHASEXAMEN'!K:L,2,FALSE)</f>
        <v>2024-07-01 08:00:00</v>
      </c>
      <c r="I119" t="str">
        <f>VLOOKUP(D119,'TABLA FECHASEXAMEN'!K:L,2,FALSE)</f>
        <v>2024-07-01 08:00:00</v>
      </c>
    </row>
    <row r="120" spans="1:9" x14ac:dyDescent="0.25">
      <c r="A120">
        <v>119</v>
      </c>
      <c r="B120">
        <f>VLOOKUP("A"&amp;EXAMENES!Q120&amp;"M"&amp;EXAMENES!O120&amp;"C"&amp;EXAMENES!R120,'TABLA PREVIOS'!A:C,3,FALSE)</f>
        <v>1100</v>
      </c>
      <c r="C120">
        <f>EXAMENES!L120</f>
        <v>2</v>
      </c>
      <c r="D120">
        <f>VLOOKUP("T"&amp;EXAMENES!L120&amp;"M"&amp;EXAMENES!O120,'TABLA FECHASEXAMEN'!J:K,2,FALSE)</f>
        <v>42</v>
      </c>
      <c r="E120">
        <f>EXAMENES!P120</f>
        <v>9</v>
      </c>
      <c r="F120">
        <f>EXAMENES!J120</f>
        <v>68</v>
      </c>
      <c r="G120">
        <f>EXAMENES!K120</f>
        <v>58</v>
      </c>
      <c r="H120" t="str">
        <f>VLOOKUP(D120,'TABLA FECHASEXAMEN'!K:L,2,FALSE)</f>
        <v>2024-07-01 08:00:00</v>
      </c>
      <c r="I120" t="str">
        <f>VLOOKUP(D120,'TABLA FECHASEXAMEN'!K:L,2,FALSE)</f>
        <v>2024-07-01 08:00:00</v>
      </c>
    </row>
    <row r="121" spans="1:9" x14ac:dyDescent="0.25">
      <c r="A121">
        <v>120</v>
      </c>
      <c r="B121">
        <f>VLOOKUP("A"&amp;EXAMENES!Q121&amp;"M"&amp;EXAMENES!O121&amp;"C"&amp;EXAMENES!R121,'TABLA PREVIOS'!A:C,3,FALSE)</f>
        <v>1108</v>
      </c>
      <c r="C121">
        <f>EXAMENES!L121</f>
        <v>2</v>
      </c>
      <c r="D121">
        <f>VLOOKUP("T"&amp;EXAMENES!L121&amp;"M"&amp;EXAMENES!O121,'TABLA FECHASEXAMEN'!J:K,2,FALSE)</f>
        <v>43</v>
      </c>
      <c r="E121">
        <f>EXAMENES!P121</f>
        <v>2</v>
      </c>
      <c r="F121">
        <f>EXAMENES!J121</f>
        <v>68</v>
      </c>
      <c r="G121">
        <f>EXAMENES!K121</f>
        <v>63</v>
      </c>
      <c r="H121" t="str">
        <f>VLOOKUP(D121,'TABLA FECHASEXAMEN'!K:L,2,FALSE)</f>
        <v>2024-07-01 08:00:00</v>
      </c>
      <c r="I121" t="str">
        <f>VLOOKUP(D121,'TABLA FECHASEXAMEN'!K:L,2,FALSE)</f>
        <v>2024-07-01 08:00:00</v>
      </c>
    </row>
    <row r="122" spans="1:9" x14ac:dyDescent="0.25">
      <c r="A122">
        <v>121</v>
      </c>
      <c r="B122">
        <f>VLOOKUP("A"&amp;EXAMENES!Q122&amp;"M"&amp;EXAMENES!O122&amp;"C"&amp;EXAMENES!R122,'TABLA PREVIOS'!A:C,3,FALSE)</f>
        <v>1051</v>
      </c>
      <c r="C122">
        <f>EXAMENES!L122</f>
        <v>2</v>
      </c>
      <c r="D122">
        <f>VLOOKUP("T"&amp;EXAMENES!L122&amp;"M"&amp;EXAMENES!O122,'TABLA FECHASEXAMEN'!J:K,2,FALSE)</f>
        <v>44</v>
      </c>
      <c r="E122">
        <f>EXAMENES!P122</f>
        <v>9</v>
      </c>
      <c r="F122">
        <f>EXAMENES!J122</f>
        <v>68</v>
      </c>
      <c r="G122">
        <f>EXAMENES!K122</f>
        <v>54</v>
      </c>
      <c r="H122" t="str">
        <f>VLOOKUP(D122,'TABLA FECHASEXAMEN'!K:L,2,FALSE)</f>
        <v>2024-07-01 08:00:00</v>
      </c>
      <c r="I122" t="str">
        <f>VLOOKUP(D122,'TABLA FECHASEXAMEN'!K:L,2,FALSE)</f>
        <v>2024-07-01 08:00:00</v>
      </c>
    </row>
    <row r="123" spans="1:9" x14ac:dyDescent="0.25">
      <c r="A123">
        <v>122</v>
      </c>
      <c r="B123">
        <f>VLOOKUP("A"&amp;EXAMENES!Q123&amp;"M"&amp;EXAMENES!O123&amp;"C"&amp;EXAMENES!R123,'TABLA PREVIOS'!A:C,3,FALSE)</f>
        <v>272</v>
      </c>
      <c r="C123">
        <f>EXAMENES!L123</f>
        <v>2</v>
      </c>
      <c r="D123">
        <f>VLOOKUP("T"&amp;EXAMENES!L123&amp;"M"&amp;EXAMENES!O123,'TABLA FECHASEXAMEN'!J:K,2,FALSE)</f>
        <v>45</v>
      </c>
      <c r="E123">
        <f>EXAMENES!P123</f>
        <v>6</v>
      </c>
      <c r="F123">
        <f>EXAMENES!J123</f>
        <v>68</v>
      </c>
      <c r="G123">
        <f>EXAMENES!K123</f>
        <v>64</v>
      </c>
      <c r="H123" t="str">
        <f>VLOOKUP(D123,'TABLA FECHASEXAMEN'!K:L,2,FALSE)</f>
        <v>2024-07-01 08:00:00</v>
      </c>
      <c r="I123" t="str">
        <f>VLOOKUP(D123,'TABLA FECHASEXAMEN'!K:L,2,FALSE)</f>
        <v>2024-07-01 08:00:00</v>
      </c>
    </row>
    <row r="124" spans="1:9" x14ac:dyDescent="0.25">
      <c r="A124">
        <v>123</v>
      </c>
      <c r="B124">
        <f>VLOOKUP("A"&amp;EXAMENES!Q124&amp;"M"&amp;EXAMENES!O124&amp;"C"&amp;EXAMENES!R124,'TABLA PREVIOS'!A:C,3,FALSE)</f>
        <v>959</v>
      </c>
      <c r="C124">
        <f>EXAMENES!L124</f>
        <v>2</v>
      </c>
      <c r="D124">
        <f>VLOOKUP("T"&amp;EXAMENES!L124&amp;"M"&amp;EXAMENES!O124,'TABLA FECHASEXAMEN'!J:K,2,FALSE)</f>
        <v>46</v>
      </c>
      <c r="E124">
        <f>EXAMENES!P124</f>
        <v>9</v>
      </c>
      <c r="F124">
        <f>EXAMENES!J124</f>
        <v>68</v>
      </c>
      <c r="G124">
        <f>EXAMENES!K124</f>
        <v>55</v>
      </c>
      <c r="H124" t="str">
        <f>VLOOKUP(D124,'TABLA FECHASEXAMEN'!K:L,2,FALSE)</f>
        <v>2024-07-01 08:00:00</v>
      </c>
      <c r="I124" t="str">
        <f>VLOOKUP(D124,'TABLA FECHASEXAMEN'!K:L,2,FALSE)</f>
        <v>2024-07-01 08:00:00</v>
      </c>
    </row>
    <row r="125" spans="1:9" x14ac:dyDescent="0.25">
      <c r="A125">
        <v>124</v>
      </c>
      <c r="B125">
        <f>VLOOKUP("A"&amp;EXAMENES!Q125&amp;"M"&amp;EXAMENES!O125&amp;"C"&amp;EXAMENES!R125,'TABLA PREVIOS'!A:C,3,FALSE)</f>
        <v>1029</v>
      </c>
      <c r="C125">
        <f>EXAMENES!L125</f>
        <v>2</v>
      </c>
      <c r="D125">
        <f>VLOOKUP("T"&amp;EXAMENES!L125&amp;"M"&amp;EXAMENES!O125,'TABLA FECHASEXAMEN'!J:K,2,FALSE)</f>
        <v>47</v>
      </c>
      <c r="E125">
        <f>EXAMENES!P125</f>
        <v>9</v>
      </c>
      <c r="F125">
        <f>EXAMENES!J125</f>
        <v>68</v>
      </c>
      <c r="G125">
        <f>EXAMENES!K125</f>
        <v>65</v>
      </c>
      <c r="H125" t="str">
        <f>VLOOKUP(D125,'TABLA FECHASEXAMEN'!K:L,2,FALSE)</f>
        <v>2024-07-01 08:00:00</v>
      </c>
      <c r="I125" t="str">
        <f>VLOOKUP(D125,'TABLA FECHASEXAMEN'!K:L,2,FALSE)</f>
        <v>2024-07-01 08:00:00</v>
      </c>
    </row>
    <row r="126" spans="1:9" x14ac:dyDescent="0.25">
      <c r="A126">
        <v>125</v>
      </c>
      <c r="B126">
        <f>VLOOKUP("A"&amp;EXAMENES!Q126&amp;"M"&amp;EXAMENES!O126&amp;"C"&amp;EXAMENES!R126,'TABLA PREVIOS'!A:C,3,FALSE)</f>
        <v>1112</v>
      </c>
      <c r="C126">
        <f>EXAMENES!L126</f>
        <v>2</v>
      </c>
      <c r="D126">
        <f>VLOOKUP("T"&amp;EXAMENES!L126&amp;"M"&amp;EXAMENES!O126,'TABLA FECHASEXAMEN'!J:K,2,FALSE)</f>
        <v>48</v>
      </c>
      <c r="E126">
        <f>EXAMENES!P126</f>
        <v>2</v>
      </c>
      <c r="F126">
        <f>EXAMENES!J126</f>
        <v>68</v>
      </c>
      <c r="G126">
        <f>EXAMENES!K126</f>
        <v>59</v>
      </c>
      <c r="H126" t="str">
        <f>VLOOKUP(D126,'TABLA FECHASEXAMEN'!K:L,2,FALSE)</f>
        <v>2024-07-01 08:00:00</v>
      </c>
      <c r="I126" t="str">
        <f>VLOOKUP(D126,'TABLA FECHASEXAMEN'!K:L,2,FALSE)</f>
        <v>2024-07-01 08:00:00</v>
      </c>
    </row>
    <row r="127" spans="1:9" x14ac:dyDescent="0.25">
      <c r="A127">
        <v>126</v>
      </c>
      <c r="B127">
        <f>VLOOKUP("A"&amp;EXAMENES!Q127&amp;"M"&amp;EXAMENES!O127&amp;"C"&amp;EXAMENES!R127,'TABLA PREVIOS'!A:C,3,FALSE)</f>
        <v>1115</v>
      </c>
      <c r="C127">
        <f>EXAMENES!L127</f>
        <v>2</v>
      </c>
      <c r="D127">
        <f>VLOOKUP("T"&amp;EXAMENES!L127&amp;"M"&amp;EXAMENES!O127,'TABLA FECHASEXAMEN'!J:K,2,FALSE)</f>
        <v>48</v>
      </c>
      <c r="E127">
        <f>EXAMENES!P127</f>
        <v>9</v>
      </c>
      <c r="F127">
        <f>EXAMENES!J127</f>
        <v>68</v>
      </c>
      <c r="G127">
        <f>EXAMENES!K127</f>
        <v>59</v>
      </c>
      <c r="H127" t="str">
        <f>VLOOKUP(D127,'TABLA FECHASEXAMEN'!K:L,2,FALSE)</f>
        <v>2024-07-01 08:00:00</v>
      </c>
      <c r="I127" t="str">
        <f>VLOOKUP(D127,'TABLA FECHASEXAMEN'!K:L,2,FALSE)</f>
        <v>2024-07-01 08:00:00</v>
      </c>
    </row>
    <row r="128" spans="1:9" x14ac:dyDescent="0.25">
      <c r="A128">
        <v>127</v>
      </c>
      <c r="B128">
        <f>VLOOKUP("A"&amp;EXAMENES!Q128&amp;"M"&amp;EXAMENES!O128&amp;"C"&amp;EXAMENES!R128,'TABLA PREVIOS'!A:C,3,FALSE)</f>
        <v>96</v>
      </c>
      <c r="C128">
        <f>EXAMENES!L128</f>
        <v>2</v>
      </c>
      <c r="D128">
        <f>VLOOKUP("T"&amp;EXAMENES!L128&amp;"M"&amp;EXAMENES!O128,'TABLA FECHASEXAMEN'!J:K,2,FALSE)</f>
        <v>49</v>
      </c>
      <c r="E128">
        <f>EXAMENES!P128</f>
        <v>2</v>
      </c>
      <c r="F128">
        <f>EXAMENES!J128</f>
        <v>68</v>
      </c>
      <c r="G128">
        <f>EXAMENES!K128</f>
        <v>52</v>
      </c>
      <c r="H128" t="str">
        <f>VLOOKUP(D128,'TABLA FECHASEXAMEN'!K:L,2,FALSE)</f>
        <v>2024-07-01 13:00:00</v>
      </c>
      <c r="I128" t="str">
        <f>VLOOKUP(D128,'TABLA FECHASEXAMEN'!K:L,2,FALSE)</f>
        <v>2024-07-01 13:00:00</v>
      </c>
    </row>
    <row r="129" spans="1:9" x14ac:dyDescent="0.25">
      <c r="A129">
        <v>128</v>
      </c>
      <c r="B129">
        <f>VLOOKUP("A"&amp;EXAMENES!Q129&amp;"M"&amp;EXAMENES!O129&amp;"C"&amp;EXAMENES!R129,'TABLA PREVIOS'!A:C,3,FALSE)</f>
        <v>193</v>
      </c>
      <c r="C129">
        <f>EXAMENES!L129</f>
        <v>2</v>
      </c>
      <c r="D129">
        <f>VLOOKUP("T"&amp;EXAMENES!L129&amp;"M"&amp;EXAMENES!O129,'TABLA FECHASEXAMEN'!J:K,2,FALSE)</f>
        <v>50</v>
      </c>
      <c r="E129">
        <f>EXAMENES!P129</f>
        <v>4</v>
      </c>
      <c r="F129">
        <f>EXAMENES!J129</f>
        <v>68</v>
      </c>
      <c r="G129">
        <f>EXAMENES!K129</f>
        <v>67</v>
      </c>
      <c r="H129" t="str">
        <f>VLOOKUP(D129,'TABLA FECHASEXAMEN'!K:L,2,FALSE)</f>
        <v>2024-07-01 13:00:00</v>
      </c>
      <c r="I129" t="str">
        <f>VLOOKUP(D129,'TABLA FECHASEXAMEN'!K:L,2,FALSE)</f>
        <v>2024-07-01 13:00:00</v>
      </c>
    </row>
    <row r="130" spans="1:9" x14ac:dyDescent="0.25">
      <c r="A130">
        <v>129</v>
      </c>
      <c r="B130">
        <f>VLOOKUP("A"&amp;EXAMENES!Q130&amp;"M"&amp;EXAMENES!O130&amp;"C"&amp;EXAMENES!R130,'TABLA PREVIOS'!A:C,3,FALSE)</f>
        <v>1096</v>
      </c>
      <c r="C130">
        <f>EXAMENES!L130</f>
        <v>2</v>
      </c>
      <c r="D130">
        <f>VLOOKUP("T"&amp;EXAMENES!L130&amp;"M"&amp;EXAMENES!O130,'TABLA FECHASEXAMEN'!J:K,2,FALSE)</f>
        <v>51</v>
      </c>
      <c r="E130">
        <f>EXAMENES!P130</f>
        <v>10</v>
      </c>
      <c r="F130">
        <f>EXAMENES!J130</f>
        <v>70</v>
      </c>
      <c r="G130">
        <f>EXAMENES!K130</f>
        <v>1</v>
      </c>
      <c r="H130" t="str">
        <f>VLOOKUP(D130,'TABLA FECHASEXAMEN'!K:L,2,FALSE)</f>
        <v>2024-07-02 13:00:00</v>
      </c>
      <c r="I130" t="str">
        <f>VLOOKUP(D130,'TABLA FECHASEXAMEN'!K:L,2,FALSE)</f>
        <v>2024-07-02 13:00:00</v>
      </c>
    </row>
    <row r="131" spans="1:9" x14ac:dyDescent="0.25">
      <c r="A131">
        <v>130</v>
      </c>
      <c r="B131">
        <f>VLOOKUP("A"&amp;EXAMENES!Q131&amp;"M"&amp;EXAMENES!O131&amp;"C"&amp;EXAMENES!R131,'TABLA PREVIOS'!A:C,3,FALSE)</f>
        <v>1097</v>
      </c>
      <c r="C131">
        <f>EXAMENES!L131</f>
        <v>2</v>
      </c>
      <c r="D131">
        <f>VLOOKUP("T"&amp;EXAMENES!L131&amp;"M"&amp;EXAMENES!O131,'TABLA FECHASEXAMEN'!J:K,2,FALSE)</f>
        <v>52</v>
      </c>
      <c r="E131">
        <f>EXAMENES!P131</f>
        <v>10</v>
      </c>
      <c r="F131">
        <f>EXAMENES!J131</f>
        <v>70</v>
      </c>
      <c r="G131">
        <f>EXAMENES!K131</f>
        <v>3</v>
      </c>
      <c r="H131" t="str">
        <f>VLOOKUP(D131,'TABLA FECHASEXAMEN'!K:L,2,FALSE)</f>
        <v>2024-07-02 13:00:00</v>
      </c>
      <c r="I131" t="str">
        <f>VLOOKUP(D131,'TABLA FECHASEXAMEN'!K:L,2,FALSE)</f>
        <v>2024-07-02 13:00:00</v>
      </c>
    </row>
    <row r="132" spans="1:9" x14ac:dyDescent="0.25">
      <c r="A132">
        <v>131</v>
      </c>
      <c r="B132">
        <f>VLOOKUP("A"&amp;EXAMENES!Q132&amp;"M"&amp;EXAMENES!O132&amp;"C"&amp;EXAMENES!R132,'TABLA PREVIOS'!A:C,3,FALSE)</f>
        <v>1110</v>
      </c>
      <c r="C132">
        <f>EXAMENES!L132</f>
        <v>2</v>
      </c>
      <c r="D132">
        <f>VLOOKUP("T"&amp;EXAMENES!L132&amp;"M"&amp;EXAMENES!O132,'TABLA FECHASEXAMEN'!J:K,2,FALSE)</f>
        <v>53</v>
      </c>
      <c r="E132">
        <f>EXAMENES!P132</f>
        <v>2</v>
      </c>
      <c r="F132">
        <f>EXAMENES!J132</f>
        <v>68</v>
      </c>
      <c r="G132">
        <f>EXAMENES!K132</f>
        <v>66</v>
      </c>
      <c r="H132" t="str">
        <f>VLOOKUP(D132,'TABLA FECHASEXAMEN'!K:L,2,FALSE)</f>
        <v>2024-07-01 13:00:00</v>
      </c>
      <c r="I132" t="str">
        <f>VLOOKUP(D132,'TABLA FECHASEXAMEN'!K:L,2,FALSE)</f>
        <v>2024-07-01 13:00:00</v>
      </c>
    </row>
    <row r="133" spans="1:9" x14ac:dyDescent="0.25">
      <c r="A133">
        <v>132</v>
      </c>
      <c r="B133">
        <f>VLOOKUP("A"&amp;EXAMENES!Q133&amp;"M"&amp;EXAMENES!O133&amp;"C"&amp;EXAMENES!R133,'TABLA PREVIOS'!A:C,3,FALSE)</f>
        <v>958</v>
      </c>
      <c r="C133">
        <f>EXAMENES!L133</f>
        <v>2</v>
      </c>
      <c r="D133">
        <f>VLOOKUP("T"&amp;EXAMENES!L133&amp;"M"&amp;EXAMENES!O133,'TABLA FECHASEXAMEN'!J:K,2,FALSE)</f>
        <v>53</v>
      </c>
      <c r="E133">
        <f>EXAMENES!P133</f>
        <v>2</v>
      </c>
      <c r="F133">
        <f>EXAMENES!J133</f>
        <v>68</v>
      </c>
      <c r="G133">
        <f>EXAMENES!K133</f>
        <v>66</v>
      </c>
      <c r="H133" t="str">
        <f>VLOOKUP(D133,'TABLA FECHASEXAMEN'!K:L,2,FALSE)</f>
        <v>2024-07-01 13:00:00</v>
      </c>
      <c r="I133" t="str">
        <f>VLOOKUP(D133,'TABLA FECHASEXAMEN'!K:L,2,FALSE)</f>
        <v>2024-07-01 13:00:00</v>
      </c>
    </row>
    <row r="134" spans="1:9" x14ac:dyDescent="0.25">
      <c r="A134">
        <v>133</v>
      </c>
      <c r="B134">
        <f>VLOOKUP("A"&amp;EXAMENES!Q134&amp;"M"&amp;EXAMENES!O134&amp;"C"&amp;EXAMENES!R134,'TABLA PREVIOS'!A:C,3,FALSE)</f>
        <v>61</v>
      </c>
      <c r="C134">
        <f>EXAMENES!L134</f>
        <v>2</v>
      </c>
      <c r="D134">
        <f>VLOOKUP("T"&amp;EXAMENES!L134&amp;"M"&amp;EXAMENES!O134,'TABLA FECHASEXAMEN'!J:K,2,FALSE)</f>
        <v>54</v>
      </c>
      <c r="E134">
        <f>EXAMENES!P134</f>
        <v>2</v>
      </c>
      <c r="F134">
        <f>EXAMENES!J134</f>
        <v>68</v>
      </c>
      <c r="G134">
        <f>EXAMENES!K134</f>
        <v>69</v>
      </c>
      <c r="H134" t="str">
        <f>VLOOKUP(D134,'TABLA FECHASEXAMEN'!K:L,2,FALSE)</f>
        <v>2024-07-02 08:00:00</v>
      </c>
      <c r="I134" t="str">
        <f>VLOOKUP(D134,'TABLA FECHASEXAMEN'!K:L,2,FALSE)</f>
        <v>2024-07-02 08:00:00</v>
      </c>
    </row>
    <row r="135" spans="1:9" x14ac:dyDescent="0.25">
      <c r="A135">
        <v>134</v>
      </c>
      <c r="B135">
        <f>VLOOKUP("A"&amp;EXAMENES!Q135&amp;"M"&amp;EXAMENES!O135&amp;"C"&amp;EXAMENES!R135,'TABLA PREVIOS'!A:C,3,FALSE)</f>
        <v>101</v>
      </c>
      <c r="C135">
        <f>EXAMENES!L135</f>
        <v>2</v>
      </c>
      <c r="D135">
        <f>VLOOKUP("T"&amp;EXAMENES!L135&amp;"M"&amp;EXAMENES!O135,'TABLA FECHASEXAMEN'!J:K,2,FALSE)</f>
        <v>55</v>
      </c>
      <c r="E135">
        <f>EXAMENES!P135</f>
        <v>4</v>
      </c>
      <c r="F135">
        <f>EXAMENES!J135</f>
        <v>68</v>
      </c>
      <c r="G135">
        <f>EXAMENES!K135</f>
        <v>73</v>
      </c>
      <c r="H135" t="str">
        <f>VLOOKUP(D135,'TABLA FECHASEXAMEN'!K:L,2,FALSE)</f>
        <v>2024-07-02 08:00:00</v>
      </c>
      <c r="I135" t="str">
        <f>VLOOKUP(D135,'TABLA FECHASEXAMEN'!K:L,2,FALSE)</f>
        <v>2024-07-02 08:00:00</v>
      </c>
    </row>
    <row r="136" spans="1:9" x14ac:dyDescent="0.25">
      <c r="A136">
        <v>135</v>
      </c>
      <c r="B136">
        <f>VLOOKUP("A"&amp;EXAMENES!Q136&amp;"M"&amp;EXAMENES!O136&amp;"C"&amp;EXAMENES!R136,'TABLA PREVIOS'!A:C,3,FALSE)</f>
        <v>44</v>
      </c>
      <c r="C136">
        <f>EXAMENES!L136</f>
        <v>2</v>
      </c>
      <c r="D136">
        <f>VLOOKUP("T"&amp;EXAMENES!L136&amp;"M"&amp;EXAMENES!O136,'TABLA FECHASEXAMEN'!J:K,2,FALSE)</f>
        <v>55</v>
      </c>
      <c r="E136">
        <f>EXAMENES!P136</f>
        <v>6</v>
      </c>
      <c r="F136">
        <f>EXAMENES!J136</f>
        <v>68</v>
      </c>
      <c r="G136">
        <f>EXAMENES!K136</f>
        <v>73</v>
      </c>
      <c r="H136" t="str">
        <f>VLOOKUP(D136,'TABLA FECHASEXAMEN'!K:L,2,FALSE)</f>
        <v>2024-07-02 08:00:00</v>
      </c>
      <c r="I136" t="str">
        <f>VLOOKUP(D136,'TABLA FECHASEXAMEN'!K:L,2,FALSE)</f>
        <v>2024-07-02 08:00:00</v>
      </c>
    </row>
    <row r="137" spans="1:9" x14ac:dyDescent="0.25">
      <c r="A137">
        <v>136</v>
      </c>
      <c r="B137">
        <f>VLOOKUP("A"&amp;EXAMENES!Q137&amp;"M"&amp;EXAMENES!O137&amp;"C"&amp;EXAMENES!R137,'TABLA PREVIOS'!A:C,3,FALSE)</f>
        <v>51</v>
      </c>
      <c r="C137">
        <f>EXAMENES!L137</f>
        <v>2</v>
      </c>
      <c r="D137">
        <f>VLOOKUP("T"&amp;EXAMENES!L137&amp;"M"&amp;EXAMENES!O137,'TABLA FECHASEXAMEN'!J:K,2,FALSE)</f>
        <v>55</v>
      </c>
      <c r="E137">
        <f>EXAMENES!P137</f>
        <v>4</v>
      </c>
      <c r="F137">
        <f>EXAMENES!J137</f>
        <v>68</v>
      </c>
      <c r="G137">
        <f>EXAMENES!K137</f>
        <v>73</v>
      </c>
      <c r="H137" t="str">
        <f>VLOOKUP(D137,'TABLA FECHASEXAMEN'!K:L,2,FALSE)</f>
        <v>2024-07-02 08:00:00</v>
      </c>
      <c r="I137" t="str">
        <f>VLOOKUP(D137,'TABLA FECHASEXAMEN'!K:L,2,FALSE)</f>
        <v>2024-07-02 08:00:00</v>
      </c>
    </row>
    <row r="138" spans="1:9" x14ac:dyDescent="0.25">
      <c r="A138">
        <v>137</v>
      </c>
      <c r="B138">
        <f>VLOOKUP("A"&amp;EXAMENES!Q138&amp;"M"&amp;EXAMENES!O138&amp;"C"&amp;EXAMENES!R138,'TABLA PREVIOS'!A:C,3,FALSE)</f>
        <v>54</v>
      </c>
      <c r="C138">
        <f>EXAMENES!L138</f>
        <v>2</v>
      </c>
      <c r="D138">
        <f>VLOOKUP("T"&amp;EXAMENES!L138&amp;"M"&amp;EXAMENES!O138,'TABLA FECHASEXAMEN'!J:K,2,FALSE)</f>
        <v>55</v>
      </c>
      <c r="E138">
        <f>EXAMENES!P138</f>
        <v>9</v>
      </c>
      <c r="F138">
        <f>EXAMENES!J138</f>
        <v>68</v>
      </c>
      <c r="G138">
        <f>EXAMENES!K138</f>
        <v>73</v>
      </c>
      <c r="H138" t="str">
        <f>VLOOKUP(D138,'TABLA FECHASEXAMEN'!K:L,2,FALSE)</f>
        <v>2024-07-02 08:00:00</v>
      </c>
      <c r="I138" t="str">
        <f>VLOOKUP(D138,'TABLA FECHASEXAMEN'!K:L,2,FALSE)</f>
        <v>2024-07-02 08:00:00</v>
      </c>
    </row>
    <row r="139" spans="1:9" x14ac:dyDescent="0.25">
      <c r="A139">
        <v>138</v>
      </c>
      <c r="B139">
        <f>VLOOKUP("A"&amp;EXAMENES!Q139&amp;"M"&amp;EXAMENES!O139&amp;"C"&amp;EXAMENES!R139,'TABLA PREVIOS'!A:C,3,FALSE)</f>
        <v>66</v>
      </c>
      <c r="C139">
        <f>EXAMENES!L139</f>
        <v>2</v>
      </c>
      <c r="D139">
        <f>VLOOKUP("T"&amp;EXAMENES!L139&amp;"M"&amp;EXAMENES!O139,'TABLA FECHASEXAMEN'!J:K,2,FALSE)</f>
        <v>55</v>
      </c>
      <c r="E139">
        <f>EXAMENES!P139</f>
        <v>3</v>
      </c>
      <c r="F139">
        <f>EXAMENES!J139</f>
        <v>68</v>
      </c>
      <c r="G139">
        <f>EXAMENES!K139</f>
        <v>73</v>
      </c>
      <c r="H139" t="str">
        <f>VLOOKUP(D139,'TABLA FECHASEXAMEN'!K:L,2,FALSE)</f>
        <v>2024-07-02 08:00:00</v>
      </c>
      <c r="I139" t="str">
        <f>VLOOKUP(D139,'TABLA FECHASEXAMEN'!K:L,2,FALSE)</f>
        <v>2024-07-02 08:00:00</v>
      </c>
    </row>
    <row r="140" spans="1:9" x14ac:dyDescent="0.25">
      <c r="A140">
        <v>139</v>
      </c>
      <c r="B140">
        <f>VLOOKUP("A"&amp;EXAMENES!Q140&amp;"M"&amp;EXAMENES!O140&amp;"C"&amp;EXAMENES!R140,'TABLA PREVIOS'!A:C,3,FALSE)</f>
        <v>91</v>
      </c>
      <c r="C140">
        <f>EXAMENES!L140</f>
        <v>2</v>
      </c>
      <c r="D140">
        <f>VLOOKUP("T"&amp;EXAMENES!L140&amp;"M"&amp;EXAMENES!O140,'TABLA FECHASEXAMEN'!J:K,2,FALSE)</f>
        <v>56</v>
      </c>
      <c r="E140">
        <f>EXAMENES!P140</f>
        <v>9</v>
      </c>
      <c r="F140">
        <f>EXAMENES!J140</f>
        <v>68</v>
      </c>
      <c r="G140">
        <f>EXAMENES!K140</f>
        <v>68</v>
      </c>
      <c r="H140" t="str">
        <f>VLOOKUP(D140,'TABLA FECHASEXAMEN'!K:L,2,FALSE)</f>
        <v>2024-07-02 08:00:00</v>
      </c>
      <c r="I140" t="str">
        <f>VLOOKUP(D140,'TABLA FECHASEXAMEN'!K:L,2,FALSE)</f>
        <v>2024-07-02 08:00:00</v>
      </c>
    </row>
    <row r="141" spans="1:9" x14ac:dyDescent="0.25">
      <c r="A141">
        <v>140</v>
      </c>
      <c r="B141">
        <f>VLOOKUP("A"&amp;EXAMENES!Q141&amp;"M"&amp;EXAMENES!O141&amp;"C"&amp;EXAMENES!R141,'TABLA PREVIOS'!A:C,3,FALSE)</f>
        <v>89</v>
      </c>
      <c r="C141">
        <f>EXAMENES!L141</f>
        <v>2</v>
      </c>
      <c r="D141">
        <f>VLOOKUP("T"&amp;EXAMENES!L141&amp;"M"&amp;EXAMENES!O141,'TABLA FECHASEXAMEN'!J:K,2,FALSE)</f>
        <v>57</v>
      </c>
      <c r="E141">
        <f>EXAMENES!P141</f>
        <v>2</v>
      </c>
      <c r="F141">
        <f>EXAMENES!J141</f>
        <v>68</v>
      </c>
      <c r="G141">
        <f>EXAMENES!K141</f>
        <v>70</v>
      </c>
      <c r="H141" t="str">
        <f>VLOOKUP(D141,'TABLA FECHASEXAMEN'!K:L,2,FALSE)</f>
        <v>2024-07-02 08:00:00</v>
      </c>
      <c r="I141" t="str">
        <f>VLOOKUP(D141,'TABLA FECHASEXAMEN'!K:L,2,FALSE)</f>
        <v>2024-07-02 08:00:00</v>
      </c>
    </row>
    <row r="142" spans="1:9" x14ac:dyDescent="0.25">
      <c r="A142">
        <v>141</v>
      </c>
      <c r="B142">
        <f>VLOOKUP("A"&amp;EXAMENES!Q142&amp;"M"&amp;EXAMENES!O142&amp;"C"&amp;EXAMENES!R142,'TABLA PREVIOS'!A:C,3,FALSE)</f>
        <v>128</v>
      </c>
      <c r="C142">
        <f>EXAMENES!L142</f>
        <v>2</v>
      </c>
      <c r="D142">
        <f>VLOOKUP("T"&amp;EXAMENES!L142&amp;"M"&amp;EXAMENES!O142,'TABLA FECHASEXAMEN'!J:K,2,FALSE)</f>
        <v>57</v>
      </c>
      <c r="E142">
        <f>EXAMENES!P142</f>
        <v>2</v>
      </c>
      <c r="F142">
        <f>EXAMENES!J142</f>
        <v>68</v>
      </c>
      <c r="G142">
        <f>EXAMENES!K142</f>
        <v>70</v>
      </c>
      <c r="H142" t="str">
        <f>VLOOKUP(D142,'TABLA FECHASEXAMEN'!K:L,2,FALSE)</f>
        <v>2024-07-02 08:00:00</v>
      </c>
      <c r="I142" t="str">
        <f>VLOOKUP(D142,'TABLA FECHASEXAMEN'!K:L,2,FALSE)</f>
        <v>2024-07-02 08:00:00</v>
      </c>
    </row>
    <row r="143" spans="1:9" x14ac:dyDescent="0.25">
      <c r="A143">
        <v>142</v>
      </c>
      <c r="B143">
        <f>VLOOKUP("A"&amp;EXAMENES!Q143&amp;"M"&amp;EXAMENES!O143&amp;"C"&amp;EXAMENES!R143,'TABLA PREVIOS'!A:C,3,FALSE)</f>
        <v>133</v>
      </c>
      <c r="C143">
        <f>EXAMENES!L143</f>
        <v>2</v>
      </c>
      <c r="D143">
        <f>VLOOKUP("T"&amp;EXAMENES!L143&amp;"M"&amp;EXAMENES!O143,'TABLA FECHASEXAMEN'!J:K,2,FALSE)</f>
        <v>58</v>
      </c>
      <c r="E143">
        <f>EXAMENES!P143</f>
        <v>4</v>
      </c>
      <c r="F143">
        <f>EXAMENES!J143</f>
        <v>68</v>
      </c>
      <c r="G143">
        <f>EXAMENES!K143</f>
        <v>74</v>
      </c>
      <c r="H143" t="str">
        <f>VLOOKUP(D143,'TABLA FECHASEXAMEN'!K:L,2,FALSE)</f>
        <v>2024-07-02 08:00:00</v>
      </c>
      <c r="I143" t="str">
        <f>VLOOKUP(D143,'TABLA FECHASEXAMEN'!K:L,2,FALSE)</f>
        <v>2024-07-02 08:00:00</v>
      </c>
    </row>
    <row r="144" spans="1:9" x14ac:dyDescent="0.25">
      <c r="A144">
        <v>143</v>
      </c>
      <c r="B144">
        <f>VLOOKUP("A"&amp;EXAMENES!Q144&amp;"M"&amp;EXAMENES!O144&amp;"C"&amp;EXAMENES!R144,'TABLA PREVIOS'!A:C,3,FALSE)</f>
        <v>160</v>
      </c>
      <c r="C144">
        <f>EXAMENES!L144</f>
        <v>2</v>
      </c>
      <c r="D144">
        <f>VLOOKUP("T"&amp;EXAMENES!L144&amp;"M"&amp;EXAMENES!O144,'TABLA FECHASEXAMEN'!J:K,2,FALSE)</f>
        <v>58</v>
      </c>
      <c r="E144">
        <f>EXAMENES!P144</f>
        <v>3</v>
      </c>
      <c r="F144">
        <f>EXAMENES!J144</f>
        <v>68</v>
      </c>
      <c r="G144">
        <f>EXAMENES!K144</f>
        <v>74</v>
      </c>
      <c r="H144" t="str">
        <f>VLOOKUP(D144,'TABLA FECHASEXAMEN'!K:L,2,FALSE)</f>
        <v>2024-07-02 08:00:00</v>
      </c>
      <c r="I144" t="str">
        <f>VLOOKUP(D144,'TABLA FECHASEXAMEN'!K:L,2,FALSE)</f>
        <v>2024-07-02 08:00:00</v>
      </c>
    </row>
    <row r="145" spans="1:9" x14ac:dyDescent="0.25">
      <c r="A145">
        <v>144</v>
      </c>
      <c r="B145">
        <f>VLOOKUP("A"&amp;EXAMENES!Q145&amp;"M"&amp;EXAMENES!O145&amp;"C"&amp;EXAMENES!R145,'TABLA PREVIOS'!A:C,3,FALSE)</f>
        <v>171</v>
      </c>
      <c r="C145">
        <f>EXAMENES!L145</f>
        <v>2</v>
      </c>
      <c r="D145">
        <f>VLOOKUP("T"&amp;EXAMENES!L145&amp;"M"&amp;EXAMENES!O145,'TABLA FECHASEXAMEN'!J:K,2,FALSE)</f>
        <v>58</v>
      </c>
      <c r="E145">
        <f>EXAMENES!P145</f>
        <v>5</v>
      </c>
      <c r="F145">
        <f>EXAMENES!J145</f>
        <v>68</v>
      </c>
      <c r="G145">
        <f>EXAMENES!K145</f>
        <v>74</v>
      </c>
      <c r="H145" t="str">
        <f>VLOOKUP(D145,'TABLA FECHASEXAMEN'!K:L,2,FALSE)</f>
        <v>2024-07-02 08:00:00</v>
      </c>
      <c r="I145" t="str">
        <f>VLOOKUP(D145,'TABLA FECHASEXAMEN'!K:L,2,FALSE)</f>
        <v>2024-07-02 08:00:00</v>
      </c>
    </row>
    <row r="146" spans="1:9" x14ac:dyDescent="0.25">
      <c r="A146">
        <v>145</v>
      </c>
      <c r="B146">
        <f>VLOOKUP("A"&amp;EXAMENES!Q146&amp;"M"&amp;EXAMENES!O146&amp;"C"&amp;EXAMENES!R146,'TABLA PREVIOS'!A:C,3,FALSE)</f>
        <v>169</v>
      </c>
      <c r="C146">
        <f>EXAMENES!L146</f>
        <v>2</v>
      </c>
      <c r="D146">
        <f>VLOOKUP("T"&amp;EXAMENES!L146&amp;"M"&amp;EXAMENES!O146,'TABLA FECHASEXAMEN'!J:K,2,FALSE)</f>
        <v>59</v>
      </c>
      <c r="E146">
        <f>EXAMENES!P146</f>
        <v>9</v>
      </c>
      <c r="F146">
        <f>EXAMENES!J146</f>
        <v>68</v>
      </c>
      <c r="G146">
        <f>EXAMENES!K146</f>
        <v>71</v>
      </c>
      <c r="H146" t="str">
        <f>VLOOKUP(D146,'TABLA FECHASEXAMEN'!K:L,2,FALSE)</f>
        <v>2024-07-02 08:00:00</v>
      </c>
      <c r="I146" t="str">
        <f>VLOOKUP(D146,'TABLA FECHASEXAMEN'!K:L,2,FALSE)</f>
        <v>2024-07-02 08:00:00</v>
      </c>
    </row>
    <row r="147" spans="1:9" x14ac:dyDescent="0.25">
      <c r="A147">
        <v>146</v>
      </c>
      <c r="B147">
        <f>VLOOKUP("A"&amp;EXAMENES!Q147&amp;"M"&amp;EXAMENES!O147&amp;"C"&amp;EXAMENES!R147,'TABLA PREVIOS'!A:C,3,FALSE)</f>
        <v>1030</v>
      </c>
      <c r="C147">
        <f>EXAMENES!L147</f>
        <v>2</v>
      </c>
      <c r="D147">
        <f>VLOOKUP("T"&amp;EXAMENES!L147&amp;"M"&amp;EXAMENES!O147,'TABLA FECHASEXAMEN'!J:K,2,FALSE)</f>
        <v>60</v>
      </c>
      <c r="E147">
        <f>EXAMENES!P147</f>
        <v>6</v>
      </c>
      <c r="F147">
        <f>EXAMENES!J147</f>
        <v>68</v>
      </c>
      <c r="G147">
        <f>EXAMENES!K147</f>
        <v>75</v>
      </c>
      <c r="H147" t="str">
        <f>VLOOKUP(D147,'TABLA FECHASEXAMEN'!K:L,2,FALSE)</f>
        <v>2024-07-02 08:00:00</v>
      </c>
      <c r="I147" t="str">
        <f>VLOOKUP(D147,'TABLA FECHASEXAMEN'!K:L,2,FALSE)</f>
        <v>2024-07-02 08:00:00</v>
      </c>
    </row>
    <row r="148" spans="1:9" x14ac:dyDescent="0.25">
      <c r="A148">
        <v>147</v>
      </c>
      <c r="B148">
        <f>VLOOKUP("A"&amp;EXAMENES!Q148&amp;"M"&amp;EXAMENES!O148&amp;"C"&amp;EXAMENES!R148,'TABLA PREVIOS'!A:C,3,FALSE)</f>
        <v>1101</v>
      </c>
      <c r="C148">
        <f>EXAMENES!L148</f>
        <v>2</v>
      </c>
      <c r="D148">
        <f>VLOOKUP("T"&amp;EXAMENES!L148&amp;"M"&amp;EXAMENES!O148,'TABLA FECHASEXAMEN'!J:K,2,FALSE)</f>
        <v>61</v>
      </c>
      <c r="E148">
        <f>EXAMENES!P148</f>
        <v>6</v>
      </c>
      <c r="F148">
        <f>EXAMENES!J148</f>
        <v>68</v>
      </c>
      <c r="G148">
        <f>EXAMENES!K148</f>
        <v>76</v>
      </c>
      <c r="H148" t="str">
        <f>VLOOKUP(D148,'TABLA FECHASEXAMEN'!K:L,2,FALSE)</f>
        <v>2024-07-02 08:00:00</v>
      </c>
      <c r="I148" t="str">
        <f>VLOOKUP(D148,'TABLA FECHASEXAMEN'!K:L,2,FALSE)</f>
        <v>2024-07-02 08:00:00</v>
      </c>
    </row>
    <row r="149" spans="1:9" x14ac:dyDescent="0.25">
      <c r="A149">
        <v>148</v>
      </c>
      <c r="B149">
        <f>VLOOKUP("A"&amp;EXAMENES!Q149&amp;"M"&amp;EXAMENES!O149&amp;"C"&amp;EXAMENES!R149,'TABLA PREVIOS'!A:C,3,FALSE)</f>
        <v>1117</v>
      </c>
      <c r="C149">
        <f>EXAMENES!L149</f>
        <v>2</v>
      </c>
      <c r="D149">
        <f>VLOOKUP("T"&amp;EXAMENES!L149&amp;"M"&amp;EXAMENES!O149,'TABLA FECHASEXAMEN'!J:K,2,FALSE)</f>
        <v>62</v>
      </c>
      <c r="E149">
        <f>EXAMENES!P149</f>
        <v>11</v>
      </c>
      <c r="F149">
        <f>EXAMENES!J149</f>
        <v>68</v>
      </c>
      <c r="G149">
        <f>EXAMENES!K149</f>
        <v>72</v>
      </c>
      <c r="H149" t="str">
        <f>VLOOKUP(D149,'TABLA FECHASEXAMEN'!K:L,2,FALSE)</f>
        <v>2024-07-02 08:00:00</v>
      </c>
      <c r="I149" t="str">
        <f>VLOOKUP(D149,'TABLA FECHASEXAMEN'!K:L,2,FALSE)</f>
        <v>2024-07-02 08:00:00</v>
      </c>
    </row>
    <row r="150" spans="1:9" x14ac:dyDescent="0.25">
      <c r="A150">
        <v>149</v>
      </c>
      <c r="B150">
        <f>VLOOKUP("A"&amp;EXAMENES!Q150&amp;"M"&amp;EXAMENES!O150&amp;"C"&amp;EXAMENES!R150,'TABLA PREVIOS'!A:C,3,FALSE)</f>
        <v>1053</v>
      </c>
      <c r="C150">
        <f>EXAMENES!L150</f>
        <v>2</v>
      </c>
      <c r="D150">
        <f>VLOOKUP("T"&amp;EXAMENES!L150&amp;"M"&amp;EXAMENES!O150,'TABLA FECHASEXAMEN'!J:K,2,FALSE)</f>
        <v>63</v>
      </c>
      <c r="E150">
        <f>EXAMENES!P150</f>
        <v>2</v>
      </c>
      <c r="F150">
        <f>EXAMENES!J150</f>
        <v>68</v>
      </c>
      <c r="G150">
        <f>EXAMENES!K150</f>
        <v>77</v>
      </c>
      <c r="H150" t="str">
        <f>VLOOKUP(D150,'TABLA FECHASEXAMEN'!K:L,2,FALSE)</f>
        <v>2024-07-02 08:00:00</v>
      </c>
      <c r="I150" t="str">
        <f>VLOOKUP(D150,'TABLA FECHASEXAMEN'!K:L,2,FALSE)</f>
        <v>2024-07-02 08:00:00</v>
      </c>
    </row>
    <row r="151" spans="1:9" x14ac:dyDescent="0.25">
      <c r="A151">
        <v>150</v>
      </c>
      <c r="B151">
        <f>VLOOKUP("A"&amp;EXAMENES!Q151&amp;"M"&amp;EXAMENES!O151&amp;"C"&amp;EXAMENES!R151,'TABLA PREVIOS'!A:C,3,FALSE)</f>
        <v>1057</v>
      </c>
      <c r="C151">
        <f>EXAMENES!L151</f>
        <v>2</v>
      </c>
      <c r="D151">
        <f>VLOOKUP("T"&amp;EXAMENES!L151&amp;"M"&amp;EXAMENES!O151,'TABLA FECHASEXAMEN'!J:K,2,FALSE)</f>
        <v>63</v>
      </c>
      <c r="E151">
        <f>EXAMENES!P151</f>
        <v>2</v>
      </c>
      <c r="F151">
        <f>EXAMENES!J151</f>
        <v>68</v>
      </c>
      <c r="G151">
        <f>EXAMENES!K151</f>
        <v>77</v>
      </c>
      <c r="H151" t="str">
        <f>VLOOKUP(D151,'TABLA FECHASEXAMEN'!K:L,2,FALSE)</f>
        <v>2024-07-02 08:00:00</v>
      </c>
      <c r="I151" t="str">
        <f>VLOOKUP(D151,'TABLA FECHASEXAMEN'!K:L,2,FALSE)</f>
        <v>2024-07-02 08:00:00</v>
      </c>
    </row>
    <row r="152" spans="1:9" x14ac:dyDescent="0.25">
      <c r="A152">
        <v>151</v>
      </c>
      <c r="B152">
        <f>VLOOKUP("A"&amp;EXAMENES!Q152&amp;"M"&amp;EXAMENES!O152&amp;"C"&amp;EXAMENES!R152,'TABLA PREVIOS'!A:C,3,FALSE)</f>
        <v>289</v>
      </c>
      <c r="C152">
        <f>EXAMENES!L152</f>
        <v>2</v>
      </c>
      <c r="D152">
        <f>VLOOKUP("T"&amp;EXAMENES!L152&amp;"M"&amp;EXAMENES!O152,'TABLA FECHASEXAMEN'!J:K,2,FALSE)</f>
        <v>64</v>
      </c>
      <c r="E152">
        <f>EXAMENES!P152</f>
        <v>9</v>
      </c>
      <c r="F152">
        <f>EXAMENES!J152</f>
        <v>58</v>
      </c>
      <c r="G152">
        <f>EXAMENES!K152</f>
        <v>200</v>
      </c>
      <c r="H152" t="str">
        <f>VLOOKUP(D152,'TABLA FECHASEXAMEN'!K:L,2,FALSE)</f>
        <v>2024-07-02 13:00:00</v>
      </c>
      <c r="I152" t="str">
        <f>VLOOKUP(D152,'TABLA FECHASEXAMEN'!K:L,2,FALSE)</f>
        <v>2024-07-02 13:00:00</v>
      </c>
    </row>
    <row r="153" spans="1:9" x14ac:dyDescent="0.25">
      <c r="A153">
        <v>152</v>
      </c>
      <c r="B153">
        <f>VLOOKUP("A"&amp;EXAMENES!Q153&amp;"M"&amp;EXAMENES!O153&amp;"C"&amp;EXAMENES!R153,'TABLA PREVIOS'!A:C,3,FALSE)</f>
        <v>274</v>
      </c>
      <c r="C153">
        <f>EXAMENES!L153</f>
        <v>2</v>
      </c>
      <c r="D153">
        <f>VLOOKUP("T"&amp;EXAMENES!L153&amp;"M"&amp;EXAMENES!O153,'TABLA FECHASEXAMEN'!J:K,2,FALSE)</f>
        <v>65</v>
      </c>
      <c r="E153">
        <f>EXAMENES!P153</f>
        <v>9</v>
      </c>
      <c r="F153">
        <f>EXAMENES!J153</f>
        <v>70</v>
      </c>
      <c r="G153">
        <f>EXAMENES!K153</f>
        <v>2</v>
      </c>
      <c r="H153" t="str">
        <f>VLOOKUP(D153,'TABLA FECHASEXAMEN'!K:L,2,FALSE)</f>
        <v>2024-07-02 13:00:00</v>
      </c>
      <c r="I153" t="str">
        <f>VLOOKUP(D153,'TABLA FECHASEXAMEN'!K:L,2,FALSE)</f>
        <v>2024-07-02 13:00:00</v>
      </c>
    </row>
    <row r="154" spans="1:9" x14ac:dyDescent="0.25">
      <c r="A154">
        <v>153</v>
      </c>
      <c r="B154">
        <f>VLOOKUP("A"&amp;EXAMENES!Q154&amp;"M"&amp;EXAMENES!O154&amp;"C"&amp;EXAMENES!R154,'TABLA PREVIOS'!A:C,3,FALSE)</f>
        <v>275</v>
      </c>
      <c r="C154">
        <f>EXAMENES!L154</f>
        <v>2</v>
      </c>
      <c r="D154">
        <f>VLOOKUP("T"&amp;EXAMENES!L154&amp;"M"&amp;EXAMENES!O154,'TABLA FECHASEXAMEN'!J:K,2,FALSE)</f>
        <v>51</v>
      </c>
      <c r="E154">
        <f>EXAMENES!P154</f>
        <v>9</v>
      </c>
      <c r="F154">
        <f>EXAMENES!J154</f>
        <v>70</v>
      </c>
      <c r="G154">
        <f>EXAMENES!K154</f>
        <v>1</v>
      </c>
      <c r="H154" t="str">
        <f>VLOOKUP(D154,'TABLA FECHASEXAMEN'!K:L,2,FALSE)</f>
        <v>2024-07-02 13:00:00</v>
      </c>
      <c r="I154" t="str">
        <f>VLOOKUP(D154,'TABLA FECHASEXAMEN'!K:L,2,FALSE)</f>
        <v>2024-07-02 13:00:00</v>
      </c>
    </row>
    <row r="155" spans="1:9" x14ac:dyDescent="0.25">
      <c r="A155">
        <v>154</v>
      </c>
      <c r="B155">
        <f>VLOOKUP("A"&amp;EXAMENES!Q155&amp;"M"&amp;EXAMENES!O155&amp;"C"&amp;EXAMENES!R155,'TABLA PREVIOS'!A:C,3,FALSE)</f>
        <v>383</v>
      </c>
      <c r="C155">
        <f>EXAMENES!L155</f>
        <v>2</v>
      </c>
      <c r="D155">
        <f>VLOOKUP("T"&amp;EXAMENES!L155&amp;"M"&amp;EXAMENES!O155,'TABLA FECHASEXAMEN'!J:K,2,FALSE)</f>
        <v>51</v>
      </c>
      <c r="E155">
        <f>EXAMENES!P155</f>
        <v>2</v>
      </c>
      <c r="F155">
        <f>EXAMENES!J155</f>
        <v>68</v>
      </c>
      <c r="G155">
        <f>EXAMENES!K155</f>
        <v>82</v>
      </c>
      <c r="H155" t="str">
        <f>VLOOKUP(D155,'TABLA FECHASEXAMEN'!K:L,2,FALSE)</f>
        <v>2024-07-02 13:00:00</v>
      </c>
      <c r="I155" t="str">
        <f>VLOOKUP(D155,'TABLA FECHASEXAMEN'!K:L,2,FALSE)</f>
        <v>2024-07-02 13:00:00</v>
      </c>
    </row>
    <row r="156" spans="1:9" x14ac:dyDescent="0.25">
      <c r="A156">
        <v>155</v>
      </c>
      <c r="B156">
        <f>VLOOKUP("A"&amp;EXAMENES!Q156&amp;"M"&amp;EXAMENES!O156&amp;"C"&amp;EXAMENES!R156,'TABLA PREVIOS'!A:C,3,FALSE)</f>
        <v>429</v>
      </c>
      <c r="C156">
        <f>EXAMENES!L156</f>
        <v>2</v>
      </c>
      <c r="D156">
        <f>VLOOKUP("T"&amp;EXAMENES!L156&amp;"M"&amp;EXAMENES!O156,'TABLA FECHASEXAMEN'!J:K,2,FALSE)</f>
        <v>51</v>
      </c>
      <c r="E156">
        <f>EXAMENES!P156</f>
        <v>2</v>
      </c>
      <c r="F156">
        <f>EXAMENES!J156</f>
        <v>68</v>
      </c>
      <c r="G156">
        <f>EXAMENES!K156</f>
        <v>82</v>
      </c>
      <c r="H156" t="str">
        <f>VLOOKUP(D156,'TABLA FECHASEXAMEN'!K:L,2,FALSE)</f>
        <v>2024-07-02 13:00:00</v>
      </c>
      <c r="I156" t="str">
        <f>VLOOKUP(D156,'TABLA FECHASEXAMEN'!K:L,2,FALSE)</f>
        <v>2024-07-02 13:00:00</v>
      </c>
    </row>
    <row r="157" spans="1:9" x14ac:dyDescent="0.25">
      <c r="A157">
        <v>156</v>
      </c>
      <c r="B157">
        <f>VLOOKUP("A"&amp;EXAMENES!Q157&amp;"M"&amp;EXAMENES!O157&amp;"C"&amp;EXAMENES!R157,'TABLA PREVIOS'!A:C,3,FALSE)</f>
        <v>279</v>
      </c>
      <c r="C157">
        <f>EXAMENES!L157</f>
        <v>2</v>
      </c>
      <c r="D157">
        <f>VLOOKUP("T"&amp;EXAMENES!L157&amp;"M"&amp;EXAMENES!O157,'TABLA FECHASEXAMEN'!J:K,2,FALSE)</f>
        <v>66</v>
      </c>
      <c r="E157">
        <f>EXAMENES!P157</f>
        <v>5</v>
      </c>
      <c r="F157">
        <f>EXAMENES!J157</f>
        <v>68</v>
      </c>
      <c r="G157">
        <f>EXAMENES!K157</f>
        <v>78</v>
      </c>
      <c r="H157" t="str">
        <f>VLOOKUP(D157,'TABLA FECHASEXAMEN'!K:L,2,FALSE)</f>
        <v>2024-07-02 13:00:00</v>
      </c>
      <c r="I157" t="str">
        <f>VLOOKUP(D157,'TABLA FECHASEXAMEN'!K:L,2,FALSE)</f>
        <v>2024-07-02 13:00:00</v>
      </c>
    </row>
    <row r="158" spans="1:9" x14ac:dyDescent="0.25">
      <c r="A158">
        <v>157</v>
      </c>
      <c r="B158">
        <f>VLOOKUP("A"&amp;EXAMENES!Q158&amp;"M"&amp;EXAMENES!O158&amp;"C"&amp;EXAMENES!R158,'TABLA PREVIOS'!A:C,3,FALSE)</f>
        <v>276</v>
      </c>
      <c r="C158">
        <f>EXAMENES!L158</f>
        <v>2</v>
      </c>
      <c r="D158">
        <f>VLOOKUP("T"&amp;EXAMENES!L158&amp;"M"&amp;EXAMENES!O158,'TABLA FECHASEXAMEN'!J:K,2,FALSE)</f>
        <v>52</v>
      </c>
      <c r="E158">
        <f>EXAMENES!P158</f>
        <v>4</v>
      </c>
      <c r="F158">
        <f>EXAMENES!J158</f>
        <v>70</v>
      </c>
      <c r="G158">
        <f>EXAMENES!K158</f>
        <v>3</v>
      </c>
      <c r="H158" t="str">
        <f>VLOOKUP(D158,'TABLA FECHASEXAMEN'!K:L,2,FALSE)</f>
        <v>2024-07-02 13:00:00</v>
      </c>
      <c r="I158" t="str">
        <f>VLOOKUP(D158,'TABLA FECHASEXAMEN'!K:L,2,FALSE)</f>
        <v>2024-07-02 13:00:00</v>
      </c>
    </row>
    <row r="159" spans="1:9" x14ac:dyDescent="0.25">
      <c r="A159">
        <v>158</v>
      </c>
      <c r="B159">
        <f>VLOOKUP("A"&amp;EXAMENES!Q159&amp;"M"&amp;EXAMENES!O159&amp;"C"&amp;EXAMENES!R159,'TABLA PREVIOS'!A:C,3,FALSE)</f>
        <v>1109</v>
      </c>
      <c r="C159">
        <f>EXAMENES!L159</f>
        <v>2</v>
      </c>
      <c r="D159">
        <f>VLOOKUP("T"&amp;EXAMENES!L159&amp;"M"&amp;EXAMENES!O159,'TABLA FECHASEXAMEN'!J:K,2,FALSE)</f>
        <v>67</v>
      </c>
      <c r="E159">
        <f>EXAMENES!P159</f>
        <v>2</v>
      </c>
      <c r="F159">
        <f>EXAMENES!J159</f>
        <v>68</v>
      </c>
      <c r="G159">
        <f>EXAMENES!K159</f>
        <v>79</v>
      </c>
      <c r="H159" t="str">
        <f>VLOOKUP(D159,'TABLA FECHASEXAMEN'!K:L,2,FALSE)</f>
        <v>2024-07-02 13:00:00</v>
      </c>
      <c r="I159" t="str">
        <f>VLOOKUP(D159,'TABLA FECHASEXAMEN'!K:L,2,FALSE)</f>
        <v>2024-07-02 13:00:00</v>
      </c>
    </row>
    <row r="160" spans="1:9" x14ac:dyDescent="0.25">
      <c r="A160">
        <v>159</v>
      </c>
      <c r="B160">
        <f>VLOOKUP("A"&amp;EXAMENES!Q160&amp;"M"&amp;EXAMENES!O160&amp;"C"&amp;EXAMENES!R160,'TABLA PREVIOS'!A:C,3,FALSE)</f>
        <v>297</v>
      </c>
      <c r="C160">
        <f>EXAMENES!L160</f>
        <v>2</v>
      </c>
      <c r="D160">
        <f>VLOOKUP("T"&amp;EXAMENES!L160&amp;"M"&amp;EXAMENES!O160,'TABLA FECHASEXAMEN'!J:K,2,FALSE)</f>
        <v>67</v>
      </c>
      <c r="E160">
        <f>EXAMENES!P160</f>
        <v>2</v>
      </c>
      <c r="F160">
        <f>EXAMENES!J160</f>
        <v>68</v>
      </c>
      <c r="G160">
        <f>EXAMENES!K160</f>
        <v>79</v>
      </c>
      <c r="H160" t="str">
        <f>VLOOKUP(D160,'TABLA FECHASEXAMEN'!K:L,2,FALSE)</f>
        <v>2024-07-02 13:00:00</v>
      </c>
      <c r="I160" t="str">
        <f>VLOOKUP(D160,'TABLA FECHASEXAMEN'!K:L,2,FALSE)</f>
        <v>2024-07-02 13:00:00</v>
      </c>
    </row>
    <row r="161" spans="1:9" x14ac:dyDescent="0.25">
      <c r="A161">
        <v>160</v>
      </c>
      <c r="B161">
        <f>VLOOKUP("A"&amp;EXAMENES!Q161&amp;"M"&amp;EXAMENES!O161&amp;"C"&amp;EXAMENES!R161,'TABLA PREVIOS'!A:C,3,FALSE)</f>
        <v>1056</v>
      </c>
      <c r="C161">
        <f>EXAMENES!L161</f>
        <v>2</v>
      </c>
      <c r="D161">
        <f>VLOOKUP("T"&amp;EXAMENES!L161&amp;"M"&amp;EXAMENES!O161,'TABLA FECHASEXAMEN'!J:K,2,FALSE)</f>
        <v>67</v>
      </c>
      <c r="E161">
        <f>EXAMENES!P161</f>
        <v>9</v>
      </c>
      <c r="F161">
        <f>EXAMENES!J161</f>
        <v>68</v>
      </c>
      <c r="G161">
        <f>EXAMENES!K161</f>
        <v>79</v>
      </c>
      <c r="H161" t="str">
        <f>VLOOKUP(D161,'TABLA FECHASEXAMEN'!K:L,2,FALSE)</f>
        <v>2024-07-02 13:00:00</v>
      </c>
      <c r="I161" t="str">
        <f>VLOOKUP(D161,'TABLA FECHASEXAMEN'!K:L,2,FALSE)</f>
        <v>2024-07-02 13:00:00</v>
      </c>
    </row>
    <row r="162" spans="1:9" x14ac:dyDescent="0.25">
      <c r="A162">
        <v>161</v>
      </c>
      <c r="B162">
        <f>VLOOKUP("A"&amp;EXAMENES!Q162&amp;"M"&amp;EXAMENES!O162&amp;"C"&amp;EXAMENES!R162,'TABLA PREVIOS'!A:C,3,FALSE)</f>
        <v>384</v>
      </c>
      <c r="C162">
        <f>EXAMENES!L162</f>
        <v>2</v>
      </c>
      <c r="D162">
        <f>VLOOKUP("T"&amp;EXAMENES!L162&amp;"M"&amp;EXAMENES!O162,'TABLA FECHASEXAMEN'!J:K,2,FALSE)</f>
        <v>68</v>
      </c>
      <c r="E162">
        <f>EXAMENES!P162</f>
        <v>2</v>
      </c>
      <c r="F162">
        <f>EXAMENES!J162</f>
        <v>68</v>
      </c>
      <c r="G162">
        <f>EXAMENES!K162</f>
        <v>84</v>
      </c>
      <c r="H162" t="str">
        <f>VLOOKUP(D162,'TABLA FECHASEXAMEN'!K:L,2,FALSE)</f>
        <v>2024-07-02 13:00:00</v>
      </c>
      <c r="I162" t="str">
        <f>VLOOKUP(D162,'TABLA FECHASEXAMEN'!K:L,2,FALSE)</f>
        <v>2024-07-02 13:00:00</v>
      </c>
    </row>
    <row r="163" spans="1:9" x14ac:dyDescent="0.25">
      <c r="A163">
        <v>162</v>
      </c>
      <c r="B163">
        <f>VLOOKUP("A"&amp;EXAMENES!Q163&amp;"M"&amp;EXAMENES!O163&amp;"C"&amp;EXAMENES!R163,'TABLA PREVIOS'!A:C,3,FALSE)</f>
        <v>431</v>
      </c>
      <c r="C163">
        <f>EXAMENES!L163</f>
        <v>2</v>
      </c>
      <c r="D163">
        <f>VLOOKUP("T"&amp;EXAMENES!L163&amp;"M"&amp;EXAMENES!O163,'TABLA FECHASEXAMEN'!J:K,2,FALSE)</f>
        <v>68</v>
      </c>
      <c r="E163">
        <f>EXAMENES!P163</f>
        <v>2</v>
      </c>
      <c r="F163">
        <f>EXAMENES!J163</f>
        <v>68</v>
      </c>
      <c r="G163">
        <f>EXAMENES!K163</f>
        <v>84</v>
      </c>
      <c r="H163" t="str">
        <f>VLOOKUP(D163,'TABLA FECHASEXAMEN'!K:L,2,FALSE)</f>
        <v>2024-07-02 13:00:00</v>
      </c>
      <c r="I163" t="str">
        <f>VLOOKUP(D163,'TABLA FECHASEXAMEN'!K:L,2,FALSE)</f>
        <v>2024-07-02 13:00:00</v>
      </c>
    </row>
    <row r="164" spans="1:9" x14ac:dyDescent="0.25">
      <c r="A164">
        <v>163</v>
      </c>
      <c r="B164">
        <f>VLOOKUP("A"&amp;EXAMENES!Q164&amp;"M"&amp;EXAMENES!O164&amp;"C"&amp;EXAMENES!R164,'TABLA PREVIOS'!A:C,3,FALSE)</f>
        <v>957</v>
      </c>
      <c r="C164">
        <f>EXAMENES!L164</f>
        <v>2</v>
      </c>
      <c r="D164">
        <f>VLOOKUP("T"&amp;EXAMENES!L164&amp;"M"&amp;EXAMENES!O164,'TABLA FECHASEXAMEN'!J:K,2,FALSE)</f>
        <v>69</v>
      </c>
      <c r="E164">
        <f>EXAMENES!P164</f>
        <v>5</v>
      </c>
      <c r="F164">
        <f>EXAMENES!J164</f>
        <v>68</v>
      </c>
      <c r="G164">
        <f>EXAMENES!K164</f>
        <v>83</v>
      </c>
      <c r="H164" t="str">
        <f>VLOOKUP(D164,'TABLA FECHASEXAMEN'!K:L,2,FALSE)</f>
        <v>2024-07-02 13:00:00</v>
      </c>
      <c r="I164" t="str">
        <f>VLOOKUP(D164,'TABLA FECHASEXAMEN'!K:L,2,FALSE)</f>
        <v>2024-07-02 13:00:00</v>
      </c>
    </row>
    <row r="165" spans="1:9" x14ac:dyDescent="0.25">
      <c r="A165">
        <v>164</v>
      </c>
      <c r="B165">
        <f>VLOOKUP("A"&amp;EXAMENES!Q165&amp;"M"&amp;EXAMENES!O165&amp;"C"&amp;EXAMENES!R165,'TABLA PREVIOS'!A:C,3,FALSE)</f>
        <v>1106</v>
      </c>
      <c r="C165">
        <f>EXAMENES!L165</f>
        <v>2</v>
      </c>
      <c r="D165">
        <f>VLOOKUP("T"&amp;EXAMENES!L165&amp;"M"&amp;EXAMENES!O165,'TABLA FECHASEXAMEN'!J:K,2,FALSE)</f>
        <v>70</v>
      </c>
      <c r="E165">
        <f>EXAMENES!P165</f>
        <v>6</v>
      </c>
      <c r="F165">
        <f>EXAMENES!J165</f>
        <v>68</v>
      </c>
      <c r="G165">
        <f>EXAMENES!K165</f>
        <v>81</v>
      </c>
      <c r="H165" t="str">
        <f>VLOOKUP(D165,'TABLA FECHASEXAMEN'!K:L,2,FALSE)</f>
        <v>2024-07-02 13:00:00</v>
      </c>
      <c r="I165" t="str">
        <f>VLOOKUP(D165,'TABLA FECHASEXAMEN'!K:L,2,FALSE)</f>
        <v>2024-07-02 13:00:00</v>
      </c>
    </row>
    <row r="166" spans="1:9" x14ac:dyDescent="0.25">
      <c r="A166">
        <v>165</v>
      </c>
      <c r="B166">
        <f>VLOOKUP("A"&amp;EXAMENES!Q166&amp;"M"&amp;EXAMENES!O166&amp;"C"&amp;EXAMENES!R166,'TABLA PREVIOS'!A:C,3,FALSE)</f>
        <v>1113</v>
      </c>
      <c r="C166">
        <f>EXAMENES!L166</f>
        <v>2</v>
      </c>
      <c r="D166">
        <f>VLOOKUP("T"&amp;EXAMENES!L166&amp;"M"&amp;EXAMENES!O166,'TABLA FECHASEXAMEN'!J:K,2,FALSE)</f>
        <v>70</v>
      </c>
      <c r="E166">
        <f>EXAMENES!P166</f>
        <v>2</v>
      </c>
      <c r="F166">
        <f>EXAMENES!J166</f>
        <v>68</v>
      </c>
      <c r="G166">
        <f>EXAMENES!K166</f>
        <v>81</v>
      </c>
      <c r="H166" t="str">
        <f>VLOOKUP(D166,'TABLA FECHASEXAMEN'!K:L,2,FALSE)</f>
        <v>2024-07-02 13:00:00</v>
      </c>
      <c r="I166" t="str">
        <f>VLOOKUP(D166,'TABLA FECHASEXAMEN'!K:L,2,FALSE)</f>
        <v>2024-07-02 13:00:00</v>
      </c>
    </row>
    <row r="167" spans="1:9" x14ac:dyDescent="0.25">
      <c r="A167">
        <v>166</v>
      </c>
      <c r="B167">
        <f>VLOOKUP("A"&amp;EXAMENES!Q167&amp;"M"&amp;EXAMENES!O167&amp;"C"&amp;EXAMENES!R167,'TABLA PREVIOS'!A:C,3,FALSE)</f>
        <v>1118</v>
      </c>
      <c r="C167">
        <f>EXAMENES!L167</f>
        <v>2</v>
      </c>
      <c r="D167">
        <f>VLOOKUP("T"&amp;EXAMENES!L167&amp;"M"&amp;EXAMENES!O167,'TABLA FECHASEXAMEN'!J:K,2,FALSE)</f>
        <v>70</v>
      </c>
      <c r="E167">
        <f>EXAMENES!P167</f>
        <v>2</v>
      </c>
      <c r="F167">
        <f>EXAMENES!J167</f>
        <v>68</v>
      </c>
      <c r="G167">
        <f>EXAMENES!K167</f>
        <v>81</v>
      </c>
      <c r="H167" t="str">
        <f>VLOOKUP(D167,'TABLA FECHASEXAMEN'!K:L,2,FALSE)</f>
        <v>2024-07-02 13:00:00</v>
      </c>
      <c r="I167" t="str">
        <f>VLOOKUP(D167,'TABLA FECHASEXAMEN'!K:L,2,FALSE)</f>
        <v>2024-07-02 13:00:00</v>
      </c>
    </row>
    <row r="168" spans="1:9" x14ac:dyDescent="0.25">
      <c r="A168">
        <v>167</v>
      </c>
      <c r="B168">
        <f>VLOOKUP("A"&amp;EXAMENES!Q168&amp;"M"&amp;EXAMENES!O168&amp;"C"&amp;EXAMENES!R168,'TABLA PREVIOS'!A:C,3,FALSE)</f>
        <v>1107</v>
      </c>
      <c r="C168">
        <f>EXAMENES!L168</f>
        <v>2</v>
      </c>
      <c r="D168">
        <f>VLOOKUP("T"&amp;EXAMENES!L168&amp;"M"&amp;EXAMENES!O168,'TABLA FECHASEXAMEN'!J:K,2,FALSE)</f>
        <v>71</v>
      </c>
      <c r="E168">
        <f>EXAMENES!P168</f>
        <v>3</v>
      </c>
      <c r="F168">
        <f>EXAMENES!J168</f>
        <v>68</v>
      </c>
      <c r="G168">
        <f>EXAMENES!K168</f>
        <v>80</v>
      </c>
      <c r="H168" t="str">
        <f>VLOOKUP(D168,'TABLA FECHASEXAMEN'!K:L,2,FALSE)</f>
        <v>2024-07-02 13:00:00</v>
      </c>
      <c r="I168" t="str">
        <f>VLOOKUP(D168,'TABLA FECHASEXAMEN'!K:L,2,FALSE)</f>
        <v>2024-07-02 13:00:00</v>
      </c>
    </row>
    <row r="169" spans="1:9" x14ac:dyDescent="0.25">
      <c r="A169">
        <v>168</v>
      </c>
      <c r="B169">
        <f>VLOOKUP("A"&amp;EXAMENES!Q169&amp;"M"&amp;EXAMENES!O169&amp;"C"&amp;EXAMENES!R169,'TABLA PREVIOS'!A:C,3,FALSE)</f>
        <v>1058</v>
      </c>
      <c r="C169">
        <f>EXAMENES!L169</f>
        <v>2</v>
      </c>
      <c r="D169">
        <f>VLOOKUP("T"&amp;EXAMENES!L169&amp;"M"&amp;EXAMENES!O169,'TABLA FECHASEXAMEN'!J:K,2,FALSE)</f>
        <v>71</v>
      </c>
      <c r="E169">
        <f>EXAMENES!P169</f>
        <v>9</v>
      </c>
      <c r="F169">
        <f>EXAMENES!J169</f>
        <v>68</v>
      </c>
      <c r="G169">
        <f>EXAMENES!K169</f>
        <v>80</v>
      </c>
      <c r="H169" t="str">
        <f>VLOOKUP(D169,'TABLA FECHASEXAMEN'!K:L,2,FALSE)</f>
        <v>2024-07-02 13:00:00</v>
      </c>
      <c r="I169" t="str">
        <f>VLOOKUP(D169,'TABLA FECHASEXAMEN'!K:L,2,FALSE)</f>
        <v>2024-07-02 13:00:00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36835-2F5E-4309-9B8A-96CBE335E9C7}">
  <sheetPr codeName="Hoja2"/>
  <dimension ref="A1:AI1406"/>
  <sheetViews>
    <sheetView topLeftCell="R1" workbookViewId="0">
      <selection activeCell="N3" sqref="N3"/>
    </sheetView>
  </sheetViews>
  <sheetFormatPr baseColWidth="10" defaultRowHeight="15" x14ac:dyDescent="0.25"/>
  <cols>
    <col min="1" max="1" width="14" bestFit="1" customWidth="1"/>
    <col min="2" max="2" width="14.7109375" bestFit="1" customWidth="1"/>
    <col min="3" max="3" width="9.5703125" bestFit="1" customWidth="1"/>
    <col min="4" max="4" width="45.42578125" bestFit="1" customWidth="1"/>
    <col min="5" max="5" width="55.28515625" bestFit="1" customWidth="1"/>
    <col min="6" max="6" width="15.7109375" bestFit="1" customWidth="1"/>
    <col min="7" max="7" width="17.28515625" bestFit="1" customWidth="1"/>
    <col min="8" max="8" width="14.5703125" bestFit="1" customWidth="1"/>
    <col min="9" max="9" width="11.85546875" bestFit="1" customWidth="1"/>
    <col min="10" max="10" width="32.42578125" bestFit="1" customWidth="1"/>
    <col min="11" max="11" width="36.28515625" bestFit="1" customWidth="1"/>
    <col min="12" max="12" width="11" bestFit="1" customWidth="1"/>
    <col min="13" max="13" width="17.42578125" bestFit="1" customWidth="1"/>
    <col min="14" max="15" width="16.85546875" bestFit="1" customWidth="1"/>
    <col min="16" max="16" width="17" bestFit="1" customWidth="1"/>
    <col min="17" max="17" width="17.28515625" bestFit="1" customWidth="1"/>
    <col min="18" max="19" width="16.7109375" bestFit="1" customWidth="1"/>
    <col min="20" max="20" width="16.85546875" bestFit="1" customWidth="1"/>
    <col min="21" max="21" width="16.5703125" bestFit="1" customWidth="1"/>
    <col min="22" max="23" width="15.85546875" bestFit="1" customWidth="1"/>
    <col min="24" max="24" width="16.140625" bestFit="1" customWidth="1"/>
    <col min="25" max="25" width="14.5703125" bestFit="1" customWidth="1"/>
    <col min="26" max="27" width="14" bestFit="1" customWidth="1"/>
    <col min="28" max="28" width="14.140625" bestFit="1" customWidth="1"/>
    <col min="29" max="29" width="14.7109375" bestFit="1" customWidth="1"/>
    <col min="30" max="31" width="14.140625" bestFit="1" customWidth="1"/>
    <col min="32" max="32" width="14.28515625" bestFit="1" customWidth="1"/>
    <col min="33" max="33" width="15.85546875" bestFit="1" customWidth="1"/>
  </cols>
  <sheetData>
    <row r="1" spans="1:35" x14ac:dyDescent="0.25">
      <c r="A1" t="s">
        <v>63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72</v>
      </c>
      <c r="K1" t="s">
        <v>73</v>
      </c>
      <c r="L1" t="s">
        <v>74</v>
      </c>
      <c r="M1" t="s">
        <v>75</v>
      </c>
      <c r="N1" t="s">
        <v>76</v>
      </c>
      <c r="O1" t="s">
        <v>77</v>
      </c>
      <c r="P1" t="s">
        <v>78</v>
      </c>
      <c r="Q1" t="s">
        <v>79</v>
      </c>
      <c r="R1" t="s">
        <v>80</v>
      </c>
      <c r="S1" t="s">
        <v>81</v>
      </c>
      <c r="T1" t="s">
        <v>82</v>
      </c>
      <c r="U1" t="s">
        <v>83</v>
      </c>
      <c r="V1" t="s">
        <v>84</v>
      </c>
      <c r="W1" t="s">
        <v>85</v>
      </c>
      <c r="X1" t="s">
        <v>86</v>
      </c>
      <c r="Y1" t="s">
        <v>87</v>
      </c>
      <c r="Z1" t="s">
        <v>88</v>
      </c>
      <c r="AA1" t="s">
        <v>89</v>
      </c>
      <c r="AB1" t="s">
        <v>90</v>
      </c>
      <c r="AC1" t="s">
        <v>91</v>
      </c>
      <c r="AD1" t="s">
        <v>92</v>
      </c>
      <c r="AE1" t="s">
        <v>93</v>
      </c>
      <c r="AF1" t="s">
        <v>94</v>
      </c>
      <c r="AG1" t="s">
        <v>47</v>
      </c>
      <c r="AH1" t="s">
        <v>7</v>
      </c>
      <c r="AI1" t="s">
        <v>62</v>
      </c>
    </row>
    <row r="2" spans="1:35" x14ac:dyDescent="0.25">
      <c r="A2" t="s">
        <v>95</v>
      </c>
      <c r="B2" t="s">
        <v>96</v>
      </c>
      <c r="C2">
        <v>95525571</v>
      </c>
      <c r="D2" t="s">
        <v>97</v>
      </c>
      <c r="E2" t="s">
        <v>14</v>
      </c>
      <c r="F2" t="s">
        <v>98</v>
      </c>
      <c r="G2" t="s">
        <v>43</v>
      </c>
      <c r="H2">
        <v>2023</v>
      </c>
      <c r="I2" t="s">
        <v>59</v>
      </c>
      <c r="L2" t="s">
        <v>99</v>
      </c>
      <c r="AG2">
        <f>IF(VALUE(MAX(N2,R2,V2,Z2,AC2,))&gt;=7,VALUE(MAX(N2,R2,V2,Z2,AC2,)),1)</f>
        <v>1</v>
      </c>
      <c r="AH2">
        <f>'TABLA PREVIOS'!E2</f>
        <v>222</v>
      </c>
      <c r="AI2">
        <f>VLOOKUP(C2,ALUMNOS!A:B,2,FALSE)</f>
        <v>77</v>
      </c>
    </row>
    <row r="3" spans="1:35" x14ac:dyDescent="0.25">
      <c r="A3" t="s">
        <v>95</v>
      </c>
      <c r="B3" t="s">
        <v>96</v>
      </c>
      <c r="C3">
        <v>50683284</v>
      </c>
      <c r="D3" t="s">
        <v>100</v>
      </c>
      <c r="E3" t="s">
        <v>12</v>
      </c>
      <c r="F3" t="s">
        <v>98</v>
      </c>
      <c r="G3" t="s">
        <v>43</v>
      </c>
      <c r="H3">
        <v>2023</v>
      </c>
      <c r="I3" t="s">
        <v>59</v>
      </c>
      <c r="L3" t="s">
        <v>99</v>
      </c>
      <c r="M3">
        <v>45405</v>
      </c>
      <c r="N3">
        <v>2</v>
      </c>
      <c r="O3">
        <v>68</v>
      </c>
      <c r="P3">
        <v>29</v>
      </c>
      <c r="Q3">
        <v>45474</v>
      </c>
      <c r="R3">
        <v>2</v>
      </c>
      <c r="S3">
        <v>68</v>
      </c>
      <c r="T3">
        <v>60</v>
      </c>
      <c r="AG3">
        <f t="shared" ref="AG3:AG66" si="0">IF(VALUE(MAX(N3,R3,V3,Z3,AC3,))&gt;=7,VALUE(MAX(N3,R3,V3,Z3,AC3,)),1)</f>
        <v>1</v>
      </c>
      <c r="AH3">
        <f>'TABLA PREVIOS'!E3</f>
        <v>220</v>
      </c>
      <c r="AI3">
        <f>VLOOKUP(C3,ALUMNOS!A:B,2,FALSE)</f>
        <v>266</v>
      </c>
    </row>
    <row r="4" spans="1:35" x14ac:dyDescent="0.25">
      <c r="A4" t="s">
        <v>95</v>
      </c>
      <c r="B4" t="s">
        <v>96</v>
      </c>
      <c r="C4">
        <v>50598225</v>
      </c>
      <c r="D4" t="s">
        <v>102</v>
      </c>
      <c r="E4" t="s">
        <v>16</v>
      </c>
      <c r="F4" t="s">
        <v>98</v>
      </c>
      <c r="G4" t="s">
        <v>43</v>
      </c>
      <c r="H4">
        <v>2023</v>
      </c>
      <c r="I4" t="s">
        <v>59</v>
      </c>
      <c r="L4" t="s">
        <v>99</v>
      </c>
      <c r="M4">
        <v>45406</v>
      </c>
      <c r="N4">
        <v>2</v>
      </c>
      <c r="O4">
        <v>68</v>
      </c>
      <c r="P4">
        <v>33</v>
      </c>
      <c r="AG4">
        <f t="shared" si="0"/>
        <v>1</v>
      </c>
      <c r="AH4">
        <f>'TABLA PREVIOS'!E4</f>
        <v>224</v>
      </c>
      <c r="AI4">
        <f>VLOOKUP(C4,ALUMNOS!A:B,2,FALSE)</f>
        <v>328</v>
      </c>
    </row>
    <row r="5" spans="1:35" x14ac:dyDescent="0.25">
      <c r="A5" t="s">
        <v>95</v>
      </c>
      <c r="B5" t="s">
        <v>96</v>
      </c>
      <c r="C5">
        <v>48951420</v>
      </c>
      <c r="D5" t="s">
        <v>103</v>
      </c>
      <c r="E5" t="s">
        <v>17</v>
      </c>
      <c r="F5" t="s">
        <v>98</v>
      </c>
      <c r="G5" t="s">
        <v>43</v>
      </c>
      <c r="H5">
        <v>2021</v>
      </c>
      <c r="I5" t="s">
        <v>59</v>
      </c>
      <c r="L5" t="s">
        <v>99</v>
      </c>
      <c r="AG5">
        <f t="shared" si="0"/>
        <v>1</v>
      </c>
      <c r="AH5">
        <f>'TABLA PREVIOS'!E5</f>
        <v>225</v>
      </c>
      <c r="AI5">
        <f>VLOOKUP(C5,ALUMNOS!A:B,2,FALSE)</f>
        <v>332</v>
      </c>
    </row>
    <row r="6" spans="1:35" x14ac:dyDescent="0.25">
      <c r="A6" t="s">
        <v>95</v>
      </c>
      <c r="B6" t="s">
        <v>96</v>
      </c>
      <c r="C6">
        <v>48951420</v>
      </c>
      <c r="D6" t="s">
        <v>103</v>
      </c>
      <c r="E6" t="s">
        <v>10</v>
      </c>
      <c r="F6" t="s">
        <v>98</v>
      </c>
      <c r="G6" t="s">
        <v>43</v>
      </c>
      <c r="H6">
        <v>2021</v>
      </c>
      <c r="I6" t="s">
        <v>59</v>
      </c>
      <c r="L6" t="s">
        <v>99</v>
      </c>
      <c r="AG6">
        <f t="shared" si="0"/>
        <v>1</v>
      </c>
      <c r="AH6">
        <f>'TABLA PREVIOS'!E6</f>
        <v>218</v>
      </c>
      <c r="AI6">
        <f>VLOOKUP(C6,ALUMNOS!A:B,2,FALSE)</f>
        <v>332</v>
      </c>
    </row>
    <row r="7" spans="1:35" x14ac:dyDescent="0.25">
      <c r="A7" t="s">
        <v>95</v>
      </c>
      <c r="B7" t="s">
        <v>96</v>
      </c>
      <c r="C7">
        <v>48951420</v>
      </c>
      <c r="D7" t="s">
        <v>103</v>
      </c>
      <c r="E7" t="s">
        <v>12</v>
      </c>
      <c r="F7" t="s">
        <v>98</v>
      </c>
      <c r="G7" t="s">
        <v>43</v>
      </c>
      <c r="H7">
        <v>2021</v>
      </c>
      <c r="I7" t="s">
        <v>59</v>
      </c>
      <c r="L7" t="s">
        <v>99</v>
      </c>
      <c r="AG7">
        <f t="shared" si="0"/>
        <v>1</v>
      </c>
      <c r="AH7">
        <f>'TABLA PREVIOS'!E7</f>
        <v>220</v>
      </c>
      <c r="AI7">
        <f>VLOOKUP(C7,ALUMNOS!A:B,2,FALSE)</f>
        <v>332</v>
      </c>
    </row>
    <row r="8" spans="1:35" x14ac:dyDescent="0.25">
      <c r="A8" t="s">
        <v>95</v>
      </c>
      <c r="B8" t="s">
        <v>96</v>
      </c>
      <c r="C8">
        <v>47890684</v>
      </c>
      <c r="D8" t="s">
        <v>104</v>
      </c>
      <c r="E8" t="s">
        <v>18</v>
      </c>
      <c r="F8" t="s">
        <v>98</v>
      </c>
      <c r="G8" t="s">
        <v>43</v>
      </c>
      <c r="H8">
        <v>2021</v>
      </c>
      <c r="I8" t="s">
        <v>59</v>
      </c>
      <c r="J8" t="s">
        <v>105</v>
      </c>
      <c r="L8" t="s">
        <v>99</v>
      </c>
      <c r="AG8">
        <f t="shared" si="0"/>
        <v>1</v>
      </c>
      <c r="AH8">
        <f>'TABLA PREVIOS'!E8</f>
        <v>226</v>
      </c>
      <c r="AI8">
        <f>VLOOKUP(C8,ALUMNOS!A:B,2,FALSE)</f>
        <v>387</v>
      </c>
    </row>
    <row r="9" spans="1:35" x14ac:dyDescent="0.25">
      <c r="A9" t="s">
        <v>95</v>
      </c>
      <c r="B9" t="s">
        <v>96</v>
      </c>
      <c r="C9">
        <v>50091999</v>
      </c>
      <c r="D9" t="s">
        <v>106</v>
      </c>
      <c r="E9" t="s">
        <v>16</v>
      </c>
      <c r="F9" t="s">
        <v>98</v>
      </c>
      <c r="G9" t="s">
        <v>43</v>
      </c>
      <c r="H9">
        <v>2023</v>
      </c>
      <c r="I9" t="s">
        <v>59</v>
      </c>
      <c r="L9" t="s">
        <v>99</v>
      </c>
      <c r="M9">
        <v>45406</v>
      </c>
      <c r="O9">
        <v>68</v>
      </c>
      <c r="P9">
        <v>33</v>
      </c>
      <c r="AG9">
        <f t="shared" si="0"/>
        <v>1</v>
      </c>
      <c r="AH9">
        <f>'TABLA PREVIOS'!E9</f>
        <v>224</v>
      </c>
      <c r="AI9">
        <f>VLOOKUP(C9,ALUMNOS!A:B,2,FALSE)</f>
        <v>425</v>
      </c>
    </row>
    <row r="10" spans="1:35" x14ac:dyDescent="0.25">
      <c r="A10" t="s">
        <v>95</v>
      </c>
      <c r="B10" t="s">
        <v>96</v>
      </c>
      <c r="C10">
        <v>50091999</v>
      </c>
      <c r="D10" t="s">
        <v>106</v>
      </c>
      <c r="E10" t="s">
        <v>12</v>
      </c>
      <c r="F10" t="s">
        <v>98</v>
      </c>
      <c r="G10" t="s">
        <v>43</v>
      </c>
      <c r="H10">
        <v>2023</v>
      </c>
      <c r="I10" t="s">
        <v>59</v>
      </c>
      <c r="L10" t="s">
        <v>107</v>
      </c>
      <c r="M10">
        <v>45405</v>
      </c>
      <c r="N10">
        <v>7</v>
      </c>
      <c r="O10">
        <v>68</v>
      </c>
      <c r="P10">
        <v>29</v>
      </c>
      <c r="AG10">
        <f t="shared" si="0"/>
        <v>7</v>
      </c>
      <c r="AH10">
        <f>'TABLA PREVIOS'!E10</f>
        <v>220</v>
      </c>
      <c r="AI10">
        <f>VLOOKUP(C10,ALUMNOS!A:B,2,FALSE)</f>
        <v>425</v>
      </c>
    </row>
    <row r="11" spans="1:35" x14ac:dyDescent="0.25">
      <c r="A11" t="s">
        <v>95</v>
      </c>
      <c r="B11" t="s">
        <v>96</v>
      </c>
      <c r="C11">
        <v>49993784</v>
      </c>
      <c r="D11" t="s">
        <v>108</v>
      </c>
      <c r="E11" t="s">
        <v>16</v>
      </c>
      <c r="F11" t="s">
        <v>98</v>
      </c>
      <c r="G11" t="s">
        <v>43</v>
      </c>
      <c r="H11">
        <v>2022</v>
      </c>
      <c r="I11" t="s">
        <v>59</v>
      </c>
      <c r="L11" t="s">
        <v>99</v>
      </c>
      <c r="AG11">
        <f t="shared" si="0"/>
        <v>1</v>
      </c>
      <c r="AH11">
        <f>'TABLA PREVIOS'!E11</f>
        <v>224</v>
      </c>
      <c r="AI11">
        <f>VLOOKUP(C11,ALUMNOS!A:B,2,FALSE)</f>
        <v>748</v>
      </c>
    </row>
    <row r="12" spans="1:35" x14ac:dyDescent="0.25">
      <c r="A12" t="s">
        <v>95</v>
      </c>
      <c r="B12" t="s">
        <v>96</v>
      </c>
      <c r="C12">
        <v>49993784</v>
      </c>
      <c r="D12" t="s">
        <v>108</v>
      </c>
      <c r="E12" t="s">
        <v>11</v>
      </c>
      <c r="F12" t="s">
        <v>98</v>
      </c>
      <c r="G12" t="s">
        <v>43</v>
      </c>
      <c r="H12">
        <v>2022</v>
      </c>
      <c r="I12" t="s">
        <v>59</v>
      </c>
      <c r="L12" t="s">
        <v>99</v>
      </c>
      <c r="AG12">
        <f t="shared" si="0"/>
        <v>1</v>
      </c>
      <c r="AH12">
        <f>'TABLA PREVIOS'!E12</f>
        <v>219</v>
      </c>
      <c r="AI12">
        <f>VLOOKUP(C12,ALUMNOS!A:B,2,FALSE)</f>
        <v>748</v>
      </c>
    </row>
    <row r="13" spans="1:35" x14ac:dyDescent="0.25">
      <c r="A13" t="s">
        <v>95</v>
      </c>
      <c r="B13" t="s">
        <v>109</v>
      </c>
      <c r="C13">
        <v>48130296</v>
      </c>
      <c r="D13" t="s">
        <v>110</v>
      </c>
      <c r="E13" t="s">
        <v>16</v>
      </c>
      <c r="F13" t="s">
        <v>98</v>
      </c>
      <c r="G13" t="s">
        <v>43</v>
      </c>
      <c r="H13">
        <v>2021</v>
      </c>
      <c r="I13" t="s">
        <v>59</v>
      </c>
      <c r="J13" t="s">
        <v>111</v>
      </c>
      <c r="L13" t="s">
        <v>99</v>
      </c>
      <c r="AG13">
        <f t="shared" si="0"/>
        <v>1</v>
      </c>
      <c r="AH13">
        <f>'TABLA PREVIOS'!E13</f>
        <v>224</v>
      </c>
      <c r="AI13">
        <f>VLOOKUP(C13,ALUMNOS!A:B,2,FALSE)</f>
        <v>115</v>
      </c>
    </row>
    <row r="14" spans="1:35" x14ac:dyDescent="0.25">
      <c r="A14" t="s">
        <v>95</v>
      </c>
      <c r="B14" t="s">
        <v>109</v>
      </c>
      <c r="C14">
        <v>50836436</v>
      </c>
      <c r="D14" t="s">
        <v>112</v>
      </c>
      <c r="E14" t="s">
        <v>16</v>
      </c>
      <c r="F14" t="s">
        <v>98</v>
      </c>
      <c r="G14" t="s">
        <v>43</v>
      </c>
      <c r="H14">
        <v>2023</v>
      </c>
      <c r="I14" t="s">
        <v>59</v>
      </c>
      <c r="L14" t="s">
        <v>99</v>
      </c>
      <c r="AG14">
        <f t="shared" si="0"/>
        <v>1</v>
      </c>
      <c r="AH14">
        <f>'TABLA PREVIOS'!E14</f>
        <v>224</v>
      </c>
      <c r="AI14">
        <f>VLOOKUP(C14,ALUMNOS!A:B,2,FALSE)</f>
        <v>161</v>
      </c>
    </row>
    <row r="15" spans="1:35" x14ac:dyDescent="0.25">
      <c r="A15" t="s">
        <v>95</v>
      </c>
      <c r="B15" t="s">
        <v>109</v>
      </c>
      <c r="C15">
        <v>50836436</v>
      </c>
      <c r="D15" t="s">
        <v>112</v>
      </c>
      <c r="E15" t="s">
        <v>12</v>
      </c>
      <c r="F15" t="s">
        <v>98</v>
      </c>
      <c r="G15" t="s">
        <v>43</v>
      </c>
      <c r="H15">
        <v>2023</v>
      </c>
      <c r="I15" t="s">
        <v>59</v>
      </c>
      <c r="L15" t="s">
        <v>99</v>
      </c>
      <c r="M15">
        <v>45405</v>
      </c>
      <c r="N15" t="s">
        <v>50</v>
      </c>
      <c r="O15">
        <v>68</v>
      </c>
      <c r="P15">
        <v>29</v>
      </c>
      <c r="AG15">
        <f t="shared" si="0"/>
        <v>1</v>
      </c>
      <c r="AH15">
        <f>'TABLA PREVIOS'!E15</f>
        <v>220</v>
      </c>
      <c r="AI15">
        <f>VLOOKUP(C15,ALUMNOS!A:B,2,FALSE)</f>
        <v>161</v>
      </c>
    </row>
    <row r="16" spans="1:35" x14ac:dyDescent="0.25">
      <c r="A16" t="s">
        <v>95</v>
      </c>
      <c r="B16" t="s">
        <v>109</v>
      </c>
      <c r="C16">
        <v>50634624</v>
      </c>
      <c r="D16" t="s">
        <v>113</v>
      </c>
      <c r="E16" t="s">
        <v>15</v>
      </c>
      <c r="F16" t="s">
        <v>98</v>
      </c>
      <c r="G16" t="s">
        <v>43</v>
      </c>
      <c r="H16">
        <v>2023</v>
      </c>
      <c r="I16" t="s">
        <v>59</v>
      </c>
      <c r="L16" t="s">
        <v>99</v>
      </c>
      <c r="AG16">
        <f t="shared" si="0"/>
        <v>1</v>
      </c>
      <c r="AH16">
        <f>'TABLA PREVIOS'!E16</f>
        <v>223</v>
      </c>
      <c r="AI16">
        <f>VLOOKUP(C16,ALUMNOS!A:B,2,FALSE)</f>
        <v>186</v>
      </c>
    </row>
    <row r="17" spans="1:35" x14ac:dyDescent="0.25">
      <c r="A17" t="s">
        <v>95</v>
      </c>
      <c r="B17" t="s">
        <v>109</v>
      </c>
      <c r="C17">
        <v>50634624</v>
      </c>
      <c r="D17" t="s">
        <v>113</v>
      </c>
      <c r="E17" t="s">
        <v>12</v>
      </c>
      <c r="F17" t="s">
        <v>98</v>
      </c>
      <c r="G17" t="s">
        <v>43</v>
      </c>
      <c r="H17">
        <v>2023</v>
      </c>
      <c r="I17" t="s">
        <v>59</v>
      </c>
      <c r="L17" t="s">
        <v>99</v>
      </c>
      <c r="AG17">
        <f t="shared" si="0"/>
        <v>1</v>
      </c>
      <c r="AH17">
        <f>'TABLA PREVIOS'!E17</f>
        <v>220</v>
      </c>
      <c r="AI17">
        <f>VLOOKUP(C17,ALUMNOS!A:B,2,FALSE)</f>
        <v>186</v>
      </c>
    </row>
    <row r="18" spans="1:35" x14ac:dyDescent="0.25">
      <c r="A18" t="s">
        <v>95</v>
      </c>
      <c r="B18" t="s">
        <v>109</v>
      </c>
      <c r="C18">
        <v>48671848</v>
      </c>
      <c r="D18" t="s">
        <v>114</v>
      </c>
      <c r="E18" t="s">
        <v>18</v>
      </c>
      <c r="F18" t="s">
        <v>98</v>
      </c>
      <c r="G18" t="s">
        <v>43</v>
      </c>
      <c r="H18">
        <v>2021</v>
      </c>
      <c r="I18" t="s">
        <v>59</v>
      </c>
      <c r="L18" t="s">
        <v>99</v>
      </c>
      <c r="AG18">
        <f t="shared" si="0"/>
        <v>1</v>
      </c>
      <c r="AH18">
        <f>'TABLA PREVIOS'!E18</f>
        <v>226</v>
      </c>
      <c r="AI18">
        <f>VLOOKUP(C18,ALUMNOS!A:B,2,FALSE)</f>
        <v>205</v>
      </c>
    </row>
    <row r="19" spans="1:35" x14ac:dyDescent="0.25">
      <c r="A19" t="s">
        <v>95</v>
      </c>
      <c r="B19" t="s">
        <v>109</v>
      </c>
      <c r="C19">
        <v>48671848</v>
      </c>
      <c r="D19" t="s">
        <v>114</v>
      </c>
      <c r="E19" t="s">
        <v>11</v>
      </c>
      <c r="F19" t="s">
        <v>98</v>
      </c>
      <c r="G19" t="s">
        <v>43</v>
      </c>
      <c r="H19">
        <v>2021</v>
      </c>
      <c r="I19" t="s">
        <v>59</v>
      </c>
      <c r="L19" t="s">
        <v>99</v>
      </c>
      <c r="AG19">
        <f t="shared" si="0"/>
        <v>1</v>
      </c>
      <c r="AH19">
        <f>'TABLA PREVIOS'!E19</f>
        <v>219</v>
      </c>
      <c r="AI19">
        <f>VLOOKUP(C19,ALUMNOS!A:B,2,FALSE)</f>
        <v>205</v>
      </c>
    </row>
    <row r="20" spans="1:35" x14ac:dyDescent="0.25">
      <c r="A20" t="s">
        <v>95</v>
      </c>
      <c r="B20" t="s">
        <v>109</v>
      </c>
      <c r="C20">
        <v>49766137</v>
      </c>
      <c r="D20" t="s">
        <v>115</v>
      </c>
      <c r="E20" t="s">
        <v>13</v>
      </c>
      <c r="F20" t="s">
        <v>98</v>
      </c>
      <c r="G20" t="s">
        <v>43</v>
      </c>
      <c r="H20">
        <v>2023</v>
      </c>
      <c r="I20" t="s">
        <v>59</v>
      </c>
      <c r="L20" t="s">
        <v>99</v>
      </c>
      <c r="AG20">
        <f t="shared" si="0"/>
        <v>1</v>
      </c>
      <c r="AH20">
        <f>'TABLA PREVIOS'!E20</f>
        <v>221</v>
      </c>
      <c r="AI20">
        <f>VLOOKUP(C20,ALUMNOS!A:B,2,FALSE)</f>
        <v>303</v>
      </c>
    </row>
    <row r="21" spans="1:35" x14ac:dyDescent="0.25">
      <c r="A21" t="s">
        <v>95</v>
      </c>
      <c r="B21" t="s">
        <v>109</v>
      </c>
      <c r="C21">
        <v>49766137</v>
      </c>
      <c r="D21" t="s">
        <v>115</v>
      </c>
      <c r="E21" t="s">
        <v>14</v>
      </c>
      <c r="F21" t="s">
        <v>98</v>
      </c>
      <c r="G21" t="s">
        <v>43</v>
      </c>
      <c r="H21">
        <v>2023</v>
      </c>
      <c r="I21" t="s">
        <v>59</v>
      </c>
      <c r="L21" t="s">
        <v>99</v>
      </c>
      <c r="AG21">
        <f t="shared" si="0"/>
        <v>1</v>
      </c>
      <c r="AH21">
        <f>'TABLA PREVIOS'!E21</f>
        <v>222</v>
      </c>
      <c r="AI21">
        <f>VLOOKUP(C21,ALUMNOS!A:B,2,FALSE)</f>
        <v>303</v>
      </c>
    </row>
    <row r="22" spans="1:35" x14ac:dyDescent="0.25">
      <c r="A22" t="s">
        <v>95</v>
      </c>
      <c r="B22" t="s">
        <v>109</v>
      </c>
      <c r="C22">
        <v>49766137</v>
      </c>
      <c r="D22" t="s">
        <v>115</v>
      </c>
      <c r="E22" t="s">
        <v>11</v>
      </c>
      <c r="F22" t="s">
        <v>98</v>
      </c>
      <c r="G22" t="s">
        <v>45</v>
      </c>
      <c r="H22">
        <v>2023</v>
      </c>
      <c r="I22" t="s">
        <v>59</v>
      </c>
      <c r="L22" t="s">
        <v>99</v>
      </c>
      <c r="AG22">
        <f t="shared" si="0"/>
        <v>1</v>
      </c>
      <c r="AH22">
        <f>'TABLA PREVIOS'!E22</f>
        <v>219</v>
      </c>
      <c r="AI22">
        <f>VLOOKUP(C22,ALUMNOS!A:B,2,FALSE)</f>
        <v>303</v>
      </c>
    </row>
    <row r="23" spans="1:35" x14ac:dyDescent="0.25">
      <c r="A23" t="s">
        <v>95</v>
      </c>
      <c r="B23" t="s">
        <v>109</v>
      </c>
      <c r="C23">
        <v>50971126</v>
      </c>
      <c r="D23" t="s">
        <v>116</v>
      </c>
      <c r="E23" t="s">
        <v>15</v>
      </c>
      <c r="F23" t="s">
        <v>98</v>
      </c>
      <c r="G23" t="s">
        <v>43</v>
      </c>
      <c r="H23">
        <v>2023</v>
      </c>
      <c r="I23" t="s">
        <v>59</v>
      </c>
      <c r="L23" t="s">
        <v>99</v>
      </c>
      <c r="AG23">
        <f t="shared" si="0"/>
        <v>1</v>
      </c>
      <c r="AH23">
        <f>'TABLA PREVIOS'!E23</f>
        <v>223</v>
      </c>
      <c r="AI23">
        <f>VLOOKUP(C23,ALUMNOS!A:B,2,FALSE)</f>
        <v>327</v>
      </c>
    </row>
    <row r="24" spans="1:35" x14ac:dyDescent="0.25">
      <c r="A24" t="s">
        <v>95</v>
      </c>
      <c r="B24" t="s">
        <v>109</v>
      </c>
      <c r="C24">
        <v>50971126</v>
      </c>
      <c r="D24" t="s">
        <v>116</v>
      </c>
      <c r="E24" t="s">
        <v>12</v>
      </c>
      <c r="F24" t="s">
        <v>98</v>
      </c>
      <c r="G24" t="s">
        <v>43</v>
      </c>
      <c r="H24">
        <v>2023</v>
      </c>
      <c r="I24" t="s">
        <v>59</v>
      </c>
      <c r="L24" t="s">
        <v>99</v>
      </c>
      <c r="M24">
        <v>45405</v>
      </c>
      <c r="N24" t="s">
        <v>50</v>
      </c>
      <c r="O24">
        <v>68</v>
      </c>
      <c r="P24">
        <v>29</v>
      </c>
      <c r="AG24">
        <f t="shared" si="0"/>
        <v>1</v>
      </c>
      <c r="AH24">
        <f>'TABLA PREVIOS'!E24</f>
        <v>220</v>
      </c>
      <c r="AI24">
        <f>VLOOKUP(C24,ALUMNOS!A:B,2,FALSE)</f>
        <v>327</v>
      </c>
    </row>
    <row r="25" spans="1:35" x14ac:dyDescent="0.25">
      <c r="A25" t="s">
        <v>95</v>
      </c>
      <c r="B25" t="s">
        <v>109</v>
      </c>
      <c r="C25">
        <v>49766453</v>
      </c>
      <c r="D25" t="s">
        <v>117</v>
      </c>
      <c r="E25" t="s">
        <v>11</v>
      </c>
      <c r="F25" t="s">
        <v>98</v>
      </c>
      <c r="G25" t="s">
        <v>43</v>
      </c>
      <c r="H25">
        <v>2022</v>
      </c>
      <c r="I25" t="s">
        <v>59</v>
      </c>
      <c r="J25" t="s">
        <v>111</v>
      </c>
      <c r="L25" t="s">
        <v>99</v>
      </c>
      <c r="AG25">
        <f t="shared" si="0"/>
        <v>1</v>
      </c>
      <c r="AH25">
        <f>'TABLA PREVIOS'!E25</f>
        <v>219</v>
      </c>
      <c r="AI25">
        <f>VLOOKUP(C25,ALUMNOS!A:B,2,FALSE)</f>
        <v>426</v>
      </c>
    </row>
    <row r="26" spans="1:35" x14ac:dyDescent="0.25">
      <c r="A26" t="s">
        <v>95</v>
      </c>
      <c r="B26" t="s">
        <v>109</v>
      </c>
      <c r="C26">
        <v>49766453</v>
      </c>
      <c r="D26" t="s">
        <v>117</v>
      </c>
      <c r="E26" t="s">
        <v>12</v>
      </c>
      <c r="F26" t="s">
        <v>98</v>
      </c>
      <c r="G26" t="s">
        <v>43</v>
      </c>
      <c r="H26">
        <v>2022</v>
      </c>
      <c r="I26" t="s">
        <v>59</v>
      </c>
      <c r="L26" t="s">
        <v>99</v>
      </c>
      <c r="AG26">
        <f t="shared" si="0"/>
        <v>1</v>
      </c>
      <c r="AH26">
        <f>'TABLA PREVIOS'!E26</f>
        <v>220</v>
      </c>
      <c r="AI26">
        <f>VLOOKUP(C26,ALUMNOS!A:B,2,FALSE)</f>
        <v>426</v>
      </c>
    </row>
    <row r="27" spans="1:35" x14ac:dyDescent="0.25">
      <c r="A27" t="s">
        <v>95</v>
      </c>
      <c r="B27" t="s">
        <v>109</v>
      </c>
      <c r="C27">
        <v>50634614</v>
      </c>
      <c r="D27" t="s">
        <v>118</v>
      </c>
      <c r="E27" t="s">
        <v>12</v>
      </c>
      <c r="F27" t="s">
        <v>98</v>
      </c>
      <c r="G27" t="s">
        <v>43</v>
      </c>
      <c r="H27">
        <v>2023</v>
      </c>
      <c r="I27" t="s">
        <v>59</v>
      </c>
      <c r="L27" t="s">
        <v>99</v>
      </c>
      <c r="AG27">
        <f t="shared" si="0"/>
        <v>1</v>
      </c>
      <c r="AH27">
        <f>'TABLA PREVIOS'!E27</f>
        <v>220</v>
      </c>
      <c r="AI27">
        <f>VLOOKUP(C27,ALUMNOS!A:B,2,FALSE)</f>
        <v>429</v>
      </c>
    </row>
    <row r="28" spans="1:35" x14ac:dyDescent="0.25">
      <c r="A28" t="s">
        <v>95</v>
      </c>
      <c r="B28" t="s">
        <v>109</v>
      </c>
      <c r="C28">
        <v>50634841</v>
      </c>
      <c r="D28" t="s">
        <v>119</v>
      </c>
      <c r="E28" t="s">
        <v>12</v>
      </c>
      <c r="F28" t="s">
        <v>98</v>
      </c>
      <c r="G28" t="s">
        <v>43</v>
      </c>
      <c r="H28">
        <v>2023</v>
      </c>
      <c r="I28" t="s">
        <v>59</v>
      </c>
      <c r="L28" t="s">
        <v>99</v>
      </c>
      <c r="M28">
        <v>45405</v>
      </c>
      <c r="N28">
        <v>2</v>
      </c>
      <c r="O28">
        <v>68</v>
      </c>
      <c r="P28">
        <v>29</v>
      </c>
      <c r="Q28">
        <v>45474</v>
      </c>
      <c r="R28">
        <v>2</v>
      </c>
      <c r="S28">
        <v>68</v>
      </c>
      <c r="T28">
        <v>60</v>
      </c>
      <c r="AG28">
        <f t="shared" si="0"/>
        <v>1</v>
      </c>
      <c r="AH28">
        <f>'TABLA PREVIOS'!E28</f>
        <v>220</v>
      </c>
      <c r="AI28">
        <f>VLOOKUP(C28,ALUMNOS!A:B,2,FALSE)</f>
        <v>455</v>
      </c>
    </row>
    <row r="29" spans="1:35" x14ac:dyDescent="0.25">
      <c r="A29" t="s">
        <v>95</v>
      </c>
      <c r="B29" t="s">
        <v>109</v>
      </c>
      <c r="C29">
        <v>50634699</v>
      </c>
      <c r="D29" t="s">
        <v>120</v>
      </c>
      <c r="E29" t="s">
        <v>14</v>
      </c>
      <c r="F29" t="s">
        <v>98</v>
      </c>
      <c r="G29" t="s">
        <v>45</v>
      </c>
      <c r="H29">
        <v>2023</v>
      </c>
      <c r="I29" t="s">
        <v>59</v>
      </c>
      <c r="L29" t="s">
        <v>99</v>
      </c>
      <c r="AG29">
        <f t="shared" si="0"/>
        <v>1</v>
      </c>
      <c r="AH29">
        <f>'TABLA PREVIOS'!E29</f>
        <v>222</v>
      </c>
      <c r="AI29">
        <f>VLOOKUP(C29,ALUMNOS!A:B,2,FALSE)</f>
        <v>472</v>
      </c>
    </row>
    <row r="30" spans="1:35" x14ac:dyDescent="0.25">
      <c r="A30" t="s">
        <v>95</v>
      </c>
      <c r="B30" t="s">
        <v>109</v>
      </c>
      <c r="C30">
        <v>50634699</v>
      </c>
      <c r="D30" t="s">
        <v>120</v>
      </c>
      <c r="E30" t="s">
        <v>15</v>
      </c>
      <c r="F30" t="s">
        <v>98</v>
      </c>
      <c r="G30" t="s">
        <v>43</v>
      </c>
      <c r="H30">
        <v>2023</v>
      </c>
      <c r="I30" t="s">
        <v>59</v>
      </c>
      <c r="L30" t="s">
        <v>99</v>
      </c>
      <c r="M30">
        <v>45404</v>
      </c>
      <c r="N30" t="s">
        <v>50</v>
      </c>
      <c r="O30">
        <v>68</v>
      </c>
      <c r="P30">
        <v>26</v>
      </c>
      <c r="AG30">
        <f t="shared" si="0"/>
        <v>1</v>
      </c>
      <c r="AH30">
        <f>'TABLA PREVIOS'!E30</f>
        <v>223</v>
      </c>
      <c r="AI30">
        <f>VLOOKUP(C30,ALUMNOS!A:B,2,FALSE)</f>
        <v>472</v>
      </c>
    </row>
    <row r="31" spans="1:35" x14ac:dyDescent="0.25">
      <c r="A31" t="s">
        <v>95</v>
      </c>
      <c r="B31" t="s">
        <v>109</v>
      </c>
      <c r="C31">
        <v>50634699</v>
      </c>
      <c r="D31" t="s">
        <v>120</v>
      </c>
      <c r="E31" t="s">
        <v>12</v>
      </c>
      <c r="F31" t="s">
        <v>98</v>
      </c>
      <c r="G31" t="s">
        <v>43</v>
      </c>
      <c r="H31">
        <v>2023</v>
      </c>
      <c r="I31" t="s">
        <v>59</v>
      </c>
      <c r="L31" t="s">
        <v>99</v>
      </c>
      <c r="M31">
        <v>45405</v>
      </c>
      <c r="N31" t="s">
        <v>50</v>
      </c>
      <c r="O31">
        <v>68</v>
      </c>
      <c r="P31">
        <v>29</v>
      </c>
      <c r="AG31">
        <f t="shared" si="0"/>
        <v>1</v>
      </c>
      <c r="AH31">
        <f>'TABLA PREVIOS'!E31</f>
        <v>220</v>
      </c>
      <c r="AI31">
        <f>VLOOKUP(C31,ALUMNOS!A:B,2,FALSE)</f>
        <v>472</v>
      </c>
    </row>
    <row r="32" spans="1:35" x14ac:dyDescent="0.25">
      <c r="A32" t="s">
        <v>95</v>
      </c>
      <c r="B32" t="s">
        <v>109</v>
      </c>
      <c r="C32">
        <v>47989285</v>
      </c>
      <c r="D32" t="s">
        <v>121</v>
      </c>
      <c r="E32" t="s">
        <v>13</v>
      </c>
      <c r="F32" t="s">
        <v>98</v>
      </c>
      <c r="G32" t="s">
        <v>43</v>
      </c>
      <c r="H32">
        <v>2022</v>
      </c>
      <c r="I32" t="s">
        <v>59</v>
      </c>
      <c r="J32" t="s">
        <v>111</v>
      </c>
      <c r="L32" t="s">
        <v>99</v>
      </c>
      <c r="AG32">
        <f t="shared" si="0"/>
        <v>1</v>
      </c>
      <c r="AH32">
        <f>'TABLA PREVIOS'!E32</f>
        <v>221</v>
      </c>
      <c r="AI32">
        <f>VLOOKUP(C32,ALUMNOS!A:B,2,FALSE)</f>
        <v>501</v>
      </c>
    </row>
    <row r="33" spans="1:35" x14ac:dyDescent="0.25">
      <c r="A33" t="s">
        <v>95</v>
      </c>
      <c r="B33" t="s">
        <v>109</v>
      </c>
      <c r="C33">
        <v>47989285</v>
      </c>
      <c r="D33" t="s">
        <v>121</v>
      </c>
      <c r="E33" t="s">
        <v>15</v>
      </c>
      <c r="F33" t="s">
        <v>98</v>
      </c>
      <c r="G33" t="s">
        <v>43</v>
      </c>
      <c r="H33">
        <v>2022</v>
      </c>
      <c r="I33" t="s">
        <v>59</v>
      </c>
      <c r="L33" t="s">
        <v>99</v>
      </c>
      <c r="AG33">
        <f t="shared" si="0"/>
        <v>1</v>
      </c>
      <c r="AH33">
        <f>'TABLA PREVIOS'!E33</f>
        <v>223</v>
      </c>
      <c r="AI33">
        <f>VLOOKUP(C33,ALUMNOS!A:B,2,FALSE)</f>
        <v>501</v>
      </c>
    </row>
    <row r="34" spans="1:35" x14ac:dyDescent="0.25">
      <c r="A34" t="s">
        <v>95</v>
      </c>
      <c r="B34" t="s">
        <v>109</v>
      </c>
      <c r="C34">
        <v>47989285</v>
      </c>
      <c r="D34" t="s">
        <v>121</v>
      </c>
      <c r="E34" t="s">
        <v>16</v>
      </c>
      <c r="F34" t="s">
        <v>98</v>
      </c>
      <c r="G34" t="s">
        <v>43</v>
      </c>
      <c r="H34">
        <v>2022</v>
      </c>
      <c r="I34" t="s">
        <v>59</v>
      </c>
      <c r="L34" t="s">
        <v>99</v>
      </c>
      <c r="AG34">
        <f t="shared" si="0"/>
        <v>1</v>
      </c>
      <c r="AH34">
        <f>'TABLA PREVIOS'!E34</f>
        <v>224</v>
      </c>
      <c r="AI34">
        <f>VLOOKUP(C34,ALUMNOS!A:B,2,FALSE)</f>
        <v>501</v>
      </c>
    </row>
    <row r="35" spans="1:35" x14ac:dyDescent="0.25">
      <c r="A35" t="s">
        <v>95</v>
      </c>
      <c r="B35" t="s">
        <v>109</v>
      </c>
      <c r="C35">
        <v>50091934</v>
      </c>
      <c r="D35" t="s">
        <v>122</v>
      </c>
      <c r="E35" t="s">
        <v>12</v>
      </c>
      <c r="F35" t="s">
        <v>98</v>
      </c>
      <c r="G35" t="s">
        <v>43</v>
      </c>
      <c r="H35">
        <v>2023</v>
      </c>
      <c r="I35" t="s">
        <v>59</v>
      </c>
      <c r="L35" t="s">
        <v>107</v>
      </c>
      <c r="M35">
        <v>45405</v>
      </c>
      <c r="N35">
        <v>2</v>
      </c>
      <c r="O35">
        <v>68</v>
      </c>
      <c r="P35">
        <v>29</v>
      </c>
      <c r="Q35">
        <v>45474</v>
      </c>
      <c r="R35">
        <v>7</v>
      </c>
      <c r="S35">
        <v>68</v>
      </c>
      <c r="T35">
        <v>60</v>
      </c>
      <c r="AG35">
        <f t="shared" si="0"/>
        <v>7</v>
      </c>
      <c r="AH35">
        <f>'TABLA PREVIOS'!E35</f>
        <v>220</v>
      </c>
      <c r="AI35">
        <f>VLOOKUP(C35,ALUMNOS!A:B,2,FALSE)</f>
        <v>518</v>
      </c>
    </row>
    <row r="36" spans="1:35" x14ac:dyDescent="0.25">
      <c r="A36" t="s">
        <v>95</v>
      </c>
      <c r="B36" t="s">
        <v>109</v>
      </c>
      <c r="C36">
        <v>50553951</v>
      </c>
      <c r="D36" t="s">
        <v>123</v>
      </c>
      <c r="E36" t="s">
        <v>16</v>
      </c>
      <c r="F36" t="s">
        <v>98</v>
      </c>
      <c r="G36" t="s">
        <v>43</v>
      </c>
      <c r="H36">
        <v>2023</v>
      </c>
      <c r="I36" t="s">
        <v>59</v>
      </c>
      <c r="L36" t="s">
        <v>99</v>
      </c>
      <c r="M36">
        <v>45406</v>
      </c>
      <c r="N36" t="s">
        <v>50</v>
      </c>
      <c r="O36">
        <v>68</v>
      </c>
      <c r="P36">
        <v>33</v>
      </c>
      <c r="AG36">
        <f t="shared" si="0"/>
        <v>1</v>
      </c>
      <c r="AH36">
        <f>'TABLA PREVIOS'!E36</f>
        <v>224</v>
      </c>
      <c r="AI36">
        <f>VLOOKUP(C36,ALUMNOS!A:B,2,FALSE)</f>
        <v>564</v>
      </c>
    </row>
    <row r="37" spans="1:35" x14ac:dyDescent="0.25">
      <c r="A37" t="s">
        <v>95</v>
      </c>
      <c r="B37" t="s">
        <v>109</v>
      </c>
      <c r="C37">
        <v>50553951</v>
      </c>
      <c r="D37" t="s">
        <v>123</v>
      </c>
      <c r="E37" t="s">
        <v>12</v>
      </c>
      <c r="F37" t="s">
        <v>98</v>
      </c>
      <c r="G37" t="s">
        <v>43</v>
      </c>
      <c r="H37">
        <v>2023</v>
      </c>
      <c r="I37" t="s">
        <v>59</v>
      </c>
      <c r="L37" t="s">
        <v>99</v>
      </c>
      <c r="M37">
        <v>45405</v>
      </c>
      <c r="N37" t="s">
        <v>50</v>
      </c>
      <c r="O37">
        <v>68</v>
      </c>
      <c r="P37">
        <v>29</v>
      </c>
      <c r="AG37">
        <f t="shared" si="0"/>
        <v>1</v>
      </c>
      <c r="AH37">
        <f>'TABLA PREVIOS'!E37</f>
        <v>220</v>
      </c>
      <c r="AI37">
        <f>VLOOKUP(C37,ALUMNOS!A:B,2,FALSE)</f>
        <v>564</v>
      </c>
    </row>
    <row r="38" spans="1:35" x14ac:dyDescent="0.25">
      <c r="A38" t="s">
        <v>95</v>
      </c>
      <c r="B38" t="s">
        <v>109</v>
      </c>
      <c r="C38">
        <v>13985734</v>
      </c>
      <c r="D38" t="s">
        <v>124</v>
      </c>
      <c r="E38" t="s">
        <v>12</v>
      </c>
      <c r="F38" t="s">
        <v>98</v>
      </c>
      <c r="G38" t="s">
        <v>43</v>
      </c>
      <c r="H38">
        <v>2021</v>
      </c>
      <c r="I38" t="s">
        <v>59</v>
      </c>
      <c r="L38" t="s">
        <v>99</v>
      </c>
      <c r="AG38">
        <f t="shared" si="0"/>
        <v>1</v>
      </c>
      <c r="AH38">
        <f>'TABLA PREVIOS'!E38</f>
        <v>220</v>
      </c>
      <c r="AI38">
        <f>VLOOKUP(C38,ALUMNOS!A:B,2,FALSE)</f>
        <v>640</v>
      </c>
    </row>
    <row r="39" spans="1:35" x14ac:dyDescent="0.25">
      <c r="A39" t="s">
        <v>95</v>
      </c>
      <c r="B39" t="s">
        <v>109</v>
      </c>
      <c r="C39">
        <v>47978706</v>
      </c>
      <c r="D39" t="s">
        <v>125</v>
      </c>
      <c r="E39" t="s">
        <v>13</v>
      </c>
      <c r="F39" t="s">
        <v>98</v>
      </c>
      <c r="G39" t="s">
        <v>43</v>
      </c>
      <c r="H39">
        <v>2021</v>
      </c>
      <c r="I39" t="s">
        <v>59</v>
      </c>
      <c r="J39" t="s">
        <v>126</v>
      </c>
      <c r="L39" t="s">
        <v>99</v>
      </c>
      <c r="AG39">
        <f t="shared" si="0"/>
        <v>1</v>
      </c>
      <c r="AH39">
        <f>'TABLA PREVIOS'!E39</f>
        <v>221</v>
      </c>
      <c r="AI39">
        <f>VLOOKUP(C39,ALUMNOS!A:B,2,FALSE)</f>
        <v>660</v>
      </c>
    </row>
    <row r="40" spans="1:35" x14ac:dyDescent="0.25">
      <c r="A40" t="s">
        <v>95</v>
      </c>
      <c r="B40" t="s">
        <v>109</v>
      </c>
      <c r="C40">
        <v>47978706</v>
      </c>
      <c r="D40" t="s">
        <v>125</v>
      </c>
      <c r="E40" t="s">
        <v>14</v>
      </c>
      <c r="F40" t="s">
        <v>98</v>
      </c>
      <c r="G40" t="s">
        <v>43</v>
      </c>
      <c r="H40">
        <v>2021</v>
      </c>
      <c r="I40" t="s">
        <v>59</v>
      </c>
      <c r="L40" t="s">
        <v>99</v>
      </c>
      <c r="AG40">
        <f t="shared" si="0"/>
        <v>1</v>
      </c>
      <c r="AH40">
        <f>'TABLA PREVIOS'!E40</f>
        <v>222</v>
      </c>
      <c r="AI40">
        <f>VLOOKUP(C40,ALUMNOS!A:B,2,FALSE)</f>
        <v>660</v>
      </c>
    </row>
    <row r="41" spans="1:35" x14ac:dyDescent="0.25">
      <c r="A41" t="s">
        <v>95</v>
      </c>
      <c r="B41" t="s">
        <v>109</v>
      </c>
      <c r="C41">
        <v>47978706</v>
      </c>
      <c r="D41" t="s">
        <v>125</v>
      </c>
      <c r="E41" t="s">
        <v>16</v>
      </c>
      <c r="F41" t="s">
        <v>98</v>
      </c>
      <c r="G41" t="s">
        <v>43</v>
      </c>
      <c r="H41">
        <v>2021</v>
      </c>
      <c r="I41" t="s">
        <v>59</v>
      </c>
      <c r="L41" t="s">
        <v>99</v>
      </c>
      <c r="AG41">
        <f t="shared" si="0"/>
        <v>1</v>
      </c>
      <c r="AH41">
        <f>'TABLA PREVIOS'!E41</f>
        <v>224</v>
      </c>
      <c r="AI41">
        <f>VLOOKUP(C41,ALUMNOS!A:B,2,FALSE)</f>
        <v>660</v>
      </c>
    </row>
    <row r="42" spans="1:35" x14ac:dyDescent="0.25">
      <c r="A42" t="s">
        <v>95</v>
      </c>
      <c r="B42" t="s">
        <v>109</v>
      </c>
      <c r="C42">
        <v>50842190</v>
      </c>
      <c r="D42" t="s">
        <v>127</v>
      </c>
      <c r="E42" t="s">
        <v>13</v>
      </c>
      <c r="F42" t="s">
        <v>98</v>
      </c>
      <c r="G42" t="s">
        <v>43</v>
      </c>
      <c r="H42">
        <v>2023</v>
      </c>
      <c r="I42" t="s">
        <v>59</v>
      </c>
      <c r="L42" t="s">
        <v>99</v>
      </c>
      <c r="M42">
        <v>45401</v>
      </c>
      <c r="N42" t="s">
        <v>50</v>
      </c>
      <c r="O42">
        <v>68</v>
      </c>
      <c r="P42">
        <v>24</v>
      </c>
      <c r="AG42">
        <f t="shared" si="0"/>
        <v>1</v>
      </c>
      <c r="AH42">
        <f>'TABLA PREVIOS'!E42</f>
        <v>221</v>
      </c>
      <c r="AI42">
        <f>VLOOKUP(C42,ALUMNOS!A:B,2,FALSE)</f>
        <v>756</v>
      </c>
    </row>
    <row r="43" spans="1:35" x14ac:dyDescent="0.25">
      <c r="A43" t="s">
        <v>95</v>
      </c>
      <c r="B43" t="s">
        <v>109</v>
      </c>
      <c r="C43">
        <v>50842190</v>
      </c>
      <c r="D43" t="s">
        <v>127</v>
      </c>
      <c r="E43" t="s">
        <v>16</v>
      </c>
      <c r="F43" t="s">
        <v>98</v>
      </c>
      <c r="G43" t="s">
        <v>43</v>
      </c>
      <c r="H43">
        <v>2023</v>
      </c>
      <c r="I43" t="s">
        <v>59</v>
      </c>
      <c r="L43" t="s">
        <v>99</v>
      </c>
      <c r="M43">
        <v>45406</v>
      </c>
      <c r="N43" t="s">
        <v>50</v>
      </c>
      <c r="O43">
        <v>68</v>
      </c>
      <c r="P43">
        <v>33</v>
      </c>
      <c r="AG43">
        <f t="shared" si="0"/>
        <v>1</v>
      </c>
      <c r="AH43">
        <f>'TABLA PREVIOS'!E43</f>
        <v>224</v>
      </c>
      <c r="AI43">
        <f>VLOOKUP(C43,ALUMNOS!A:B,2,FALSE)</f>
        <v>756</v>
      </c>
    </row>
    <row r="44" spans="1:35" x14ac:dyDescent="0.25">
      <c r="A44" t="s">
        <v>95</v>
      </c>
      <c r="B44" t="s">
        <v>128</v>
      </c>
      <c r="C44">
        <v>51013768</v>
      </c>
      <c r="D44" t="s">
        <v>129</v>
      </c>
      <c r="E44" t="s">
        <v>15</v>
      </c>
      <c r="F44" t="s">
        <v>98</v>
      </c>
      <c r="G44" t="s">
        <v>43</v>
      </c>
      <c r="H44">
        <v>2023</v>
      </c>
      <c r="I44" t="s">
        <v>59</v>
      </c>
      <c r="L44" t="s">
        <v>99</v>
      </c>
      <c r="M44">
        <v>45404</v>
      </c>
      <c r="N44" t="s">
        <v>50</v>
      </c>
      <c r="O44">
        <v>68</v>
      </c>
      <c r="P44">
        <v>26</v>
      </c>
      <c r="AG44">
        <f t="shared" si="0"/>
        <v>1</v>
      </c>
      <c r="AH44">
        <f>'TABLA PREVIOS'!E44</f>
        <v>223</v>
      </c>
      <c r="AI44">
        <f>VLOOKUP(C44,ALUMNOS!A:B,2,FALSE)</f>
        <v>209</v>
      </c>
    </row>
    <row r="45" spans="1:35" x14ac:dyDescent="0.25">
      <c r="A45" t="s">
        <v>95</v>
      </c>
      <c r="B45" t="s">
        <v>128</v>
      </c>
      <c r="C45">
        <v>51013768</v>
      </c>
      <c r="D45" t="s">
        <v>129</v>
      </c>
      <c r="E45" t="s">
        <v>11</v>
      </c>
      <c r="F45" t="s">
        <v>98</v>
      </c>
      <c r="G45" t="s">
        <v>43</v>
      </c>
      <c r="H45">
        <v>2023</v>
      </c>
      <c r="I45" t="s">
        <v>59</v>
      </c>
      <c r="L45" t="s">
        <v>99</v>
      </c>
      <c r="M45">
        <v>45411</v>
      </c>
      <c r="N45">
        <v>3</v>
      </c>
      <c r="O45">
        <v>68</v>
      </c>
      <c r="P45">
        <v>37</v>
      </c>
      <c r="Q45">
        <v>45475</v>
      </c>
      <c r="R45">
        <v>4</v>
      </c>
      <c r="S45">
        <v>68</v>
      </c>
      <c r="T45">
        <v>73</v>
      </c>
      <c r="AG45">
        <f t="shared" si="0"/>
        <v>1</v>
      </c>
      <c r="AH45">
        <f>'TABLA PREVIOS'!E45</f>
        <v>219</v>
      </c>
      <c r="AI45">
        <f>VLOOKUP(C45,ALUMNOS!A:B,2,FALSE)</f>
        <v>209</v>
      </c>
    </row>
    <row r="46" spans="1:35" x14ac:dyDescent="0.25">
      <c r="A46" t="s">
        <v>95</v>
      </c>
      <c r="B46" t="s">
        <v>128</v>
      </c>
      <c r="C46">
        <v>51013768</v>
      </c>
      <c r="D46" t="s">
        <v>129</v>
      </c>
      <c r="E46" t="s">
        <v>12</v>
      </c>
      <c r="F46" t="s">
        <v>98</v>
      </c>
      <c r="G46" t="s">
        <v>45</v>
      </c>
      <c r="H46">
        <v>2023</v>
      </c>
      <c r="I46" t="s">
        <v>59</v>
      </c>
      <c r="L46" t="s">
        <v>99</v>
      </c>
      <c r="AG46">
        <f t="shared" si="0"/>
        <v>1</v>
      </c>
      <c r="AH46">
        <f>'TABLA PREVIOS'!E46</f>
        <v>220</v>
      </c>
      <c r="AI46">
        <f>VLOOKUP(C46,ALUMNOS!A:B,2,FALSE)</f>
        <v>209</v>
      </c>
    </row>
    <row r="47" spans="1:35" x14ac:dyDescent="0.25">
      <c r="A47" t="s">
        <v>95</v>
      </c>
      <c r="B47" t="s">
        <v>128</v>
      </c>
      <c r="C47">
        <v>51297338</v>
      </c>
      <c r="D47" t="s">
        <v>130</v>
      </c>
      <c r="E47" t="s">
        <v>12</v>
      </c>
      <c r="F47" t="s">
        <v>98</v>
      </c>
      <c r="G47" t="s">
        <v>43</v>
      </c>
      <c r="H47">
        <v>2023</v>
      </c>
      <c r="I47" t="s">
        <v>59</v>
      </c>
      <c r="L47" t="s">
        <v>99</v>
      </c>
      <c r="AG47">
        <f t="shared" si="0"/>
        <v>1</v>
      </c>
      <c r="AH47">
        <f>'TABLA PREVIOS'!E47</f>
        <v>220</v>
      </c>
      <c r="AI47">
        <f>VLOOKUP(C47,ALUMNOS!A:B,2,FALSE)</f>
        <v>313</v>
      </c>
    </row>
    <row r="48" spans="1:35" x14ac:dyDescent="0.25">
      <c r="A48" t="s">
        <v>95</v>
      </c>
      <c r="B48" t="s">
        <v>128</v>
      </c>
      <c r="C48">
        <v>48130270</v>
      </c>
      <c r="D48" t="s">
        <v>131</v>
      </c>
      <c r="E48" t="s">
        <v>16</v>
      </c>
      <c r="F48" t="s">
        <v>98</v>
      </c>
      <c r="G48" t="s">
        <v>43</v>
      </c>
      <c r="H48">
        <v>2021</v>
      </c>
      <c r="I48" t="s">
        <v>59</v>
      </c>
      <c r="J48" t="s">
        <v>111</v>
      </c>
      <c r="L48" t="s">
        <v>99</v>
      </c>
      <c r="AG48">
        <f t="shared" si="0"/>
        <v>1</v>
      </c>
      <c r="AH48">
        <f>'TABLA PREVIOS'!E48</f>
        <v>224</v>
      </c>
      <c r="AI48">
        <f>VLOOKUP(C48,ALUMNOS!A:B,2,FALSE)</f>
        <v>326</v>
      </c>
    </row>
    <row r="49" spans="1:35" x14ac:dyDescent="0.25">
      <c r="A49" t="s">
        <v>95</v>
      </c>
      <c r="B49" t="s">
        <v>128</v>
      </c>
      <c r="C49">
        <v>48130270</v>
      </c>
      <c r="D49" t="s">
        <v>131</v>
      </c>
      <c r="E49" t="s">
        <v>12</v>
      </c>
      <c r="F49" t="s">
        <v>98</v>
      </c>
      <c r="G49" t="s">
        <v>43</v>
      </c>
      <c r="H49">
        <v>2021</v>
      </c>
      <c r="I49" t="s">
        <v>59</v>
      </c>
      <c r="L49" t="s">
        <v>99</v>
      </c>
      <c r="AG49">
        <f t="shared" si="0"/>
        <v>1</v>
      </c>
      <c r="AH49">
        <f>'TABLA PREVIOS'!E49</f>
        <v>220</v>
      </c>
      <c r="AI49">
        <f>VLOOKUP(C49,ALUMNOS!A:B,2,FALSE)</f>
        <v>326</v>
      </c>
    </row>
    <row r="50" spans="1:35" x14ac:dyDescent="0.25">
      <c r="A50" t="s">
        <v>95</v>
      </c>
      <c r="B50" t="s">
        <v>128</v>
      </c>
      <c r="C50">
        <v>47989294</v>
      </c>
      <c r="D50" t="s">
        <v>132</v>
      </c>
      <c r="E50" t="s">
        <v>11</v>
      </c>
      <c r="F50" t="s">
        <v>98</v>
      </c>
      <c r="G50" t="s">
        <v>43</v>
      </c>
      <c r="H50">
        <v>2022</v>
      </c>
      <c r="I50" t="s">
        <v>59</v>
      </c>
      <c r="L50" t="s">
        <v>99</v>
      </c>
      <c r="AG50">
        <f t="shared" si="0"/>
        <v>1</v>
      </c>
      <c r="AH50">
        <f>'TABLA PREVIOS'!E50</f>
        <v>219</v>
      </c>
      <c r="AI50">
        <f>VLOOKUP(C50,ALUMNOS!A:B,2,FALSE)</f>
        <v>343</v>
      </c>
    </row>
    <row r="51" spans="1:35" x14ac:dyDescent="0.25">
      <c r="A51" t="s">
        <v>95</v>
      </c>
      <c r="B51" t="s">
        <v>128</v>
      </c>
      <c r="C51">
        <v>47989294</v>
      </c>
      <c r="D51" t="s">
        <v>132</v>
      </c>
      <c r="E51" t="s">
        <v>12</v>
      </c>
      <c r="F51" t="s">
        <v>98</v>
      </c>
      <c r="G51" t="s">
        <v>43</v>
      </c>
      <c r="H51">
        <v>2022</v>
      </c>
      <c r="I51" t="s">
        <v>59</v>
      </c>
      <c r="L51" t="s">
        <v>99</v>
      </c>
      <c r="AG51">
        <f t="shared" si="0"/>
        <v>1</v>
      </c>
      <c r="AH51">
        <f>'TABLA PREVIOS'!E51</f>
        <v>220</v>
      </c>
      <c r="AI51">
        <f>VLOOKUP(C51,ALUMNOS!A:B,2,FALSE)</f>
        <v>343</v>
      </c>
    </row>
    <row r="52" spans="1:35" x14ac:dyDescent="0.25">
      <c r="A52" t="s">
        <v>95</v>
      </c>
      <c r="B52" t="s">
        <v>128</v>
      </c>
      <c r="C52">
        <v>6509219</v>
      </c>
      <c r="D52" t="s">
        <v>133</v>
      </c>
      <c r="E52" t="s">
        <v>11</v>
      </c>
      <c r="F52" t="s">
        <v>98</v>
      </c>
      <c r="G52" t="s">
        <v>43</v>
      </c>
      <c r="H52">
        <v>2023</v>
      </c>
      <c r="I52" t="s">
        <v>59</v>
      </c>
      <c r="L52" t="s">
        <v>99</v>
      </c>
      <c r="M52">
        <v>45411</v>
      </c>
      <c r="N52">
        <v>3</v>
      </c>
      <c r="O52">
        <v>68</v>
      </c>
      <c r="P52">
        <v>37</v>
      </c>
      <c r="Q52">
        <v>45475</v>
      </c>
      <c r="R52">
        <v>2</v>
      </c>
      <c r="S52">
        <v>68</v>
      </c>
      <c r="T52">
        <v>73</v>
      </c>
      <c r="AG52">
        <f t="shared" si="0"/>
        <v>1</v>
      </c>
      <c r="AH52">
        <f>'TABLA PREVIOS'!E52</f>
        <v>219</v>
      </c>
      <c r="AI52">
        <f>VLOOKUP(C52,ALUMNOS!A:B,2,FALSE)</f>
        <v>376</v>
      </c>
    </row>
    <row r="53" spans="1:35" x14ac:dyDescent="0.25">
      <c r="A53" t="s">
        <v>95</v>
      </c>
      <c r="B53" t="s">
        <v>128</v>
      </c>
      <c r="C53">
        <v>6509219</v>
      </c>
      <c r="D53" t="s">
        <v>133</v>
      </c>
      <c r="E53" t="s">
        <v>12</v>
      </c>
      <c r="F53" t="s">
        <v>98</v>
      </c>
      <c r="G53" t="s">
        <v>43</v>
      </c>
      <c r="H53">
        <v>2023</v>
      </c>
      <c r="I53" t="s">
        <v>59</v>
      </c>
      <c r="L53" t="s">
        <v>99</v>
      </c>
      <c r="Q53">
        <v>45474</v>
      </c>
      <c r="R53" t="s">
        <v>50</v>
      </c>
      <c r="S53">
        <v>68</v>
      </c>
      <c r="T53">
        <v>60</v>
      </c>
      <c r="AG53">
        <f t="shared" si="0"/>
        <v>1</v>
      </c>
      <c r="AH53">
        <f>'TABLA PREVIOS'!E53</f>
        <v>220</v>
      </c>
      <c r="AI53">
        <f>VLOOKUP(C53,ALUMNOS!A:B,2,FALSE)</f>
        <v>376</v>
      </c>
    </row>
    <row r="54" spans="1:35" x14ac:dyDescent="0.25">
      <c r="A54" t="s">
        <v>95</v>
      </c>
      <c r="B54" t="s">
        <v>128</v>
      </c>
      <c r="C54">
        <v>49716997</v>
      </c>
      <c r="D54" t="s">
        <v>134</v>
      </c>
      <c r="E54" t="s">
        <v>13</v>
      </c>
      <c r="F54" t="s">
        <v>98</v>
      </c>
      <c r="G54" t="s">
        <v>43</v>
      </c>
      <c r="H54">
        <v>2022</v>
      </c>
      <c r="I54" t="s">
        <v>59</v>
      </c>
      <c r="J54" t="s">
        <v>111</v>
      </c>
      <c r="L54" t="s">
        <v>99</v>
      </c>
      <c r="AG54">
        <f t="shared" si="0"/>
        <v>1</v>
      </c>
      <c r="AH54">
        <f>'TABLA PREVIOS'!E54</f>
        <v>221</v>
      </c>
      <c r="AI54">
        <f>VLOOKUP(C54,ALUMNOS!A:B,2,FALSE)</f>
        <v>442</v>
      </c>
    </row>
    <row r="55" spans="1:35" x14ac:dyDescent="0.25">
      <c r="A55" t="s">
        <v>95</v>
      </c>
      <c r="B55" t="s">
        <v>128</v>
      </c>
      <c r="C55">
        <v>50755633</v>
      </c>
      <c r="D55" t="s">
        <v>135</v>
      </c>
      <c r="E55" t="s">
        <v>11</v>
      </c>
      <c r="F55" t="s">
        <v>98</v>
      </c>
      <c r="G55" t="s">
        <v>43</v>
      </c>
      <c r="H55">
        <v>2023</v>
      </c>
      <c r="I55" t="s">
        <v>59</v>
      </c>
      <c r="L55" t="s">
        <v>107</v>
      </c>
      <c r="M55">
        <v>45411</v>
      </c>
      <c r="N55">
        <v>4</v>
      </c>
      <c r="O55">
        <v>68</v>
      </c>
      <c r="P55">
        <v>37</v>
      </c>
      <c r="Q55">
        <v>45475</v>
      </c>
      <c r="R55">
        <v>7</v>
      </c>
      <c r="S55">
        <v>68</v>
      </c>
      <c r="T55">
        <v>73</v>
      </c>
      <c r="AG55">
        <f t="shared" si="0"/>
        <v>7</v>
      </c>
      <c r="AH55">
        <f>'TABLA PREVIOS'!E55</f>
        <v>219</v>
      </c>
      <c r="AI55">
        <f>VLOOKUP(C55,ALUMNOS!A:B,2,FALSE)</f>
        <v>462</v>
      </c>
    </row>
    <row r="56" spans="1:35" x14ac:dyDescent="0.25">
      <c r="A56" t="s">
        <v>95</v>
      </c>
      <c r="B56" t="s">
        <v>128</v>
      </c>
      <c r="C56">
        <v>49455889</v>
      </c>
      <c r="D56" t="s">
        <v>136</v>
      </c>
      <c r="E56" t="s">
        <v>12</v>
      </c>
      <c r="F56" t="s">
        <v>98</v>
      </c>
      <c r="G56" t="s">
        <v>43</v>
      </c>
      <c r="H56">
        <v>2022</v>
      </c>
      <c r="I56" t="s">
        <v>59</v>
      </c>
      <c r="J56" t="s">
        <v>111</v>
      </c>
      <c r="L56" t="s">
        <v>99</v>
      </c>
      <c r="Q56">
        <v>45474</v>
      </c>
      <c r="R56">
        <v>2</v>
      </c>
      <c r="S56">
        <v>68</v>
      </c>
      <c r="T56">
        <v>60</v>
      </c>
      <c r="AG56">
        <f t="shared" si="0"/>
        <v>1</v>
      </c>
      <c r="AH56">
        <f>'TABLA PREVIOS'!E56</f>
        <v>220</v>
      </c>
      <c r="AI56">
        <f>VLOOKUP(C56,ALUMNOS!A:B,2,FALSE)</f>
        <v>494</v>
      </c>
    </row>
    <row r="57" spans="1:35" x14ac:dyDescent="0.25">
      <c r="A57" t="s">
        <v>95</v>
      </c>
      <c r="B57" t="s">
        <v>128</v>
      </c>
      <c r="C57">
        <v>50091959</v>
      </c>
      <c r="D57" t="s">
        <v>137</v>
      </c>
      <c r="E57" t="s">
        <v>12</v>
      </c>
      <c r="F57" t="s">
        <v>98</v>
      </c>
      <c r="G57" t="s">
        <v>43</v>
      </c>
      <c r="H57">
        <v>2023</v>
      </c>
      <c r="I57" t="s">
        <v>59</v>
      </c>
      <c r="L57" t="s">
        <v>99</v>
      </c>
      <c r="Q57">
        <v>45474</v>
      </c>
      <c r="R57" t="s">
        <v>50</v>
      </c>
      <c r="S57">
        <v>68</v>
      </c>
      <c r="T57">
        <v>60</v>
      </c>
      <c r="AG57">
        <f t="shared" si="0"/>
        <v>1</v>
      </c>
      <c r="AH57">
        <f>'TABLA PREVIOS'!E57</f>
        <v>220</v>
      </c>
      <c r="AI57">
        <f>VLOOKUP(C57,ALUMNOS!A:B,2,FALSE)</f>
        <v>570</v>
      </c>
    </row>
    <row r="58" spans="1:35" x14ac:dyDescent="0.25">
      <c r="A58" t="s">
        <v>95</v>
      </c>
      <c r="B58" t="s">
        <v>128</v>
      </c>
      <c r="C58">
        <v>50334173</v>
      </c>
      <c r="D58" t="s">
        <v>138</v>
      </c>
      <c r="E58" t="s">
        <v>12</v>
      </c>
      <c r="F58" t="s">
        <v>98</v>
      </c>
      <c r="G58" t="s">
        <v>43</v>
      </c>
      <c r="H58">
        <v>2023</v>
      </c>
      <c r="I58" t="s">
        <v>59</v>
      </c>
      <c r="L58" t="s">
        <v>99</v>
      </c>
      <c r="Q58">
        <v>45474</v>
      </c>
      <c r="R58" t="s">
        <v>50</v>
      </c>
      <c r="S58">
        <v>68</v>
      </c>
      <c r="T58">
        <v>60</v>
      </c>
      <c r="AG58">
        <f t="shared" si="0"/>
        <v>1</v>
      </c>
      <c r="AH58">
        <f>'TABLA PREVIOS'!E58</f>
        <v>220</v>
      </c>
      <c r="AI58">
        <f>VLOOKUP(C58,ALUMNOS!A:B,2,FALSE)</f>
        <v>600</v>
      </c>
    </row>
    <row r="59" spans="1:35" x14ac:dyDescent="0.25">
      <c r="A59" t="s">
        <v>95</v>
      </c>
      <c r="B59" t="s">
        <v>128</v>
      </c>
      <c r="C59">
        <v>49661848</v>
      </c>
      <c r="D59" t="s">
        <v>139</v>
      </c>
      <c r="E59" t="s">
        <v>13</v>
      </c>
      <c r="F59" t="s">
        <v>98</v>
      </c>
      <c r="G59" t="s">
        <v>43</v>
      </c>
      <c r="H59">
        <v>2023</v>
      </c>
      <c r="I59" t="s">
        <v>59</v>
      </c>
      <c r="L59" t="s">
        <v>99</v>
      </c>
      <c r="M59">
        <v>45401</v>
      </c>
      <c r="N59" t="s">
        <v>50</v>
      </c>
      <c r="O59">
        <v>68</v>
      </c>
      <c r="P59">
        <v>24</v>
      </c>
      <c r="Q59">
        <v>45474</v>
      </c>
      <c r="R59" t="s">
        <v>50</v>
      </c>
      <c r="S59">
        <v>68</v>
      </c>
      <c r="T59">
        <v>56</v>
      </c>
      <c r="AG59">
        <f t="shared" si="0"/>
        <v>1</v>
      </c>
      <c r="AH59">
        <f>'TABLA PREVIOS'!E59</f>
        <v>221</v>
      </c>
      <c r="AI59">
        <f>VLOOKUP(C59,ALUMNOS!A:B,2,FALSE)</f>
        <v>647</v>
      </c>
    </row>
    <row r="60" spans="1:35" x14ac:dyDescent="0.25">
      <c r="A60" t="s">
        <v>95</v>
      </c>
      <c r="B60" t="s">
        <v>128</v>
      </c>
      <c r="C60">
        <v>49661848</v>
      </c>
      <c r="D60" t="s">
        <v>139</v>
      </c>
      <c r="E60" t="s">
        <v>12</v>
      </c>
      <c r="F60" t="s">
        <v>98</v>
      </c>
      <c r="G60" t="s">
        <v>43</v>
      </c>
      <c r="H60">
        <v>2023</v>
      </c>
      <c r="I60" t="s">
        <v>59</v>
      </c>
      <c r="L60" t="s">
        <v>99</v>
      </c>
      <c r="AG60">
        <f t="shared" si="0"/>
        <v>1</v>
      </c>
      <c r="AH60">
        <f>'TABLA PREVIOS'!E60</f>
        <v>220</v>
      </c>
      <c r="AI60">
        <f>VLOOKUP(C60,ALUMNOS!A:B,2,FALSE)</f>
        <v>647</v>
      </c>
    </row>
    <row r="61" spans="1:35" x14ac:dyDescent="0.25">
      <c r="A61" t="s">
        <v>95</v>
      </c>
      <c r="B61" t="s">
        <v>128</v>
      </c>
      <c r="C61">
        <v>49716919</v>
      </c>
      <c r="D61" t="s">
        <v>140</v>
      </c>
      <c r="E61" t="s">
        <v>13</v>
      </c>
      <c r="F61" t="s">
        <v>98</v>
      </c>
      <c r="G61" t="s">
        <v>43</v>
      </c>
      <c r="H61">
        <v>2022</v>
      </c>
      <c r="I61" t="s">
        <v>59</v>
      </c>
      <c r="L61" t="s">
        <v>99</v>
      </c>
      <c r="M61">
        <v>45401</v>
      </c>
      <c r="N61" t="s">
        <v>50</v>
      </c>
      <c r="O61">
        <v>68</v>
      </c>
      <c r="P61">
        <v>24</v>
      </c>
      <c r="AG61">
        <f t="shared" si="0"/>
        <v>1</v>
      </c>
      <c r="AH61">
        <f>'TABLA PREVIOS'!E61</f>
        <v>221</v>
      </c>
      <c r="AI61">
        <f>VLOOKUP(C61,ALUMNOS!A:B,2,FALSE)</f>
        <v>655</v>
      </c>
    </row>
    <row r="62" spans="1:35" x14ac:dyDescent="0.25">
      <c r="A62" t="s">
        <v>95</v>
      </c>
      <c r="B62" t="s">
        <v>128</v>
      </c>
      <c r="C62">
        <v>49716919</v>
      </c>
      <c r="D62" t="s">
        <v>140</v>
      </c>
      <c r="E62" t="s">
        <v>17</v>
      </c>
      <c r="F62" t="s">
        <v>98</v>
      </c>
      <c r="G62" t="s">
        <v>43</v>
      </c>
      <c r="H62">
        <v>2022</v>
      </c>
      <c r="I62" t="s">
        <v>59</v>
      </c>
      <c r="L62" t="s">
        <v>99</v>
      </c>
      <c r="M62">
        <v>45399</v>
      </c>
      <c r="N62" t="s">
        <v>50</v>
      </c>
      <c r="O62">
        <v>68</v>
      </c>
      <c r="P62">
        <v>19</v>
      </c>
      <c r="Q62">
        <v>45475</v>
      </c>
      <c r="R62" t="s">
        <v>50</v>
      </c>
      <c r="S62">
        <v>68</v>
      </c>
      <c r="T62">
        <v>69</v>
      </c>
      <c r="AG62">
        <f t="shared" si="0"/>
        <v>1</v>
      </c>
      <c r="AH62">
        <f>'TABLA PREVIOS'!E62</f>
        <v>225</v>
      </c>
      <c r="AI62">
        <f>VLOOKUP(C62,ALUMNOS!A:B,2,FALSE)</f>
        <v>655</v>
      </c>
    </row>
    <row r="63" spans="1:35" x14ac:dyDescent="0.25">
      <c r="A63" t="s">
        <v>95</v>
      </c>
      <c r="B63" t="s">
        <v>128</v>
      </c>
      <c r="C63">
        <v>50741969</v>
      </c>
      <c r="D63" t="s">
        <v>141</v>
      </c>
      <c r="E63" t="s">
        <v>13</v>
      </c>
      <c r="F63" t="s">
        <v>98</v>
      </c>
      <c r="G63" t="s">
        <v>43</v>
      </c>
      <c r="H63">
        <v>2023</v>
      </c>
      <c r="I63" t="s">
        <v>59</v>
      </c>
      <c r="L63" t="s">
        <v>99</v>
      </c>
      <c r="Q63">
        <v>45474</v>
      </c>
      <c r="R63" t="s">
        <v>50</v>
      </c>
      <c r="S63">
        <v>68</v>
      </c>
      <c r="T63">
        <v>56</v>
      </c>
      <c r="AG63">
        <f t="shared" si="0"/>
        <v>1</v>
      </c>
      <c r="AH63">
        <f>'TABLA PREVIOS'!E63</f>
        <v>221</v>
      </c>
      <c r="AI63">
        <f>VLOOKUP(C63,ALUMNOS!A:B,2,FALSE)</f>
        <v>681</v>
      </c>
    </row>
    <row r="64" spans="1:35" x14ac:dyDescent="0.25">
      <c r="A64" t="s">
        <v>95</v>
      </c>
      <c r="B64" t="s">
        <v>128</v>
      </c>
      <c r="C64">
        <v>50741969</v>
      </c>
      <c r="D64" t="s">
        <v>141</v>
      </c>
      <c r="E64" t="s">
        <v>11</v>
      </c>
      <c r="F64" t="s">
        <v>98</v>
      </c>
      <c r="G64" t="s">
        <v>43</v>
      </c>
      <c r="H64">
        <v>2023</v>
      </c>
      <c r="I64" t="s">
        <v>59</v>
      </c>
      <c r="L64" t="s">
        <v>99</v>
      </c>
      <c r="AG64">
        <f t="shared" si="0"/>
        <v>1</v>
      </c>
      <c r="AH64">
        <f>'TABLA PREVIOS'!E64</f>
        <v>219</v>
      </c>
      <c r="AI64">
        <f>VLOOKUP(C64,ALUMNOS!A:B,2,FALSE)</f>
        <v>681</v>
      </c>
    </row>
    <row r="65" spans="1:35" x14ac:dyDescent="0.25">
      <c r="A65" t="s">
        <v>95</v>
      </c>
      <c r="B65" t="s">
        <v>128</v>
      </c>
      <c r="C65">
        <v>50741969</v>
      </c>
      <c r="D65" t="s">
        <v>141</v>
      </c>
      <c r="E65" t="s">
        <v>12</v>
      </c>
      <c r="F65" t="s">
        <v>98</v>
      </c>
      <c r="G65" t="s">
        <v>45</v>
      </c>
      <c r="H65">
        <v>2023</v>
      </c>
      <c r="I65" t="s">
        <v>59</v>
      </c>
      <c r="L65" t="s">
        <v>99</v>
      </c>
      <c r="AG65">
        <f t="shared" si="0"/>
        <v>1</v>
      </c>
      <c r="AH65">
        <f>'TABLA PREVIOS'!E65</f>
        <v>220</v>
      </c>
      <c r="AI65">
        <f>VLOOKUP(C65,ALUMNOS!A:B,2,FALSE)</f>
        <v>681</v>
      </c>
    </row>
    <row r="66" spans="1:35" x14ac:dyDescent="0.25">
      <c r="A66" t="s">
        <v>95</v>
      </c>
      <c r="B66" t="s">
        <v>128</v>
      </c>
      <c r="C66">
        <v>51033873</v>
      </c>
      <c r="D66" t="s">
        <v>142</v>
      </c>
      <c r="E66" t="s">
        <v>13</v>
      </c>
      <c r="F66" t="s">
        <v>98</v>
      </c>
      <c r="G66" t="s">
        <v>45</v>
      </c>
      <c r="H66">
        <v>2023</v>
      </c>
      <c r="I66" t="s">
        <v>59</v>
      </c>
      <c r="L66" t="s">
        <v>99</v>
      </c>
      <c r="AG66">
        <f t="shared" si="0"/>
        <v>1</v>
      </c>
      <c r="AH66">
        <f>'TABLA PREVIOS'!E66</f>
        <v>221</v>
      </c>
      <c r="AI66">
        <f>VLOOKUP(C66,ALUMNOS!A:B,2,FALSE)</f>
        <v>747</v>
      </c>
    </row>
    <row r="67" spans="1:35" x14ac:dyDescent="0.25">
      <c r="A67" t="s">
        <v>95</v>
      </c>
      <c r="B67" t="s">
        <v>128</v>
      </c>
      <c r="C67">
        <v>51033873</v>
      </c>
      <c r="D67" t="s">
        <v>142</v>
      </c>
      <c r="E67" t="s">
        <v>11</v>
      </c>
      <c r="F67" t="s">
        <v>98</v>
      </c>
      <c r="G67" t="s">
        <v>43</v>
      </c>
      <c r="H67">
        <v>2023</v>
      </c>
      <c r="I67" t="s">
        <v>59</v>
      </c>
      <c r="L67" t="s">
        <v>99</v>
      </c>
      <c r="M67">
        <v>45411</v>
      </c>
      <c r="N67">
        <v>2</v>
      </c>
      <c r="O67">
        <v>68</v>
      </c>
      <c r="P67">
        <v>37</v>
      </c>
      <c r="Q67">
        <v>45475</v>
      </c>
      <c r="R67">
        <v>1</v>
      </c>
      <c r="S67">
        <v>68</v>
      </c>
      <c r="T67">
        <v>73</v>
      </c>
      <c r="AG67">
        <f t="shared" ref="AG67:AG130" si="1">IF(VALUE(MAX(N67,R67,V67,Z67,AC67,))&gt;=7,VALUE(MAX(N67,R67,V67,Z67,AC67,)),1)</f>
        <v>1</v>
      </c>
      <c r="AH67">
        <f>'TABLA PREVIOS'!E67</f>
        <v>219</v>
      </c>
      <c r="AI67">
        <f>VLOOKUP(C67,ALUMNOS!A:B,2,FALSE)</f>
        <v>747</v>
      </c>
    </row>
    <row r="68" spans="1:35" x14ac:dyDescent="0.25">
      <c r="A68" t="s">
        <v>95</v>
      </c>
      <c r="B68" t="s">
        <v>128</v>
      </c>
      <c r="C68">
        <v>51033873</v>
      </c>
      <c r="D68" t="s">
        <v>142</v>
      </c>
      <c r="E68" t="s">
        <v>12</v>
      </c>
      <c r="F68" t="s">
        <v>98</v>
      </c>
      <c r="G68" t="s">
        <v>43</v>
      </c>
      <c r="H68">
        <v>2023</v>
      </c>
      <c r="I68" t="s">
        <v>59</v>
      </c>
      <c r="L68" t="s">
        <v>99</v>
      </c>
      <c r="AG68">
        <f t="shared" si="1"/>
        <v>1</v>
      </c>
      <c r="AH68">
        <f>'TABLA PREVIOS'!E68</f>
        <v>220</v>
      </c>
      <c r="AI68">
        <f>VLOOKUP(C68,ALUMNOS!A:B,2,FALSE)</f>
        <v>747</v>
      </c>
    </row>
    <row r="69" spans="1:35" x14ac:dyDescent="0.25">
      <c r="A69" t="s">
        <v>143</v>
      </c>
      <c r="B69" t="s">
        <v>96</v>
      </c>
      <c r="C69">
        <v>49144687</v>
      </c>
      <c r="D69" t="s">
        <v>144</v>
      </c>
      <c r="E69" t="s">
        <v>18</v>
      </c>
      <c r="F69" t="s">
        <v>95</v>
      </c>
      <c r="G69" t="s">
        <v>43</v>
      </c>
      <c r="H69">
        <v>2023</v>
      </c>
      <c r="I69" t="s">
        <v>59</v>
      </c>
      <c r="L69" t="s">
        <v>99</v>
      </c>
      <c r="AG69">
        <f t="shared" si="1"/>
        <v>1</v>
      </c>
      <c r="AH69">
        <f>'TABLA PREVIOS'!E69</f>
        <v>236</v>
      </c>
      <c r="AI69">
        <f>VLOOKUP(C69,ALUMNOS!A:B,2,FALSE)</f>
        <v>54</v>
      </c>
    </row>
    <row r="70" spans="1:35" x14ac:dyDescent="0.25">
      <c r="A70" t="s">
        <v>143</v>
      </c>
      <c r="B70" t="s">
        <v>96</v>
      </c>
      <c r="C70">
        <v>49144687</v>
      </c>
      <c r="D70" t="s">
        <v>144</v>
      </c>
      <c r="E70" t="s">
        <v>16</v>
      </c>
      <c r="F70" t="s">
        <v>95</v>
      </c>
      <c r="G70" t="s">
        <v>45</v>
      </c>
      <c r="H70">
        <v>2023</v>
      </c>
      <c r="I70" t="s">
        <v>59</v>
      </c>
      <c r="L70" t="s">
        <v>99</v>
      </c>
      <c r="AG70">
        <f t="shared" si="1"/>
        <v>1</v>
      </c>
      <c r="AH70">
        <f>'TABLA PREVIOS'!E70</f>
        <v>234</v>
      </c>
      <c r="AI70">
        <f>VLOOKUP(C70,ALUMNOS!A:B,2,FALSE)</f>
        <v>54</v>
      </c>
    </row>
    <row r="71" spans="1:35" x14ac:dyDescent="0.25">
      <c r="A71" t="s">
        <v>143</v>
      </c>
      <c r="B71" t="s">
        <v>96</v>
      </c>
      <c r="C71">
        <v>49144687</v>
      </c>
      <c r="D71" t="s">
        <v>144</v>
      </c>
      <c r="E71" t="s">
        <v>11</v>
      </c>
      <c r="F71" t="s">
        <v>95</v>
      </c>
      <c r="G71" t="s">
        <v>43</v>
      </c>
      <c r="H71">
        <v>2023</v>
      </c>
      <c r="I71" t="s">
        <v>59</v>
      </c>
      <c r="L71" t="s">
        <v>99</v>
      </c>
      <c r="AG71">
        <f t="shared" si="1"/>
        <v>1</v>
      </c>
      <c r="AH71">
        <f>'TABLA PREVIOS'!E71</f>
        <v>229</v>
      </c>
      <c r="AI71">
        <f>VLOOKUP(C71,ALUMNOS!A:B,2,FALSE)</f>
        <v>54</v>
      </c>
    </row>
    <row r="72" spans="1:35" x14ac:dyDescent="0.25">
      <c r="A72" t="s">
        <v>143</v>
      </c>
      <c r="B72" t="s">
        <v>96</v>
      </c>
      <c r="C72">
        <v>49290959</v>
      </c>
      <c r="D72" t="s">
        <v>145</v>
      </c>
      <c r="E72" t="s">
        <v>11</v>
      </c>
      <c r="F72" t="s">
        <v>95</v>
      </c>
      <c r="G72" t="s">
        <v>43</v>
      </c>
      <c r="H72">
        <v>2023</v>
      </c>
      <c r="I72" t="s">
        <v>59</v>
      </c>
      <c r="L72" t="s">
        <v>99</v>
      </c>
      <c r="M72">
        <v>45411</v>
      </c>
      <c r="N72" t="s">
        <v>50</v>
      </c>
      <c r="O72">
        <v>68</v>
      </c>
      <c r="P72">
        <v>38</v>
      </c>
      <c r="AG72">
        <f t="shared" si="1"/>
        <v>1</v>
      </c>
      <c r="AH72">
        <f>'TABLA PREVIOS'!E72</f>
        <v>229</v>
      </c>
      <c r="AI72">
        <f>VLOOKUP(C72,ALUMNOS!A:B,2,FALSE)</f>
        <v>60</v>
      </c>
    </row>
    <row r="73" spans="1:35" x14ac:dyDescent="0.25">
      <c r="A73" t="s">
        <v>143</v>
      </c>
      <c r="B73" t="s">
        <v>96</v>
      </c>
      <c r="C73">
        <v>49550097</v>
      </c>
      <c r="D73" t="s">
        <v>146</v>
      </c>
      <c r="E73" t="s">
        <v>22</v>
      </c>
      <c r="F73" t="s">
        <v>95</v>
      </c>
      <c r="G73" t="s">
        <v>43</v>
      </c>
      <c r="H73">
        <v>2022</v>
      </c>
      <c r="I73" t="s">
        <v>59</v>
      </c>
      <c r="J73" t="s">
        <v>111</v>
      </c>
      <c r="L73" t="s">
        <v>99</v>
      </c>
      <c r="AG73">
        <f t="shared" si="1"/>
        <v>1</v>
      </c>
      <c r="AH73">
        <f>'TABLA PREVIOS'!E73</f>
        <v>233</v>
      </c>
      <c r="AI73">
        <f>VLOOKUP(C73,ALUMNOS!A:B,2,FALSE)</f>
        <v>64</v>
      </c>
    </row>
    <row r="74" spans="1:35" x14ac:dyDescent="0.25">
      <c r="A74" t="s">
        <v>143</v>
      </c>
      <c r="B74" t="s">
        <v>96</v>
      </c>
      <c r="C74">
        <v>49550097</v>
      </c>
      <c r="D74" t="s">
        <v>146</v>
      </c>
      <c r="E74" t="s">
        <v>16</v>
      </c>
      <c r="F74" t="s">
        <v>95</v>
      </c>
      <c r="G74" t="s">
        <v>43</v>
      </c>
      <c r="H74">
        <v>2022</v>
      </c>
      <c r="I74" t="s">
        <v>59</v>
      </c>
      <c r="L74" t="s">
        <v>99</v>
      </c>
      <c r="AG74">
        <f t="shared" si="1"/>
        <v>1</v>
      </c>
      <c r="AH74">
        <f>'TABLA PREVIOS'!E74</f>
        <v>234</v>
      </c>
      <c r="AI74">
        <f>VLOOKUP(C74,ALUMNOS!A:B,2,FALSE)</f>
        <v>64</v>
      </c>
    </row>
    <row r="75" spans="1:35" x14ac:dyDescent="0.25">
      <c r="A75" t="s">
        <v>143</v>
      </c>
      <c r="B75" t="s">
        <v>96</v>
      </c>
      <c r="C75">
        <v>49550097</v>
      </c>
      <c r="D75" t="s">
        <v>146</v>
      </c>
      <c r="E75" t="s">
        <v>12</v>
      </c>
      <c r="F75" t="s">
        <v>95</v>
      </c>
      <c r="G75" t="s">
        <v>45</v>
      </c>
      <c r="H75">
        <v>2022</v>
      </c>
      <c r="I75" t="s">
        <v>59</v>
      </c>
      <c r="L75" t="s">
        <v>99</v>
      </c>
      <c r="AG75">
        <f t="shared" si="1"/>
        <v>1</v>
      </c>
      <c r="AH75">
        <f>'TABLA PREVIOS'!E75</f>
        <v>230</v>
      </c>
      <c r="AI75">
        <f>VLOOKUP(C75,ALUMNOS!A:B,2,FALSE)</f>
        <v>64</v>
      </c>
    </row>
    <row r="76" spans="1:35" x14ac:dyDescent="0.25">
      <c r="A76" t="s">
        <v>143</v>
      </c>
      <c r="B76" t="s">
        <v>96</v>
      </c>
      <c r="C76">
        <v>49647778</v>
      </c>
      <c r="D76" t="s">
        <v>147</v>
      </c>
      <c r="E76" t="s">
        <v>14</v>
      </c>
      <c r="F76" t="s">
        <v>98</v>
      </c>
      <c r="G76" t="s">
        <v>43</v>
      </c>
      <c r="H76">
        <v>2022</v>
      </c>
      <c r="I76" t="s">
        <v>59</v>
      </c>
      <c r="L76" t="s">
        <v>99</v>
      </c>
      <c r="AG76">
        <f t="shared" si="1"/>
        <v>1</v>
      </c>
      <c r="AH76">
        <f>'TABLA PREVIOS'!E76</f>
        <v>222</v>
      </c>
      <c r="AI76">
        <f>VLOOKUP(C76,ALUMNOS!A:B,2,FALSE)</f>
        <v>281</v>
      </c>
    </row>
    <row r="77" spans="1:35" x14ac:dyDescent="0.25">
      <c r="A77" t="s">
        <v>143</v>
      </c>
      <c r="B77" t="s">
        <v>96</v>
      </c>
      <c r="C77">
        <v>49647778</v>
      </c>
      <c r="D77" t="s">
        <v>147</v>
      </c>
      <c r="E77" t="s">
        <v>19</v>
      </c>
      <c r="F77" t="s">
        <v>98</v>
      </c>
      <c r="G77" t="s">
        <v>43</v>
      </c>
      <c r="H77">
        <v>2022</v>
      </c>
      <c r="I77" t="s">
        <v>59</v>
      </c>
      <c r="L77" t="s">
        <v>99</v>
      </c>
      <c r="AG77">
        <f t="shared" si="1"/>
        <v>1</v>
      </c>
      <c r="AH77">
        <f>'TABLA PREVIOS'!E77</f>
        <v>227</v>
      </c>
      <c r="AI77">
        <f>VLOOKUP(C77,ALUMNOS!A:B,2,FALSE)</f>
        <v>281</v>
      </c>
    </row>
    <row r="78" spans="1:35" x14ac:dyDescent="0.25">
      <c r="A78" t="s">
        <v>143</v>
      </c>
      <c r="B78" t="s">
        <v>96</v>
      </c>
      <c r="C78">
        <v>49384524</v>
      </c>
      <c r="D78" t="s">
        <v>148</v>
      </c>
      <c r="E78" t="s">
        <v>12</v>
      </c>
      <c r="F78" t="s">
        <v>98</v>
      </c>
      <c r="G78" t="s">
        <v>43</v>
      </c>
      <c r="H78">
        <v>2021</v>
      </c>
      <c r="I78" t="s">
        <v>59</v>
      </c>
      <c r="L78" t="s">
        <v>99</v>
      </c>
      <c r="AG78">
        <f t="shared" si="1"/>
        <v>1</v>
      </c>
      <c r="AH78">
        <f>'TABLA PREVIOS'!E78</f>
        <v>220</v>
      </c>
      <c r="AI78">
        <f>VLOOKUP(C78,ALUMNOS!A:B,2,FALSE)</f>
        <v>441</v>
      </c>
    </row>
    <row r="79" spans="1:35" x14ac:dyDescent="0.25">
      <c r="A79" t="s">
        <v>143</v>
      </c>
      <c r="B79" t="s">
        <v>96</v>
      </c>
      <c r="C79">
        <v>49384524</v>
      </c>
      <c r="D79" t="s">
        <v>148</v>
      </c>
      <c r="E79" t="s">
        <v>11</v>
      </c>
      <c r="F79" t="s">
        <v>95</v>
      </c>
      <c r="G79" t="s">
        <v>43</v>
      </c>
      <c r="H79">
        <v>2022</v>
      </c>
      <c r="I79" t="s">
        <v>59</v>
      </c>
      <c r="L79" t="s">
        <v>99</v>
      </c>
      <c r="AG79">
        <f t="shared" si="1"/>
        <v>1</v>
      </c>
      <c r="AH79">
        <f>'TABLA PREVIOS'!E79</f>
        <v>229</v>
      </c>
      <c r="AI79">
        <f>VLOOKUP(C79,ALUMNOS!A:B,2,FALSE)</f>
        <v>441</v>
      </c>
    </row>
    <row r="80" spans="1:35" x14ac:dyDescent="0.25">
      <c r="A80" t="s">
        <v>143</v>
      </c>
      <c r="B80" t="s">
        <v>96</v>
      </c>
      <c r="C80">
        <v>49384524</v>
      </c>
      <c r="D80" t="s">
        <v>148</v>
      </c>
      <c r="E80" t="s">
        <v>12</v>
      </c>
      <c r="F80" t="s">
        <v>95</v>
      </c>
      <c r="G80" t="s">
        <v>45</v>
      </c>
      <c r="H80">
        <v>2022</v>
      </c>
      <c r="I80" t="s">
        <v>59</v>
      </c>
      <c r="L80" t="s">
        <v>99</v>
      </c>
      <c r="AG80">
        <f t="shared" si="1"/>
        <v>1</v>
      </c>
      <c r="AH80">
        <f>'TABLA PREVIOS'!E80</f>
        <v>230</v>
      </c>
      <c r="AI80">
        <f>VLOOKUP(C80,ALUMNOS!A:B,2,FALSE)</f>
        <v>441</v>
      </c>
    </row>
    <row r="81" spans="1:35" x14ac:dyDescent="0.25">
      <c r="A81" t="s">
        <v>143</v>
      </c>
      <c r="B81" t="s">
        <v>96</v>
      </c>
      <c r="C81">
        <v>49455858</v>
      </c>
      <c r="D81" t="s">
        <v>149</v>
      </c>
      <c r="E81" t="s">
        <v>22</v>
      </c>
      <c r="F81" t="s">
        <v>95</v>
      </c>
      <c r="G81" t="s">
        <v>43</v>
      </c>
      <c r="H81">
        <v>2023</v>
      </c>
      <c r="I81" t="s">
        <v>59</v>
      </c>
      <c r="L81" t="s">
        <v>99</v>
      </c>
      <c r="M81">
        <v>45411</v>
      </c>
      <c r="N81" t="s">
        <v>50</v>
      </c>
      <c r="O81">
        <v>68</v>
      </c>
      <c r="P81">
        <v>42</v>
      </c>
      <c r="AG81">
        <f t="shared" si="1"/>
        <v>1</v>
      </c>
      <c r="AH81">
        <f>'TABLA PREVIOS'!E81</f>
        <v>233</v>
      </c>
      <c r="AI81">
        <f>VLOOKUP(C81,ALUMNOS!A:B,2,FALSE)</f>
        <v>553</v>
      </c>
    </row>
    <row r="82" spans="1:35" x14ac:dyDescent="0.25">
      <c r="A82" t="s">
        <v>143</v>
      </c>
      <c r="B82" t="s">
        <v>96</v>
      </c>
      <c r="C82">
        <v>49455858</v>
      </c>
      <c r="D82" t="s">
        <v>149</v>
      </c>
      <c r="E82" t="s">
        <v>12</v>
      </c>
      <c r="F82" t="s">
        <v>95</v>
      </c>
      <c r="G82" t="s">
        <v>43</v>
      </c>
      <c r="H82">
        <v>2023</v>
      </c>
      <c r="I82" t="s">
        <v>59</v>
      </c>
      <c r="L82" t="s">
        <v>99</v>
      </c>
      <c r="M82">
        <v>45405</v>
      </c>
      <c r="N82" t="s">
        <v>50</v>
      </c>
      <c r="O82">
        <v>68</v>
      </c>
      <c r="P82">
        <v>30</v>
      </c>
      <c r="AG82">
        <f t="shared" si="1"/>
        <v>1</v>
      </c>
      <c r="AH82">
        <f>'TABLA PREVIOS'!E82</f>
        <v>230</v>
      </c>
      <c r="AI82">
        <f>VLOOKUP(C82,ALUMNOS!A:B,2,FALSE)</f>
        <v>553</v>
      </c>
    </row>
    <row r="83" spans="1:35" x14ac:dyDescent="0.25">
      <c r="A83" t="s">
        <v>143</v>
      </c>
      <c r="B83" t="s">
        <v>96</v>
      </c>
      <c r="C83">
        <v>48755690</v>
      </c>
      <c r="D83" t="s">
        <v>150</v>
      </c>
      <c r="E83" t="s">
        <v>22</v>
      </c>
      <c r="F83" t="s">
        <v>95</v>
      </c>
      <c r="G83" t="s">
        <v>43</v>
      </c>
      <c r="H83">
        <v>2023</v>
      </c>
      <c r="I83" t="s">
        <v>59</v>
      </c>
      <c r="L83" t="s">
        <v>99</v>
      </c>
      <c r="AG83">
        <f t="shared" si="1"/>
        <v>1</v>
      </c>
      <c r="AH83">
        <f>'TABLA PREVIOS'!E83</f>
        <v>233</v>
      </c>
      <c r="AI83">
        <f>VLOOKUP(C83,ALUMNOS!A:B,2,FALSE)</f>
        <v>797</v>
      </c>
    </row>
    <row r="84" spans="1:35" x14ac:dyDescent="0.25">
      <c r="A84" t="s">
        <v>143</v>
      </c>
      <c r="B84" t="s">
        <v>96</v>
      </c>
      <c r="C84">
        <v>48755690</v>
      </c>
      <c r="D84" t="s">
        <v>150</v>
      </c>
      <c r="E84" t="s">
        <v>12</v>
      </c>
      <c r="F84" t="s">
        <v>95</v>
      </c>
      <c r="G84" t="s">
        <v>43</v>
      </c>
      <c r="H84">
        <v>2023</v>
      </c>
      <c r="I84" t="s">
        <v>59</v>
      </c>
      <c r="L84" t="s">
        <v>99</v>
      </c>
      <c r="AG84">
        <f t="shared" si="1"/>
        <v>1</v>
      </c>
      <c r="AH84">
        <f>'TABLA PREVIOS'!E84</f>
        <v>230</v>
      </c>
      <c r="AI84">
        <f>VLOOKUP(C84,ALUMNOS!A:B,2,FALSE)</f>
        <v>797</v>
      </c>
    </row>
    <row r="85" spans="1:35" x14ac:dyDescent="0.25">
      <c r="A85" t="s">
        <v>143</v>
      </c>
      <c r="B85" t="s">
        <v>96</v>
      </c>
      <c r="C85">
        <v>47667242</v>
      </c>
      <c r="D85" t="s">
        <v>151</v>
      </c>
      <c r="E85" t="s">
        <v>22</v>
      </c>
      <c r="F85" t="s">
        <v>95</v>
      </c>
      <c r="G85" t="s">
        <v>43</v>
      </c>
      <c r="H85">
        <v>2021</v>
      </c>
      <c r="I85" t="s">
        <v>59</v>
      </c>
      <c r="J85" t="s">
        <v>152</v>
      </c>
      <c r="L85" t="s">
        <v>99</v>
      </c>
      <c r="AG85">
        <f t="shared" si="1"/>
        <v>1</v>
      </c>
      <c r="AH85">
        <f>'TABLA PREVIOS'!E85</f>
        <v>233</v>
      </c>
      <c r="AI85">
        <f>VLOOKUP(C85,ALUMNOS!A:B,2,FALSE)</f>
        <v>601</v>
      </c>
    </row>
    <row r="86" spans="1:35" x14ac:dyDescent="0.25">
      <c r="A86" t="s">
        <v>143</v>
      </c>
      <c r="B86" t="s">
        <v>96</v>
      </c>
      <c r="C86">
        <v>47667242</v>
      </c>
      <c r="D86" t="s">
        <v>151</v>
      </c>
      <c r="E86" t="s">
        <v>19</v>
      </c>
      <c r="F86" t="s">
        <v>95</v>
      </c>
      <c r="G86" t="s">
        <v>43</v>
      </c>
      <c r="H86">
        <v>2021</v>
      </c>
      <c r="I86" t="s">
        <v>59</v>
      </c>
      <c r="L86" t="s">
        <v>99</v>
      </c>
      <c r="AG86">
        <f t="shared" si="1"/>
        <v>1</v>
      </c>
      <c r="AH86">
        <f>'TABLA PREVIOS'!E86</f>
        <v>237</v>
      </c>
      <c r="AI86">
        <f>VLOOKUP(C86,ALUMNOS!A:B,2,FALSE)</f>
        <v>601</v>
      </c>
    </row>
    <row r="87" spans="1:35" x14ac:dyDescent="0.25">
      <c r="A87" t="s">
        <v>143</v>
      </c>
      <c r="B87" t="s">
        <v>96</v>
      </c>
      <c r="C87">
        <v>47667242</v>
      </c>
      <c r="D87" t="s">
        <v>151</v>
      </c>
      <c r="E87" t="s">
        <v>18</v>
      </c>
      <c r="F87" t="s">
        <v>95</v>
      </c>
      <c r="G87" t="s">
        <v>43</v>
      </c>
      <c r="H87">
        <v>2021</v>
      </c>
      <c r="I87" t="s">
        <v>59</v>
      </c>
      <c r="L87" t="s">
        <v>99</v>
      </c>
      <c r="AG87">
        <f t="shared" si="1"/>
        <v>1</v>
      </c>
      <c r="AH87">
        <f>'TABLA PREVIOS'!E87</f>
        <v>236</v>
      </c>
      <c r="AI87">
        <f>VLOOKUP(C87,ALUMNOS!A:B,2,FALSE)</f>
        <v>601</v>
      </c>
    </row>
    <row r="88" spans="1:35" x14ac:dyDescent="0.25">
      <c r="A88" t="s">
        <v>143</v>
      </c>
      <c r="B88" t="s">
        <v>96</v>
      </c>
      <c r="C88">
        <v>47583497</v>
      </c>
      <c r="D88" t="s">
        <v>153</v>
      </c>
      <c r="E88" t="s">
        <v>12</v>
      </c>
      <c r="F88" t="s">
        <v>98</v>
      </c>
      <c r="G88" t="s">
        <v>43</v>
      </c>
      <c r="H88">
        <v>2021</v>
      </c>
      <c r="I88" t="s">
        <v>59</v>
      </c>
      <c r="J88" t="s">
        <v>154</v>
      </c>
      <c r="L88" t="s">
        <v>99</v>
      </c>
      <c r="AG88">
        <f t="shared" si="1"/>
        <v>1</v>
      </c>
      <c r="AH88">
        <f>'TABLA PREVIOS'!E88</f>
        <v>220</v>
      </c>
      <c r="AI88">
        <f>VLOOKUP(C88,ALUMNOS!A:B,2,FALSE)</f>
        <v>611</v>
      </c>
    </row>
    <row r="89" spans="1:35" x14ac:dyDescent="0.25">
      <c r="A89" t="s">
        <v>143</v>
      </c>
      <c r="B89" t="s">
        <v>96</v>
      </c>
      <c r="C89">
        <v>49455878</v>
      </c>
      <c r="D89" t="s">
        <v>155</v>
      </c>
      <c r="E89" t="s">
        <v>12</v>
      </c>
      <c r="F89" t="s">
        <v>95</v>
      </c>
      <c r="G89" t="s">
        <v>43</v>
      </c>
      <c r="H89">
        <v>2023</v>
      </c>
      <c r="I89" t="s">
        <v>59</v>
      </c>
      <c r="L89" t="s">
        <v>99</v>
      </c>
      <c r="M89">
        <v>45405</v>
      </c>
      <c r="N89" t="s">
        <v>50</v>
      </c>
      <c r="O89">
        <v>68</v>
      </c>
      <c r="P89">
        <v>30</v>
      </c>
      <c r="AG89">
        <f t="shared" si="1"/>
        <v>1</v>
      </c>
      <c r="AH89">
        <f>'TABLA PREVIOS'!E89</f>
        <v>230</v>
      </c>
      <c r="AI89">
        <f>VLOOKUP(C89,ALUMNOS!A:B,2,FALSE)</f>
        <v>654</v>
      </c>
    </row>
    <row r="90" spans="1:35" x14ac:dyDescent="0.25">
      <c r="A90" t="s">
        <v>143</v>
      </c>
      <c r="B90" t="s">
        <v>96</v>
      </c>
      <c r="C90">
        <v>49455899</v>
      </c>
      <c r="D90" t="s">
        <v>156</v>
      </c>
      <c r="E90" t="s">
        <v>16</v>
      </c>
      <c r="F90" t="s">
        <v>95</v>
      </c>
      <c r="G90" t="s">
        <v>43</v>
      </c>
      <c r="H90">
        <v>2023</v>
      </c>
      <c r="I90" t="s">
        <v>59</v>
      </c>
      <c r="L90" t="s">
        <v>99</v>
      </c>
      <c r="M90">
        <v>45406</v>
      </c>
      <c r="N90">
        <v>4</v>
      </c>
      <c r="O90">
        <v>68</v>
      </c>
      <c r="P90">
        <v>34</v>
      </c>
      <c r="Q90">
        <v>45475</v>
      </c>
      <c r="R90" t="s">
        <v>50</v>
      </c>
      <c r="S90">
        <v>68</v>
      </c>
      <c r="T90">
        <v>70</v>
      </c>
      <c r="AG90">
        <f t="shared" si="1"/>
        <v>1</v>
      </c>
      <c r="AH90">
        <f>'TABLA PREVIOS'!E90</f>
        <v>234</v>
      </c>
      <c r="AI90">
        <f>VLOOKUP(C90,ALUMNOS!A:B,2,FALSE)</f>
        <v>669</v>
      </c>
    </row>
    <row r="91" spans="1:35" x14ac:dyDescent="0.25">
      <c r="A91" t="s">
        <v>143</v>
      </c>
      <c r="B91" t="s">
        <v>96</v>
      </c>
      <c r="C91">
        <v>50091901</v>
      </c>
      <c r="D91" t="s">
        <v>158</v>
      </c>
      <c r="E91" t="s">
        <v>22</v>
      </c>
      <c r="F91" t="s">
        <v>95</v>
      </c>
      <c r="G91" t="s">
        <v>43</v>
      </c>
      <c r="H91">
        <v>2023</v>
      </c>
      <c r="I91" t="s">
        <v>59</v>
      </c>
      <c r="L91" t="s">
        <v>99</v>
      </c>
      <c r="AG91">
        <f t="shared" si="1"/>
        <v>1</v>
      </c>
      <c r="AH91">
        <f>'TABLA PREVIOS'!E91</f>
        <v>233</v>
      </c>
      <c r="AI91">
        <f>VLOOKUP(C91,ALUMNOS!A:B,2,FALSE)</f>
        <v>725</v>
      </c>
    </row>
    <row r="92" spans="1:35" x14ac:dyDescent="0.25">
      <c r="A92" t="s">
        <v>143</v>
      </c>
      <c r="B92" t="s">
        <v>96</v>
      </c>
      <c r="C92">
        <v>50091901</v>
      </c>
      <c r="D92" t="s">
        <v>158</v>
      </c>
      <c r="E92" t="s">
        <v>23</v>
      </c>
      <c r="F92" t="s">
        <v>95</v>
      </c>
      <c r="G92" t="s">
        <v>43</v>
      </c>
      <c r="H92">
        <v>2023</v>
      </c>
      <c r="I92" t="s">
        <v>59</v>
      </c>
      <c r="L92" t="s">
        <v>107</v>
      </c>
      <c r="M92">
        <v>45399</v>
      </c>
      <c r="N92" t="s">
        <v>50</v>
      </c>
      <c r="O92">
        <v>68</v>
      </c>
      <c r="P92">
        <v>20</v>
      </c>
      <c r="Q92">
        <v>45475</v>
      </c>
      <c r="R92">
        <v>7</v>
      </c>
      <c r="S92">
        <v>68</v>
      </c>
      <c r="T92">
        <v>68</v>
      </c>
      <c r="AG92">
        <f t="shared" si="1"/>
        <v>7</v>
      </c>
      <c r="AH92">
        <f>'TABLA PREVIOS'!E92</f>
        <v>235</v>
      </c>
      <c r="AI92">
        <f>VLOOKUP(C92,ALUMNOS!A:B,2,FALSE)</f>
        <v>725</v>
      </c>
    </row>
    <row r="93" spans="1:35" x14ac:dyDescent="0.25">
      <c r="A93" t="s">
        <v>143</v>
      </c>
      <c r="B93" t="s">
        <v>96</v>
      </c>
      <c r="C93">
        <v>50091901</v>
      </c>
      <c r="D93" t="s">
        <v>158</v>
      </c>
      <c r="E93" t="s">
        <v>12</v>
      </c>
      <c r="F93" t="s">
        <v>95</v>
      </c>
      <c r="G93" t="s">
        <v>45</v>
      </c>
      <c r="H93">
        <v>2023</v>
      </c>
      <c r="I93" t="s">
        <v>59</v>
      </c>
      <c r="L93" t="s">
        <v>99</v>
      </c>
      <c r="AG93">
        <f t="shared" si="1"/>
        <v>1</v>
      </c>
      <c r="AH93">
        <f>'TABLA PREVIOS'!E93</f>
        <v>230</v>
      </c>
      <c r="AI93">
        <f>VLOOKUP(C93,ALUMNOS!A:B,2,FALSE)</f>
        <v>725</v>
      </c>
    </row>
    <row r="94" spans="1:35" x14ac:dyDescent="0.25">
      <c r="A94" t="s">
        <v>143</v>
      </c>
      <c r="B94" t="s">
        <v>96</v>
      </c>
      <c r="C94">
        <v>49455826</v>
      </c>
      <c r="D94" t="s">
        <v>159</v>
      </c>
      <c r="E94" t="s">
        <v>12</v>
      </c>
      <c r="F94" t="s">
        <v>98</v>
      </c>
      <c r="G94" t="s">
        <v>43</v>
      </c>
      <c r="H94">
        <v>2021</v>
      </c>
      <c r="I94" t="s">
        <v>59</v>
      </c>
      <c r="L94" t="s">
        <v>99</v>
      </c>
      <c r="AG94">
        <f t="shared" si="1"/>
        <v>1</v>
      </c>
      <c r="AH94">
        <f>'TABLA PREVIOS'!E94</f>
        <v>220</v>
      </c>
      <c r="AI94">
        <f>VLOOKUP(C94,ALUMNOS!A:B,2,FALSE)</f>
        <v>745</v>
      </c>
    </row>
    <row r="95" spans="1:35" x14ac:dyDescent="0.25">
      <c r="A95" t="s">
        <v>143</v>
      </c>
      <c r="B95" t="s">
        <v>96</v>
      </c>
      <c r="C95">
        <v>49455826</v>
      </c>
      <c r="D95" t="s">
        <v>159</v>
      </c>
      <c r="E95" t="s">
        <v>12</v>
      </c>
      <c r="F95" t="s">
        <v>95</v>
      </c>
      <c r="G95" t="s">
        <v>43</v>
      </c>
      <c r="H95">
        <v>2023</v>
      </c>
      <c r="I95" t="s">
        <v>59</v>
      </c>
      <c r="L95" t="s">
        <v>99</v>
      </c>
      <c r="AG95">
        <f t="shared" si="1"/>
        <v>1</v>
      </c>
      <c r="AH95">
        <f>'TABLA PREVIOS'!E95</f>
        <v>230</v>
      </c>
      <c r="AI95">
        <f>VLOOKUP(C95,ALUMNOS!A:B,2,FALSE)</f>
        <v>745</v>
      </c>
    </row>
    <row r="96" spans="1:35" x14ac:dyDescent="0.25">
      <c r="A96" t="s">
        <v>143</v>
      </c>
      <c r="B96" t="s">
        <v>109</v>
      </c>
      <c r="C96">
        <v>47989251</v>
      </c>
      <c r="D96" t="s">
        <v>160</v>
      </c>
      <c r="E96" t="s">
        <v>21</v>
      </c>
      <c r="F96" t="s">
        <v>95</v>
      </c>
      <c r="G96" t="s">
        <v>45</v>
      </c>
      <c r="H96">
        <v>2023</v>
      </c>
      <c r="I96" t="s">
        <v>59</v>
      </c>
      <c r="L96" t="s">
        <v>99</v>
      </c>
      <c r="AG96">
        <f t="shared" si="1"/>
        <v>1</v>
      </c>
      <c r="AH96">
        <f>'TABLA PREVIOS'!E96</f>
        <v>232</v>
      </c>
      <c r="AI96">
        <f>VLOOKUP(C96,ALUMNOS!A:B,2,FALSE)</f>
        <v>16</v>
      </c>
    </row>
    <row r="97" spans="1:35" x14ac:dyDescent="0.25">
      <c r="A97" t="s">
        <v>143</v>
      </c>
      <c r="B97" t="s">
        <v>109</v>
      </c>
      <c r="C97">
        <v>47989251</v>
      </c>
      <c r="D97" t="s">
        <v>160</v>
      </c>
      <c r="E97" t="s">
        <v>19</v>
      </c>
      <c r="F97" t="s">
        <v>95</v>
      </c>
      <c r="G97" t="s">
        <v>43</v>
      </c>
      <c r="H97">
        <v>2023</v>
      </c>
      <c r="I97" t="s">
        <v>59</v>
      </c>
      <c r="L97" t="s">
        <v>99</v>
      </c>
      <c r="M97">
        <v>45404</v>
      </c>
      <c r="N97" t="s">
        <v>50</v>
      </c>
      <c r="O97">
        <v>68</v>
      </c>
      <c r="P97">
        <v>28</v>
      </c>
      <c r="Q97">
        <v>45474</v>
      </c>
      <c r="R97" t="s">
        <v>50</v>
      </c>
      <c r="S97">
        <v>68</v>
      </c>
      <c r="T97">
        <v>52</v>
      </c>
      <c r="AG97">
        <f t="shared" si="1"/>
        <v>1</v>
      </c>
      <c r="AH97">
        <f>'TABLA PREVIOS'!E97</f>
        <v>237</v>
      </c>
      <c r="AI97">
        <f>VLOOKUP(C97,ALUMNOS!A:B,2,FALSE)</f>
        <v>16</v>
      </c>
    </row>
    <row r="98" spans="1:35" x14ac:dyDescent="0.25">
      <c r="A98" t="s">
        <v>143</v>
      </c>
      <c r="B98" t="s">
        <v>109</v>
      </c>
      <c r="C98">
        <v>47989251</v>
      </c>
      <c r="D98" t="s">
        <v>160</v>
      </c>
      <c r="E98" t="s">
        <v>12</v>
      </c>
      <c r="F98" t="s">
        <v>95</v>
      </c>
      <c r="G98" t="s">
        <v>43</v>
      </c>
      <c r="H98">
        <v>2023</v>
      </c>
      <c r="I98" t="s">
        <v>59</v>
      </c>
      <c r="L98" t="s">
        <v>99</v>
      </c>
      <c r="AG98">
        <f t="shared" si="1"/>
        <v>1</v>
      </c>
      <c r="AH98">
        <f>'TABLA PREVIOS'!E98</f>
        <v>230</v>
      </c>
      <c r="AI98">
        <f>VLOOKUP(C98,ALUMNOS!A:B,2,FALSE)</f>
        <v>16</v>
      </c>
    </row>
    <row r="99" spans="1:35" x14ac:dyDescent="0.25">
      <c r="A99" t="s">
        <v>143</v>
      </c>
      <c r="B99" t="s">
        <v>109</v>
      </c>
      <c r="C99">
        <v>49455882</v>
      </c>
      <c r="D99" t="s">
        <v>161</v>
      </c>
      <c r="E99" t="s">
        <v>21</v>
      </c>
      <c r="F99" t="s">
        <v>95</v>
      </c>
      <c r="G99" t="s">
        <v>43</v>
      </c>
      <c r="H99">
        <v>2023</v>
      </c>
      <c r="I99" t="s">
        <v>59</v>
      </c>
      <c r="L99" t="s">
        <v>107</v>
      </c>
      <c r="Q99">
        <v>45474</v>
      </c>
      <c r="R99">
        <v>7</v>
      </c>
      <c r="S99">
        <v>68</v>
      </c>
      <c r="T99">
        <v>57</v>
      </c>
      <c r="AG99">
        <f t="shared" si="1"/>
        <v>7</v>
      </c>
      <c r="AH99">
        <f>'TABLA PREVIOS'!E99</f>
        <v>232</v>
      </c>
      <c r="AI99">
        <f>VLOOKUP(C99,ALUMNOS!A:B,2,FALSE)</f>
        <v>816</v>
      </c>
    </row>
    <row r="100" spans="1:35" x14ac:dyDescent="0.25">
      <c r="A100" t="s">
        <v>143</v>
      </c>
      <c r="B100" t="s">
        <v>109</v>
      </c>
      <c r="C100">
        <v>49768712</v>
      </c>
      <c r="D100" t="s">
        <v>162</v>
      </c>
      <c r="E100" t="s">
        <v>11</v>
      </c>
      <c r="F100" t="s">
        <v>95</v>
      </c>
      <c r="G100" t="s">
        <v>43</v>
      </c>
      <c r="H100">
        <v>2023</v>
      </c>
      <c r="I100" t="s">
        <v>59</v>
      </c>
      <c r="L100" t="s">
        <v>99</v>
      </c>
      <c r="M100">
        <v>45411</v>
      </c>
      <c r="N100">
        <v>3</v>
      </c>
      <c r="O100">
        <v>68</v>
      </c>
      <c r="P100">
        <v>38</v>
      </c>
      <c r="AG100">
        <f t="shared" si="1"/>
        <v>1</v>
      </c>
      <c r="AH100">
        <f>'TABLA PREVIOS'!E100</f>
        <v>229</v>
      </c>
      <c r="AI100">
        <f>VLOOKUP(C100,ALUMNOS!A:B,2,FALSE)</f>
        <v>793</v>
      </c>
    </row>
    <row r="101" spans="1:35" x14ac:dyDescent="0.25">
      <c r="A101" t="s">
        <v>143</v>
      </c>
      <c r="B101" t="s">
        <v>109</v>
      </c>
      <c r="C101">
        <v>50262337</v>
      </c>
      <c r="D101" t="s">
        <v>163</v>
      </c>
      <c r="E101" t="s">
        <v>15</v>
      </c>
      <c r="F101" t="s">
        <v>98</v>
      </c>
      <c r="G101" t="s">
        <v>45</v>
      </c>
      <c r="H101">
        <v>2022</v>
      </c>
      <c r="I101" t="s">
        <v>59</v>
      </c>
      <c r="L101" t="s">
        <v>99</v>
      </c>
      <c r="AG101">
        <f t="shared" si="1"/>
        <v>1</v>
      </c>
      <c r="AH101">
        <f>'TABLA PREVIOS'!E101</f>
        <v>223</v>
      </c>
      <c r="AI101">
        <f>VLOOKUP(C101,ALUMNOS!A:B,2,FALSE)</f>
        <v>75</v>
      </c>
    </row>
    <row r="102" spans="1:35" x14ac:dyDescent="0.25">
      <c r="A102" t="s">
        <v>143</v>
      </c>
      <c r="B102" t="s">
        <v>109</v>
      </c>
      <c r="C102">
        <v>50262337</v>
      </c>
      <c r="D102" t="s">
        <v>163</v>
      </c>
      <c r="E102" t="s">
        <v>11</v>
      </c>
      <c r="F102" t="s">
        <v>98</v>
      </c>
      <c r="G102" t="s">
        <v>43</v>
      </c>
      <c r="H102">
        <v>2022</v>
      </c>
      <c r="I102" t="s">
        <v>59</v>
      </c>
      <c r="L102" t="s">
        <v>99</v>
      </c>
      <c r="Q102">
        <v>45475</v>
      </c>
      <c r="R102">
        <v>2</v>
      </c>
      <c r="S102">
        <v>68</v>
      </c>
      <c r="T102">
        <v>73</v>
      </c>
      <c r="AG102">
        <f t="shared" si="1"/>
        <v>1</v>
      </c>
      <c r="AH102">
        <f>'TABLA PREVIOS'!E102</f>
        <v>219</v>
      </c>
      <c r="AI102">
        <f>VLOOKUP(C102,ALUMNOS!A:B,2,FALSE)</f>
        <v>75</v>
      </c>
    </row>
    <row r="103" spans="1:35" x14ac:dyDescent="0.25">
      <c r="A103" t="s">
        <v>143</v>
      </c>
      <c r="B103" t="s">
        <v>109</v>
      </c>
      <c r="C103">
        <v>50262337</v>
      </c>
      <c r="D103" t="s">
        <v>163</v>
      </c>
      <c r="E103" t="s">
        <v>12</v>
      </c>
      <c r="F103" t="s">
        <v>95</v>
      </c>
      <c r="G103" t="s">
        <v>43</v>
      </c>
      <c r="H103">
        <v>2023</v>
      </c>
      <c r="I103" t="s">
        <v>59</v>
      </c>
      <c r="L103" t="s">
        <v>99</v>
      </c>
      <c r="AG103">
        <f t="shared" si="1"/>
        <v>1</v>
      </c>
      <c r="AH103">
        <f>'TABLA PREVIOS'!E103</f>
        <v>230</v>
      </c>
      <c r="AI103">
        <f>VLOOKUP(C103,ALUMNOS!A:B,2,FALSE)</f>
        <v>75</v>
      </c>
    </row>
    <row r="104" spans="1:35" x14ac:dyDescent="0.25">
      <c r="A104" t="s">
        <v>143</v>
      </c>
      <c r="B104" t="s">
        <v>109</v>
      </c>
      <c r="C104">
        <v>49716986</v>
      </c>
      <c r="D104" t="s">
        <v>164</v>
      </c>
      <c r="E104" t="s">
        <v>12</v>
      </c>
      <c r="F104" t="s">
        <v>95</v>
      </c>
      <c r="G104" t="s">
        <v>43</v>
      </c>
      <c r="H104">
        <v>2023</v>
      </c>
      <c r="I104" t="s">
        <v>59</v>
      </c>
      <c r="L104" t="s">
        <v>99</v>
      </c>
      <c r="M104">
        <v>45405</v>
      </c>
      <c r="N104" t="s">
        <v>101</v>
      </c>
      <c r="O104">
        <v>68</v>
      </c>
      <c r="P104">
        <v>30</v>
      </c>
      <c r="Q104">
        <v>45474</v>
      </c>
      <c r="R104">
        <v>4</v>
      </c>
      <c r="S104">
        <v>68</v>
      </c>
      <c r="T104">
        <v>61</v>
      </c>
      <c r="AG104">
        <f t="shared" si="1"/>
        <v>1</v>
      </c>
      <c r="AH104">
        <f>'TABLA PREVIOS'!E104</f>
        <v>230</v>
      </c>
      <c r="AI104">
        <f>VLOOKUP(C104,ALUMNOS!A:B,2,FALSE)</f>
        <v>248</v>
      </c>
    </row>
    <row r="105" spans="1:35" x14ac:dyDescent="0.25">
      <c r="A105" t="s">
        <v>143</v>
      </c>
      <c r="B105" t="s">
        <v>109</v>
      </c>
      <c r="C105">
        <v>48538123</v>
      </c>
      <c r="D105" t="s">
        <v>165</v>
      </c>
      <c r="E105" t="s">
        <v>21</v>
      </c>
      <c r="F105" t="s">
        <v>95</v>
      </c>
      <c r="G105" t="s">
        <v>45</v>
      </c>
      <c r="H105">
        <v>2023</v>
      </c>
      <c r="I105" t="s">
        <v>59</v>
      </c>
      <c r="L105" t="s">
        <v>99</v>
      </c>
      <c r="AG105">
        <f t="shared" si="1"/>
        <v>1</v>
      </c>
      <c r="AH105">
        <f>'TABLA PREVIOS'!E105</f>
        <v>232</v>
      </c>
      <c r="AI105">
        <f>VLOOKUP(C105,ALUMNOS!A:B,2,FALSE)</f>
        <v>276</v>
      </c>
    </row>
    <row r="106" spans="1:35" x14ac:dyDescent="0.25">
      <c r="A106" t="s">
        <v>143</v>
      </c>
      <c r="B106" t="s">
        <v>109</v>
      </c>
      <c r="C106">
        <v>48538123</v>
      </c>
      <c r="D106" t="s">
        <v>165</v>
      </c>
      <c r="E106" t="s">
        <v>11</v>
      </c>
      <c r="F106" t="s">
        <v>95</v>
      </c>
      <c r="G106" t="s">
        <v>43</v>
      </c>
      <c r="H106">
        <v>2023</v>
      </c>
      <c r="I106" t="s">
        <v>59</v>
      </c>
      <c r="L106" t="s">
        <v>99</v>
      </c>
      <c r="AG106">
        <f t="shared" si="1"/>
        <v>1</v>
      </c>
      <c r="AH106">
        <f>'TABLA PREVIOS'!E106</f>
        <v>229</v>
      </c>
      <c r="AI106">
        <f>VLOOKUP(C106,ALUMNOS!A:B,2,FALSE)</f>
        <v>276</v>
      </c>
    </row>
    <row r="107" spans="1:35" x14ac:dyDescent="0.25">
      <c r="A107" t="s">
        <v>143</v>
      </c>
      <c r="B107" t="s">
        <v>109</v>
      </c>
      <c r="C107">
        <v>48538123</v>
      </c>
      <c r="D107" t="s">
        <v>165</v>
      </c>
      <c r="E107" t="s">
        <v>12</v>
      </c>
      <c r="F107" t="s">
        <v>95</v>
      </c>
      <c r="G107" t="s">
        <v>43</v>
      </c>
      <c r="H107">
        <v>2023</v>
      </c>
      <c r="I107" t="s">
        <v>59</v>
      </c>
      <c r="L107" t="s">
        <v>99</v>
      </c>
      <c r="AG107">
        <f t="shared" si="1"/>
        <v>1</v>
      </c>
      <c r="AH107">
        <f>'TABLA PREVIOS'!E107</f>
        <v>230</v>
      </c>
      <c r="AI107">
        <f>VLOOKUP(C107,ALUMNOS!A:B,2,FALSE)</f>
        <v>276</v>
      </c>
    </row>
    <row r="108" spans="1:35" x14ac:dyDescent="0.25">
      <c r="A108" t="s">
        <v>143</v>
      </c>
      <c r="B108" t="s">
        <v>109</v>
      </c>
      <c r="C108">
        <v>49455865</v>
      </c>
      <c r="D108" t="s">
        <v>166</v>
      </c>
      <c r="E108" t="s">
        <v>12</v>
      </c>
      <c r="F108" t="s">
        <v>95</v>
      </c>
      <c r="G108" t="s">
        <v>43</v>
      </c>
      <c r="H108">
        <v>2023</v>
      </c>
      <c r="I108" t="s">
        <v>59</v>
      </c>
      <c r="L108" t="s">
        <v>99</v>
      </c>
      <c r="AG108">
        <f t="shared" si="1"/>
        <v>1</v>
      </c>
      <c r="AH108">
        <f>'TABLA PREVIOS'!E108</f>
        <v>230</v>
      </c>
      <c r="AI108">
        <f>VLOOKUP(C108,ALUMNOS!A:B,2,FALSE)</f>
        <v>290</v>
      </c>
    </row>
    <row r="109" spans="1:35" x14ac:dyDescent="0.25">
      <c r="A109" t="s">
        <v>143</v>
      </c>
      <c r="B109" t="s">
        <v>109</v>
      </c>
      <c r="C109">
        <v>49324876</v>
      </c>
      <c r="D109" t="s">
        <v>167</v>
      </c>
      <c r="E109" t="s">
        <v>12</v>
      </c>
      <c r="F109" t="s">
        <v>98</v>
      </c>
      <c r="G109" t="s">
        <v>43</v>
      </c>
      <c r="H109">
        <v>2021</v>
      </c>
      <c r="I109" t="s">
        <v>59</v>
      </c>
      <c r="L109" t="s">
        <v>99</v>
      </c>
      <c r="M109">
        <v>45405</v>
      </c>
      <c r="N109" t="s">
        <v>50</v>
      </c>
      <c r="O109">
        <v>68</v>
      </c>
      <c r="P109">
        <v>29</v>
      </c>
      <c r="AG109">
        <f t="shared" si="1"/>
        <v>1</v>
      </c>
      <c r="AH109">
        <f>'TABLA PREVIOS'!E109</f>
        <v>220</v>
      </c>
      <c r="AI109">
        <f>VLOOKUP(C109,ALUMNOS!A:B,2,FALSE)</f>
        <v>339</v>
      </c>
    </row>
    <row r="110" spans="1:35" x14ac:dyDescent="0.25">
      <c r="A110" t="s">
        <v>143</v>
      </c>
      <c r="B110" t="s">
        <v>109</v>
      </c>
      <c r="C110">
        <v>49324876</v>
      </c>
      <c r="D110" t="s">
        <v>167</v>
      </c>
      <c r="E110" t="s">
        <v>22</v>
      </c>
      <c r="F110" t="s">
        <v>95</v>
      </c>
      <c r="G110" t="s">
        <v>45</v>
      </c>
      <c r="H110">
        <v>2022</v>
      </c>
      <c r="I110" t="s">
        <v>59</v>
      </c>
      <c r="L110" t="s">
        <v>99</v>
      </c>
      <c r="AG110">
        <f t="shared" si="1"/>
        <v>1</v>
      </c>
      <c r="AH110">
        <f>'TABLA PREVIOS'!E110</f>
        <v>233</v>
      </c>
      <c r="AI110">
        <f>VLOOKUP(C110,ALUMNOS!A:B,2,FALSE)</f>
        <v>339</v>
      </c>
    </row>
    <row r="111" spans="1:35" x14ac:dyDescent="0.25">
      <c r="A111" t="s">
        <v>143</v>
      </c>
      <c r="B111" t="s">
        <v>109</v>
      </c>
      <c r="C111">
        <v>49324876</v>
      </c>
      <c r="D111" t="s">
        <v>167</v>
      </c>
      <c r="E111" t="s">
        <v>12</v>
      </c>
      <c r="F111" t="s">
        <v>95</v>
      </c>
      <c r="G111" t="s">
        <v>43</v>
      </c>
      <c r="H111">
        <v>2022</v>
      </c>
      <c r="I111" t="s">
        <v>59</v>
      </c>
      <c r="L111" t="s">
        <v>107</v>
      </c>
      <c r="M111">
        <v>45405</v>
      </c>
      <c r="N111" t="s">
        <v>50</v>
      </c>
      <c r="O111">
        <v>68</v>
      </c>
      <c r="P111">
        <v>30</v>
      </c>
      <c r="Q111">
        <v>45474</v>
      </c>
      <c r="R111">
        <v>7</v>
      </c>
      <c r="S111">
        <v>68</v>
      </c>
      <c r="T111">
        <v>61</v>
      </c>
      <c r="AG111">
        <f t="shared" si="1"/>
        <v>7</v>
      </c>
      <c r="AH111">
        <f>'TABLA PREVIOS'!E111</f>
        <v>230</v>
      </c>
      <c r="AI111">
        <f>VLOOKUP(C111,ALUMNOS!A:B,2,FALSE)</f>
        <v>339</v>
      </c>
    </row>
    <row r="112" spans="1:35" x14ac:dyDescent="0.25">
      <c r="A112" t="s">
        <v>143</v>
      </c>
      <c r="B112" t="s">
        <v>109</v>
      </c>
      <c r="C112">
        <v>48592905</v>
      </c>
      <c r="D112" t="s">
        <v>168</v>
      </c>
      <c r="E112" t="s">
        <v>22</v>
      </c>
      <c r="F112" t="s">
        <v>95</v>
      </c>
      <c r="G112" t="s">
        <v>43</v>
      </c>
      <c r="H112">
        <v>2022</v>
      </c>
      <c r="I112" t="s">
        <v>59</v>
      </c>
      <c r="J112" t="s">
        <v>111</v>
      </c>
      <c r="L112" t="s">
        <v>99</v>
      </c>
      <c r="AG112">
        <f t="shared" si="1"/>
        <v>1</v>
      </c>
      <c r="AH112">
        <f>'TABLA PREVIOS'!E112</f>
        <v>233</v>
      </c>
      <c r="AI112">
        <f>VLOOKUP(C112,ALUMNOS!A:B,2,FALSE)</f>
        <v>520</v>
      </c>
    </row>
    <row r="113" spans="1:35" x14ac:dyDescent="0.25">
      <c r="A113" t="s">
        <v>143</v>
      </c>
      <c r="B113" t="s">
        <v>109</v>
      </c>
      <c r="C113">
        <v>48592905</v>
      </c>
      <c r="D113" t="s">
        <v>168</v>
      </c>
      <c r="E113" t="s">
        <v>16</v>
      </c>
      <c r="F113" t="s">
        <v>95</v>
      </c>
      <c r="G113" t="s">
        <v>45</v>
      </c>
      <c r="H113">
        <v>2022</v>
      </c>
      <c r="I113" t="s">
        <v>59</v>
      </c>
      <c r="L113" t="s">
        <v>99</v>
      </c>
      <c r="AG113">
        <f t="shared" si="1"/>
        <v>1</v>
      </c>
      <c r="AH113">
        <f>'TABLA PREVIOS'!E113</f>
        <v>234</v>
      </c>
      <c r="AI113">
        <f>VLOOKUP(C113,ALUMNOS!A:B,2,FALSE)</f>
        <v>520</v>
      </c>
    </row>
    <row r="114" spans="1:35" x14ac:dyDescent="0.25">
      <c r="A114" t="s">
        <v>143</v>
      </c>
      <c r="B114" t="s">
        <v>109</v>
      </c>
      <c r="C114">
        <v>48592905</v>
      </c>
      <c r="D114" t="s">
        <v>168</v>
      </c>
      <c r="E114" t="s">
        <v>12</v>
      </c>
      <c r="F114" t="s">
        <v>95</v>
      </c>
      <c r="G114" t="s">
        <v>43</v>
      </c>
      <c r="H114">
        <v>2022</v>
      </c>
      <c r="I114" t="s">
        <v>59</v>
      </c>
      <c r="L114" t="s">
        <v>99</v>
      </c>
      <c r="Q114">
        <v>45474</v>
      </c>
      <c r="R114" t="s">
        <v>50</v>
      </c>
      <c r="S114">
        <v>68</v>
      </c>
      <c r="T114">
        <v>61</v>
      </c>
      <c r="AG114">
        <f t="shared" si="1"/>
        <v>1</v>
      </c>
      <c r="AH114">
        <f>'TABLA PREVIOS'!E114</f>
        <v>230</v>
      </c>
      <c r="AI114">
        <f>VLOOKUP(C114,ALUMNOS!A:B,2,FALSE)</f>
        <v>520</v>
      </c>
    </row>
    <row r="115" spans="1:35" x14ac:dyDescent="0.25">
      <c r="A115" t="s">
        <v>143</v>
      </c>
      <c r="B115" t="s">
        <v>109</v>
      </c>
      <c r="C115">
        <v>49455809</v>
      </c>
      <c r="D115" t="s">
        <v>169</v>
      </c>
      <c r="E115" t="s">
        <v>22</v>
      </c>
      <c r="F115" t="s">
        <v>95</v>
      </c>
      <c r="G115" t="s">
        <v>43</v>
      </c>
      <c r="H115">
        <v>2022</v>
      </c>
      <c r="I115" t="s">
        <v>59</v>
      </c>
      <c r="J115" t="s">
        <v>111</v>
      </c>
      <c r="L115" t="s">
        <v>99</v>
      </c>
      <c r="AG115">
        <f t="shared" si="1"/>
        <v>1</v>
      </c>
      <c r="AH115">
        <f>'TABLA PREVIOS'!E115</f>
        <v>233</v>
      </c>
      <c r="AI115">
        <f>VLOOKUP(C115,ALUMNOS!A:B,2,FALSE)</f>
        <v>534</v>
      </c>
    </row>
    <row r="116" spans="1:35" x14ac:dyDescent="0.25">
      <c r="A116" t="s">
        <v>143</v>
      </c>
      <c r="B116" t="s">
        <v>109</v>
      </c>
      <c r="C116">
        <v>49455809</v>
      </c>
      <c r="D116" t="s">
        <v>169</v>
      </c>
      <c r="E116" t="s">
        <v>16</v>
      </c>
      <c r="F116" t="s">
        <v>95</v>
      </c>
      <c r="G116" t="s">
        <v>45</v>
      </c>
      <c r="H116">
        <v>2022</v>
      </c>
      <c r="I116" t="s">
        <v>59</v>
      </c>
      <c r="L116" t="s">
        <v>99</v>
      </c>
      <c r="AG116">
        <f t="shared" si="1"/>
        <v>1</v>
      </c>
      <c r="AH116">
        <f>'TABLA PREVIOS'!E116</f>
        <v>234</v>
      </c>
      <c r="AI116">
        <f>VLOOKUP(C116,ALUMNOS!A:B,2,FALSE)</f>
        <v>534</v>
      </c>
    </row>
    <row r="117" spans="1:35" x14ac:dyDescent="0.25">
      <c r="A117" t="s">
        <v>143</v>
      </c>
      <c r="B117" t="s">
        <v>109</v>
      </c>
      <c r="C117">
        <v>49455809</v>
      </c>
      <c r="D117" t="s">
        <v>169</v>
      </c>
      <c r="E117" t="s">
        <v>12</v>
      </c>
      <c r="F117" t="s">
        <v>95</v>
      </c>
      <c r="G117" t="s">
        <v>43</v>
      </c>
      <c r="H117">
        <v>2022</v>
      </c>
      <c r="I117" t="s">
        <v>59</v>
      </c>
      <c r="L117" t="s">
        <v>99</v>
      </c>
      <c r="Q117">
        <v>45474</v>
      </c>
      <c r="R117" t="s">
        <v>50</v>
      </c>
      <c r="S117">
        <v>68</v>
      </c>
      <c r="T117">
        <v>61</v>
      </c>
      <c r="AG117">
        <f t="shared" si="1"/>
        <v>1</v>
      </c>
      <c r="AH117">
        <f>'TABLA PREVIOS'!E117</f>
        <v>230</v>
      </c>
      <c r="AI117">
        <f>VLOOKUP(C117,ALUMNOS!A:B,2,FALSE)</f>
        <v>534</v>
      </c>
    </row>
    <row r="118" spans="1:35" x14ac:dyDescent="0.25">
      <c r="A118" t="s">
        <v>143</v>
      </c>
      <c r="B118" t="s">
        <v>109</v>
      </c>
      <c r="C118">
        <v>50033525</v>
      </c>
      <c r="D118" t="s">
        <v>170</v>
      </c>
      <c r="E118" t="s">
        <v>23</v>
      </c>
      <c r="F118" t="s">
        <v>95</v>
      </c>
      <c r="G118" t="s">
        <v>43</v>
      </c>
      <c r="H118">
        <v>2023</v>
      </c>
      <c r="I118" t="s">
        <v>59</v>
      </c>
      <c r="L118" t="s">
        <v>99</v>
      </c>
      <c r="M118">
        <v>45399</v>
      </c>
      <c r="N118" t="s">
        <v>50</v>
      </c>
      <c r="O118">
        <v>68</v>
      </c>
      <c r="P118">
        <v>20</v>
      </c>
      <c r="AG118">
        <f t="shared" si="1"/>
        <v>1</v>
      </c>
      <c r="AH118">
        <f>'TABLA PREVIOS'!E118</f>
        <v>235</v>
      </c>
      <c r="AI118">
        <f>VLOOKUP(C118,ALUMNOS!A:B,2,FALSE)</f>
        <v>796</v>
      </c>
    </row>
    <row r="119" spans="1:35" x14ac:dyDescent="0.25">
      <c r="A119" t="s">
        <v>143</v>
      </c>
      <c r="B119" t="s">
        <v>109</v>
      </c>
      <c r="C119">
        <v>50033525</v>
      </c>
      <c r="D119" t="s">
        <v>170</v>
      </c>
      <c r="E119" t="s">
        <v>12</v>
      </c>
      <c r="F119" t="s">
        <v>95</v>
      </c>
      <c r="G119" t="s">
        <v>43</v>
      </c>
      <c r="H119">
        <v>2023</v>
      </c>
      <c r="I119" t="s">
        <v>59</v>
      </c>
      <c r="L119" t="s">
        <v>99</v>
      </c>
      <c r="AG119">
        <f t="shared" si="1"/>
        <v>1</v>
      </c>
      <c r="AH119">
        <f>'TABLA PREVIOS'!E119</f>
        <v>230</v>
      </c>
      <c r="AI119">
        <f>VLOOKUP(C119,ALUMNOS!A:B,2,FALSE)</f>
        <v>796</v>
      </c>
    </row>
    <row r="120" spans="1:35" x14ac:dyDescent="0.25">
      <c r="A120" t="s">
        <v>143</v>
      </c>
      <c r="B120" t="s">
        <v>109</v>
      </c>
      <c r="C120">
        <v>47989208</v>
      </c>
      <c r="D120" t="s">
        <v>171</v>
      </c>
      <c r="E120" t="s">
        <v>13</v>
      </c>
      <c r="F120" t="s">
        <v>98</v>
      </c>
      <c r="G120" t="s">
        <v>43</v>
      </c>
      <c r="H120">
        <v>2020</v>
      </c>
      <c r="I120" t="s">
        <v>59</v>
      </c>
      <c r="J120" t="s">
        <v>105</v>
      </c>
      <c r="L120" t="s">
        <v>99</v>
      </c>
      <c r="AG120">
        <f t="shared" si="1"/>
        <v>1</v>
      </c>
      <c r="AH120">
        <f>'TABLA PREVIOS'!E120</f>
        <v>221</v>
      </c>
      <c r="AI120">
        <f>VLOOKUP(C120,ALUMNOS!A:B,2,FALSE)</f>
        <v>630</v>
      </c>
    </row>
    <row r="121" spans="1:35" x14ac:dyDescent="0.25">
      <c r="A121" t="s">
        <v>143</v>
      </c>
      <c r="B121" t="s">
        <v>109</v>
      </c>
      <c r="C121">
        <v>47989208</v>
      </c>
      <c r="D121" t="s">
        <v>171</v>
      </c>
      <c r="E121" t="s">
        <v>12</v>
      </c>
      <c r="F121" t="s">
        <v>98</v>
      </c>
      <c r="G121" t="s">
        <v>43</v>
      </c>
      <c r="H121">
        <v>2020</v>
      </c>
      <c r="I121" t="s">
        <v>59</v>
      </c>
      <c r="L121" t="s">
        <v>99</v>
      </c>
      <c r="AG121">
        <f t="shared" si="1"/>
        <v>1</v>
      </c>
      <c r="AH121">
        <f>'TABLA PREVIOS'!E121</f>
        <v>220</v>
      </c>
      <c r="AI121">
        <f>VLOOKUP(C121,ALUMNOS!A:B,2,FALSE)</f>
        <v>630</v>
      </c>
    </row>
    <row r="122" spans="1:35" x14ac:dyDescent="0.25">
      <c r="A122" t="s">
        <v>143</v>
      </c>
      <c r="B122" t="s">
        <v>109</v>
      </c>
      <c r="C122">
        <v>47989208</v>
      </c>
      <c r="D122" t="s">
        <v>171</v>
      </c>
      <c r="E122" t="s">
        <v>12</v>
      </c>
      <c r="F122" t="s">
        <v>95</v>
      </c>
      <c r="G122" t="s">
        <v>43</v>
      </c>
      <c r="H122">
        <v>2021</v>
      </c>
      <c r="I122" t="s">
        <v>59</v>
      </c>
      <c r="K122" t="s">
        <v>172</v>
      </c>
      <c r="L122" t="s">
        <v>99</v>
      </c>
      <c r="AG122">
        <f t="shared" si="1"/>
        <v>1</v>
      </c>
      <c r="AH122">
        <f>'TABLA PREVIOS'!E122</f>
        <v>230</v>
      </c>
      <c r="AI122">
        <f>VLOOKUP(C122,ALUMNOS!A:B,2,FALSE)</f>
        <v>630</v>
      </c>
    </row>
    <row r="123" spans="1:35" x14ac:dyDescent="0.25">
      <c r="A123" t="s">
        <v>143</v>
      </c>
      <c r="B123" t="s">
        <v>109</v>
      </c>
      <c r="C123">
        <v>49323628</v>
      </c>
      <c r="D123" t="s">
        <v>173</v>
      </c>
      <c r="E123" t="s">
        <v>11</v>
      </c>
      <c r="F123" t="s">
        <v>95</v>
      </c>
      <c r="G123" t="s">
        <v>43</v>
      </c>
      <c r="H123">
        <v>2023</v>
      </c>
      <c r="I123" t="s">
        <v>59</v>
      </c>
      <c r="L123" t="s">
        <v>99</v>
      </c>
      <c r="AG123">
        <f t="shared" si="1"/>
        <v>1</v>
      </c>
      <c r="AH123">
        <f>'TABLA PREVIOS'!E123</f>
        <v>229</v>
      </c>
      <c r="AI123">
        <f>VLOOKUP(C123,ALUMNOS!A:B,2,FALSE)</f>
        <v>668</v>
      </c>
    </row>
    <row r="124" spans="1:35" x14ac:dyDescent="0.25">
      <c r="A124" t="s">
        <v>143</v>
      </c>
      <c r="B124" t="s">
        <v>109</v>
      </c>
      <c r="C124">
        <v>49323628</v>
      </c>
      <c r="D124" t="s">
        <v>173</v>
      </c>
      <c r="E124" t="s">
        <v>12</v>
      </c>
      <c r="F124" t="s">
        <v>95</v>
      </c>
      <c r="G124" t="s">
        <v>43</v>
      </c>
      <c r="H124">
        <v>2023</v>
      </c>
      <c r="I124" t="s">
        <v>59</v>
      </c>
      <c r="L124" t="s">
        <v>99</v>
      </c>
      <c r="AG124">
        <f t="shared" si="1"/>
        <v>1</v>
      </c>
      <c r="AH124">
        <f>'TABLA PREVIOS'!E124</f>
        <v>230</v>
      </c>
      <c r="AI124">
        <f>VLOOKUP(C124,ALUMNOS!A:B,2,FALSE)</f>
        <v>668</v>
      </c>
    </row>
    <row r="125" spans="1:35" x14ac:dyDescent="0.25">
      <c r="A125" t="s">
        <v>143</v>
      </c>
      <c r="B125" t="s">
        <v>109</v>
      </c>
      <c r="C125">
        <v>49766174</v>
      </c>
      <c r="D125" t="s">
        <v>174</v>
      </c>
      <c r="E125" t="s">
        <v>12</v>
      </c>
      <c r="F125" t="s">
        <v>98</v>
      </c>
      <c r="G125" t="s">
        <v>43</v>
      </c>
      <c r="H125">
        <v>2022</v>
      </c>
      <c r="I125" t="s">
        <v>59</v>
      </c>
      <c r="L125" t="s">
        <v>99</v>
      </c>
      <c r="M125">
        <v>45405</v>
      </c>
      <c r="N125" t="s">
        <v>101</v>
      </c>
      <c r="O125">
        <v>68</v>
      </c>
      <c r="P125">
        <v>29</v>
      </c>
      <c r="AG125">
        <f t="shared" si="1"/>
        <v>1</v>
      </c>
      <c r="AH125">
        <f>'TABLA PREVIOS'!E125</f>
        <v>220</v>
      </c>
      <c r="AI125">
        <f>VLOOKUP(C125,ALUMNOS!A:B,2,FALSE)</f>
        <v>665</v>
      </c>
    </row>
    <row r="126" spans="1:35" x14ac:dyDescent="0.25">
      <c r="A126" t="s">
        <v>143</v>
      </c>
      <c r="B126" t="s">
        <v>109</v>
      </c>
      <c r="C126">
        <v>49766174</v>
      </c>
      <c r="D126" t="s">
        <v>174</v>
      </c>
      <c r="E126" t="s">
        <v>11</v>
      </c>
      <c r="F126" t="s">
        <v>95</v>
      </c>
      <c r="G126" t="s">
        <v>45</v>
      </c>
      <c r="H126">
        <v>2023</v>
      </c>
      <c r="I126" t="s">
        <v>59</v>
      </c>
      <c r="L126" t="s">
        <v>99</v>
      </c>
      <c r="AG126">
        <f t="shared" si="1"/>
        <v>1</v>
      </c>
      <c r="AH126">
        <f>'TABLA PREVIOS'!E126</f>
        <v>229</v>
      </c>
      <c r="AI126">
        <f>VLOOKUP(C126,ALUMNOS!A:B,2,FALSE)</f>
        <v>665</v>
      </c>
    </row>
    <row r="127" spans="1:35" x14ac:dyDescent="0.25">
      <c r="A127" t="s">
        <v>143</v>
      </c>
      <c r="B127" t="s">
        <v>109</v>
      </c>
      <c r="C127">
        <v>49766174</v>
      </c>
      <c r="D127" t="s">
        <v>174</v>
      </c>
      <c r="E127" t="s">
        <v>12</v>
      </c>
      <c r="F127" t="s">
        <v>95</v>
      </c>
      <c r="G127" t="s">
        <v>43</v>
      </c>
      <c r="H127">
        <v>2023</v>
      </c>
      <c r="I127" t="s">
        <v>59</v>
      </c>
      <c r="L127" t="s">
        <v>99</v>
      </c>
      <c r="M127">
        <v>45405</v>
      </c>
      <c r="N127" t="s">
        <v>101</v>
      </c>
      <c r="O127">
        <v>68</v>
      </c>
      <c r="P127">
        <v>30</v>
      </c>
      <c r="AG127">
        <f t="shared" si="1"/>
        <v>1</v>
      </c>
      <c r="AH127">
        <f>'TABLA PREVIOS'!E127</f>
        <v>230</v>
      </c>
      <c r="AI127">
        <f>VLOOKUP(C127,ALUMNOS!A:B,2,FALSE)</f>
        <v>665</v>
      </c>
    </row>
    <row r="128" spans="1:35" x14ac:dyDescent="0.25">
      <c r="A128" t="s">
        <v>143</v>
      </c>
      <c r="B128" t="s">
        <v>109</v>
      </c>
      <c r="C128">
        <v>47665564</v>
      </c>
      <c r="D128" t="s">
        <v>175</v>
      </c>
      <c r="E128" t="s">
        <v>17</v>
      </c>
      <c r="F128" t="s">
        <v>98</v>
      </c>
      <c r="G128" t="s">
        <v>43</v>
      </c>
      <c r="H128">
        <v>2020</v>
      </c>
      <c r="I128" t="s">
        <v>59</v>
      </c>
      <c r="J128" t="s">
        <v>176</v>
      </c>
      <c r="L128" t="s">
        <v>99</v>
      </c>
      <c r="M128">
        <v>45399</v>
      </c>
      <c r="N128" t="s">
        <v>50</v>
      </c>
      <c r="O128">
        <v>68</v>
      </c>
      <c r="P128">
        <v>19</v>
      </c>
      <c r="AG128">
        <f t="shared" si="1"/>
        <v>1</v>
      </c>
      <c r="AH128">
        <f>'TABLA PREVIOS'!E128</f>
        <v>225</v>
      </c>
      <c r="AI128">
        <f>VLOOKUP(C128,ALUMNOS!A:B,2,FALSE)</f>
        <v>736</v>
      </c>
    </row>
    <row r="129" spans="1:35" x14ac:dyDescent="0.25">
      <c r="A129" t="s">
        <v>143</v>
      </c>
      <c r="B129" t="s">
        <v>109</v>
      </c>
      <c r="C129">
        <v>47665564</v>
      </c>
      <c r="D129" t="s">
        <v>175</v>
      </c>
      <c r="E129" t="s">
        <v>16</v>
      </c>
      <c r="F129" t="s">
        <v>95</v>
      </c>
      <c r="G129" t="s">
        <v>43</v>
      </c>
      <c r="H129">
        <v>2021</v>
      </c>
      <c r="I129" t="s">
        <v>59</v>
      </c>
      <c r="J129" t="s">
        <v>176</v>
      </c>
      <c r="L129" t="s">
        <v>99</v>
      </c>
      <c r="Q129">
        <v>45475</v>
      </c>
      <c r="R129" t="s">
        <v>50</v>
      </c>
      <c r="S129">
        <v>68</v>
      </c>
      <c r="T129">
        <v>70</v>
      </c>
      <c r="AG129">
        <f t="shared" si="1"/>
        <v>1</v>
      </c>
      <c r="AH129">
        <f>'TABLA PREVIOS'!E129</f>
        <v>234</v>
      </c>
      <c r="AI129">
        <f>VLOOKUP(C129,ALUMNOS!A:B,2,FALSE)</f>
        <v>736</v>
      </c>
    </row>
    <row r="130" spans="1:35" x14ac:dyDescent="0.25">
      <c r="A130" t="s">
        <v>143</v>
      </c>
      <c r="B130" t="s">
        <v>109</v>
      </c>
      <c r="C130">
        <v>47352900</v>
      </c>
      <c r="D130" t="s">
        <v>177</v>
      </c>
      <c r="E130" t="s">
        <v>12</v>
      </c>
      <c r="F130" t="s">
        <v>98</v>
      </c>
      <c r="G130" t="s">
        <v>43</v>
      </c>
      <c r="H130">
        <v>2020</v>
      </c>
      <c r="I130" t="s">
        <v>59</v>
      </c>
      <c r="J130" t="s">
        <v>176</v>
      </c>
      <c r="L130" t="s">
        <v>99</v>
      </c>
      <c r="AG130">
        <f t="shared" si="1"/>
        <v>1</v>
      </c>
      <c r="AH130">
        <f>'TABLA PREVIOS'!E130</f>
        <v>220</v>
      </c>
      <c r="AI130">
        <f>VLOOKUP(C130,ALUMNOS!A:B,2,FALSE)</f>
        <v>742</v>
      </c>
    </row>
    <row r="131" spans="1:35" x14ac:dyDescent="0.25">
      <c r="A131" t="s">
        <v>143</v>
      </c>
      <c r="B131" t="s">
        <v>109</v>
      </c>
      <c r="C131">
        <v>47352900</v>
      </c>
      <c r="D131" t="s">
        <v>177</v>
      </c>
      <c r="E131" t="s">
        <v>16</v>
      </c>
      <c r="F131" t="s">
        <v>95</v>
      </c>
      <c r="G131" t="s">
        <v>43</v>
      </c>
      <c r="H131">
        <v>2021</v>
      </c>
      <c r="I131" t="s">
        <v>59</v>
      </c>
      <c r="J131" t="s">
        <v>176</v>
      </c>
      <c r="L131" t="s">
        <v>99</v>
      </c>
      <c r="AG131">
        <f t="shared" ref="AG131:AG194" si="2">IF(VALUE(MAX(N131,R131,V131,Z131,AC131,))&gt;=7,VALUE(MAX(N131,R131,V131,Z131,AC131,)),1)</f>
        <v>1</v>
      </c>
      <c r="AH131">
        <f>'TABLA PREVIOS'!E131</f>
        <v>234</v>
      </c>
      <c r="AI131">
        <f>VLOOKUP(C131,ALUMNOS!A:B,2,FALSE)</f>
        <v>742</v>
      </c>
    </row>
    <row r="132" spans="1:35" x14ac:dyDescent="0.25">
      <c r="A132" t="s">
        <v>143</v>
      </c>
      <c r="B132" t="s">
        <v>128</v>
      </c>
      <c r="C132">
        <v>49455812</v>
      </c>
      <c r="D132" t="s">
        <v>178</v>
      </c>
      <c r="E132" t="s">
        <v>12</v>
      </c>
      <c r="F132" t="s">
        <v>98</v>
      </c>
      <c r="G132" t="s">
        <v>43</v>
      </c>
      <c r="H132">
        <v>2021</v>
      </c>
      <c r="I132" t="s">
        <v>59</v>
      </c>
      <c r="L132" t="s">
        <v>99</v>
      </c>
      <c r="AG132">
        <f t="shared" si="2"/>
        <v>1</v>
      </c>
      <c r="AH132">
        <f>'TABLA PREVIOS'!E132</f>
        <v>220</v>
      </c>
      <c r="AI132">
        <f>VLOOKUP(C132,ALUMNOS!A:B,2,FALSE)</f>
        <v>5</v>
      </c>
    </row>
    <row r="133" spans="1:35" x14ac:dyDescent="0.25">
      <c r="A133" t="s">
        <v>143</v>
      </c>
      <c r="B133" t="s">
        <v>128</v>
      </c>
      <c r="C133">
        <v>49455812</v>
      </c>
      <c r="D133" t="s">
        <v>178</v>
      </c>
      <c r="E133" t="s">
        <v>12</v>
      </c>
      <c r="F133" t="s">
        <v>95</v>
      </c>
      <c r="G133" t="s">
        <v>43</v>
      </c>
      <c r="H133">
        <v>2023</v>
      </c>
      <c r="I133" t="s">
        <v>59</v>
      </c>
      <c r="L133" t="s">
        <v>99</v>
      </c>
      <c r="AG133">
        <f t="shared" si="2"/>
        <v>1</v>
      </c>
      <c r="AH133">
        <f>'TABLA PREVIOS'!E133</f>
        <v>230</v>
      </c>
      <c r="AI133">
        <f>VLOOKUP(C133,ALUMNOS!A:B,2,FALSE)</f>
        <v>5</v>
      </c>
    </row>
    <row r="134" spans="1:35" x14ac:dyDescent="0.25">
      <c r="A134" t="s">
        <v>143</v>
      </c>
      <c r="B134" t="s">
        <v>128</v>
      </c>
      <c r="C134">
        <v>49716956</v>
      </c>
      <c r="D134" t="s">
        <v>179</v>
      </c>
      <c r="E134" t="s">
        <v>11</v>
      </c>
      <c r="F134" t="s">
        <v>95</v>
      </c>
      <c r="G134" t="s">
        <v>43</v>
      </c>
      <c r="H134">
        <v>2023</v>
      </c>
      <c r="I134" t="s">
        <v>59</v>
      </c>
      <c r="L134" t="s">
        <v>99</v>
      </c>
      <c r="Q134">
        <v>45475</v>
      </c>
      <c r="R134">
        <v>2</v>
      </c>
      <c r="S134">
        <v>68</v>
      </c>
      <c r="T134">
        <v>74</v>
      </c>
      <c r="AG134">
        <f t="shared" si="2"/>
        <v>1</v>
      </c>
      <c r="AH134">
        <f>'TABLA PREVIOS'!E134</f>
        <v>229</v>
      </c>
      <c r="AI134">
        <f>VLOOKUP(C134,ALUMNOS!A:B,2,FALSE)</f>
        <v>97</v>
      </c>
    </row>
    <row r="135" spans="1:35" x14ac:dyDescent="0.25">
      <c r="A135" t="s">
        <v>143</v>
      </c>
      <c r="B135" t="s">
        <v>128</v>
      </c>
      <c r="C135">
        <v>49716956</v>
      </c>
      <c r="D135" t="s">
        <v>179</v>
      </c>
      <c r="E135" t="s">
        <v>12</v>
      </c>
      <c r="F135" t="s">
        <v>95</v>
      </c>
      <c r="G135" t="s">
        <v>43</v>
      </c>
      <c r="H135">
        <v>2023</v>
      </c>
      <c r="I135" t="s">
        <v>59</v>
      </c>
      <c r="L135" t="s">
        <v>107</v>
      </c>
      <c r="Q135">
        <v>45474</v>
      </c>
      <c r="R135">
        <v>7</v>
      </c>
      <c r="S135">
        <v>68</v>
      </c>
      <c r="T135">
        <v>61</v>
      </c>
      <c r="AG135">
        <f t="shared" si="2"/>
        <v>7</v>
      </c>
      <c r="AH135">
        <f>'TABLA PREVIOS'!E135</f>
        <v>230</v>
      </c>
      <c r="AI135">
        <f>VLOOKUP(C135,ALUMNOS!A:B,2,FALSE)</f>
        <v>97</v>
      </c>
    </row>
    <row r="136" spans="1:35" x14ac:dyDescent="0.25">
      <c r="A136" t="s">
        <v>143</v>
      </c>
      <c r="B136" t="s">
        <v>128</v>
      </c>
      <c r="C136">
        <v>48754197</v>
      </c>
      <c r="D136" t="s">
        <v>180</v>
      </c>
      <c r="E136" t="s">
        <v>16</v>
      </c>
      <c r="F136" t="s">
        <v>95</v>
      </c>
      <c r="G136" t="s">
        <v>43</v>
      </c>
      <c r="H136">
        <v>2021</v>
      </c>
      <c r="I136" t="s">
        <v>59</v>
      </c>
      <c r="J136" t="s">
        <v>181</v>
      </c>
      <c r="L136" t="s">
        <v>99</v>
      </c>
      <c r="AG136">
        <f t="shared" si="2"/>
        <v>1</v>
      </c>
      <c r="AH136">
        <f>'TABLA PREVIOS'!E136</f>
        <v>234</v>
      </c>
      <c r="AI136">
        <f>VLOOKUP(C136,ALUMNOS!A:B,2,FALSE)</f>
        <v>227</v>
      </c>
    </row>
    <row r="137" spans="1:35" x14ac:dyDescent="0.25">
      <c r="A137" t="s">
        <v>143</v>
      </c>
      <c r="B137" t="s">
        <v>128</v>
      </c>
      <c r="C137">
        <v>48754197</v>
      </c>
      <c r="D137" t="s">
        <v>180</v>
      </c>
      <c r="E137" t="s">
        <v>12</v>
      </c>
      <c r="F137" t="s">
        <v>95</v>
      </c>
      <c r="G137" t="s">
        <v>43</v>
      </c>
      <c r="H137">
        <v>2021</v>
      </c>
      <c r="I137" t="s">
        <v>59</v>
      </c>
      <c r="L137" t="s">
        <v>99</v>
      </c>
      <c r="AG137">
        <f t="shared" si="2"/>
        <v>1</v>
      </c>
      <c r="AH137">
        <f>'TABLA PREVIOS'!E137</f>
        <v>230</v>
      </c>
      <c r="AI137">
        <f>VLOOKUP(C137,ALUMNOS!A:B,2,FALSE)</f>
        <v>227</v>
      </c>
    </row>
    <row r="138" spans="1:35" x14ac:dyDescent="0.25">
      <c r="A138" t="s">
        <v>143</v>
      </c>
      <c r="B138" t="s">
        <v>128</v>
      </c>
      <c r="C138">
        <v>48755117</v>
      </c>
      <c r="D138" t="s">
        <v>182</v>
      </c>
      <c r="E138" t="s">
        <v>11</v>
      </c>
      <c r="F138" t="s">
        <v>95</v>
      </c>
      <c r="G138" t="s">
        <v>43</v>
      </c>
      <c r="H138">
        <v>2023</v>
      </c>
      <c r="I138" t="s">
        <v>59</v>
      </c>
      <c r="L138" t="s">
        <v>99</v>
      </c>
      <c r="AG138">
        <f t="shared" si="2"/>
        <v>1</v>
      </c>
      <c r="AH138">
        <f>'TABLA PREVIOS'!E138</f>
        <v>229</v>
      </c>
      <c r="AI138">
        <f>VLOOKUP(C138,ALUMNOS!A:B,2,FALSE)</f>
        <v>356</v>
      </c>
    </row>
    <row r="139" spans="1:35" x14ac:dyDescent="0.25">
      <c r="A139" t="s">
        <v>143</v>
      </c>
      <c r="B139" t="s">
        <v>128</v>
      </c>
      <c r="C139">
        <v>48755117</v>
      </c>
      <c r="D139" t="s">
        <v>182</v>
      </c>
      <c r="E139" t="s">
        <v>12</v>
      </c>
      <c r="F139" t="s">
        <v>95</v>
      </c>
      <c r="G139" t="s">
        <v>43</v>
      </c>
      <c r="H139">
        <v>2023</v>
      </c>
      <c r="I139" t="s">
        <v>59</v>
      </c>
      <c r="L139" t="s">
        <v>99</v>
      </c>
      <c r="AG139">
        <f t="shared" si="2"/>
        <v>1</v>
      </c>
      <c r="AH139">
        <f>'TABLA PREVIOS'!E139</f>
        <v>230</v>
      </c>
      <c r="AI139">
        <f>VLOOKUP(C139,ALUMNOS!A:B,2,FALSE)</f>
        <v>356</v>
      </c>
    </row>
    <row r="140" spans="1:35" x14ac:dyDescent="0.25">
      <c r="A140" t="s">
        <v>143</v>
      </c>
      <c r="B140" t="s">
        <v>128</v>
      </c>
      <c r="C140">
        <v>48537999</v>
      </c>
      <c r="D140" t="s">
        <v>183</v>
      </c>
      <c r="E140" t="s">
        <v>12</v>
      </c>
      <c r="F140" t="s">
        <v>98</v>
      </c>
      <c r="G140" t="s">
        <v>43</v>
      </c>
      <c r="H140">
        <v>2021</v>
      </c>
      <c r="I140" t="s">
        <v>59</v>
      </c>
      <c r="L140" t="s">
        <v>99</v>
      </c>
      <c r="AG140">
        <f t="shared" si="2"/>
        <v>1</v>
      </c>
      <c r="AH140">
        <f>'TABLA PREVIOS'!E140</f>
        <v>220</v>
      </c>
      <c r="AI140">
        <f>VLOOKUP(C140,ALUMNOS!A:B,2,FALSE)</f>
        <v>391</v>
      </c>
    </row>
    <row r="141" spans="1:35" x14ac:dyDescent="0.25">
      <c r="A141" t="s">
        <v>143</v>
      </c>
      <c r="B141" t="s">
        <v>128</v>
      </c>
      <c r="C141">
        <v>48537999</v>
      </c>
      <c r="D141" t="s">
        <v>183</v>
      </c>
      <c r="E141" t="s">
        <v>11</v>
      </c>
      <c r="F141" t="s">
        <v>95</v>
      </c>
      <c r="G141" t="s">
        <v>43</v>
      </c>
      <c r="H141">
        <v>2023</v>
      </c>
      <c r="I141" t="s">
        <v>59</v>
      </c>
      <c r="L141" t="s">
        <v>99</v>
      </c>
      <c r="AG141">
        <f t="shared" si="2"/>
        <v>1</v>
      </c>
      <c r="AH141">
        <f>'TABLA PREVIOS'!E141</f>
        <v>229</v>
      </c>
      <c r="AI141">
        <f>VLOOKUP(C141,ALUMNOS!A:B,2,FALSE)</f>
        <v>391</v>
      </c>
    </row>
    <row r="142" spans="1:35" x14ac:dyDescent="0.25">
      <c r="A142" t="s">
        <v>143</v>
      </c>
      <c r="B142" t="s">
        <v>128</v>
      </c>
      <c r="C142">
        <v>48537999</v>
      </c>
      <c r="D142" t="s">
        <v>183</v>
      </c>
      <c r="E142" t="s">
        <v>12</v>
      </c>
      <c r="F142" t="s">
        <v>95</v>
      </c>
      <c r="G142" t="s">
        <v>43</v>
      </c>
      <c r="H142">
        <v>2023</v>
      </c>
      <c r="I142" t="s">
        <v>59</v>
      </c>
      <c r="L142" t="s">
        <v>99</v>
      </c>
      <c r="AG142">
        <f t="shared" si="2"/>
        <v>1</v>
      </c>
      <c r="AH142">
        <f>'TABLA PREVIOS'!E142</f>
        <v>230</v>
      </c>
      <c r="AI142">
        <f>VLOOKUP(C142,ALUMNOS!A:B,2,FALSE)</f>
        <v>391</v>
      </c>
    </row>
    <row r="143" spans="1:35" x14ac:dyDescent="0.25">
      <c r="A143" t="s">
        <v>143</v>
      </c>
      <c r="B143" t="s">
        <v>128</v>
      </c>
      <c r="C143">
        <v>48816281</v>
      </c>
      <c r="D143" t="s">
        <v>184</v>
      </c>
      <c r="E143" t="s">
        <v>12</v>
      </c>
      <c r="F143" t="s">
        <v>95</v>
      </c>
      <c r="G143" t="s">
        <v>43</v>
      </c>
      <c r="H143">
        <v>2023</v>
      </c>
      <c r="I143" t="s">
        <v>59</v>
      </c>
      <c r="L143" t="s">
        <v>99</v>
      </c>
      <c r="Q143">
        <v>45474</v>
      </c>
      <c r="R143">
        <v>2</v>
      </c>
      <c r="S143">
        <v>68</v>
      </c>
      <c r="T143">
        <v>61</v>
      </c>
      <c r="AG143">
        <f t="shared" si="2"/>
        <v>1</v>
      </c>
      <c r="AH143">
        <f>'TABLA PREVIOS'!E143</f>
        <v>230</v>
      </c>
      <c r="AI143">
        <f>VLOOKUP(C143,ALUMNOS!A:B,2,FALSE)</f>
        <v>490</v>
      </c>
    </row>
    <row r="144" spans="1:35" x14ac:dyDescent="0.25">
      <c r="A144" t="s">
        <v>143</v>
      </c>
      <c r="B144" t="s">
        <v>128</v>
      </c>
      <c r="C144">
        <v>49241916</v>
      </c>
      <c r="D144" t="s">
        <v>185</v>
      </c>
      <c r="E144" t="s">
        <v>12</v>
      </c>
      <c r="F144" t="s">
        <v>95</v>
      </c>
      <c r="G144" t="s">
        <v>43</v>
      </c>
      <c r="H144">
        <v>2023</v>
      </c>
      <c r="I144" t="s">
        <v>59</v>
      </c>
      <c r="L144" t="s">
        <v>99</v>
      </c>
      <c r="AG144">
        <f t="shared" si="2"/>
        <v>1</v>
      </c>
      <c r="AH144">
        <f>'TABLA PREVIOS'!E144</f>
        <v>230</v>
      </c>
      <c r="AI144">
        <f>VLOOKUP(C144,ALUMNOS!A:B,2,FALSE)</f>
        <v>558</v>
      </c>
    </row>
    <row r="145" spans="1:35" x14ac:dyDescent="0.25">
      <c r="A145" t="s">
        <v>143</v>
      </c>
      <c r="B145" t="s">
        <v>128</v>
      </c>
      <c r="C145">
        <v>49716973</v>
      </c>
      <c r="D145" t="s">
        <v>186</v>
      </c>
      <c r="E145" t="s">
        <v>11</v>
      </c>
      <c r="F145" t="s">
        <v>95</v>
      </c>
      <c r="G145" t="s">
        <v>43</v>
      </c>
      <c r="H145">
        <v>2023</v>
      </c>
      <c r="I145" t="s">
        <v>59</v>
      </c>
      <c r="L145" t="s">
        <v>99</v>
      </c>
      <c r="M145">
        <v>45411</v>
      </c>
      <c r="N145" t="s">
        <v>50</v>
      </c>
      <c r="O145">
        <v>68</v>
      </c>
      <c r="P145">
        <v>38</v>
      </c>
      <c r="AG145">
        <f t="shared" si="2"/>
        <v>1</v>
      </c>
      <c r="AH145">
        <f>'TABLA PREVIOS'!E145</f>
        <v>229</v>
      </c>
      <c r="AI145">
        <f>VLOOKUP(C145,ALUMNOS!A:B,2,FALSE)</f>
        <v>563</v>
      </c>
    </row>
    <row r="146" spans="1:35" x14ac:dyDescent="0.25">
      <c r="A146" t="s">
        <v>143</v>
      </c>
      <c r="B146" t="s">
        <v>128</v>
      </c>
      <c r="C146">
        <v>49716973</v>
      </c>
      <c r="D146" t="s">
        <v>186</v>
      </c>
      <c r="E146" t="s">
        <v>12</v>
      </c>
      <c r="F146" t="s">
        <v>95</v>
      </c>
      <c r="G146" t="s">
        <v>43</v>
      </c>
      <c r="H146">
        <v>2023</v>
      </c>
      <c r="I146" t="s">
        <v>59</v>
      </c>
      <c r="L146" t="s">
        <v>99</v>
      </c>
      <c r="AG146">
        <f t="shared" si="2"/>
        <v>1</v>
      </c>
      <c r="AH146">
        <f>'TABLA PREVIOS'!E146</f>
        <v>230</v>
      </c>
      <c r="AI146">
        <f>VLOOKUP(C146,ALUMNOS!A:B,2,FALSE)</f>
        <v>563</v>
      </c>
    </row>
    <row r="147" spans="1:35" x14ac:dyDescent="0.25">
      <c r="A147" t="s">
        <v>143</v>
      </c>
      <c r="B147" t="s">
        <v>128</v>
      </c>
      <c r="C147">
        <v>49964540</v>
      </c>
      <c r="D147" t="s">
        <v>187</v>
      </c>
      <c r="E147" t="s">
        <v>12</v>
      </c>
      <c r="F147" t="s">
        <v>95</v>
      </c>
      <c r="G147" t="s">
        <v>43</v>
      </c>
      <c r="H147">
        <v>2023</v>
      </c>
      <c r="I147" t="s">
        <v>59</v>
      </c>
      <c r="L147" t="s">
        <v>107</v>
      </c>
      <c r="M147">
        <v>45405</v>
      </c>
      <c r="N147">
        <v>2</v>
      </c>
      <c r="O147">
        <v>68</v>
      </c>
      <c r="P147">
        <v>30</v>
      </c>
      <c r="Q147">
        <v>45474</v>
      </c>
      <c r="R147">
        <v>7</v>
      </c>
      <c r="S147">
        <v>68</v>
      </c>
      <c r="T147">
        <v>61</v>
      </c>
      <c r="AG147">
        <f t="shared" si="2"/>
        <v>7</v>
      </c>
      <c r="AH147">
        <f>'TABLA PREVIOS'!E147</f>
        <v>230</v>
      </c>
      <c r="AI147">
        <f>VLOOKUP(C147,ALUMNOS!A:B,2,FALSE)</f>
        <v>610</v>
      </c>
    </row>
    <row r="148" spans="1:35" x14ac:dyDescent="0.25">
      <c r="A148" t="s">
        <v>143</v>
      </c>
      <c r="B148" t="s">
        <v>128</v>
      </c>
      <c r="C148">
        <v>48816287</v>
      </c>
      <c r="D148" t="s">
        <v>188</v>
      </c>
      <c r="E148" t="s">
        <v>11</v>
      </c>
      <c r="F148" t="s">
        <v>95</v>
      </c>
      <c r="G148" t="s">
        <v>43</v>
      </c>
      <c r="H148">
        <v>2023</v>
      </c>
      <c r="I148" t="s">
        <v>59</v>
      </c>
      <c r="L148" t="s">
        <v>99</v>
      </c>
      <c r="AG148">
        <f t="shared" si="2"/>
        <v>1</v>
      </c>
      <c r="AH148">
        <f>'TABLA PREVIOS'!E148</f>
        <v>229</v>
      </c>
      <c r="AI148">
        <f>VLOOKUP(C148,ALUMNOS!A:B,2,FALSE)</f>
        <v>799</v>
      </c>
    </row>
    <row r="149" spans="1:35" x14ac:dyDescent="0.25">
      <c r="A149" t="s">
        <v>143</v>
      </c>
      <c r="B149" t="s">
        <v>128</v>
      </c>
      <c r="C149">
        <v>48816287</v>
      </c>
      <c r="D149" t="s">
        <v>188</v>
      </c>
      <c r="E149" t="s">
        <v>12</v>
      </c>
      <c r="F149" t="s">
        <v>95</v>
      </c>
      <c r="G149" t="s">
        <v>43</v>
      </c>
      <c r="H149">
        <v>2023</v>
      </c>
      <c r="I149" t="s">
        <v>59</v>
      </c>
      <c r="L149" t="s">
        <v>99</v>
      </c>
      <c r="AG149">
        <f t="shared" si="2"/>
        <v>1</v>
      </c>
      <c r="AH149">
        <f>'TABLA PREVIOS'!E149</f>
        <v>230</v>
      </c>
      <c r="AI149">
        <f>VLOOKUP(C149,ALUMNOS!A:B,2,FALSE)</f>
        <v>799</v>
      </c>
    </row>
    <row r="150" spans="1:35" x14ac:dyDescent="0.25">
      <c r="A150" t="s">
        <v>143</v>
      </c>
      <c r="B150" t="s">
        <v>128</v>
      </c>
      <c r="C150">
        <v>49585033</v>
      </c>
      <c r="D150" t="s">
        <v>189</v>
      </c>
      <c r="E150" t="s">
        <v>12</v>
      </c>
      <c r="F150" t="s">
        <v>98</v>
      </c>
      <c r="G150" t="s">
        <v>43</v>
      </c>
      <c r="H150">
        <v>2022</v>
      </c>
      <c r="I150" t="s">
        <v>59</v>
      </c>
      <c r="L150" t="s">
        <v>99</v>
      </c>
      <c r="AG150">
        <f t="shared" si="2"/>
        <v>1</v>
      </c>
      <c r="AH150">
        <f>'TABLA PREVIOS'!E150</f>
        <v>220</v>
      </c>
      <c r="AI150">
        <f>VLOOKUP(C150,ALUMNOS!A:B,2,FALSE)</f>
        <v>741</v>
      </c>
    </row>
    <row r="151" spans="1:35" x14ac:dyDescent="0.25">
      <c r="A151" t="s">
        <v>143</v>
      </c>
      <c r="B151" t="s">
        <v>128</v>
      </c>
      <c r="C151">
        <v>49585033</v>
      </c>
      <c r="D151" t="s">
        <v>189</v>
      </c>
      <c r="E151" t="s">
        <v>12</v>
      </c>
      <c r="F151" t="s">
        <v>95</v>
      </c>
      <c r="G151" t="s">
        <v>43</v>
      </c>
      <c r="H151">
        <v>2023</v>
      </c>
      <c r="I151" t="s">
        <v>59</v>
      </c>
      <c r="L151" t="s">
        <v>99</v>
      </c>
      <c r="AG151">
        <f t="shared" si="2"/>
        <v>1</v>
      </c>
      <c r="AH151">
        <f>'TABLA PREVIOS'!E151</f>
        <v>230</v>
      </c>
      <c r="AI151">
        <f>VLOOKUP(C151,ALUMNOS!A:B,2,FALSE)</f>
        <v>741</v>
      </c>
    </row>
    <row r="152" spans="1:35" x14ac:dyDescent="0.25">
      <c r="A152" t="s">
        <v>190</v>
      </c>
      <c r="B152" t="s">
        <v>96</v>
      </c>
      <c r="C152">
        <v>47053448</v>
      </c>
      <c r="D152" t="s">
        <v>191</v>
      </c>
      <c r="E152" t="s">
        <v>15</v>
      </c>
      <c r="F152" t="s">
        <v>98</v>
      </c>
      <c r="G152" t="s">
        <v>43</v>
      </c>
      <c r="H152">
        <v>2018</v>
      </c>
      <c r="I152" t="s">
        <v>59</v>
      </c>
      <c r="J152" t="s">
        <v>111</v>
      </c>
      <c r="L152" t="s">
        <v>99</v>
      </c>
      <c r="AG152">
        <f t="shared" si="2"/>
        <v>1</v>
      </c>
      <c r="AH152">
        <f>'TABLA PREVIOS'!E152</f>
        <v>223</v>
      </c>
      <c r="AI152">
        <f>VLOOKUP(C152,ALUMNOS!A:B,2,FALSE)</f>
        <v>23</v>
      </c>
    </row>
    <row r="153" spans="1:35" x14ac:dyDescent="0.25">
      <c r="A153" t="s">
        <v>190</v>
      </c>
      <c r="B153" t="s">
        <v>96</v>
      </c>
      <c r="C153">
        <v>47053448</v>
      </c>
      <c r="D153" t="s">
        <v>191</v>
      </c>
      <c r="E153" t="s">
        <v>12</v>
      </c>
      <c r="F153" t="s">
        <v>143</v>
      </c>
      <c r="G153" t="s">
        <v>43</v>
      </c>
      <c r="H153">
        <v>2021</v>
      </c>
      <c r="I153" t="s">
        <v>59</v>
      </c>
      <c r="L153" t="s">
        <v>99</v>
      </c>
      <c r="AG153">
        <f t="shared" si="2"/>
        <v>1</v>
      </c>
      <c r="AH153">
        <f>'TABLA PREVIOS'!E153</f>
        <v>240</v>
      </c>
      <c r="AI153">
        <f>VLOOKUP(C153,ALUMNOS!A:B,2,FALSE)</f>
        <v>23</v>
      </c>
    </row>
    <row r="154" spans="1:35" x14ac:dyDescent="0.25">
      <c r="A154" t="s">
        <v>190</v>
      </c>
      <c r="B154" t="s">
        <v>96</v>
      </c>
      <c r="C154">
        <v>48816239</v>
      </c>
      <c r="D154" t="s">
        <v>192</v>
      </c>
      <c r="E154" t="s">
        <v>12</v>
      </c>
      <c r="F154" t="s">
        <v>143</v>
      </c>
      <c r="G154" t="s">
        <v>43</v>
      </c>
      <c r="H154">
        <v>2023</v>
      </c>
      <c r="I154" t="s">
        <v>59</v>
      </c>
      <c r="L154" t="s">
        <v>99</v>
      </c>
      <c r="AG154">
        <f t="shared" si="2"/>
        <v>1</v>
      </c>
      <c r="AH154">
        <f>'TABLA PREVIOS'!E154</f>
        <v>240</v>
      </c>
      <c r="AI154">
        <f>VLOOKUP(C154,ALUMNOS!A:B,2,FALSE)</f>
        <v>81</v>
      </c>
    </row>
    <row r="155" spans="1:35" x14ac:dyDescent="0.25">
      <c r="A155" t="s">
        <v>190</v>
      </c>
      <c r="B155" t="s">
        <v>96</v>
      </c>
      <c r="C155">
        <v>48653201</v>
      </c>
      <c r="D155" t="s">
        <v>193</v>
      </c>
      <c r="E155" t="s">
        <v>16</v>
      </c>
      <c r="F155" t="s">
        <v>95</v>
      </c>
      <c r="G155" t="s">
        <v>43</v>
      </c>
      <c r="H155">
        <v>2021</v>
      </c>
      <c r="I155" t="s">
        <v>59</v>
      </c>
      <c r="L155" t="s">
        <v>99</v>
      </c>
      <c r="AG155">
        <f t="shared" si="2"/>
        <v>1</v>
      </c>
      <c r="AH155">
        <f>'TABLA PREVIOS'!E155</f>
        <v>234</v>
      </c>
      <c r="AI155">
        <f>VLOOKUP(C155,ALUMNOS!A:B,2,FALSE)</f>
        <v>110</v>
      </c>
    </row>
    <row r="156" spans="1:35" x14ac:dyDescent="0.25">
      <c r="A156" t="s">
        <v>190</v>
      </c>
      <c r="B156" t="s">
        <v>96</v>
      </c>
      <c r="C156">
        <v>48653201</v>
      </c>
      <c r="D156" t="s">
        <v>193</v>
      </c>
      <c r="E156" t="s">
        <v>12</v>
      </c>
      <c r="F156" t="s">
        <v>95</v>
      </c>
      <c r="G156" t="s">
        <v>43</v>
      </c>
      <c r="H156">
        <v>2021</v>
      </c>
      <c r="I156" t="s">
        <v>59</v>
      </c>
      <c r="L156" t="s">
        <v>99</v>
      </c>
      <c r="AG156">
        <f t="shared" si="2"/>
        <v>1</v>
      </c>
      <c r="AH156">
        <f>'TABLA PREVIOS'!E156</f>
        <v>230</v>
      </c>
      <c r="AI156">
        <f>VLOOKUP(C156,ALUMNOS!A:B,2,FALSE)</f>
        <v>110</v>
      </c>
    </row>
    <row r="157" spans="1:35" x14ac:dyDescent="0.25">
      <c r="A157" t="s">
        <v>190</v>
      </c>
      <c r="B157" t="s">
        <v>96</v>
      </c>
      <c r="C157">
        <v>48653201</v>
      </c>
      <c r="D157" t="s">
        <v>193</v>
      </c>
      <c r="E157" t="s">
        <v>12</v>
      </c>
      <c r="F157" t="s">
        <v>143</v>
      </c>
      <c r="G157" t="s">
        <v>45</v>
      </c>
      <c r="H157">
        <v>2023</v>
      </c>
      <c r="I157" t="s">
        <v>59</v>
      </c>
      <c r="L157" t="s">
        <v>99</v>
      </c>
      <c r="AG157">
        <f t="shared" si="2"/>
        <v>1</v>
      </c>
      <c r="AH157">
        <f>'TABLA PREVIOS'!E157</f>
        <v>240</v>
      </c>
      <c r="AI157">
        <f>VLOOKUP(C157,ALUMNOS!A:B,2,FALSE)</f>
        <v>110</v>
      </c>
    </row>
    <row r="158" spans="1:35" x14ac:dyDescent="0.25">
      <c r="A158" t="s">
        <v>190</v>
      </c>
      <c r="B158" t="s">
        <v>96</v>
      </c>
      <c r="C158">
        <v>47304107</v>
      </c>
      <c r="D158" t="s">
        <v>194</v>
      </c>
      <c r="E158" t="s">
        <v>16</v>
      </c>
      <c r="F158" t="s">
        <v>95</v>
      </c>
      <c r="G158" t="s">
        <v>43</v>
      </c>
      <c r="H158">
        <v>2022</v>
      </c>
      <c r="I158" t="s">
        <v>59</v>
      </c>
      <c r="L158" t="s">
        <v>99</v>
      </c>
      <c r="AG158">
        <f t="shared" si="2"/>
        <v>1</v>
      </c>
      <c r="AH158">
        <f>'TABLA PREVIOS'!E158</f>
        <v>234</v>
      </c>
      <c r="AI158">
        <f>VLOOKUP(C158,ALUMNOS!A:B,2,FALSE)</f>
        <v>131</v>
      </c>
    </row>
    <row r="159" spans="1:35" x14ac:dyDescent="0.25">
      <c r="A159" t="s">
        <v>190</v>
      </c>
      <c r="B159" t="s">
        <v>96</v>
      </c>
      <c r="C159">
        <v>47304107</v>
      </c>
      <c r="D159" t="s">
        <v>194</v>
      </c>
      <c r="E159" t="s">
        <v>16</v>
      </c>
      <c r="F159" t="s">
        <v>143</v>
      </c>
      <c r="G159" t="s">
        <v>43</v>
      </c>
      <c r="H159">
        <v>2023</v>
      </c>
      <c r="I159" t="s">
        <v>59</v>
      </c>
      <c r="L159" t="s">
        <v>99</v>
      </c>
      <c r="AG159">
        <f t="shared" si="2"/>
        <v>1</v>
      </c>
      <c r="AH159">
        <f>'TABLA PREVIOS'!E159</f>
        <v>245</v>
      </c>
      <c r="AI159">
        <f>VLOOKUP(C159,ALUMNOS!A:B,2,FALSE)</f>
        <v>131</v>
      </c>
    </row>
    <row r="160" spans="1:35" x14ac:dyDescent="0.25">
      <c r="A160" t="s">
        <v>190</v>
      </c>
      <c r="B160" t="s">
        <v>96</v>
      </c>
      <c r="C160">
        <v>47304107</v>
      </c>
      <c r="D160" t="s">
        <v>194</v>
      </c>
      <c r="E160" t="s">
        <v>12</v>
      </c>
      <c r="F160" t="s">
        <v>143</v>
      </c>
      <c r="G160" t="s">
        <v>45</v>
      </c>
      <c r="H160">
        <v>2023</v>
      </c>
      <c r="I160" t="s">
        <v>59</v>
      </c>
      <c r="L160" t="s">
        <v>99</v>
      </c>
      <c r="AG160">
        <f t="shared" si="2"/>
        <v>1</v>
      </c>
      <c r="AH160">
        <f>'TABLA PREVIOS'!E160</f>
        <v>240</v>
      </c>
      <c r="AI160">
        <f>VLOOKUP(C160,ALUMNOS!A:B,2,FALSE)</f>
        <v>131</v>
      </c>
    </row>
    <row r="161" spans="1:35" x14ac:dyDescent="0.25">
      <c r="A161" t="s">
        <v>190</v>
      </c>
      <c r="B161" t="s">
        <v>96</v>
      </c>
      <c r="C161">
        <v>47802365</v>
      </c>
      <c r="D161" t="s">
        <v>195</v>
      </c>
      <c r="E161" t="s">
        <v>11</v>
      </c>
      <c r="F161" t="s">
        <v>95</v>
      </c>
      <c r="G161" t="s">
        <v>43</v>
      </c>
      <c r="H161">
        <v>2020</v>
      </c>
      <c r="I161" t="s">
        <v>59</v>
      </c>
      <c r="L161" t="s">
        <v>99</v>
      </c>
      <c r="Q161">
        <v>45475</v>
      </c>
      <c r="R161">
        <v>1</v>
      </c>
      <c r="S161">
        <v>68</v>
      </c>
      <c r="T161">
        <v>74</v>
      </c>
      <c r="AG161">
        <f t="shared" si="2"/>
        <v>1</v>
      </c>
      <c r="AH161">
        <f>'TABLA PREVIOS'!E161</f>
        <v>229</v>
      </c>
      <c r="AI161">
        <f>VLOOKUP(C161,ALUMNOS!A:B,2,FALSE)</f>
        <v>133</v>
      </c>
    </row>
    <row r="162" spans="1:35" x14ac:dyDescent="0.25">
      <c r="A162" t="s">
        <v>190</v>
      </c>
      <c r="B162" t="s">
        <v>96</v>
      </c>
      <c r="C162">
        <v>47802365</v>
      </c>
      <c r="D162" t="s">
        <v>195</v>
      </c>
      <c r="E162" t="s">
        <v>26</v>
      </c>
      <c r="F162" t="s">
        <v>143</v>
      </c>
      <c r="G162" t="s">
        <v>43</v>
      </c>
      <c r="H162">
        <v>2021</v>
      </c>
      <c r="I162" t="s">
        <v>59</v>
      </c>
      <c r="L162" t="s">
        <v>99</v>
      </c>
      <c r="AG162">
        <f t="shared" si="2"/>
        <v>1</v>
      </c>
      <c r="AH162">
        <f>'TABLA PREVIOS'!E162</f>
        <v>243</v>
      </c>
      <c r="AI162">
        <f>VLOOKUP(C162,ALUMNOS!A:B,2,FALSE)</f>
        <v>133</v>
      </c>
    </row>
    <row r="163" spans="1:35" x14ac:dyDescent="0.25">
      <c r="A163" t="s">
        <v>190</v>
      </c>
      <c r="B163" t="s">
        <v>96</v>
      </c>
      <c r="C163">
        <v>47802365</v>
      </c>
      <c r="D163" t="s">
        <v>195</v>
      </c>
      <c r="E163" t="s">
        <v>27</v>
      </c>
      <c r="F163" t="s">
        <v>143</v>
      </c>
      <c r="G163" t="s">
        <v>45</v>
      </c>
      <c r="H163">
        <v>2021</v>
      </c>
      <c r="I163" t="s">
        <v>59</v>
      </c>
      <c r="L163" t="s">
        <v>99</v>
      </c>
      <c r="AG163">
        <f t="shared" si="2"/>
        <v>1</v>
      </c>
      <c r="AH163">
        <f>'TABLA PREVIOS'!E163</f>
        <v>244</v>
      </c>
      <c r="AI163">
        <f>VLOOKUP(C163,ALUMNOS!A:B,2,FALSE)</f>
        <v>133</v>
      </c>
    </row>
    <row r="164" spans="1:35" x14ac:dyDescent="0.25">
      <c r="A164" t="s">
        <v>190</v>
      </c>
      <c r="B164" t="s">
        <v>96</v>
      </c>
      <c r="C164">
        <v>47665543</v>
      </c>
      <c r="D164" t="s">
        <v>196</v>
      </c>
      <c r="E164" t="s">
        <v>12</v>
      </c>
      <c r="F164" t="s">
        <v>143</v>
      </c>
      <c r="G164" t="s">
        <v>43</v>
      </c>
      <c r="H164">
        <v>2021</v>
      </c>
      <c r="I164" t="s">
        <v>59</v>
      </c>
      <c r="J164" t="s">
        <v>111</v>
      </c>
      <c r="L164" t="s">
        <v>99</v>
      </c>
      <c r="M164">
        <v>45405</v>
      </c>
      <c r="N164" t="s">
        <v>101</v>
      </c>
      <c r="O164">
        <v>68</v>
      </c>
      <c r="P164">
        <v>31</v>
      </c>
      <c r="Q164">
        <v>45474</v>
      </c>
      <c r="R164">
        <v>2</v>
      </c>
      <c r="S164">
        <v>68</v>
      </c>
      <c r="T164">
        <v>62</v>
      </c>
      <c r="AG164">
        <f t="shared" si="2"/>
        <v>1</v>
      </c>
      <c r="AH164">
        <f>'TABLA PREVIOS'!E164</f>
        <v>240</v>
      </c>
      <c r="AI164">
        <f>VLOOKUP(C164,ALUMNOS!A:B,2,FALSE)</f>
        <v>143</v>
      </c>
    </row>
    <row r="165" spans="1:35" x14ac:dyDescent="0.25">
      <c r="A165" t="s">
        <v>190</v>
      </c>
      <c r="B165" t="s">
        <v>96</v>
      </c>
      <c r="C165">
        <v>49318740</v>
      </c>
      <c r="D165" t="s">
        <v>197</v>
      </c>
      <c r="E165" t="s">
        <v>12</v>
      </c>
      <c r="F165" t="s">
        <v>143</v>
      </c>
      <c r="G165" t="s">
        <v>43</v>
      </c>
      <c r="H165">
        <v>2023</v>
      </c>
      <c r="I165" t="s">
        <v>59</v>
      </c>
      <c r="L165" t="s">
        <v>99</v>
      </c>
      <c r="Q165">
        <v>45474</v>
      </c>
      <c r="R165">
        <v>2</v>
      </c>
      <c r="S165">
        <v>68</v>
      </c>
      <c r="T165">
        <v>62</v>
      </c>
      <c r="AG165">
        <f t="shared" si="2"/>
        <v>1</v>
      </c>
      <c r="AH165">
        <f>'TABLA PREVIOS'!E165</f>
        <v>240</v>
      </c>
      <c r="AI165">
        <f>VLOOKUP(C165,ALUMNOS!A:B,2,FALSE)</f>
        <v>285</v>
      </c>
    </row>
    <row r="166" spans="1:35" x14ac:dyDescent="0.25">
      <c r="A166" t="s">
        <v>190</v>
      </c>
      <c r="B166" t="s">
        <v>96</v>
      </c>
      <c r="C166">
        <v>48538137</v>
      </c>
      <c r="D166" t="s">
        <v>198</v>
      </c>
      <c r="E166" t="s">
        <v>11</v>
      </c>
      <c r="F166" t="s">
        <v>95</v>
      </c>
      <c r="G166" t="s">
        <v>43</v>
      </c>
      <c r="H166">
        <v>2022</v>
      </c>
      <c r="I166" t="s">
        <v>59</v>
      </c>
      <c r="L166" t="s">
        <v>99</v>
      </c>
      <c r="AG166">
        <f t="shared" si="2"/>
        <v>1</v>
      </c>
      <c r="AH166">
        <f>'TABLA PREVIOS'!E166</f>
        <v>229</v>
      </c>
      <c r="AI166">
        <f>VLOOKUP(C166,ALUMNOS!A:B,2,FALSE)</f>
        <v>377</v>
      </c>
    </row>
    <row r="167" spans="1:35" x14ac:dyDescent="0.25">
      <c r="A167" t="s">
        <v>190</v>
      </c>
      <c r="B167" t="s">
        <v>96</v>
      </c>
      <c r="C167">
        <v>49112591</v>
      </c>
      <c r="D167" t="s">
        <v>199</v>
      </c>
      <c r="E167" t="s">
        <v>27</v>
      </c>
      <c r="F167" t="s">
        <v>143</v>
      </c>
      <c r="G167" t="s">
        <v>43</v>
      </c>
      <c r="H167">
        <v>2023</v>
      </c>
      <c r="I167" t="s">
        <v>59</v>
      </c>
      <c r="L167" t="s">
        <v>99</v>
      </c>
      <c r="AG167">
        <f t="shared" si="2"/>
        <v>1</v>
      </c>
      <c r="AH167">
        <f>'TABLA PREVIOS'!E167</f>
        <v>244</v>
      </c>
      <c r="AI167">
        <f>VLOOKUP(C167,ALUMNOS!A:B,2,FALSE)</f>
        <v>420</v>
      </c>
    </row>
    <row r="168" spans="1:35" x14ac:dyDescent="0.25">
      <c r="A168" t="s">
        <v>190</v>
      </c>
      <c r="B168" t="s">
        <v>96</v>
      </c>
      <c r="C168">
        <v>49112591</v>
      </c>
      <c r="D168" t="s">
        <v>199</v>
      </c>
      <c r="E168" t="s">
        <v>12</v>
      </c>
      <c r="F168" t="s">
        <v>143</v>
      </c>
      <c r="G168" t="s">
        <v>43</v>
      </c>
      <c r="H168">
        <v>2023</v>
      </c>
      <c r="I168" t="s">
        <v>59</v>
      </c>
      <c r="L168" t="s">
        <v>99</v>
      </c>
      <c r="AG168">
        <f t="shared" si="2"/>
        <v>1</v>
      </c>
      <c r="AH168">
        <f>'TABLA PREVIOS'!E168</f>
        <v>240</v>
      </c>
      <c r="AI168">
        <f>VLOOKUP(C168,ALUMNOS!A:B,2,FALSE)</f>
        <v>420</v>
      </c>
    </row>
    <row r="169" spans="1:35" x14ac:dyDescent="0.25">
      <c r="A169" t="s">
        <v>190</v>
      </c>
      <c r="B169" t="s">
        <v>96</v>
      </c>
      <c r="C169">
        <v>48816237</v>
      </c>
      <c r="D169" t="s">
        <v>200</v>
      </c>
      <c r="E169" t="s">
        <v>26</v>
      </c>
      <c r="F169" t="s">
        <v>143</v>
      </c>
      <c r="G169" t="s">
        <v>45</v>
      </c>
      <c r="H169">
        <v>2023</v>
      </c>
      <c r="I169" t="s">
        <v>59</v>
      </c>
      <c r="L169" t="s">
        <v>99</v>
      </c>
      <c r="AG169">
        <f t="shared" si="2"/>
        <v>1</v>
      </c>
      <c r="AH169">
        <f>'TABLA PREVIOS'!E169</f>
        <v>243</v>
      </c>
      <c r="AI169">
        <f>VLOOKUP(C169,ALUMNOS!A:B,2,FALSE)</f>
        <v>475</v>
      </c>
    </row>
    <row r="170" spans="1:35" x14ac:dyDescent="0.25">
      <c r="A170" t="s">
        <v>190</v>
      </c>
      <c r="B170" t="s">
        <v>96</v>
      </c>
      <c r="C170">
        <v>48816237</v>
      </c>
      <c r="D170" t="s">
        <v>200</v>
      </c>
      <c r="E170" t="s">
        <v>16</v>
      </c>
      <c r="F170" t="s">
        <v>143</v>
      </c>
      <c r="G170" t="s">
        <v>43</v>
      </c>
      <c r="H170">
        <v>2023</v>
      </c>
      <c r="I170" t="s">
        <v>59</v>
      </c>
      <c r="L170" t="s">
        <v>107</v>
      </c>
      <c r="Q170">
        <v>45475</v>
      </c>
      <c r="R170">
        <v>7</v>
      </c>
      <c r="S170">
        <v>68</v>
      </c>
      <c r="T170">
        <v>71</v>
      </c>
      <c r="AG170">
        <f t="shared" si="2"/>
        <v>7</v>
      </c>
      <c r="AH170">
        <f>'TABLA PREVIOS'!E170</f>
        <v>245</v>
      </c>
      <c r="AI170">
        <f>VLOOKUP(C170,ALUMNOS!A:B,2,FALSE)</f>
        <v>475</v>
      </c>
    </row>
    <row r="171" spans="1:35" x14ac:dyDescent="0.25">
      <c r="A171" t="s">
        <v>190</v>
      </c>
      <c r="B171" t="s">
        <v>96</v>
      </c>
      <c r="C171">
        <v>48816237</v>
      </c>
      <c r="D171" t="s">
        <v>200</v>
      </c>
      <c r="E171" t="s">
        <v>12</v>
      </c>
      <c r="F171" t="s">
        <v>143</v>
      </c>
      <c r="G171" t="s">
        <v>43</v>
      </c>
      <c r="H171">
        <v>2023</v>
      </c>
      <c r="I171" t="s">
        <v>59</v>
      </c>
      <c r="L171" t="s">
        <v>107</v>
      </c>
      <c r="M171">
        <v>45405</v>
      </c>
      <c r="N171">
        <v>7</v>
      </c>
      <c r="O171">
        <v>68</v>
      </c>
      <c r="P171">
        <v>31</v>
      </c>
      <c r="AG171">
        <f t="shared" si="2"/>
        <v>7</v>
      </c>
      <c r="AH171">
        <f>'TABLA PREVIOS'!E171</f>
        <v>240</v>
      </c>
      <c r="AI171">
        <f>VLOOKUP(C171,ALUMNOS!A:B,2,FALSE)</f>
        <v>475</v>
      </c>
    </row>
    <row r="172" spans="1:35" x14ac:dyDescent="0.25">
      <c r="A172" t="s">
        <v>190</v>
      </c>
      <c r="B172" t="s">
        <v>96</v>
      </c>
      <c r="C172">
        <v>49319118</v>
      </c>
      <c r="D172" t="s">
        <v>201</v>
      </c>
      <c r="E172" t="s">
        <v>11</v>
      </c>
      <c r="F172" t="s">
        <v>95</v>
      </c>
      <c r="G172" t="s">
        <v>43</v>
      </c>
      <c r="H172">
        <v>2022</v>
      </c>
      <c r="I172" t="s">
        <v>59</v>
      </c>
      <c r="L172" t="s">
        <v>99</v>
      </c>
      <c r="M172">
        <v>45411</v>
      </c>
      <c r="N172" t="s">
        <v>157</v>
      </c>
      <c r="O172">
        <v>68</v>
      </c>
      <c r="P172">
        <v>38</v>
      </c>
      <c r="Q172">
        <v>45475</v>
      </c>
      <c r="R172">
        <v>3</v>
      </c>
      <c r="S172">
        <v>68</v>
      </c>
      <c r="T172">
        <v>74</v>
      </c>
      <c r="AG172">
        <f t="shared" si="2"/>
        <v>1</v>
      </c>
      <c r="AH172">
        <f>'TABLA PREVIOS'!E172</f>
        <v>229</v>
      </c>
      <c r="AI172">
        <f>VLOOKUP(C172,ALUMNOS!A:B,2,FALSE)</f>
        <v>643</v>
      </c>
    </row>
    <row r="173" spans="1:35" x14ac:dyDescent="0.25">
      <c r="A173" t="s">
        <v>190</v>
      </c>
      <c r="B173" t="s">
        <v>96</v>
      </c>
      <c r="C173">
        <v>49319118</v>
      </c>
      <c r="D173" t="s">
        <v>201</v>
      </c>
      <c r="E173" t="s">
        <v>11</v>
      </c>
      <c r="F173" t="s">
        <v>143</v>
      </c>
      <c r="G173" t="s">
        <v>43</v>
      </c>
      <c r="H173">
        <v>2023</v>
      </c>
      <c r="I173" t="s">
        <v>59</v>
      </c>
      <c r="L173" t="s">
        <v>99</v>
      </c>
      <c r="M173">
        <v>45411</v>
      </c>
      <c r="N173" t="s">
        <v>50</v>
      </c>
      <c r="O173">
        <v>68</v>
      </c>
      <c r="P173">
        <v>39</v>
      </c>
      <c r="AG173">
        <f t="shared" si="2"/>
        <v>1</v>
      </c>
      <c r="AH173">
        <f>'TABLA PREVIOS'!E173</f>
        <v>239</v>
      </c>
      <c r="AI173">
        <f>VLOOKUP(C173,ALUMNOS!A:B,2,FALSE)</f>
        <v>643</v>
      </c>
    </row>
    <row r="174" spans="1:35" x14ac:dyDescent="0.25">
      <c r="A174" t="s">
        <v>190</v>
      </c>
      <c r="B174" t="s">
        <v>96</v>
      </c>
      <c r="C174">
        <v>49319118</v>
      </c>
      <c r="D174" t="s">
        <v>201</v>
      </c>
      <c r="E174" t="s">
        <v>12</v>
      </c>
      <c r="F174" t="s">
        <v>143</v>
      </c>
      <c r="G174" t="s">
        <v>45</v>
      </c>
      <c r="H174">
        <v>2023</v>
      </c>
      <c r="I174" t="s">
        <v>59</v>
      </c>
      <c r="L174" t="s">
        <v>99</v>
      </c>
      <c r="AG174">
        <f t="shared" si="2"/>
        <v>1</v>
      </c>
      <c r="AH174">
        <f>'TABLA PREVIOS'!E174</f>
        <v>240</v>
      </c>
      <c r="AI174">
        <f>VLOOKUP(C174,ALUMNOS!A:B,2,FALSE)</f>
        <v>643</v>
      </c>
    </row>
    <row r="175" spans="1:35" x14ac:dyDescent="0.25">
      <c r="A175" t="s">
        <v>190</v>
      </c>
      <c r="B175" t="s">
        <v>96</v>
      </c>
      <c r="C175">
        <v>48538110</v>
      </c>
      <c r="D175" t="s">
        <v>202</v>
      </c>
      <c r="E175" t="s">
        <v>16</v>
      </c>
      <c r="F175" t="s">
        <v>143</v>
      </c>
      <c r="G175" t="s">
        <v>43</v>
      </c>
      <c r="H175">
        <v>2022</v>
      </c>
      <c r="I175" t="s">
        <v>59</v>
      </c>
      <c r="J175" t="s">
        <v>111</v>
      </c>
      <c r="L175" t="s">
        <v>99</v>
      </c>
      <c r="AG175">
        <f t="shared" si="2"/>
        <v>1</v>
      </c>
      <c r="AH175">
        <f>'TABLA PREVIOS'!E175</f>
        <v>245</v>
      </c>
      <c r="AI175">
        <f>VLOOKUP(C175,ALUMNOS!A:B,2,FALSE)</f>
        <v>726</v>
      </c>
    </row>
    <row r="176" spans="1:35" x14ac:dyDescent="0.25">
      <c r="A176" t="s">
        <v>190</v>
      </c>
      <c r="B176" t="s">
        <v>96</v>
      </c>
      <c r="C176">
        <v>48538110</v>
      </c>
      <c r="D176" t="s">
        <v>202</v>
      </c>
      <c r="E176" t="s">
        <v>11</v>
      </c>
      <c r="F176" t="s">
        <v>143</v>
      </c>
      <c r="G176" t="s">
        <v>43</v>
      </c>
      <c r="H176">
        <v>2022</v>
      </c>
      <c r="I176" t="s">
        <v>59</v>
      </c>
      <c r="L176" t="s">
        <v>99</v>
      </c>
      <c r="AG176">
        <f t="shared" si="2"/>
        <v>1</v>
      </c>
      <c r="AH176">
        <f>'TABLA PREVIOS'!E176</f>
        <v>239</v>
      </c>
      <c r="AI176">
        <f>VLOOKUP(C176,ALUMNOS!A:B,2,FALSE)</f>
        <v>726</v>
      </c>
    </row>
    <row r="177" spans="1:35" x14ac:dyDescent="0.25">
      <c r="A177" t="s">
        <v>190</v>
      </c>
      <c r="B177" t="s">
        <v>96</v>
      </c>
      <c r="C177">
        <v>49455838</v>
      </c>
      <c r="D177" t="s">
        <v>203</v>
      </c>
      <c r="E177" t="s">
        <v>12</v>
      </c>
      <c r="F177" t="s">
        <v>95</v>
      </c>
      <c r="G177" t="s">
        <v>43</v>
      </c>
      <c r="H177">
        <v>2022</v>
      </c>
      <c r="I177" t="s">
        <v>59</v>
      </c>
      <c r="L177" t="s">
        <v>99</v>
      </c>
      <c r="Q177">
        <v>45474</v>
      </c>
      <c r="R177" t="s">
        <v>50</v>
      </c>
      <c r="S177">
        <v>68</v>
      </c>
      <c r="T177">
        <v>61</v>
      </c>
      <c r="AG177">
        <f t="shared" si="2"/>
        <v>1</v>
      </c>
      <c r="AH177">
        <f>'TABLA PREVIOS'!E177</f>
        <v>230</v>
      </c>
      <c r="AI177">
        <f>VLOOKUP(C177,ALUMNOS!A:B,2,FALSE)</f>
        <v>766</v>
      </c>
    </row>
    <row r="178" spans="1:35" x14ac:dyDescent="0.25">
      <c r="A178" t="s">
        <v>190</v>
      </c>
      <c r="B178" t="s">
        <v>96</v>
      </c>
      <c r="C178">
        <v>49455838</v>
      </c>
      <c r="D178" t="s">
        <v>203</v>
      </c>
      <c r="E178" t="s">
        <v>27</v>
      </c>
      <c r="F178" t="s">
        <v>143</v>
      </c>
      <c r="G178" t="s">
        <v>43</v>
      </c>
      <c r="H178">
        <v>2023</v>
      </c>
      <c r="I178" t="s">
        <v>59</v>
      </c>
      <c r="L178" t="s">
        <v>99</v>
      </c>
      <c r="AG178">
        <f t="shared" si="2"/>
        <v>1</v>
      </c>
      <c r="AH178">
        <f>'TABLA PREVIOS'!E178</f>
        <v>244</v>
      </c>
      <c r="AI178">
        <f>VLOOKUP(C178,ALUMNOS!A:B,2,FALSE)</f>
        <v>766</v>
      </c>
    </row>
    <row r="179" spans="1:35" x14ac:dyDescent="0.25">
      <c r="A179" t="s">
        <v>190</v>
      </c>
      <c r="B179" t="s">
        <v>96</v>
      </c>
      <c r="C179">
        <v>49455838</v>
      </c>
      <c r="D179" t="s">
        <v>203</v>
      </c>
      <c r="E179" t="s">
        <v>12</v>
      </c>
      <c r="F179" t="s">
        <v>143</v>
      </c>
      <c r="G179" t="s">
        <v>45</v>
      </c>
      <c r="H179">
        <v>2023</v>
      </c>
      <c r="I179" t="s">
        <v>59</v>
      </c>
      <c r="L179" t="s">
        <v>99</v>
      </c>
      <c r="AG179">
        <f t="shared" si="2"/>
        <v>1</v>
      </c>
      <c r="AH179">
        <f>'TABLA PREVIOS'!E179</f>
        <v>240</v>
      </c>
      <c r="AI179">
        <f>VLOOKUP(C179,ALUMNOS!A:B,2,FALSE)</f>
        <v>766</v>
      </c>
    </row>
    <row r="180" spans="1:35" x14ac:dyDescent="0.25">
      <c r="A180" t="s">
        <v>190</v>
      </c>
      <c r="B180" t="s">
        <v>109</v>
      </c>
      <c r="C180">
        <v>48600258</v>
      </c>
      <c r="D180" t="s">
        <v>204</v>
      </c>
      <c r="E180" t="s">
        <v>26</v>
      </c>
      <c r="F180" t="s">
        <v>143</v>
      </c>
      <c r="G180" t="s">
        <v>43</v>
      </c>
      <c r="H180">
        <v>2023</v>
      </c>
      <c r="I180" t="s">
        <v>59</v>
      </c>
      <c r="L180" t="s">
        <v>99</v>
      </c>
      <c r="AG180">
        <f t="shared" si="2"/>
        <v>1</v>
      </c>
      <c r="AH180">
        <f>'TABLA PREVIOS'!E180</f>
        <v>243</v>
      </c>
      <c r="AI180">
        <f>VLOOKUP(C180,ALUMNOS!A:B,2,FALSE)</f>
        <v>271</v>
      </c>
    </row>
    <row r="181" spans="1:35" x14ac:dyDescent="0.25">
      <c r="A181" t="s">
        <v>190</v>
      </c>
      <c r="B181" t="s">
        <v>109</v>
      </c>
      <c r="C181">
        <v>48253150</v>
      </c>
      <c r="D181" t="s">
        <v>205</v>
      </c>
      <c r="E181" t="s">
        <v>12</v>
      </c>
      <c r="F181" t="s">
        <v>95</v>
      </c>
      <c r="G181" t="s">
        <v>43</v>
      </c>
      <c r="H181">
        <v>2021</v>
      </c>
      <c r="I181" t="s">
        <v>59</v>
      </c>
      <c r="J181" t="s">
        <v>111</v>
      </c>
      <c r="L181" t="s">
        <v>99</v>
      </c>
      <c r="AG181">
        <f t="shared" si="2"/>
        <v>1</v>
      </c>
      <c r="AH181">
        <f>'TABLA PREVIOS'!E181</f>
        <v>230</v>
      </c>
      <c r="AI181">
        <f>VLOOKUP(C181,ALUMNOS!A:B,2,FALSE)</f>
        <v>317</v>
      </c>
    </row>
    <row r="182" spans="1:35" x14ac:dyDescent="0.25">
      <c r="A182" t="s">
        <v>190</v>
      </c>
      <c r="B182" t="s">
        <v>109</v>
      </c>
      <c r="C182">
        <v>48253150</v>
      </c>
      <c r="D182" t="s">
        <v>205</v>
      </c>
      <c r="E182" t="s">
        <v>10</v>
      </c>
      <c r="F182" t="s">
        <v>143</v>
      </c>
      <c r="G182" t="s">
        <v>43</v>
      </c>
      <c r="H182">
        <v>2022</v>
      </c>
      <c r="I182" t="s">
        <v>59</v>
      </c>
      <c r="L182" t="s">
        <v>99</v>
      </c>
      <c r="AG182">
        <f t="shared" si="2"/>
        <v>1</v>
      </c>
      <c r="AH182">
        <f>'TABLA PREVIOS'!E182</f>
        <v>238</v>
      </c>
      <c r="AI182">
        <f>VLOOKUP(C182,ALUMNOS!A:B,2,FALSE)</f>
        <v>317</v>
      </c>
    </row>
    <row r="183" spans="1:35" x14ac:dyDescent="0.25">
      <c r="A183" t="s">
        <v>190</v>
      </c>
      <c r="B183" t="s">
        <v>109</v>
      </c>
      <c r="C183">
        <v>48253150</v>
      </c>
      <c r="D183" t="s">
        <v>205</v>
      </c>
      <c r="E183" t="s">
        <v>16</v>
      </c>
      <c r="F183" t="s">
        <v>143</v>
      </c>
      <c r="G183" t="s">
        <v>45</v>
      </c>
      <c r="H183">
        <v>2022</v>
      </c>
      <c r="I183" t="s">
        <v>59</v>
      </c>
      <c r="L183" t="s">
        <v>99</v>
      </c>
      <c r="AG183">
        <f t="shared" si="2"/>
        <v>1</v>
      </c>
      <c r="AH183">
        <f>'TABLA PREVIOS'!E183</f>
        <v>245</v>
      </c>
      <c r="AI183">
        <f>VLOOKUP(C183,ALUMNOS!A:B,2,FALSE)</f>
        <v>317</v>
      </c>
    </row>
    <row r="184" spans="1:35" x14ac:dyDescent="0.25">
      <c r="A184" t="s">
        <v>190</v>
      </c>
      <c r="B184" t="s">
        <v>109</v>
      </c>
      <c r="C184">
        <v>48538136</v>
      </c>
      <c r="D184" t="s">
        <v>206</v>
      </c>
      <c r="E184" t="s">
        <v>12</v>
      </c>
      <c r="F184" t="s">
        <v>143</v>
      </c>
      <c r="G184" t="s">
        <v>43</v>
      </c>
      <c r="H184">
        <v>2023</v>
      </c>
      <c r="I184" t="s">
        <v>59</v>
      </c>
      <c r="L184" t="s">
        <v>99</v>
      </c>
      <c r="AG184">
        <f t="shared" si="2"/>
        <v>1</v>
      </c>
      <c r="AH184">
        <f>'TABLA PREVIOS'!E184</f>
        <v>240</v>
      </c>
      <c r="AI184">
        <f>VLOOKUP(C184,ALUMNOS!A:B,2,FALSE)</f>
        <v>319</v>
      </c>
    </row>
    <row r="185" spans="1:35" x14ac:dyDescent="0.25">
      <c r="A185" t="s">
        <v>190</v>
      </c>
      <c r="B185" t="s">
        <v>109</v>
      </c>
      <c r="C185">
        <v>49128349</v>
      </c>
      <c r="D185" t="s">
        <v>207</v>
      </c>
      <c r="E185" t="s">
        <v>12</v>
      </c>
      <c r="F185" t="s">
        <v>98</v>
      </c>
      <c r="G185" t="s">
        <v>43</v>
      </c>
      <c r="H185">
        <v>2021</v>
      </c>
      <c r="I185" t="s">
        <v>59</v>
      </c>
      <c r="L185" t="s">
        <v>99</v>
      </c>
      <c r="AG185">
        <f t="shared" si="2"/>
        <v>1</v>
      </c>
      <c r="AH185">
        <f>'TABLA PREVIOS'!E185</f>
        <v>220</v>
      </c>
      <c r="AI185">
        <f>VLOOKUP(C185,ALUMNOS!A:B,2,FALSE)</f>
        <v>602</v>
      </c>
    </row>
    <row r="186" spans="1:35" x14ac:dyDescent="0.25">
      <c r="A186" t="s">
        <v>190</v>
      </c>
      <c r="B186" t="s">
        <v>109</v>
      </c>
      <c r="C186">
        <v>49459557</v>
      </c>
      <c r="D186" t="s">
        <v>208</v>
      </c>
      <c r="E186" t="s">
        <v>18</v>
      </c>
      <c r="F186" t="s">
        <v>143</v>
      </c>
      <c r="G186" t="s">
        <v>43</v>
      </c>
      <c r="H186">
        <v>2023</v>
      </c>
      <c r="I186" t="s">
        <v>59</v>
      </c>
      <c r="L186" t="s">
        <v>99</v>
      </c>
      <c r="AG186">
        <f t="shared" si="2"/>
        <v>1</v>
      </c>
      <c r="AH186">
        <f>'TABLA PREVIOS'!E186</f>
        <v>248</v>
      </c>
      <c r="AI186">
        <f>VLOOKUP(C186,ALUMNOS!A:B,2,FALSE)</f>
        <v>754</v>
      </c>
    </row>
    <row r="187" spans="1:35" x14ac:dyDescent="0.25">
      <c r="A187" t="s">
        <v>190</v>
      </c>
      <c r="B187" t="s">
        <v>109</v>
      </c>
      <c r="C187">
        <v>49459557</v>
      </c>
      <c r="D187" t="s">
        <v>208</v>
      </c>
      <c r="E187" t="s">
        <v>16</v>
      </c>
      <c r="F187" t="s">
        <v>143</v>
      </c>
      <c r="G187" t="s">
        <v>43</v>
      </c>
      <c r="H187">
        <v>2023</v>
      </c>
      <c r="I187" t="s">
        <v>59</v>
      </c>
      <c r="L187" t="s">
        <v>99</v>
      </c>
      <c r="AG187">
        <f t="shared" si="2"/>
        <v>1</v>
      </c>
      <c r="AH187">
        <f>'TABLA PREVIOS'!E187</f>
        <v>245</v>
      </c>
      <c r="AI187">
        <f>VLOOKUP(C187,ALUMNOS!A:B,2,FALSE)</f>
        <v>754</v>
      </c>
    </row>
    <row r="188" spans="1:35" x14ac:dyDescent="0.25">
      <c r="A188" t="s">
        <v>190</v>
      </c>
      <c r="B188" t="s">
        <v>109</v>
      </c>
      <c r="C188">
        <v>48269974</v>
      </c>
      <c r="D188" t="s">
        <v>209</v>
      </c>
      <c r="E188" t="s">
        <v>12</v>
      </c>
      <c r="F188" t="s">
        <v>143</v>
      </c>
      <c r="G188" t="s">
        <v>43</v>
      </c>
      <c r="H188">
        <v>2022</v>
      </c>
      <c r="I188" t="s">
        <v>59</v>
      </c>
      <c r="L188" t="s">
        <v>107</v>
      </c>
      <c r="M188">
        <v>45405</v>
      </c>
      <c r="N188">
        <v>7</v>
      </c>
      <c r="O188">
        <v>68</v>
      </c>
      <c r="P188">
        <v>31</v>
      </c>
      <c r="AG188">
        <f t="shared" si="2"/>
        <v>7</v>
      </c>
      <c r="AH188">
        <f>'TABLA PREVIOS'!E188</f>
        <v>240</v>
      </c>
      <c r="AI188">
        <f>VLOOKUP(C188,ALUMNOS!A:B,2,FALSE)</f>
        <v>757</v>
      </c>
    </row>
    <row r="189" spans="1:35" x14ac:dyDescent="0.25">
      <c r="A189" t="s">
        <v>190</v>
      </c>
      <c r="B189" t="s">
        <v>128</v>
      </c>
      <c r="C189">
        <v>48816208</v>
      </c>
      <c r="D189" t="s">
        <v>210</v>
      </c>
      <c r="E189" t="s">
        <v>12</v>
      </c>
      <c r="F189" t="s">
        <v>143</v>
      </c>
      <c r="G189" t="s">
        <v>43</v>
      </c>
      <c r="H189">
        <v>2023</v>
      </c>
      <c r="I189" t="s">
        <v>59</v>
      </c>
      <c r="L189" t="s">
        <v>99</v>
      </c>
      <c r="AG189">
        <f t="shared" si="2"/>
        <v>1</v>
      </c>
      <c r="AH189">
        <f>'TABLA PREVIOS'!E189</f>
        <v>240</v>
      </c>
      <c r="AI189">
        <f>VLOOKUP(C189,ALUMNOS!A:B,2,FALSE)</f>
        <v>35</v>
      </c>
    </row>
    <row r="190" spans="1:35" x14ac:dyDescent="0.25">
      <c r="A190" t="s">
        <v>190</v>
      </c>
      <c r="B190" t="s">
        <v>128</v>
      </c>
      <c r="C190">
        <v>48755113</v>
      </c>
      <c r="D190" t="s">
        <v>211</v>
      </c>
      <c r="E190" t="s">
        <v>22</v>
      </c>
      <c r="F190" t="s">
        <v>95</v>
      </c>
      <c r="G190" t="s">
        <v>43</v>
      </c>
      <c r="H190">
        <v>2022</v>
      </c>
      <c r="I190" t="s">
        <v>59</v>
      </c>
      <c r="L190" t="s">
        <v>99</v>
      </c>
      <c r="AG190">
        <f t="shared" si="2"/>
        <v>1</v>
      </c>
      <c r="AH190">
        <f>'TABLA PREVIOS'!E190</f>
        <v>233</v>
      </c>
      <c r="AI190">
        <f>VLOOKUP(C190,ALUMNOS!A:B,2,FALSE)</f>
        <v>94</v>
      </c>
    </row>
    <row r="191" spans="1:35" x14ac:dyDescent="0.25">
      <c r="A191" t="s">
        <v>190</v>
      </c>
      <c r="B191" t="s">
        <v>128</v>
      </c>
      <c r="C191">
        <v>48755113</v>
      </c>
      <c r="D191" t="s">
        <v>211</v>
      </c>
      <c r="E191" t="s">
        <v>26</v>
      </c>
      <c r="F191" t="s">
        <v>143</v>
      </c>
      <c r="G191" t="s">
        <v>43</v>
      </c>
      <c r="H191">
        <v>2023</v>
      </c>
      <c r="I191" t="s">
        <v>59</v>
      </c>
      <c r="L191" t="s">
        <v>99</v>
      </c>
      <c r="AG191">
        <f t="shared" si="2"/>
        <v>1</v>
      </c>
      <c r="AH191">
        <f>'TABLA PREVIOS'!E191</f>
        <v>243</v>
      </c>
      <c r="AI191">
        <f>VLOOKUP(C191,ALUMNOS!A:B,2,FALSE)</f>
        <v>94</v>
      </c>
    </row>
    <row r="192" spans="1:35" x14ac:dyDescent="0.25">
      <c r="A192" t="s">
        <v>190</v>
      </c>
      <c r="B192" t="s">
        <v>128</v>
      </c>
      <c r="C192">
        <v>48755113</v>
      </c>
      <c r="D192" t="s">
        <v>211</v>
      </c>
      <c r="E192" t="s">
        <v>16</v>
      </c>
      <c r="F192" t="s">
        <v>143</v>
      </c>
      <c r="G192" t="s">
        <v>45</v>
      </c>
      <c r="H192">
        <v>2023</v>
      </c>
      <c r="I192" t="s">
        <v>59</v>
      </c>
      <c r="L192" t="s">
        <v>99</v>
      </c>
      <c r="AG192">
        <f t="shared" si="2"/>
        <v>1</v>
      </c>
      <c r="AH192">
        <f>'TABLA PREVIOS'!E192</f>
        <v>245</v>
      </c>
      <c r="AI192">
        <f>VLOOKUP(C192,ALUMNOS!A:B,2,FALSE)</f>
        <v>94</v>
      </c>
    </row>
    <row r="193" spans="1:35" x14ac:dyDescent="0.25">
      <c r="A193" t="s">
        <v>190</v>
      </c>
      <c r="B193" t="s">
        <v>128</v>
      </c>
      <c r="C193">
        <v>48496669</v>
      </c>
      <c r="D193" t="s">
        <v>212</v>
      </c>
      <c r="E193" t="s">
        <v>12</v>
      </c>
      <c r="F193" t="s">
        <v>143</v>
      </c>
      <c r="G193" t="s">
        <v>43</v>
      </c>
      <c r="H193">
        <v>2023</v>
      </c>
      <c r="I193" t="s">
        <v>59</v>
      </c>
      <c r="L193" t="s">
        <v>107</v>
      </c>
      <c r="M193">
        <v>45405</v>
      </c>
      <c r="N193">
        <v>7</v>
      </c>
      <c r="O193">
        <v>68</v>
      </c>
      <c r="P193">
        <v>31</v>
      </c>
      <c r="AG193">
        <f t="shared" si="2"/>
        <v>7</v>
      </c>
      <c r="AH193">
        <f>'TABLA PREVIOS'!E193</f>
        <v>240</v>
      </c>
      <c r="AI193">
        <f>VLOOKUP(C193,ALUMNOS!A:B,2,FALSE)</f>
        <v>805</v>
      </c>
    </row>
    <row r="194" spans="1:35" x14ac:dyDescent="0.25">
      <c r="A194" t="s">
        <v>190</v>
      </c>
      <c r="B194" t="s">
        <v>128</v>
      </c>
      <c r="C194">
        <v>49458710</v>
      </c>
      <c r="D194" t="s">
        <v>213</v>
      </c>
      <c r="E194" t="s">
        <v>27</v>
      </c>
      <c r="F194" t="s">
        <v>143</v>
      </c>
      <c r="G194" t="s">
        <v>43</v>
      </c>
      <c r="H194">
        <v>2023</v>
      </c>
      <c r="I194" t="s">
        <v>59</v>
      </c>
      <c r="L194" t="s">
        <v>99</v>
      </c>
      <c r="M194">
        <v>45411</v>
      </c>
      <c r="N194">
        <v>4</v>
      </c>
      <c r="O194">
        <v>68</v>
      </c>
      <c r="P194">
        <v>43</v>
      </c>
      <c r="Q194">
        <v>45474</v>
      </c>
      <c r="R194">
        <v>2</v>
      </c>
      <c r="S194">
        <v>68</v>
      </c>
      <c r="T194">
        <v>67</v>
      </c>
      <c r="AG194">
        <f t="shared" si="2"/>
        <v>1</v>
      </c>
      <c r="AH194">
        <f>'TABLA PREVIOS'!E194</f>
        <v>244</v>
      </c>
      <c r="AI194">
        <f>VLOOKUP(C194,ALUMNOS!A:B,2,FALSE)</f>
        <v>806</v>
      </c>
    </row>
    <row r="195" spans="1:35" x14ac:dyDescent="0.25">
      <c r="A195" t="s">
        <v>190</v>
      </c>
      <c r="B195" t="s">
        <v>128</v>
      </c>
      <c r="C195">
        <v>49458710</v>
      </c>
      <c r="D195" t="s">
        <v>213</v>
      </c>
      <c r="E195" t="s">
        <v>12</v>
      </c>
      <c r="F195" t="s">
        <v>143</v>
      </c>
      <c r="G195" t="s">
        <v>43</v>
      </c>
      <c r="H195">
        <v>2023</v>
      </c>
      <c r="I195" t="s">
        <v>59</v>
      </c>
      <c r="L195" t="s">
        <v>107</v>
      </c>
      <c r="M195">
        <v>45405</v>
      </c>
      <c r="N195">
        <v>7</v>
      </c>
      <c r="O195">
        <v>68</v>
      </c>
      <c r="P195">
        <v>31</v>
      </c>
      <c r="AG195">
        <f t="shared" ref="AG195:AG258" si="3">IF(VALUE(MAX(N195,R195,V195,Z195,AC195,))&gt;=7,VALUE(MAX(N195,R195,V195,Z195,AC195,)),1)</f>
        <v>7</v>
      </c>
      <c r="AH195">
        <f>'TABLA PREVIOS'!E195</f>
        <v>240</v>
      </c>
      <c r="AI195">
        <f>VLOOKUP(C195,ALUMNOS!A:B,2,FALSE)</f>
        <v>806</v>
      </c>
    </row>
    <row r="196" spans="1:35" x14ac:dyDescent="0.25">
      <c r="A196" t="s">
        <v>190</v>
      </c>
      <c r="B196" t="s">
        <v>128</v>
      </c>
      <c r="C196">
        <v>48905277</v>
      </c>
      <c r="D196" t="s">
        <v>214</v>
      </c>
      <c r="E196" t="s">
        <v>12</v>
      </c>
      <c r="F196" t="s">
        <v>95</v>
      </c>
      <c r="G196" t="s">
        <v>43</v>
      </c>
      <c r="H196">
        <v>2022</v>
      </c>
      <c r="I196" t="s">
        <v>59</v>
      </c>
      <c r="L196" t="s">
        <v>99</v>
      </c>
      <c r="M196">
        <v>45405</v>
      </c>
      <c r="N196" t="s">
        <v>101</v>
      </c>
      <c r="O196">
        <v>68</v>
      </c>
      <c r="P196">
        <v>30</v>
      </c>
      <c r="AG196">
        <f t="shared" si="3"/>
        <v>1</v>
      </c>
      <c r="AH196">
        <f>'TABLA PREVIOS'!E196</f>
        <v>230</v>
      </c>
      <c r="AI196">
        <f>VLOOKUP(C196,ALUMNOS!A:B,2,FALSE)</f>
        <v>561</v>
      </c>
    </row>
    <row r="197" spans="1:35" x14ac:dyDescent="0.25">
      <c r="A197" t="s">
        <v>190</v>
      </c>
      <c r="B197" t="s">
        <v>128</v>
      </c>
      <c r="C197">
        <v>48905277</v>
      </c>
      <c r="D197" t="s">
        <v>214</v>
      </c>
      <c r="E197" t="s">
        <v>28</v>
      </c>
      <c r="F197" t="s">
        <v>143</v>
      </c>
      <c r="G197" t="s">
        <v>43</v>
      </c>
      <c r="H197">
        <v>2023</v>
      </c>
      <c r="I197" t="s">
        <v>59</v>
      </c>
      <c r="L197" t="s">
        <v>99</v>
      </c>
      <c r="AG197">
        <f t="shared" si="3"/>
        <v>1</v>
      </c>
      <c r="AH197">
        <f>'TABLA PREVIOS'!E197</f>
        <v>249</v>
      </c>
      <c r="AI197">
        <f>VLOOKUP(C197,ALUMNOS!A:B,2,FALSE)</f>
        <v>561</v>
      </c>
    </row>
    <row r="198" spans="1:35" x14ac:dyDescent="0.25">
      <c r="A198" t="s">
        <v>190</v>
      </c>
      <c r="B198" t="s">
        <v>128</v>
      </c>
      <c r="C198">
        <v>48905277</v>
      </c>
      <c r="D198" t="s">
        <v>214</v>
      </c>
      <c r="E198" t="s">
        <v>11</v>
      </c>
      <c r="F198" t="s">
        <v>143</v>
      </c>
      <c r="G198" t="s">
        <v>45</v>
      </c>
      <c r="H198">
        <v>2023</v>
      </c>
      <c r="I198" t="s">
        <v>59</v>
      </c>
      <c r="L198" t="s">
        <v>99</v>
      </c>
      <c r="AG198">
        <f t="shared" si="3"/>
        <v>1</v>
      </c>
      <c r="AH198">
        <f>'TABLA PREVIOS'!E198</f>
        <v>239</v>
      </c>
      <c r="AI198">
        <f>VLOOKUP(C198,ALUMNOS!A:B,2,FALSE)</f>
        <v>561</v>
      </c>
    </row>
    <row r="199" spans="1:35" x14ac:dyDescent="0.25">
      <c r="A199" t="s">
        <v>190</v>
      </c>
      <c r="B199" t="s">
        <v>128</v>
      </c>
      <c r="C199">
        <v>48952605</v>
      </c>
      <c r="D199" t="s">
        <v>215</v>
      </c>
      <c r="E199" t="s">
        <v>16</v>
      </c>
      <c r="F199" t="s">
        <v>95</v>
      </c>
      <c r="G199" t="s">
        <v>43</v>
      </c>
      <c r="H199">
        <v>2020</v>
      </c>
      <c r="I199" t="s">
        <v>59</v>
      </c>
      <c r="J199" t="s">
        <v>111</v>
      </c>
      <c r="K199" t="s">
        <v>216</v>
      </c>
      <c r="L199" t="s">
        <v>99</v>
      </c>
      <c r="AG199">
        <f t="shared" si="3"/>
        <v>1</v>
      </c>
      <c r="AH199">
        <f>'TABLA PREVIOS'!E199</f>
        <v>234</v>
      </c>
      <c r="AI199">
        <f>VLOOKUP(C199,ALUMNOS!A:B,2,FALSE)</f>
        <v>646</v>
      </c>
    </row>
    <row r="200" spans="1:35" x14ac:dyDescent="0.25">
      <c r="A200" t="s">
        <v>190</v>
      </c>
      <c r="B200" t="s">
        <v>128</v>
      </c>
      <c r="C200">
        <v>48952605</v>
      </c>
      <c r="D200" t="s">
        <v>215</v>
      </c>
      <c r="E200" t="s">
        <v>17</v>
      </c>
      <c r="F200" t="s">
        <v>143</v>
      </c>
      <c r="G200" t="s">
        <v>43</v>
      </c>
      <c r="H200">
        <v>2021</v>
      </c>
      <c r="I200" t="s">
        <v>59</v>
      </c>
      <c r="L200" t="s">
        <v>99</v>
      </c>
      <c r="AG200">
        <f t="shared" si="3"/>
        <v>1</v>
      </c>
      <c r="AH200">
        <f>'TABLA PREVIOS'!E200</f>
        <v>246</v>
      </c>
      <c r="AI200">
        <f>VLOOKUP(C200,ALUMNOS!A:B,2,FALSE)</f>
        <v>646</v>
      </c>
    </row>
    <row r="201" spans="1:35" x14ac:dyDescent="0.25">
      <c r="A201" t="s">
        <v>190</v>
      </c>
      <c r="B201" t="s">
        <v>128</v>
      </c>
      <c r="C201">
        <v>48952605</v>
      </c>
      <c r="D201" t="s">
        <v>215</v>
      </c>
      <c r="E201" t="s">
        <v>23</v>
      </c>
      <c r="F201" t="s">
        <v>143</v>
      </c>
      <c r="G201" t="s">
        <v>43</v>
      </c>
      <c r="H201">
        <v>2021</v>
      </c>
      <c r="I201" t="s">
        <v>59</v>
      </c>
      <c r="L201" t="s">
        <v>99</v>
      </c>
      <c r="AG201">
        <f t="shared" si="3"/>
        <v>1</v>
      </c>
      <c r="AH201">
        <f>'TABLA PREVIOS'!E201</f>
        <v>247</v>
      </c>
      <c r="AI201">
        <f>VLOOKUP(C201,ALUMNOS!A:B,2,FALSE)</f>
        <v>646</v>
      </c>
    </row>
    <row r="202" spans="1:35" x14ac:dyDescent="0.25">
      <c r="A202" t="s">
        <v>190</v>
      </c>
      <c r="B202" t="s">
        <v>128</v>
      </c>
      <c r="C202">
        <v>48952605</v>
      </c>
      <c r="D202" t="s">
        <v>215</v>
      </c>
      <c r="E202" t="s">
        <v>10</v>
      </c>
      <c r="F202" t="s">
        <v>143</v>
      </c>
      <c r="G202" t="s">
        <v>43</v>
      </c>
      <c r="H202">
        <v>2021</v>
      </c>
      <c r="I202" t="s">
        <v>59</v>
      </c>
      <c r="L202" t="s">
        <v>99</v>
      </c>
      <c r="AG202">
        <f t="shared" si="3"/>
        <v>1</v>
      </c>
      <c r="AH202">
        <f>'TABLA PREVIOS'!E202</f>
        <v>238</v>
      </c>
      <c r="AI202">
        <f>VLOOKUP(C202,ALUMNOS!A:B,2,FALSE)</f>
        <v>646</v>
      </c>
    </row>
    <row r="203" spans="1:35" x14ac:dyDescent="0.25">
      <c r="A203" t="s">
        <v>190</v>
      </c>
      <c r="B203" t="s">
        <v>128</v>
      </c>
      <c r="C203">
        <v>49497126</v>
      </c>
      <c r="D203" t="s">
        <v>217</v>
      </c>
      <c r="E203" t="s">
        <v>28</v>
      </c>
      <c r="F203" t="s">
        <v>143</v>
      </c>
      <c r="G203" t="s">
        <v>43</v>
      </c>
      <c r="H203">
        <v>2023</v>
      </c>
      <c r="I203" t="s">
        <v>59</v>
      </c>
      <c r="L203" t="s">
        <v>107</v>
      </c>
      <c r="Q203">
        <v>45474</v>
      </c>
      <c r="R203">
        <v>7</v>
      </c>
      <c r="S203">
        <v>68</v>
      </c>
      <c r="T203">
        <v>53</v>
      </c>
      <c r="AG203">
        <f t="shared" si="3"/>
        <v>7</v>
      </c>
      <c r="AH203">
        <f>'TABLA PREVIOS'!E203</f>
        <v>249</v>
      </c>
      <c r="AI203">
        <f>VLOOKUP(C203,ALUMNOS!A:B,2,FALSE)</f>
        <v>723</v>
      </c>
    </row>
    <row r="204" spans="1:35" x14ac:dyDescent="0.25">
      <c r="A204" t="s">
        <v>190</v>
      </c>
      <c r="B204" t="s">
        <v>128</v>
      </c>
      <c r="C204">
        <v>49497126</v>
      </c>
      <c r="D204" t="s">
        <v>217</v>
      </c>
      <c r="E204" t="s">
        <v>26</v>
      </c>
      <c r="F204" t="s">
        <v>143</v>
      </c>
      <c r="G204" t="s">
        <v>43</v>
      </c>
      <c r="H204">
        <v>2023</v>
      </c>
      <c r="I204" t="s">
        <v>59</v>
      </c>
      <c r="L204" t="s">
        <v>107</v>
      </c>
      <c r="M204">
        <v>45404</v>
      </c>
      <c r="N204">
        <v>7</v>
      </c>
      <c r="O204">
        <v>68</v>
      </c>
      <c r="P204">
        <v>27</v>
      </c>
      <c r="AG204">
        <f t="shared" si="3"/>
        <v>7</v>
      </c>
      <c r="AH204">
        <f>'TABLA PREVIOS'!E204</f>
        <v>243</v>
      </c>
      <c r="AI204">
        <f>VLOOKUP(C204,ALUMNOS!A:B,2,FALSE)</f>
        <v>723</v>
      </c>
    </row>
    <row r="205" spans="1:35" x14ac:dyDescent="0.25">
      <c r="A205" t="s">
        <v>190</v>
      </c>
      <c r="B205" t="s">
        <v>128</v>
      </c>
      <c r="C205">
        <v>49497126</v>
      </c>
      <c r="D205" t="s">
        <v>217</v>
      </c>
      <c r="E205" t="s">
        <v>12</v>
      </c>
      <c r="F205" t="s">
        <v>143</v>
      </c>
      <c r="G205" t="s">
        <v>45</v>
      </c>
      <c r="H205">
        <v>2023</v>
      </c>
      <c r="I205" t="s">
        <v>59</v>
      </c>
      <c r="L205" t="s">
        <v>99</v>
      </c>
      <c r="AG205">
        <f t="shared" si="3"/>
        <v>1</v>
      </c>
      <c r="AH205">
        <f>'TABLA PREVIOS'!E205</f>
        <v>240</v>
      </c>
      <c r="AI205">
        <f>VLOOKUP(C205,ALUMNOS!A:B,2,FALSE)</f>
        <v>723</v>
      </c>
    </row>
    <row r="206" spans="1:35" x14ac:dyDescent="0.25">
      <c r="A206" t="s">
        <v>190</v>
      </c>
      <c r="B206" t="s">
        <v>128</v>
      </c>
      <c r="C206">
        <v>48755672</v>
      </c>
      <c r="D206" t="s">
        <v>218</v>
      </c>
      <c r="E206" t="s">
        <v>12</v>
      </c>
      <c r="F206" t="s">
        <v>143</v>
      </c>
      <c r="G206" t="s">
        <v>43</v>
      </c>
      <c r="H206">
        <v>2023</v>
      </c>
      <c r="I206" t="s">
        <v>59</v>
      </c>
      <c r="L206" t="s">
        <v>99</v>
      </c>
      <c r="AG206">
        <f t="shared" si="3"/>
        <v>1</v>
      </c>
      <c r="AH206">
        <f>'TABLA PREVIOS'!E206</f>
        <v>240</v>
      </c>
      <c r="AI206">
        <f>VLOOKUP(C206,ALUMNOS!A:B,2,FALSE)</f>
        <v>763</v>
      </c>
    </row>
    <row r="207" spans="1:35" x14ac:dyDescent="0.25">
      <c r="A207" t="s">
        <v>190</v>
      </c>
      <c r="B207" t="s">
        <v>128</v>
      </c>
      <c r="C207">
        <v>49455843</v>
      </c>
      <c r="D207" t="s">
        <v>219</v>
      </c>
      <c r="E207" t="s">
        <v>11</v>
      </c>
      <c r="F207" t="s">
        <v>95</v>
      </c>
      <c r="G207" t="s">
        <v>43</v>
      </c>
      <c r="H207">
        <v>2022</v>
      </c>
      <c r="I207" t="s">
        <v>59</v>
      </c>
      <c r="L207" t="s">
        <v>99</v>
      </c>
      <c r="M207">
        <v>45411</v>
      </c>
      <c r="N207" t="s">
        <v>50</v>
      </c>
      <c r="O207">
        <v>68</v>
      </c>
      <c r="P207">
        <v>38</v>
      </c>
      <c r="AG207">
        <f t="shared" si="3"/>
        <v>1</v>
      </c>
      <c r="AH207">
        <f>'TABLA PREVIOS'!E207</f>
        <v>229</v>
      </c>
      <c r="AI207">
        <f>VLOOKUP(C207,ALUMNOS!A:B,2,FALSE)</f>
        <v>780</v>
      </c>
    </row>
    <row r="208" spans="1:35" x14ac:dyDescent="0.25">
      <c r="A208" t="s">
        <v>190</v>
      </c>
      <c r="B208" t="s">
        <v>128</v>
      </c>
      <c r="C208">
        <v>49455843</v>
      </c>
      <c r="D208" t="s">
        <v>219</v>
      </c>
      <c r="E208" t="s">
        <v>26</v>
      </c>
      <c r="F208" t="s">
        <v>143</v>
      </c>
      <c r="G208" t="s">
        <v>43</v>
      </c>
      <c r="H208">
        <v>2023</v>
      </c>
      <c r="I208" t="s">
        <v>59</v>
      </c>
      <c r="L208" t="s">
        <v>99</v>
      </c>
      <c r="AG208">
        <f t="shared" si="3"/>
        <v>1</v>
      </c>
      <c r="AH208">
        <f>'TABLA PREVIOS'!E208</f>
        <v>243</v>
      </c>
      <c r="AI208">
        <f>VLOOKUP(C208,ALUMNOS!A:B,2,FALSE)</f>
        <v>780</v>
      </c>
    </row>
    <row r="209" spans="1:35" x14ac:dyDescent="0.25">
      <c r="A209" t="s">
        <v>220</v>
      </c>
      <c r="B209" t="s">
        <v>96</v>
      </c>
      <c r="C209">
        <v>47734199</v>
      </c>
      <c r="D209" t="s">
        <v>221</v>
      </c>
      <c r="E209" t="s">
        <v>18</v>
      </c>
      <c r="F209" t="s">
        <v>95</v>
      </c>
      <c r="G209" t="s">
        <v>43</v>
      </c>
      <c r="H209">
        <v>2020</v>
      </c>
      <c r="I209" t="s">
        <v>59</v>
      </c>
      <c r="L209" t="s">
        <v>99</v>
      </c>
      <c r="AG209">
        <f t="shared" si="3"/>
        <v>1</v>
      </c>
      <c r="AH209">
        <f>'TABLA PREVIOS'!E209</f>
        <v>236</v>
      </c>
      <c r="AI209">
        <f>VLOOKUP(C209,ALUMNOS!A:B,2,FALSE)</f>
        <v>41</v>
      </c>
    </row>
    <row r="210" spans="1:35" x14ac:dyDescent="0.25">
      <c r="A210" t="s">
        <v>220</v>
      </c>
      <c r="B210" t="s">
        <v>96</v>
      </c>
      <c r="C210">
        <v>47734199</v>
      </c>
      <c r="D210" t="s">
        <v>221</v>
      </c>
      <c r="E210" t="s">
        <v>11</v>
      </c>
      <c r="F210" t="s">
        <v>95</v>
      </c>
      <c r="G210" t="s">
        <v>45</v>
      </c>
      <c r="H210">
        <v>2020</v>
      </c>
      <c r="I210" t="s">
        <v>59</v>
      </c>
      <c r="L210" t="s">
        <v>99</v>
      </c>
      <c r="AG210">
        <f t="shared" si="3"/>
        <v>1</v>
      </c>
      <c r="AH210">
        <f>'TABLA PREVIOS'!E210</f>
        <v>229</v>
      </c>
      <c r="AI210">
        <f>VLOOKUP(C210,ALUMNOS!A:B,2,FALSE)</f>
        <v>41</v>
      </c>
    </row>
    <row r="211" spans="1:35" x14ac:dyDescent="0.25">
      <c r="A211" t="s">
        <v>220</v>
      </c>
      <c r="B211" t="s">
        <v>96</v>
      </c>
      <c r="C211">
        <v>47734199</v>
      </c>
      <c r="D211" t="s">
        <v>221</v>
      </c>
      <c r="E211" t="s">
        <v>18</v>
      </c>
      <c r="F211" t="s">
        <v>143</v>
      </c>
      <c r="G211" t="s">
        <v>43</v>
      </c>
      <c r="H211">
        <v>2021</v>
      </c>
      <c r="I211" t="s">
        <v>59</v>
      </c>
      <c r="L211" t="s">
        <v>99</v>
      </c>
      <c r="AG211">
        <f t="shared" si="3"/>
        <v>1</v>
      </c>
      <c r="AH211">
        <f>'TABLA PREVIOS'!E211</f>
        <v>248</v>
      </c>
      <c r="AI211">
        <f>VLOOKUP(C211,ALUMNOS!A:B,2,FALSE)</f>
        <v>41</v>
      </c>
    </row>
    <row r="212" spans="1:35" x14ac:dyDescent="0.25">
      <c r="A212" t="s">
        <v>220</v>
      </c>
      <c r="B212" t="s">
        <v>96</v>
      </c>
      <c r="C212">
        <v>47975092</v>
      </c>
      <c r="D212" t="s">
        <v>222</v>
      </c>
      <c r="E212" t="s">
        <v>29</v>
      </c>
      <c r="F212" t="s">
        <v>190</v>
      </c>
      <c r="G212" t="s">
        <v>43</v>
      </c>
      <c r="H212">
        <v>2023</v>
      </c>
      <c r="I212" t="s">
        <v>60</v>
      </c>
      <c r="L212" t="s">
        <v>99</v>
      </c>
      <c r="AG212">
        <f t="shared" si="3"/>
        <v>1</v>
      </c>
      <c r="AH212">
        <f>'TABLA PREVIOS'!E212</f>
        <v>259</v>
      </c>
      <c r="AI212">
        <f>VLOOKUP(C212,ALUMNOS!A:B,2,FALSE)</f>
        <v>57</v>
      </c>
    </row>
    <row r="213" spans="1:35" x14ac:dyDescent="0.25">
      <c r="A213" t="s">
        <v>220</v>
      </c>
      <c r="B213" t="s">
        <v>96</v>
      </c>
      <c r="C213">
        <v>47618809</v>
      </c>
      <c r="D213" t="s">
        <v>223</v>
      </c>
      <c r="E213" t="s">
        <v>21</v>
      </c>
      <c r="F213" t="s">
        <v>95</v>
      </c>
      <c r="G213" t="s">
        <v>43</v>
      </c>
      <c r="H213">
        <v>2021</v>
      </c>
      <c r="I213" t="s">
        <v>59</v>
      </c>
      <c r="L213" t="s">
        <v>99</v>
      </c>
      <c r="M213">
        <v>45401</v>
      </c>
      <c r="N213" t="s">
        <v>50</v>
      </c>
      <c r="O213">
        <v>68</v>
      </c>
      <c r="P213">
        <v>25</v>
      </c>
      <c r="AG213">
        <f t="shared" si="3"/>
        <v>1</v>
      </c>
      <c r="AH213">
        <f>'TABLA PREVIOS'!E213</f>
        <v>232</v>
      </c>
      <c r="AI213">
        <f>VLOOKUP(C213,ALUMNOS!A:B,2,FALSE)</f>
        <v>355</v>
      </c>
    </row>
    <row r="214" spans="1:35" x14ac:dyDescent="0.25">
      <c r="A214" t="s">
        <v>220</v>
      </c>
      <c r="B214" t="s">
        <v>96</v>
      </c>
      <c r="C214">
        <v>47618809</v>
      </c>
      <c r="D214" t="s">
        <v>223</v>
      </c>
      <c r="E214" t="s">
        <v>28</v>
      </c>
      <c r="F214" t="s">
        <v>190</v>
      </c>
      <c r="G214" t="s">
        <v>43</v>
      </c>
      <c r="H214">
        <v>2023</v>
      </c>
      <c r="I214" t="s">
        <v>60</v>
      </c>
      <c r="L214" t="s">
        <v>99</v>
      </c>
      <c r="AG214">
        <f t="shared" si="3"/>
        <v>1</v>
      </c>
      <c r="AH214">
        <f>'TABLA PREVIOS'!E214</f>
        <v>258</v>
      </c>
      <c r="AI214">
        <f>VLOOKUP(C214,ALUMNOS!A:B,2,FALSE)</f>
        <v>355</v>
      </c>
    </row>
    <row r="215" spans="1:35" x14ac:dyDescent="0.25">
      <c r="A215" t="s">
        <v>220</v>
      </c>
      <c r="B215" t="s">
        <v>96</v>
      </c>
      <c r="C215">
        <v>47618809</v>
      </c>
      <c r="D215" t="s">
        <v>223</v>
      </c>
      <c r="E215" t="s">
        <v>12</v>
      </c>
      <c r="F215" t="s">
        <v>190</v>
      </c>
      <c r="G215" t="s">
        <v>45</v>
      </c>
      <c r="H215">
        <v>2023</v>
      </c>
      <c r="I215" t="s">
        <v>60</v>
      </c>
      <c r="L215" t="s">
        <v>99</v>
      </c>
      <c r="AG215">
        <f t="shared" si="3"/>
        <v>1</v>
      </c>
      <c r="AH215">
        <f>'TABLA PREVIOS'!E215</f>
        <v>252</v>
      </c>
      <c r="AI215">
        <f>VLOOKUP(C215,ALUMNOS!A:B,2,FALSE)</f>
        <v>355</v>
      </c>
    </row>
    <row r="216" spans="1:35" x14ac:dyDescent="0.25">
      <c r="A216" t="s">
        <v>220</v>
      </c>
      <c r="B216" t="s">
        <v>96</v>
      </c>
      <c r="C216">
        <v>48130240</v>
      </c>
      <c r="D216" t="s">
        <v>224</v>
      </c>
      <c r="E216" t="s">
        <v>30</v>
      </c>
      <c r="F216" t="s">
        <v>190</v>
      </c>
      <c r="G216" t="s">
        <v>44</v>
      </c>
      <c r="H216">
        <v>2024</v>
      </c>
      <c r="I216" t="s">
        <v>60</v>
      </c>
      <c r="L216" t="s">
        <v>99</v>
      </c>
      <c r="AG216">
        <f t="shared" si="3"/>
        <v>1</v>
      </c>
      <c r="AH216">
        <f>'TABLA PREVIOS'!E216</f>
        <v>260</v>
      </c>
      <c r="AI216">
        <f>VLOOKUP(C216,ALUMNOS!A:B,2,FALSE)</f>
        <v>814</v>
      </c>
    </row>
    <row r="217" spans="1:35" x14ac:dyDescent="0.25">
      <c r="A217" t="s">
        <v>220</v>
      </c>
      <c r="B217" t="s">
        <v>96</v>
      </c>
      <c r="C217">
        <v>48130240</v>
      </c>
      <c r="D217" t="s">
        <v>224</v>
      </c>
      <c r="E217" t="s">
        <v>29</v>
      </c>
      <c r="F217" t="s">
        <v>190</v>
      </c>
      <c r="G217" t="s">
        <v>44</v>
      </c>
      <c r="H217">
        <v>2024</v>
      </c>
      <c r="I217" t="s">
        <v>60</v>
      </c>
      <c r="L217" t="s">
        <v>99</v>
      </c>
      <c r="AG217">
        <f t="shared" si="3"/>
        <v>1</v>
      </c>
      <c r="AH217">
        <f>'TABLA PREVIOS'!E217</f>
        <v>259</v>
      </c>
      <c r="AI217">
        <f>VLOOKUP(C217,ALUMNOS!A:B,2,FALSE)</f>
        <v>814</v>
      </c>
    </row>
    <row r="218" spans="1:35" x14ac:dyDescent="0.25">
      <c r="A218" t="s">
        <v>220</v>
      </c>
      <c r="B218" t="s">
        <v>96</v>
      </c>
      <c r="C218">
        <v>47632747</v>
      </c>
      <c r="D218" t="s">
        <v>225</v>
      </c>
      <c r="E218" t="s">
        <v>28</v>
      </c>
      <c r="F218" t="s">
        <v>190</v>
      </c>
      <c r="G218" t="s">
        <v>43</v>
      </c>
      <c r="H218">
        <v>2023</v>
      </c>
      <c r="I218" t="s">
        <v>60</v>
      </c>
      <c r="L218" t="s">
        <v>99</v>
      </c>
      <c r="AG218">
        <f t="shared" si="3"/>
        <v>1</v>
      </c>
      <c r="AH218">
        <f>'TABLA PREVIOS'!E218</f>
        <v>258</v>
      </c>
      <c r="AI218">
        <f>VLOOKUP(C218,ALUMNOS!A:B,2,FALSE)</f>
        <v>694</v>
      </c>
    </row>
    <row r="219" spans="1:35" x14ac:dyDescent="0.25">
      <c r="A219" t="s">
        <v>220</v>
      </c>
      <c r="B219" t="s">
        <v>96</v>
      </c>
      <c r="C219">
        <v>47632747</v>
      </c>
      <c r="D219" t="s">
        <v>225</v>
      </c>
      <c r="E219" t="s">
        <v>16</v>
      </c>
      <c r="F219" t="s">
        <v>190</v>
      </c>
      <c r="G219" t="s">
        <v>43</v>
      </c>
      <c r="H219">
        <v>2023</v>
      </c>
      <c r="I219" t="s">
        <v>60</v>
      </c>
      <c r="L219" t="s">
        <v>107</v>
      </c>
      <c r="M219">
        <v>45406</v>
      </c>
      <c r="N219">
        <v>7</v>
      </c>
      <c r="O219">
        <v>68</v>
      </c>
      <c r="P219">
        <v>36</v>
      </c>
      <c r="AG219">
        <f t="shared" si="3"/>
        <v>7</v>
      </c>
      <c r="AH219">
        <f>'TABLA PREVIOS'!E219</f>
        <v>256</v>
      </c>
      <c r="AI219">
        <f>VLOOKUP(C219,ALUMNOS!A:B,2,FALSE)</f>
        <v>694</v>
      </c>
    </row>
    <row r="220" spans="1:35" x14ac:dyDescent="0.25">
      <c r="A220" t="s">
        <v>220</v>
      </c>
      <c r="B220" t="s">
        <v>109</v>
      </c>
      <c r="C220">
        <v>46722168</v>
      </c>
      <c r="D220" t="s">
        <v>226</v>
      </c>
      <c r="E220" t="s">
        <v>12</v>
      </c>
      <c r="F220" t="s">
        <v>143</v>
      </c>
      <c r="G220" t="s">
        <v>43</v>
      </c>
      <c r="H220">
        <v>2022</v>
      </c>
      <c r="I220" t="s">
        <v>59</v>
      </c>
      <c r="L220" t="s">
        <v>99</v>
      </c>
      <c r="AG220">
        <f t="shared" si="3"/>
        <v>1</v>
      </c>
      <c r="AH220">
        <f>'TABLA PREVIOS'!E220</f>
        <v>240</v>
      </c>
      <c r="AI220">
        <f>VLOOKUP(C220,ALUMNOS!A:B,2,FALSE)</f>
        <v>811</v>
      </c>
    </row>
    <row r="221" spans="1:35" x14ac:dyDescent="0.25">
      <c r="A221" t="s">
        <v>220</v>
      </c>
      <c r="B221" t="s">
        <v>109</v>
      </c>
      <c r="C221">
        <v>46722168</v>
      </c>
      <c r="D221" t="s">
        <v>226</v>
      </c>
      <c r="E221" t="s">
        <v>12</v>
      </c>
      <c r="F221" t="s">
        <v>190</v>
      </c>
      <c r="G221" t="s">
        <v>43</v>
      </c>
      <c r="H221">
        <v>2023</v>
      </c>
      <c r="I221" t="s">
        <v>60</v>
      </c>
      <c r="L221" t="s">
        <v>99</v>
      </c>
      <c r="AG221">
        <f t="shared" si="3"/>
        <v>1</v>
      </c>
      <c r="AH221">
        <f>'TABLA PREVIOS'!E221</f>
        <v>252</v>
      </c>
      <c r="AI221">
        <f>VLOOKUP(C221,ALUMNOS!A:B,2,FALSE)</f>
        <v>811</v>
      </c>
    </row>
    <row r="222" spans="1:35" x14ac:dyDescent="0.25">
      <c r="A222" t="s">
        <v>220</v>
      </c>
      <c r="B222" t="s">
        <v>109</v>
      </c>
      <c r="C222">
        <v>47987537</v>
      </c>
      <c r="D222" t="s">
        <v>227</v>
      </c>
      <c r="E222" t="s">
        <v>12</v>
      </c>
      <c r="F222" t="s">
        <v>95</v>
      </c>
      <c r="G222" t="s">
        <v>43</v>
      </c>
      <c r="H222">
        <v>2021</v>
      </c>
      <c r="I222" t="s">
        <v>59</v>
      </c>
      <c r="L222" t="s">
        <v>99</v>
      </c>
      <c r="AG222">
        <f t="shared" si="3"/>
        <v>1</v>
      </c>
      <c r="AH222">
        <f>'TABLA PREVIOS'!E222</f>
        <v>230</v>
      </c>
      <c r="AI222">
        <f>VLOOKUP(C222,ALUMNOS!A:B,2,FALSE)</f>
        <v>176</v>
      </c>
    </row>
    <row r="223" spans="1:35" x14ac:dyDescent="0.25">
      <c r="A223" t="s">
        <v>220</v>
      </c>
      <c r="B223" t="s">
        <v>109</v>
      </c>
      <c r="C223">
        <v>47987537</v>
      </c>
      <c r="D223" t="s">
        <v>227</v>
      </c>
      <c r="E223" t="s">
        <v>16</v>
      </c>
      <c r="F223" t="s">
        <v>143</v>
      </c>
      <c r="G223" t="s">
        <v>43</v>
      </c>
      <c r="H223">
        <v>2022</v>
      </c>
      <c r="I223" t="s">
        <v>59</v>
      </c>
      <c r="L223" t="s">
        <v>99</v>
      </c>
      <c r="AG223">
        <f t="shared" si="3"/>
        <v>1</v>
      </c>
      <c r="AH223">
        <f>'TABLA PREVIOS'!E223</f>
        <v>245</v>
      </c>
      <c r="AI223">
        <f>VLOOKUP(C223,ALUMNOS!A:B,2,FALSE)</f>
        <v>176</v>
      </c>
    </row>
    <row r="224" spans="1:35" x14ac:dyDescent="0.25">
      <c r="A224" t="s">
        <v>220</v>
      </c>
      <c r="B224" t="s">
        <v>109</v>
      </c>
      <c r="C224">
        <v>47665548</v>
      </c>
      <c r="D224" t="s">
        <v>228</v>
      </c>
      <c r="E224" t="s">
        <v>10</v>
      </c>
      <c r="F224" t="s">
        <v>95</v>
      </c>
      <c r="G224" t="s">
        <v>43</v>
      </c>
      <c r="H224">
        <v>2020</v>
      </c>
      <c r="I224" t="s">
        <v>59</v>
      </c>
      <c r="L224" t="s">
        <v>99</v>
      </c>
      <c r="AG224">
        <f t="shared" si="3"/>
        <v>1</v>
      </c>
      <c r="AH224">
        <f>'TABLA PREVIOS'!E224</f>
        <v>228</v>
      </c>
      <c r="AI224">
        <f>VLOOKUP(C224,ALUMNOS!A:B,2,FALSE)</f>
        <v>226</v>
      </c>
    </row>
    <row r="225" spans="1:35" x14ac:dyDescent="0.25">
      <c r="A225" t="s">
        <v>220</v>
      </c>
      <c r="B225" t="s">
        <v>109</v>
      </c>
      <c r="C225">
        <v>47665548</v>
      </c>
      <c r="D225" t="s">
        <v>228</v>
      </c>
      <c r="E225" t="s">
        <v>16</v>
      </c>
      <c r="F225" t="s">
        <v>143</v>
      </c>
      <c r="G225" t="s">
        <v>43</v>
      </c>
      <c r="H225">
        <v>2021</v>
      </c>
      <c r="I225" t="s">
        <v>59</v>
      </c>
      <c r="L225" t="s">
        <v>99</v>
      </c>
      <c r="AG225">
        <f t="shared" si="3"/>
        <v>1</v>
      </c>
      <c r="AH225">
        <f>'TABLA PREVIOS'!E225</f>
        <v>245</v>
      </c>
      <c r="AI225">
        <f>VLOOKUP(C225,ALUMNOS!A:B,2,FALSE)</f>
        <v>226</v>
      </c>
    </row>
    <row r="226" spans="1:35" x14ac:dyDescent="0.25">
      <c r="A226" t="s">
        <v>220</v>
      </c>
      <c r="B226" t="s">
        <v>109</v>
      </c>
      <c r="C226">
        <v>47665548</v>
      </c>
      <c r="D226" t="s">
        <v>228</v>
      </c>
      <c r="E226" t="s">
        <v>11</v>
      </c>
      <c r="F226" t="s">
        <v>143</v>
      </c>
      <c r="G226" t="s">
        <v>45</v>
      </c>
      <c r="H226">
        <v>2021</v>
      </c>
      <c r="I226" t="s">
        <v>59</v>
      </c>
      <c r="K226" t="s">
        <v>229</v>
      </c>
      <c r="L226" t="s">
        <v>99</v>
      </c>
      <c r="AG226">
        <f t="shared" si="3"/>
        <v>1</v>
      </c>
      <c r="AH226">
        <f>'TABLA PREVIOS'!E226</f>
        <v>239</v>
      </c>
      <c r="AI226">
        <f>VLOOKUP(C226,ALUMNOS!A:B,2,FALSE)</f>
        <v>226</v>
      </c>
    </row>
    <row r="227" spans="1:35" x14ac:dyDescent="0.25">
      <c r="A227" t="s">
        <v>220</v>
      </c>
      <c r="B227" t="s">
        <v>109</v>
      </c>
      <c r="C227">
        <v>47653252</v>
      </c>
      <c r="D227" t="s">
        <v>230</v>
      </c>
      <c r="E227" t="s">
        <v>12</v>
      </c>
      <c r="F227" t="s">
        <v>143</v>
      </c>
      <c r="G227" t="s">
        <v>43</v>
      </c>
      <c r="H227">
        <v>2021</v>
      </c>
      <c r="I227" t="s">
        <v>59</v>
      </c>
      <c r="L227" t="s">
        <v>107</v>
      </c>
      <c r="M227">
        <v>45405</v>
      </c>
      <c r="N227" t="s">
        <v>50</v>
      </c>
      <c r="O227">
        <v>68</v>
      </c>
      <c r="P227">
        <v>31</v>
      </c>
      <c r="Q227">
        <v>45474</v>
      </c>
      <c r="R227">
        <v>7</v>
      </c>
      <c r="S227">
        <v>68</v>
      </c>
      <c r="T227">
        <v>62</v>
      </c>
      <c r="AG227">
        <f t="shared" si="3"/>
        <v>7</v>
      </c>
      <c r="AH227">
        <f>'TABLA PREVIOS'!E227</f>
        <v>240</v>
      </c>
      <c r="AI227">
        <f>VLOOKUP(C227,ALUMNOS!A:B,2,FALSE)</f>
        <v>341</v>
      </c>
    </row>
    <row r="228" spans="1:35" x14ac:dyDescent="0.25">
      <c r="A228" t="s">
        <v>220</v>
      </c>
      <c r="B228" t="s">
        <v>109</v>
      </c>
      <c r="C228">
        <v>47989224</v>
      </c>
      <c r="D228" t="s">
        <v>231</v>
      </c>
      <c r="E228" t="s">
        <v>16</v>
      </c>
      <c r="F228" t="s">
        <v>143</v>
      </c>
      <c r="G228" t="s">
        <v>43</v>
      </c>
      <c r="H228">
        <v>2021</v>
      </c>
      <c r="I228" t="s">
        <v>59</v>
      </c>
      <c r="L228" t="s">
        <v>99</v>
      </c>
      <c r="AG228">
        <f t="shared" si="3"/>
        <v>1</v>
      </c>
      <c r="AH228">
        <f>'TABLA PREVIOS'!E228</f>
        <v>245</v>
      </c>
      <c r="AI228">
        <f>VLOOKUP(C228,ALUMNOS!A:B,2,FALSE)</f>
        <v>579</v>
      </c>
    </row>
    <row r="229" spans="1:35" x14ac:dyDescent="0.25">
      <c r="A229" t="s">
        <v>220</v>
      </c>
      <c r="B229" t="s">
        <v>109</v>
      </c>
      <c r="C229">
        <v>47989224</v>
      </c>
      <c r="D229" t="s">
        <v>231</v>
      </c>
      <c r="E229" t="s">
        <v>16</v>
      </c>
      <c r="F229" t="s">
        <v>190</v>
      </c>
      <c r="G229" t="s">
        <v>43</v>
      </c>
      <c r="H229">
        <v>2023</v>
      </c>
      <c r="I229" t="s">
        <v>60</v>
      </c>
      <c r="L229" t="s">
        <v>99</v>
      </c>
      <c r="AG229">
        <f t="shared" si="3"/>
        <v>1</v>
      </c>
      <c r="AH229">
        <f>'TABLA PREVIOS'!E229</f>
        <v>256</v>
      </c>
      <c r="AI229">
        <f>VLOOKUP(C229,ALUMNOS!A:B,2,FALSE)</f>
        <v>579</v>
      </c>
    </row>
    <row r="230" spans="1:35" x14ac:dyDescent="0.25">
      <c r="A230" t="s">
        <v>220</v>
      </c>
      <c r="B230" t="s">
        <v>109</v>
      </c>
      <c r="C230">
        <v>47989224</v>
      </c>
      <c r="D230" t="s">
        <v>231</v>
      </c>
      <c r="E230" t="s">
        <v>12</v>
      </c>
      <c r="F230" t="s">
        <v>190</v>
      </c>
      <c r="G230" t="s">
        <v>45</v>
      </c>
      <c r="H230">
        <v>2023</v>
      </c>
      <c r="I230" t="s">
        <v>60</v>
      </c>
      <c r="L230" t="s">
        <v>99</v>
      </c>
      <c r="AG230">
        <f t="shared" si="3"/>
        <v>1</v>
      </c>
      <c r="AH230">
        <f>'TABLA PREVIOS'!E230</f>
        <v>252</v>
      </c>
      <c r="AI230">
        <f>VLOOKUP(C230,ALUMNOS!A:B,2,FALSE)</f>
        <v>579</v>
      </c>
    </row>
    <row r="231" spans="1:35" x14ac:dyDescent="0.25">
      <c r="A231" t="s">
        <v>220</v>
      </c>
      <c r="B231" t="s">
        <v>109</v>
      </c>
      <c r="C231">
        <v>46509037</v>
      </c>
      <c r="D231" t="s">
        <v>232</v>
      </c>
      <c r="E231" t="s">
        <v>16</v>
      </c>
      <c r="F231" t="s">
        <v>143</v>
      </c>
      <c r="G231" t="s">
        <v>43</v>
      </c>
      <c r="H231">
        <v>2021</v>
      </c>
      <c r="I231" t="s">
        <v>59</v>
      </c>
      <c r="L231" t="s">
        <v>99</v>
      </c>
      <c r="AG231">
        <f t="shared" si="3"/>
        <v>1</v>
      </c>
      <c r="AH231">
        <f>'TABLA PREVIOS'!E231</f>
        <v>245</v>
      </c>
      <c r="AI231">
        <f>VLOOKUP(C231,ALUMNOS!A:B,2,FALSE)</f>
        <v>682</v>
      </c>
    </row>
    <row r="232" spans="1:35" x14ac:dyDescent="0.25">
      <c r="A232" t="s">
        <v>220</v>
      </c>
      <c r="B232" t="s">
        <v>109</v>
      </c>
      <c r="C232">
        <v>46509037</v>
      </c>
      <c r="D232" t="s">
        <v>232</v>
      </c>
      <c r="E232" t="s">
        <v>26</v>
      </c>
      <c r="F232" t="s">
        <v>190</v>
      </c>
      <c r="G232" t="s">
        <v>43</v>
      </c>
      <c r="H232">
        <v>2023</v>
      </c>
      <c r="I232" t="s">
        <v>60</v>
      </c>
      <c r="L232" t="s">
        <v>99</v>
      </c>
      <c r="AG232">
        <f t="shared" si="3"/>
        <v>1</v>
      </c>
      <c r="AH232">
        <f>'TABLA PREVIOS'!E232</f>
        <v>254</v>
      </c>
      <c r="AI232">
        <f>VLOOKUP(C232,ALUMNOS!A:B,2,FALSE)</f>
        <v>682</v>
      </c>
    </row>
    <row r="233" spans="1:35" x14ac:dyDescent="0.25">
      <c r="A233" t="s">
        <v>220</v>
      </c>
      <c r="B233" t="s">
        <v>109</v>
      </c>
      <c r="C233">
        <v>46509037</v>
      </c>
      <c r="D233" t="s">
        <v>232</v>
      </c>
      <c r="E233" t="s">
        <v>16</v>
      </c>
      <c r="F233" t="s">
        <v>190</v>
      </c>
      <c r="G233" t="s">
        <v>45</v>
      </c>
      <c r="H233">
        <v>2023</v>
      </c>
      <c r="I233" t="s">
        <v>60</v>
      </c>
      <c r="L233" t="s">
        <v>99</v>
      </c>
      <c r="AG233">
        <f t="shared" si="3"/>
        <v>1</v>
      </c>
      <c r="AH233">
        <f>'TABLA PREVIOS'!E233</f>
        <v>256</v>
      </c>
      <c r="AI233">
        <f>VLOOKUP(C233,ALUMNOS!A:B,2,FALSE)</f>
        <v>682</v>
      </c>
    </row>
    <row r="234" spans="1:35" x14ac:dyDescent="0.25">
      <c r="A234" t="s">
        <v>220</v>
      </c>
      <c r="B234" t="s">
        <v>109</v>
      </c>
      <c r="C234">
        <v>48607958</v>
      </c>
      <c r="D234" t="s">
        <v>233</v>
      </c>
      <c r="E234" t="s">
        <v>30</v>
      </c>
      <c r="F234" t="s">
        <v>190</v>
      </c>
      <c r="G234" t="s">
        <v>44</v>
      </c>
      <c r="H234">
        <v>2024</v>
      </c>
      <c r="I234" t="s">
        <v>60</v>
      </c>
      <c r="L234" t="s">
        <v>107</v>
      </c>
      <c r="M234">
        <v>45411</v>
      </c>
      <c r="N234">
        <v>9</v>
      </c>
      <c r="O234">
        <v>58</v>
      </c>
      <c r="P234">
        <v>197</v>
      </c>
      <c r="AG234">
        <f t="shared" si="3"/>
        <v>9</v>
      </c>
      <c r="AH234">
        <f>'TABLA PREVIOS'!E234</f>
        <v>260</v>
      </c>
      <c r="AI234">
        <f>VLOOKUP(C234,ALUMNOS!A:B,2,FALSE)</f>
        <v>815</v>
      </c>
    </row>
    <row r="235" spans="1:35" x14ac:dyDescent="0.25">
      <c r="A235" t="s">
        <v>220</v>
      </c>
      <c r="B235" t="s">
        <v>109</v>
      </c>
      <c r="C235">
        <v>48607958</v>
      </c>
      <c r="D235" t="s">
        <v>233</v>
      </c>
      <c r="E235" t="s">
        <v>29</v>
      </c>
      <c r="F235" t="s">
        <v>190</v>
      </c>
      <c r="G235" t="s">
        <v>44</v>
      </c>
      <c r="H235">
        <v>2024</v>
      </c>
      <c r="I235" t="s">
        <v>60</v>
      </c>
      <c r="L235" t="s">
        <v>107</v>
      </c>
      <c r="M235">
        <v>45411</v>
      </c>
      <c r="N235">
        <v>9</v>
      </c>
      <c r="O235">
        <v>58</v>
      </c>
      <c r="P235">
        <v>198</v>
      </c>
      <c r="AG235">
        <f t="shared" si="3"/>
        <v>9</v>
      </c>
      <c r="AH235">
        <f>'TABLA PREVIOS'!E235</f>
        <v>259</v>
      </c>
      <c r="AI235">
        <f>VLOOKUP(C235,ALUMNOS!A:B,2,FALSE)</f>
        <v>815</v>
      </c>
    </row>
    <row r="236" spans="1:35" x14ac:dyDescent="0.25">
      <c r="A236" t="s">
        <v>220</v>
      </c>
      <c r="B236" t="s">
        <v>128</v>
      </c>
      <c r="C236">
        <v>47469192</v>
      </c>
      <c r="D236" t="s">
        <v>234</v>
      </c>
      <c r="E236" t="s">
        <v>30</v>
      </c>
      <c r="F236" t="s">
        <v>190</v>
      </c>
      <c r="G236" t="s">
        <v>44</v>
      </c>
      <c r="H236">
        <v>2024</v>
      </c>
      <c r="I236" t="s">
        <v>60</v>
      </c>
      <c r="L236" t="s">
        <v>99</v>
      </c>
      <c r="M236">
        <v>45411</v>
      </c>
      <c r="N236" t="s">
        <v>50</v>
      </c>
      <c r="O236">
        <v>58</v>
      </c>
      <c r="P236">
        <v>197</v>
      </c>
      <c r="AG236">
        <f t="shared" si="3"/>
        <v>1</v>
      </c>
      <c r="AH236">
        <f>'TABLA PREVIOS'!E236</f>
        <v>260</v>
      </c>
      <c r="AI236">
        <f>VLOOKUP(C236,ALUMNOS!A:B,2,FALSE)</f>
        <v>813</v>
      </c>
    </row>
    <row r="237" spans="1:35" x14ac:dyDescent="0.25">
      <c r="A237" t="s">
        <v>220</v>
      </c>
      <c r="B237" t="s">
        <v>128</v>
      </c>
      <c r="C237">
        <v>47469192</v>
      </c>
      <c r="D237" t="s">
        <v>234</v>
      </c>
      <c r="E237" t="s">
        <v>29</v>
      </c>
      <c r="F237" t="s">
        <v>190</v>
      </c>
      <c r="G237" t="s">
        <v>44</v>
      </c>
      <c r="H237">
        <v>2024</v>
      </c>
      <c r="I237" t="s">
        <v>60</v>
      </c>
      <c r="L237" t="s">
        <v>99</v>
      </c>
      <c r="AG237">
        <f t="shared" si="3"/>
        <v>1</v>
      </c>
      <c r="AH237">
        <f>'TABLA PREVIOS'!E237</f>
        <v>259</v>
      </c>
      <c r="AI237">
        <f>VLOOKUP(C237,ALUMNOS!A:B,2,FALSE)</f>
        <v>813</v>
      </c>
    </row>
    <row r="238" spans="1:35" x14ac:dyDescent="0.25">
      <c r="A238" t="s">
        <v>220</v>
      </c>
      <c r="B238" t="s">
        <v>128</v>
      </c>
      <c r="C238">
        <v>47578494</v>
      </c>
      <c r="D238" t="s">
        <v>235</v>
      </c>
      <c r="E238" t="s">
        <v>16</v>
      </c>
      <c r="F238" t="s">
        <v>190</v>
      </c>
      <c r="G238" t="s">
        <v>43</v>
      </c>
      <c r="H238">
        <v>2023</v>
      </c>
      <c r="I238" t="s">
        <v>60</v>
      </c>
      <c r="L238" t="s">
        <v>99</v>
      </c>
      <c r="AG238">
        <f t="shared" si="3"/>
        <v>1</v>
      </c>
      <c r="AH238">
        <f>'TABLA PREVIOS'!E238</f>
        <v>256</v>
      </c>
      <c r="AI238">
        <f>VLOOKUP(C238,ALUMNOS!A:B,2,FALSE)</f>
        <v>202</v>
      </c>
    </row>
    <row r="239" spans="1:35" x14ac:dyDescent="0.25">
      <c r="A239" t="s">
        <v>220</v>
      </c>
      <c r="B239" t="s">
        <v>128</v>
      </c>
      <c r="C239">
        <v>48264989</v>
      </c>
      <c r="D239" t="s">
        <v>236</v>
      </c>
      <c r="E239" t="s">
        <v>12</v>
      </c>
      <c r="F239" t="s">
        <v>95</v>
      </c>
      <c r="G239" t="s">
        <v>43</v>
      </c>
      <c r="H239">
        <v>2021</v>
      </c>
      <c r="I239" t="s">
        <v>59</v>
      </c>
      <c r="L239" t="s">
        <v>99</v>
      </c>
      <c r="M239">
        <v>45405</v>
      </c>
      <c r="N239" t="s">
        <v>50</v>
      </c>
      <c r="O239">
        <v>68</v>
      </c>
      <c r="P239">
        <v>30</v>
      </c>
      <c r="AG239">
        <f t="shared" si="3"/>
        <v>1</v>
      </c>
      <c r="AH239">
        <f>'TABLA PREVIOS'!E239</f>
        <v>230</v>
      </c>
      <c r="AI239">
        <f>VLOOKUP(C239,ALUMNOS!A:B,2,FALSE)</f>
        <v>275</v>
      </c>
    </row>
    <row r="240" spans="1:35" x14ac:dyDescent="0.25">
      <c r="A240" t="s">
        <v>220</v>
      </c>
      <c r="B240" t="s">
        <v>128</v>
      </c>
      <c r="C240">
        <v>48264989</v>
      </c>
      <c r="D240" t="s">
        <v>236</v>
      </c>
      <c r="E240" t="s">
        <v>12</v>
      </c>
      <c r="F240" t="s">
        <v>143</v>
      </c>
      <c r="G240" t="s">
        <v>43</v>
      </c>
      <c r="H240">
        <v>2022</v>
      </c>
      <c r="I240" t="s">
        <v>59</v>
      </c>
      <c r="L240" t="s">
        <v>99</v>
      </c>
      <c r="AG240">
        <f t="shared" si="3"/>
        <v>1</v>
      </c>
      <c r="AH240">
        <f>'TABLA PREVIOS'!E240</f>
        <v>240</v>
      </c>
      <c r="AI240">
        <f>VLOOKUP(C240,ALUMNOS!A:B,2,FALSE)</f>
        <v>275</v>
      </c>
    </row>
    <row r="241" spans="1:35" x14ac:dyDescent="0.25">
      <c r="A241" t="s">
        <v>220</v>
      </c>
      <c r="B241" t="s">
        <v>128</v>
      </c>
      <c r="C241">
        <v>48264989</v>
      </c>
      <c r="D241" t="s">
        <v>236</v>
      </c>
      <c r="E241" t="s">
        <v>31</v>
      </c>
      <c r="F241" t="s">
        <v>190</v>
      </c>
      <c r="G241" t="s">
        <v>45</v>
      </c>
      <c r="H241">
        <v>2023</v>
      </c>
      <c r="I241" t="s">
        <v>60</v>
      </c>
      <c r="L241" t="s">
        <v>99</v>
      </c>
      <c r="AG241">
        <f t="shared" si="3"/>
        <v>1</v>
      </c>
      <c r="AH241">
        <f>'TABLA PREVIOS'!E241</f>
        <v>261</v>
      </c>
      <c r="AI241">
        <f>VLOOKUP(C241,ALUMNOS!A:B,2,FALSE)</f>
        <v>275</v>
      </c>
    </row>
    <row r="242" spans="1:35" x14ac:dyDescent="0.25">
      <c r="A242" t="s">
        <v>220</v>
      </c>
      <c r="B242" t="s">
        <v>128</v>
      </c>
      <c r="C242">
        <v>46509010</v>
      </c>
      <c r="D242" t="s">
        <v>237</v>
      </c>
      <c r="E242" t="s">
        <v>12</v>
      </c>
      <c r="F242" t="s">
        <v>95</v>
      </c>
      <c r="G242" t="s">
        <v>43</v>
      </c>
      <c r="H242">
        <v>2020</v>
      </c>
      <c r="I242" t="s">
        <v>59</v>
      </c>
      <c r="L242" t="s">
        <v>99</v>
      </c>
      <c r="AG242">
        <f t="shared" si="3"/>
        <v>1</v>
      </c>
      <c r="AH242">
        <f>'TABLA PREVIOS'!E242</f>
        <v>230</v>
      </c>
      <c r="AI242">
        <f>VLOOKUP(C242,ALUMNOS!A:B,2,FALSE)</f>
        <v>282</v>
      </c>
    </row>
    <row r="243" spans="1:35" x14ac:dyDescent="0.25">
      <c r="A243" t="s">
        <v>220</v>
      </c>
      <c r="B243" t="s">
        <v>128</v>
      </c>
      <c r="C243">
        <v>46509010</v>
      </c>
      <c r="D243" t="s">
        <v>237</v>
      </c>
      <c r="E243" t="s">
        <v>12</v>
      </c>
      <c r="F243" t="s">
        <v>143</v>
      </c>
      <c r="G243" t="s">
        <v>43</v>
      </c>
      <c r="H243">
        <v>2021</v>
      </c>
      <c r="I243" t="s">
        <v>59</v>
      </c>
      <c r="L243" t="s">
        <v>99</v>
      </c>
      <c r="AG243">
        <f t="shared" si="3"/>
        <v>1</v>
      </c>
      <c r="AH243">
        <f>'TABLA PREVIOS'!E243</f>
        <v>240</v>
      </c>
      <c r="AI243">
        <f>VLOOKUP(C243,ALUMNOS!A:B,2,FALSE)</f>
        <v>282</v>
      </c>
    </row>
    <row r="244" spans="1:35" x14ac:dyDescent="0.25">
      <c r="A244" t="s">
        <v>220</v>
      </c>
      <c r="B244" t="s">
        <v>128</v>
      </c>
      <c r="C244">
        <v>46509010</v>
      </c>
      <c r="D244" t="s">
        <v>237</v>
      </c>
      <c r="E244" t="s">
        <v>12</v>
      </c>
      <c r="F244" t="s">
        <v>190</v>
      </c>
      <c r="G244" t="s">
        <v>45</v>
      </c>
      <c r="H244">
        <v>2023</v>
      </c>
      <c r="I244" t="s">
        <v>60</v>
      </c>
      <c r="L244" t="s">
        <v>99</v>
      </c>
      <c r="AG244">
        <f t="shared" si="3"/>
        <v>1</v>
      </c>
      <c r="AH244">
        <f>'TABLA PREVIOS'!E244</f>
        <v>252</v>
      </c>
      <c r="AI244">
        <f>VLOOKUP(C244,ALUMNOS!A:B,2,FALSE)</f>
        <v>282</v>
      </c>
    </row>
    <row r="245" spans="1:35" x14ac:dyDescent="0.25">
      <c r="A245" t="s">
        <v>220</v>
      </c>
      <c r="B245" t="s">
        <v>128</v>
      </c>
      <c r="C245">
        <v>47989279</v>
      </c>
      <c r="D245" t="s">
        <v>238</v>
      </c>
      <c r="E245" t="s">
        <v>16</v>
      </c>
      <c r="F245" t="s">
        <v>143</v>
      </c>
      <c r="G245" t="s">
        <v>43</v>
      </c>
      <c r="H245">
        <v>2022</v>
      </c>
      <c r="I245" t="s">
        <v>59</v>
      </c>
      <c r="L245" t="s">
        <v>99</v>
      </c>
      <c r="AG245">
        <f t="shared" si="3"/>
        <v>1</v>
      </c>
      <c r="AH245">
        <f>'TABLA PREVIOS'!E245</f>
        <v>245</v>
      </c>
      <c r="AI245">
        <f>VLOOKUP(C245,ALUMNOS!A:B,2,FALSE)</f>
        <v>289</v>
      </c>
    </row>
    <row r="246" spans="1:35" x14ac:dyDescent="0.25">
      <c r="A246" t="s">
        <v>220</v>
      </c>
      <c r="B246" t="s">
        <v>128</v>
      </c>
      <c r="C246">
        <v>47985739</v>
      </c>
      <c r="D246" t="s">
        <v>239</v>
      </c>
      <c r="E246" t="s">
        <v>10</v>
      </c>
      <c r="F246" t="s">
        <v>95</v>
      </c>
      <c r="G246" t="s">
        <v>43</v>
      </c>
      <c r="H246">
        <v>2020</v>
      </c>
      <c r="I246" t="s">
        <v>59</v>
      </c>
      <c r="J246" t="s">
        <v>176</v>
      </c>
      <c r="L246" t="s">
        <v>99</v>
      </c>
      <c r="AG246">
        <f t="shared" si="3"/>
        <v>1</v>
      </c>
      <c r="AH246">
        <f>'TABLA PREVIOS'!E246</f>
        <v>228</v>
      </c>
      <c r="AI246">
        <f>VLOOKUP(C246,ALUMNOS!A:B,2,FALSE)</f>
        <v>316</v>
      </c>
    </row>
    <row r="247" spans="1:35" x14ac:dyDescent="0.25">
      <c r="A247" t="s">
        <v>220</v>
      </c>
      <c r="B247" t="s">
        <v>128</v>
      </c>
      <c r="C247">
        <v>47985739</v>
      </c>
      <c r="D247" t="s">
        <v>239</v>
      </c>
      <c r="E247" t="s">
        <v>11</v>
      </c>
      <c r="F247" t="s">
        <v>95</v>
      </c>
      <c r="G247" t="s">
        <v>43</v>
      </c>
      <c r="H247">
        <v>2020</v>
      </c>
      <c r="I247" t="s">
        <v>59</v>
      </c>
      <c r="J247" t="s">
        <v>176</v>
      </c>
      <c r="L247" t="s">
        <v>99</v>
      </c>
      <c r="AG247">
        <f t="shared" si="3"/>
        <v>1</v>
      </c>
      <c r="AH247">
        <f>'TABLA PREVIOS'!E247</f>
        <v>229</v>
      </c>
      <c r="AI247">
        <f>VLOOKUP(C247,ALUMNOS!A:B,2,FALSE)</f>
        <v>316</v>
      </c>
    </row>
    <row r="248" spans="1:35" x14ac:dyDescent="0.25">
      <c r="A248" t="s">
        <v>220</v>
      </c>
      <c r="B248" t="s">
        <v>128</v>
      </c>
      <c r="C248">
        <v>47985739</v>
      </c>
      <c r="D248" t="s">
        <v>239</v>
      </c>
      <c r="E248" t="s">
        <v>12</v>
      </c>
      <c r="F248" t="s">
        <v>143</v>
      </c>
      <c r="G248" t="s">
        <v>45</v>
      </c>
      <c r="H248">
        <v>2022</v>
      </c>
      <c r="I248" t="s">
        <v>59</v>
      </c>
      <c r="L248" t="s">
        <v>99</v>
      </c>
      <c r="AG248">
        <f t="shared" si="3"/>
        <v>1</v>
      </c>
      <c r="AH248">
        <f>'TABLA PREVIOS'!E248</f>
        <v>240</v>
      </c>
      <c r="AI248">
        <f>VLOOKUP(C248,ALUMNOS!A:B,2,FALSE)</f>
        <v>316</v>
      </c>
    </row>
    <row r="249" spans="1:35" x14ac:dyDescent="0.25">
      <c r="A249" t="s">
        <v>220</v>
      </c>
      <c r="B249" t="s">
        <v>128</v>
      </c>
      <c r="C249">
        <v>47824103</v>
      </c>
      <c r="D249" t="s">
        <v>240</v>
      </c>
      <c r="E249" t="s">
        <v>30</v>
      </c>
      <c r="F249" t="s">
        <v>190</v>
      </c>
      <c r="G249" t="s">
        <v>43</v>
      </c>
      <c r="H249">
        <v>2023</v>
      </c>
      <c r="I249" t="s">
        <v>60</v>
      </c>
      <c r="L249" t="s">
        <v>99</v>
      </c>
      <c r="AG249">
        <f t="shared" si="3"/>
        <v>1</v>
      </c>
      <c r="AH249">
        <f>'TABLA PREVIOS'!E249</f>
        <v>260</v>
      </c>
      <c r="AI249">
        <f>VLOOKUP(C249,ALUMNOS!A:B,2,FALSE)</f>
        <v>390</v>
      </c>
    </row>
    <row r="250" spans="1:35" x14ac:dyDescent="0.25">
      <c r="A250" t="s">
        <v>220</v>
      </c>
      <c r="B250" t="s">
        <v>128</v>
      </c>
      <c r="C250">
        <v>47824103</v>
      </c>
      <c r="D250" t="s">
        <v>240</v>
      </c>
      <c r="E250" t="s">
        <v>28</v>
      </c>
      <c r="F250" t="s">
        <v>190</v>
      </c>
      <c r="G250" t="s">
        <v>43</v>
      </c>
      <c r="H250">
        <v>2023</v>
      </c>
      <c r="I250" t="s">
        <v>60</v>
      </c>
      <c r="L250" t="s">
        <v>99</v>
      </c>
      <c r="AG250">
        <f t="shared" si="3"/>
        <v>1</v>
      </c>
      <c r="AH250">
        <f>'TABLA PREVIOS'!E250</f>
        <v>258</v>
      </c>
      <c r="AI250">
        <f>VLOOKUP(C250,ALUMNOS!A:B,2,FALSE)</f>
        <v>390</v>
      </c>
    </row>
    <row r="251" spans="1:35" x14ac:dyDescent="0.25">
      <c r="A251" t="s">
        <v>220</v>
      </c>
      <c r="B251" t="s">
        <v>128</v>
      </c>
      <c r="C251">
        <v>47824103</v>
      </c>
      <c r="D251" t="s">
        <v>240</v>
      </c>
      <c r="E251" t="s">
        <v>11</v>
      </c>
      <c r="F251" t="s">
        <v>190</v>
      </c>
      <c r="G251" t="s">
        <v>45</v>
      </c>
      <c r="H251">
        <v>2023</v>
      </c>
      <c r="I251" t="s">
        <v>60</v>
      </c>
      <c r="L251" t="s">
        <v>99</v>
      </c>
      <c r="AG251">
        <f t="shared" si="3"/>
        <v>1</v>
      </c>
      <c r="AH251">
        <f>'TABLA PREVIOS'!E251</f>
        <v>251</v>
      </c>
      <c r="AI251">
        <f>VLOOKUP(C251,ALUMNOS!A:B,2,FALSE)</f>
        <v>390</v>
      </c>
    </row>
    <row r="252" spans="1:35" x14ac:dyDescent="0.25">
      <c r="A252" t="s">
        <v>220</v>
      </c>
      <c r="B252" t="s">
        <v>128</v>
      </c>
      <c r="C252">
        <v>48492866</v>
      </c>
      <c r="D252" t="s">
        <v>241</v>
      </c>
      <c r="E252" t="s">
        <v>11</v>
      </c>
      <c r="F252" t="s">
        <v>143</v>
      </c>
      <c r="G252" t="s">
        <v>43</v>
      </c>
      <c r="H252">
        <v>2022</v>
      </c>
      <c r="I252" t="s">
        <v>59</v>
      </c>
      <c r="L252" t="s">
        <v>99</v>
      </c>
      <c r="AG252">
        <f t="shared" si="3"/>
        <v>1</v>
      </c>
      <c r="AH252">
        <f>'TABLA PREVIOS'!E252</f>
        <v>239</v>
      </c>
      <c r="AI252">
        <f>VLOOKUP(C252,ALUMNOS!A:B,2,FALSE)</f>
        <v>416</v>
      </c>
    </row>
    <row r="253" spans="1:35" x14ac:dyDescent="0.25">
      <c r="A253" t="s">
        <v>220</v>
      </c>
      <c r="B253" t="s">
        <v>128</v>
      </c>
      <c r="C253">
        <v>48492866</v>
      </c>
      <c r="D253" t="s">
        <v>241</v>
      </c>
      <c r="E253" t="s">
        <v>31</v>
      </c>
      <c r="F253" t="s">
        <v>190</v>
      </c>
      <c r="G253" t="s">
        <v>43</v>
      </c>
      <c r="H253">
        <v>2023</v>
      </c>
      <c r="I253" t="s">
        <v>60</v>
      </c>
      <c r="L253" t="s">
        <v>99</v>
      </c>
      <c r="AG253">
        <f t="shared" si="3"/>
        <v>1</v>
      </c>
      <c r="AH253">
        <f>'TABLA PREVIOS'!E253</f>
        <v>261</v>
      </c>
      <c r="AI253">
        <f>VLOOKUP(C253,ALUMNOS!A:B,2,FALSE)</f>
        <v>416</v>
      </c>
    </row>
    <row r="254" spans="1:35" x14ac:dyDescent="0.25">
      <c r="A254" t="s">
        <v>220</v>
      </c>
      <c r="B254" t="s">
        <v>128</v>
      </c>
      <c r="C254">
        <v>48040092</v>
      </c>
      <c r="D254" t="s">
        <v>242</v>
      </c>
      <c r="E254" t="s">
        <v>18</v>
      </c>
      <c r="F254" t="s">
        <v>143</v>
      </c>
      <c r="G254" t="s">
        <v>43</v>
      </c>
      <c r="H254">
        <v>2022</v>
      </c>
      <c r="I254" t="s">
        <v>59</v>
      </c>
      <c r="L254" t="s">
        <v>99</v>
      </c>
      <c r="AG254">
        <f t="shared" si="3"/>
        <v>1</v>
      </c>
      <c r="AH254">
        <f>'TABLA PREVIOS'!E254</f>
        <v>248</v>
      </c>
      <c r="AI254">
        <f>VLOOKUP(C254,ALUMNOS!A:B,2,FALSE)</f>
        <v>511</v>
      </c>
    </row>
    <row r="255" spans="1:35" x14ac:dyDescent="0.25">
      <c r="A255" t="s">
        <v>220</v>
      </c>
      <c r="B255" t="s">
        <v>128</v>
      </c>
      <c r="C255">
        <v>48040092</v>
      </c>
      <c r="D255" t="s">
        <v>242</v>
      </c>
      <c r="E255" t="s">
        <v>16</v>
      </c>
      <c r="F255" t="s">
        <v>143</v>
      </c>
      <c r="G255" t="s">
        <v>43</v>
      </c>
      <c r="H255">
        <v>2022</v>
      </c>
      <c r="I255" t="s">
        <v>59</v>
      </c>
      <c r="L255" t="s">
        <v>99</v>
      </c>
      <c r="AG255">
        <f t="shared" si="3"/>
        <v>1</v>
      </c>
      <c r="AH255">
        <f>'TABLA PREVIOS'!E255</f>
        <v>245</v>
      </c>
      <c r="AI255">
        <f>VLOOKUP(C255,ALUMNOS!A:B,2,FALSE)</f>
        <v>511</v>
      </c>
    </row>
    <row r="256" spans="1:35" x14ac:dyDescent="0.25">
      <c r="A256" t="s">
        <v>220</v>
      </c>
      <c r="B256" t="s">
        <v>128</v>
      </c>
      <c r="C256">
        <v>48040092</v>
      </c>
      <c r="D256" t="s">
        <v>242</v>
      </c>
      <c r="E256" t="s">
        <v>11</v>
      </c>
      <c r="F256" t="s">
        <v>190</v>
      </c>
      <c r="G256" t="s">
        <v>45</v>
      </c>
      <c r="H256">
        <v>2023</v>
      </c>
      <c r="I256" t="s">
        <v>60</v>
      </c>
      <c r="L256" t="s">
        <v>99</v>
      </c>
      <c r="AG256">
        <f t="shared" si="3"/>
        <v>1</v>
      </c>
      <c r="AH256">
        <f>'TABLA PREVIOS'!E256</f>
        <v>251</v>
      </c>
      <c r="AI256">
        <f>VLOOKUP(C256,ALUMNOS!A:B,2,FALSE)</f>
        <v>511</v>
      </c>
    </row>
    <row r="257" spans="1:35" x14ac:dyDescent="0.25">
      <c r="A257" t="s">
        <v>220</v>
      </c>
      <c r="B257" t="s">
        <v>128</v>
      </c>
      <c r="C257">
        <v>47989230</v>
      </c>
      <c r="D257" t="s">
        <v>243</v>
      </c>
      <c r="E257" t="s">
        <v>12</v>
      </c>
      <c r="F257" t="s">
        <v>95</v>
      </c>
      <c r="G257" t="s">
        <v>43</v>
      </c>
      <c r="H257">
        <v>2021</v>
      </c>
      <c r="I257" t="s">
        <v>59</v>
      </c>
      <c r="L257" t="s">
        <v>99</v>
      </c>
      <c r="AG257">
        <f t="shared" si="3"/>
        <v>1</v>
      </c>
      <c r="AH257">
        <f>'TABLA PREVIOS'!E257</f>
        <v>230</v>
      </c>
      <c r="AI257">
        <f>VLOOKUP(C257,ALUMNOS!A:B,2,FALSE)</f>
        <v>519</v>
      </c>
    </row>
    <row r="258" spans="1:35" x14ac:dyDescent="0.25">
      <c r="A258" t="s">
        <v>220</v>
      </c>
      <c r="B258" t="s">
        <v>128</v>
      </c>
      <c r="C258">
        <v>47989230</v>
      </c>
      <c r="D258" t="s">
        <v>243</v>
      </c>
      <c r="E258" t="s">
        <v>12</v>
      </c>
      <c r="F258" t="s">
        <v>143</v>
      </c>
      <c r="G258" t="s">
        <v>43</v>
      </c>
      <c r="H258">
        <v>2022</v>
      </c>
      <c r="I258" t="s">
        <v>59</v>
      </c>
      <c r="L258" t="s">
        <v>99</v>
      </c>
      <c r="AG258">
        <f t="shared" si="3"/>
        <v>1</v>
      </c>
      <c r="AH258">
        <f>'TABLA PREVIOS'!E258</f>
        <v>240</v>
      </c>
      <c r="AI258">
        <f>VLOOKUP(C258,ALUMNOS!A:B,2,FALSE)</f>
        <v>519</v>
      </c>
    </row>
    <row r="259" spans="1:35" x14ac:dyDescent="0.25">
      <c r="A259" t="s">
        <v>220</v>
      </c>
      <c r="B259" t="s">
        <v>128</v>
      </c>
      <c r="C259">
        <v>47989230</v>
      </c>
      <c r="D259" t="s">
        <v>243</v>
      </c>
      <c r="E259" t="s">
        <v>12</v>
      </c>
      <c r="F259" t="s">
        <v>190</v>
      </c>
      <c r="G259" t="s">
        <v>45</v>
      </c>
      <c r="H259">
        <v>2023</v>
      </c>
      <c r="I259" t="s">
        <v>60</v>
      </c>
      <c r="L259" t="s">
        <v>99</v>
      </c>
      <c r="AG259">
        <f t="shared" ref="AG259:AG322" si="4">IF(VALUE(MAX(N259,R259,V259,Z259,AC259,))&gt;=7,VALUE(MAX(N259,R259,V259,Z259,AC259,)),1)</f>
        <v>1</v>
      </c>
      <c r="AH259">
        <f>'TABLA PREVIOS'!E259</f>
        <v>252</v>
      </c>
      <c r="AI259">
        <f>VLOOKUP(C259,ALUMNOS!A:B,2,FALSE)</f>
        <v>519</v>
      </c>
    </row>
    <row r="260" spans="1:35" x14ac:dyDescent="0.25">
      <c r="A260" t="s">
        <v>220</v>
      </c>
      <c r="B260" t="s">
        <v>128</v>
      </c>
      <c r="C260">
        <v>45154756</v>
      </c>
      <c r="D260" t="s">
        <v>244</v>
      </c>
      <c r="E260" t="s">
        <v>16</v>
      </c>
      <c r="F260" t="s">
        <v>190</v>
      </c>
      <c r="G260" t="s">
        <v>43</v>
      </c>
      <c r="H260">
        <v>2023</v>
      </c>
      <c r="I260" t="s">
        <v>60</v>
      </c>
      <c r="L260" t="s">
        <v>99</v>
      </c>
      <c r="AG260">
        <f t="shared" si="4"/>
        <v>1</v>
      </c>
      <c r="AH260">
        <f>'TABLA PREVIOS'!E260</f>
        <v>256</v>
      </c>
      <c r="AI260">
        <f>VLOOKUP(C260,ALUMNOS!A:B,2,FALSE)</f>
        <v>781</v>
      </c>
    </row>
    <row r="261" spans="1:35" x14ac:dyDescent="0.25">
      <c r="A261" t="s">
        <v>220</v>
      </c>
      <c r="B261" t="s">
        <v>128</v>
      </c>
      <c r="C261">
        <v>45154756</v>
      </c>
      <c r="D261" t="s">
        <v>244</v>
      </c>
      <c r="E261" t="s">
        <v>12</v>
      </c>
      <c r="F261" t="s">
        <v>190</v>
      </c>
      <c r="G261" t="s">
        <v>45</v>
      </c>
      <c r="H261">
        <v>2023</v>
      </c>
      <c r="I261" t="s">
        <v>60</v>
      </c>
      <c r="L261" t="s">
        <v>99</v>
      </c>
      <c r="AG261">
        <f t="shared" si="4"/>
        <v>1</v>
      </c>
      <c r="AH261">
        <f>'TABLA PREVIOS'!E261</f>
        <v>252</v>
      </c>
      <c r="AI261">
        <f>VLOOKUP(C261,ALUMNOS!A:B,2,FALSE)</f>
        <v>781</v>
      </c>
    </row>
    <row r="262" spans="1:35" x14ac:dyDescent="0.25">
      <c r="A262" t="s">
        <v>220</v>
      </c>
      <c r="B262" t="s">
        <v>128</v>
      </c>
      <c r="C262">
        <v>45154756</v>
      </c>
      <c r="D262" t="s">
        <v>244</v>
      </c>
      <c r="E262" t="s">
        <v>29</v>
      </c>
      <c r="F262" t="s">
        <v>190</v>
      </c>
      <c r="G262" t="s">
        <v>43</v>
      </c>
      <c r="H262">
        <v>2023</v>
      </c>
      <c r="I262" t="s">
        <v>60</v>
      </c>
      <c r="L262" t="s">
        <v>99</v>
      </c>
      <c r="AG262">
        <f t="shared" si="4"/>
        <v>1</v>
      </c>
      <c r="AH262">
        <f>'TABLA PREVIOS'!E262</f>
        <v>259</v>
      </c>
      <c r="AI262">
        <f>VLOOKUP(C262,ALUMNOS!A:B,2,FALSE)</f>
        <v>781</v>
      </c>
    </row>
    <row r="263" spans="1:35" x14ac:dyDescent="0.25">
      <c r="A263" t="s">
        <v>245</v>
      </c>
      <c r="B263" t="s">
        <v>96</v>
      </c>
      <c r="C263">
        <v>47891707</v>
      </c>
      <c r="D263" t="s">
        <v>246</v>
      </c>
      <c r="E263" t="s">
        <v>29</v>
      </c>
      <c r="F263" t="s">
        <v>190</v>
      </c>
      <c r="G263" t="s">
        <v>43</v>
      </c>
      <c r="H263">
        <v>2022</v>
      </c>
      <c r="I263" t="s">
        <v>60</v>
      </c>
      <c r="L263" t="s">
        <v>99</v>
      </c>
      <c r="AG263">
        <f t="shared" si="4"/>
        <v>1</v>
      </c>
      <c r="AH263">
        <f>'TABLA PREVIOS'!E263</f>
        <v>259</v>
      </c>
      <c r="AI263">
        <f>VLOOKUP(C263,ALUMNOS!A:B,2,FALSE)</f>
        <v>49</v>
      </c>
    </row>
    <row r="264" spans="1:35" x14ac:dyDescent="0.25">
      <c r="A264" t="s">
        <v>245</v>
      </c>
      <c r="B264" t="s">
        <v>96</v>
      </c>
      <c r="C264">
        <v>48370926</v>
      </c>
      <c r="D264" t="s">
        <v>247</v>
      </c>
      <c r="E264" t="s">
        <v>12</v>
      </c>
      <c r="F264" t="s">
        <v>190</v>
      </c>
      <c r="G264" t="s">
        <v>43</v>
      </c>
      <c r="H264">
        <v>2022</v>
      </c>
      <c r="I264" t="s">
        <v>60</v>
      </c>
      <c r="L264" t="s">
        <v>99</v>
      </c>
      <c r="AG264">
        <f t="shared" si="4"/>
        <v>1</v>
      </c>
      <c r="AH264">
        <f>'TABLA PREVIOS'!E264</f>
        <v>252</v>
      </c>
      <c r="AI264">
        <f>VLOOKUP(C264,ALUMNOS!A:B,2,FALSE)</f>
        <v>204</v>
      </c>
    </row>
    <row r="265" spans="1:35" x14ac:dyDescent="0.25">
      <c r="A265" t="s">
        <v>245</v>
      </c>
      <c r="B265" t="s">
        <v>96</v>
      </c>
      <c r="C265">
        <v>48370926</v>
      </c>
      <c r="D265" t="s">
        <v>247</v>
      </c>
      <c r="E265" t="s">
        <v>16</v>
      </c>
      <c r="F265" t="s">
        <v>220</v>
      </c>
      <c r="G265" t="s">
        <v>45</v>
      </c>
      <c r="H265">
        <v>2023</v>
      </c>
      <c r="I265" t="s">
        <v>60</v>
      </c>
      <c r="L265" t="s">
        <v>99</v>
      </c>
      <c r="AG265">
        <f t="shared" si="4"/>
        <v>1</v>
      </c>
      <c r="AH265">
        <f>'TABLA PREVIOS'!E265</f>
        <v>269</v>
      </c>
      <c r="AI265">
        <f>VLOOKUP(C265,ALUMNOS!A:B,2,FALSE)</f>
        <v>204</v>
      </c>
    </row>
    <row r="266" spans="1:35" x14ac:dyDescent="0.25">
      <c r="A266" t="s">
        <v>245</v>
      </c>
      <c r="B266" t="s">
        <v>96</v>
      </c>
      <c r="C266">
        <v>48370926</v>
      </c>
      <c r="D266" t="s">
        <v>247</v>
      </c>
      <c r="E266" t="s">
        <v>12</v>
      </c>
      <c r="F266" t="s">
        <v>220</v>
      </c>
      <c r="G266" t="s">
        <v>43</v>
      </c>
      <c r="H266">
        <v>2023</v>
      </c>
      <c r="I266" t="s">
        <v>60</v>
      </c>
      <c r="L266" t="s">
        <v>99</v>
      </c>
      <c r="AG266">
        <f t="shared" si="4"/>
        <v>1</v>
      </c>
      <c r="AH266">
        <f>'TABLA PREVIOS'!E266</f>
        <v>265</v>
      </c>
      <c r="AI266">
        <f>VLOOKUP(C266,ALUMNOS!A:B,2,FALSE)</f>
        <v>204</v>
      </c>
    </row>
    <row r="267" spans="1:35" x14ac:dyDescent="0.25">
      <c r="A267" t="s">
        <v>245</v>
      </c>
      <c r="B267" t="s">
        <v>96</v>
      </c>
      <c r="C267">
        <v>47665545</v>
      </c>
      <c r="D267" t="s">
        <v>248</v>
      </c>
      <c r="E267" t="s">
        <v>12</v>
      </c>
      <c r="F267" t="s">
        <v>220</v>
      </c>
      <c r="G267" t="s">
        <v>43</v>
      </c>
      <c r="H267">
        <v>2023</v>
      </c>
      <c r="I267" t="s">
        <v>60</v>
      </c>
      <c r="L267" t="s">
        <v>107</v>
      </c>
      <c r="M267">
        <v>45405</v>
      </c>
      <c r="N267">
        <v>7</v>
      </c>
      <c r="O267">
        <v>68</v>
      </c>
      <c r="P267">
        <v>32</v>
      </c>
      <c r="AG267">
        <f t="shared" si="4"/>
        <v>7</v>
      </c>
      <c r="AH267">
        <f>'TABLA PREVIOS'!E267</f>
        <v>265</v>
      </c>
      <c r="AI267">
        <f>VLOOKUP(C267,ALUMNOS!A:B,2,FALSE)</f>
        <v>250</v>
      </c>
    </row>
    <row r="268" spans="1:35" x14ac:dyDescent="0.25">
      <c r="A268" t="s">
        <v>245</v>
      </c>
      <c r="B268" t="s">
        <v>96</v>
      </c>
      <c r="C268">
        <v>46722025</v>
      </c>
      <c r="D268" t="s">
        <v>249</v>
      </c>
      <c r="E268" t="s">
        <v>12</v>
      </c>
      <c r="F268" t="s">
        <v>220</v>
      </c>
      <c r="G268" t="s">
        <v>43</v>
      </c>
      <c r="H268">
        <v>2023</v>
      </c>
      <c r="I268" t="s">
        <v>60</v>
      </c>
      <c r="L268" t="s">
        <v>99</v>
      </c>
      <c r="AG268">
        <f t="shared" si="4"/>
        <v>1</v>
      </c>
      <c r="AH268">
        <f>'TABLA PREVIOS'!E268</f>
        <v>265</v>
      </c>
      <c r="AI268">
        <f>VLOOKUP(C268,ALUMNOS!A:B,2,FALSE)</f>
        <v>295</v>
      </c>
    </row>
    <row r="269" spans="1:35" x14ac:dyDescent="0.25">
      <c r="A269" t="s">
        <v>245</v>
      </c>
      <c r="B269" t="s">
        <v>96</v>
      </c>
      <c r="C269">
        <v>46722025</v>
      </c>
      <c r="D269" t="s">
        <v>249</v>
      </c>
      <c r="E269" t="s">
        <v>29</v>
      </c>
      <c r="F269" t="s">
        <v>220</v>
      </c>
      <c r="G269" t="s">
        <v>43</v>
      </c>
      <c r="H269">
        <v>2023</v>
      </c>
      <c r="I269" t="s">
        <v>60</v>
      </c>
      <c r="L269" t="s">
        <v>99</v>
      </c>
      <c r="AG269">
        <f t="shared" si="4"/>
        <v>1</v>
      </c>
      <c r="AH269">
        <f>'TABLA PREVIOS'!E269</f>
        <v>273</v>
      </c>
      <c r="AI269">
        <f>VLOOKUP(C269,ALUMNOS!A:B,2,FALSE)</f>
        <v>295</v>
      </c>
    </row>
    <row r="270" spans="1:35" x14ac:dyDescent="0.25">
      <c r="A270" t="s">
        <v>245</v>
      </c>
      <c r="B270" t="s">
        <v>96</v>
      </c>
      <c r="C270">
        <v>47900897</v>
      </c>
      <c r="D270" t="s">
        <v>250</v>
      </c>
      <c r="E270" t="s">
        <v>12</v>
      </c>
      <c r="F270" t="s">
        <v>220</v>
      </c>
      <c r="G270" t="s">
        <v>43</v>
      </c>
      <c r="H270">
        <v>2023</v>
      </c>
      <c r="I270" t="s">
        <v>60</v>
      </c>
      <c r="L270" t="s">
        <v>107</v>
      </c>
      <c r="M270">
        <v>45405</v>
      </c>
      <c r="N270">
        <v>7</v>
      </c>
      <c r="O270">
        <v>68</v>
      </c>
      <c r="P270">
        <v>32</v>
      </c>
      <c r="AG270">
        <f t="shared" si="4"/>
        <v>7</v>
      </c>
      <c r="AH270">
        <f>'TABLA PREVIOS'!E270</f>
        <v>265</v>
      </c>
      <c r="AI270">
        <f>VLOOKUP(C270,ALUMNOS!A:B,2,FALSE)</f>
        <v>395</v>
      </c>
    </row>
    <row r="271" spans="1:35" x14ac:dyDescent="0.25">
      <c r="A271" t="s">
        <v>245</v>
      </c>
      <c r="B271" t="s">
        <v>96</v>
      </c>
      <c r="C271">
        <v>46037023</v>
      </c>
      <c r="D271" t="s">
        <v>251</v>
      </c>
      <c r="E271" t="s">
        <v>12</v>
      </c>
      <c r="F271" t="s">
        <v>220</v>
      </c>
      <c r="G271" t="s">
        <v>43</v>
      </c>
      <c r="H271">
        <v>2023</v>
      </c>
      <c r="I271" t="s">
        <v>60</v>
      </c>
      <c r="L271" t="s">
        <v>99</v>
      </c>
      <c r="AG271">
        <f t="shared" si="4"/>
        <v>1</v>
      </c>
      <c r="AH271">
        <f>'TABLA PREVIOS'!E271</f>
        <v>265</v>
      </c>
      <c r="AI271">
        <f>VLOOKUP(C271,ALUMNOS!A:B,2,FALSE)</f>
        <v>532</v>
      </c>
    </row>
    <row r="272" spans="1:35" x14ac:dyDescent="0.25">
      <c r="A272" t="s">
        <v>245</v>
      </c>
      <c r="B272" t="s">
        <v>96</v>
      </c>
      <c r="C272">
        <v>46037023</v>
      </c>
      <c r="D272" t="s">
        <v>251</v>
      </c>
      <c r="E272" t="s">
        <v>29</v>
      </c>
      <c r="F272" t="s">
        <v>220</v>
      </c>
      <c r="G272" t="s">
        <v>43</v>
      </c>
      <c r="H272">
        <v>2023</v>
      </c>
      <c r="I272" t="s">
        <v>60</v>
      </c>
      <c r="L272" t="s">
        <v>99</v>
      </c>
      <c r="M272">
        <v>45411</v>
      </c>
      <c r="N272" t="s">
        <v>50</v>
      </c>
      <c r="O272">
        <v>68</v>
      </c>
      <c r="P272">
        <v>45</v>
      </c>
      <c r="AG272">
        <f t="shared" si="4"/>
        <v>1</v>
      </c>
      <c r="AH272">
        <f>'TABLA PREVIOS'!E272</f>
        <v>273</v>
      </c>
      <c r="AI272">
        <f>VLOOKUP(C272,ALUMNOS!A:B,2,FALSE)</f>
        <v>532</v>
      </c>
    </row>
    <row r="273" spans="1:35" x14ac:dyDescent="0.25">
      <c r="A273" t="s">
        <v>245</v>
      </c>
      <c r="B273" t="s">
        <v>96</v>
      </c>
      <c r="C273">
        <v>48130212</v>
      </c>
      <c r="D273" t="s">
        <v>252</v>
      </c>
      <c r="E273" t="s">
        <v>12</v>
      </c>
      <c r="F273" t="s">
        <v>220</v>
      </c>
      <c r="G273" t="s">
        <v>43</v>
      </c>
      <c r="H273">
        <v>2023</v>
      </c>
      <c r="I273" t="s">
        <v>60</v>
      </c>
      <c r="L273" t="s">
        <v>99</v>
      </c>
      <c r="M273">
        <v>45405</v>
      </c>
      <c r="N273" t="s">
        <v>50</v>
      </c>
      <c r="O273">
        <v>68</v>
      </c>
      <c r="P273">
        <v>32</v>
      </c>
      <c r="Q273">
        <v>45474</v>
      </c>
      <c r="R273">
        <v>4</v>
      </c>
      <c r="S273">
        <v>68</v>
      </c>
      <c r="T273">
        <v>64</v>
      </c>
      <c r="AG273">
        <f t="shared" si="4"/>
        <v>1</v>
      </c>
      <c r="AH273">
        <f>'TABLA PREVIOS'!E273</f>
        <v>265</v>
      </c>
      <c r="AI273">
        <f>VLOOKUP(C273,ALUMNOS!A:B,2,FALSE)</f>
        <v>585</v>
      </c>
    </row>
    <row r="274" spans="1:35" x14ac:dyDescent="0.25">
      <c r="A274" t="s">
        <v>245</v>
      </c>
      <c r="B274" t="s">
        <v>96</v>
      </c>
      <c r="C274">
        <v>47907085</v>
      </c>
      <c r="D274" t="s">
        <v>253</v>
      </c>
      <c r="E274" t="s">
        <v>30</v>
      </c>
      <c r="F274" t="s">
        <v>190</v>
      </c>
      <c r="G274" t="s">
        <v>44</v>
      </c>
      <c r="H274">
        <v>2024</v>
      </c>
      <c r="I274" t="s">
        <v>60</v>
      </c>
      <c r="L274" t="s">
        <v>107</v>
      </c>
      <c r="M274">
        <v>45411</v>
      </c>
      <c r="N274">
        <v>7</v>
      </c>
      <c r="O274">
        <v>58</v>
      </c>
      <c r="P274">
        <v>197</v>
      </c>
      <c r="AG274">
        <f t="shared" si="4"/>
        <v>7</v>
      </c>
      <c r="AH274">
        <f>'TABLA PREVIOS'!E274</f>
        <v>260</v>
      </c>
      <c r="AI274">
        <f>VLOOKUP(C274,ALUMNOS!A:B,2,FALSE)</f>
        <v>727</v>
      </c>
    </row>
    <row r="275" spans="1:35" x14ac:dyDescent="0.25">
      <c r="A275" t="s">
        <v>245</v>
      </c>
      <c r="B275" t="s">
        <v>96</v>
      </c>
      <c r="C275">
        <v>47907085</v>
      </c>
      <c r="D275" t="s">
        <v>253</v>
      </c>
      <c r="E275" t="s">
        <v>29</v>
      </c>
      <c r="F275" t="s">
        <v>190</v>
      </c>
      <c r="G275" t="s">
        <v>44</v>
      </c>
      <c r="H275">
        <v>2024</v>
      </c>
      <c r="I275" t="s">
        <v>60</v>
      </c>
      <c r="L275" t="s">
        <v>107</v>
      </c>
      <c r="M275">
        <v>45411</v>
      </c>
      <c r="N275">
        <v>2</v>
      </c>
      <c r="O275">
        <v>58</v>
      </c>
      <c r="P275">
        <v>198</v>
      </c>
      <c r="Q275">
        <v>45475</v>
      </c>
      <c r="R275">
        <v>7</v>
      </c>
      <c r="S275">
        <v>70</v>
      </c>
      <c r="T275">
        <v>2</v>
      </c>
      <c r="AG275">
        <f t="shared" si="4"/>
        <v>7</v>
      </c>
      <c r="AH275">
        <f>'TABLA PREVIOS'!E275</f>
        <v>259</v>
      </c>
      <c r="AI275">
        <f>VLOOKUP(C275,ALUMNOS!A:B,2,FALSE)</f>
        <v>727</v>
      </c>
    </row>
    <row r="276" spans="1:35" x14ac:dyDescent="0.25">
      <c r="A276" t="s">
        <v>245</v>
      </c>
      <c r="B276" t="s">
        <v>96</v>
      </c>
      <c r="C276">
        <v>47907085</v>
      </c>
      <c r="D276" t="s">
        <v>253</v>
      </c>
      <c r="E276" t="s">
        <v>30</v>
      </c>
      <c r="F276" t="s">
        <v>220</v>
      </c>
      <c r="G276" t="s">
        <v>44</v>
      </c>
      <c r="H276">
        <v>2024</v>
      </c>
      <c r="I276" t="s">
        <v>60</v>
      </c>
      <c r="L276" t="s">
        <v>107</v>
      </c>
      <c r="Q276">
        <v>45475</v>
      </c>
      <c r="R276">
        <v>7</v>
      </c>
      <c r="S276">
        <v>70</v>
      </c>
      <c r="T276">
        <v>1</v>
      </c>
      <c r="AG276">
        <f t="shared" si="4"/>
        <v>7</v>
      </c>
      <c r="AH276">
        <f>'TABLA PREVIOS'!E276</f>
        <v>274</v>
      </c>
      <c r="AI276">
        <f>VLOOKUP(C276,ALUMNOS!A:B,2,FALSE)</f>
        <v>727</v>
      </c>
    </row>
    <row r="277" spans="1:35" x14ac:dyDescent="0.25">
      <c r="A277" t="s">
        <v>245</v>
      </c>
      <c r="B277" t="s">
        <v>96</v>
      </c>
      <c r="C277">
        <v>47907085</v>
      </c>
      <c r="D277" t="s">
        <v>253</v>
      </c>
      <c r="E277" t="s">
        <v>34</v>
      </c>
      <c r="F277" t="s">
        <v>220</v>
      </c>
      <c r="G277" t="s">
        <v>44</v>
      </c>
      <c r="H277">
        <v>2024</v>
      </c>
      <c r="I277" t="s">
        <v>60</v>
      </c>
      <c r="L277" t="s">
        <v>99</v>
      </c>
      <c r="Q277">
        <v>45475</v>
      </c>
      <c r="R277">
        <v>2</v>
      </c>
      <c r="S277">
        <v>70</v>
      </c>
      <c r="T277">
        <v>3</v>
      </c>
      <c r="AG277">
        <f t="shared" si="4"/>
        <v>1</v>
      </c>
      <c r="AH277">
        <f>'TABLA PREVIOS'!E277</f>
        <v>275</v>
      </c>
      <c r="AI277">
        <f>VLOOKUP(C277,ALUMNOS!A:B,2,FALSE)</f>
        <v>727</v>
      </c>
    </row>
    <row r="278" spans="1:35" x14ac:dyDescent="0.25">
      <c r="A278" t="s">
        <v>245</v>
      </c>
      <c r="B278" t="s">
        <v>96</v>
      </c>
      <c r="C278">
        <v>47907085</v>
      </c>
      <c r="D278" t="s">
        <v>253</v>
      </c>
      <c r="E278" t="s">
        <v>29</v>
      </c>
      <c r="F278" t="s">
        <v>220</v>
      </c>
      <c r="G278" t="s">
        <v>44</v>
      </c>
      <c r="H278">
        <v>2024</v>
      </c>
      <c r="I278" t="s">
        <v>60</v>
      </c>
      <c r="L278" t="s">
        <v>99</v>
      </c>
      <c r="AG278">
        <f t="shared" si="4"/>
        <v>1</v>
      </c>
      <c r="AH278">
        <f>'TABLA PREVIOS'!E278</f>
        <v>273</v>
      </c>
      <c r="AI278">
        <f>VLOOKUP(C278,ALUMNOS!A:B,2,FALSE)</f>
        <v>727</v>
      </c>
    </row>
    <row r="279" spans="1:35" x14ac:dyDescent="0.25">
      <c r="A279" t="s">
        <v>245</v>
      </c>
      <c r="B279" t="s">
        <v>109</v>
      </c>
      <c r="C279">
        <v>47670177</v>
      </c>
      <c r="D279" t="s">
        <v>254</v>
      </c>
      <c r="E279" t="s">
        <v>29</v>
      </c>
      <c r="F279" t="s">
        <v>190</v>
      </c>
      <c r="G279" t="s">
        <v>43</v>
      </c>
      <c r="H279">
        <v>2022</v>
      </c>
      <c r="I279" t="s">
        <v>60</v>
      </c>
      <c r="L279" t="s">
        <v>99</v>
      </c>
      <c r="M279">
        <v>45411</v>
      </c>
      <c r="N279" t="s">
        <v>50</v>
      </c>
      <c r="O279">
        <v>68</v>
      </c>
      <c r="P279">
        <v>44</v>
      </c>
      <c r="AG279">
        <f t="shared" si="4"/>
        <v>1</v>
      </c>
      <c r="AH279">
        <f>'TABLA PREVIOS'!E279</f>
        <v>259</v>
      </c>
      <c r="AI279">
        <f>VLOOKUP(C279,ALUMNOS!A:B,2,FALSE)</f>
        <v>487</v>
      </c>
    </row>
    <row r="280" spans="1:35" x14ac:dyDescent="0.25">
      <c r="A280" t="s">
        <v>245</v>
      </c>
      <c r="B280" t="s">
        <v>109</v>
      </c>
      <c r="C280">
        <v>47670177</v>
      </c>
      <c r="D280" t="s">
        <v>254</v>
      </c>
      <c r="E280" t="s">
        <v>32</v>
      </c>
      <c r="F280" t="s">
        <v>220</v>
      </c>
      <c r="G280" t="s">
        <v>43</v>
      </c>
      <c r="H280">
        <v>2023</v>
      </c>
      <c r="I280" t="s">
        <v>60</v>
      </c>
      <c r="L280" t="s">
        <v>99</v>
      </c>
      <c r="Q280">
        <v>45475</v>
      </c>
      <c r="R280">
        <v>3</v>
      </c>
      <c r="S280">
        <v>68</v>
      </c>
      <c r="T280">
        <v>78</v>
      </c>
      <c r="AG280">
        <f t="shared" si="4"/>
        <v>1</v>
      </c>
      <c r="AH280">
        <f>'TABLA PREVIOS'!E280</f>
        <v>277</v>
      </c>
      <c r="AI280">
        <f>VLOOKUP(C280,ALUMNOS!A:B,2,FALSE)</f>
        <v>487</v>
      </c>
    </row>
    <row r="281" spans="1:35" x14ac:dyDescent="0.25">
      <c r="A281" t="s">
        <v>245</v>
      </c>
      <c r="B281" t="s">
        <v>109</v>
      </c>
      <c r="C281">
        <v>47670177</v>
      </c>
      <c r="D281" t="s">
        <v>254</v>
      </c>
      <c r="E281" t="s">
        <v>12</v>
      </c>
      <c r="F281" t="s">
        <v>220</v>
      </c>
      <c r="G281" t="s">
        <v>45</v>
      </c>
      <c r="H281">
        <v>2023</v>
      </c>
      <c r="I281" t="s">
        <v>60</v>
      </c>
      <c r="L281" t="s">
        <v>99</v>
      </c>
      <c r="AG281">
        <f t="shared" si="4"/>
        <v>1</v>
      </c>
      <c r="AH281">
        <f>'TABLA PREVIOS'!E281</f>
        <v>265</v>
      </c>
      <c r="AI281">
        <f>VLOOKUP(C281,ALUMNOS!A:B,2,FALSE)</f>
        <v>487</v>
      </c>
    </row>
    <row r="282" spans="1:35" x14ac:dyDescent="0.25">
      <c r="A282" t="s">
        <v>245</v>
      </c>
      <c r="B282" t="s">
        <v>128</v>
      </c>
      <c r="C282">
        <v>47305406</v>
      </c>
      <c r="D282" t="s">
        <v>255</v>
      </c>
      <c r="E282" t="s">
        <v>29</v>
      </c>
      <c r="F282" t="s">
        <v>220</v>
      </c>
      <c r="G282" t="s">
        <v>43</v>
      </c>
      <c r="H282">
        <v>2023</v>
      </c>
      <c r="I282" t="s">
        <v>60</v>
      </c>
      <c r="L282" t="s">
        <v>99</v>
      </c>
      <c r="AG282">
        <f t="shared" si="4"/>
        <v>1</v>
      </c>
      <c r="AH282">
        <f>'TABLA PREVIOS'!E282</f>
        <v>273</v>
      </c>
      <c r="AI282">
        <f>VLOOKUP(C282,ALUMNOS!A:B,2,FALSE)</f>
        <v>40</v>
      </c>
    </row>
    <row r="283" spans="1:35" x14ac:dyDescent="0.25">
      <c r="A283" t="s">
        <v>245</v>
      </c>
      <c r="B283" t="s">
        <v>128</v>
      </c>
      <c r="C283">
        <v>46768242</v>
      </c>
      <c r="D283" t="s">
        <v>256</v>
      </c>
      <c r="E283" t="s">
        <v>16</v>
      </c>
      <c r="F283" t="s">
        <v>95</v>
      </c>
      <c r="G283" t="s">
        <v>43</v>
      </c>
      <c r="H283">
        <v>2020</v>
      </c>
      <c r="I283" t="s">
        <v>59</v>
      </c>
      <c r="K283" t="s">
        <v>216</v>
      </c>
      <c r="L283" t="s">
        <v>99</v>
      </c>
      <c r="AG283">
        <f t="shared" si="4"/>
        <v>1</v>
      </c>
      <c r="AH283">
        <f>'TABLA PREVIOS'!E283</f>
        <v>234</v>
      </c>
      <c r="AI283">
        <f>VLOOKUP(C283,ALUMNOS!A:B,2,FALSE)</f>
        <v>91</v>
      </c>
    </row>
    <row r="284" spans="1:35" x14ac:dyDescent="0.25">
      <c r="A284" t="s">
        <v>245</v>
      </c>
      <c r="B284" t="s">
        <v>128</v>
      </c>
      <c r="C284">
        <v>46768242</v>
      </c>
      <c r="D284" t="s">
        <v>256</v>
      </c>
      <c r="E284" t="s">
        <v>16</v>
      </c>
      <c r="F284" t="s">
        <v>190</v>
      </c>
      <c r="G284" t="s">
        <v>43</v>
      </c>
      <c r="H284">
        <v>2022</v>
      </c>
      <c r="I284" t="s">
        <v>60</v>
      </c>
      <c r="L284" t="s">
        <v>99</v>
      </c>
      <c r="AG284">
        <f t="shared" si="4"/>
        <v>1</v>
      </c>
      <c r="AH284">
        <f>'TABLA PREVIOS'!E284</f>
        <v>256</v>
      </c>
      <c r="AI284">
        <f>VLOOKUP(C284,ALUMNOS!A:B,2,FALSE)</f>
        <v>91</v>
      </c>
    </row>
    <row r="285" spans="1:35" x14ac:dyDescent="0.25">
      <c r="A285" t="s">
        <v>245</v>
      </c>
      <c r="B285" t="s">
        <v>128</v>
      </c>
      <c r="C285">
        <v>46035160</v>
      </c>
      <c r="D285" t="s">
        <v>257</v>
      </c>
      <c r="E285" t="s">
        <v>16</v>
      </c>
      <c r="F285" t="s">
        <v>143</v>
      </c>
      <c r="G285" t="s">
        <v>43</v>
      </c>
      <c r="H285">
        <v>2021</v>
      </c>
      <c r="I285" t="s">
        <v>59</v>
      </c>
      <c r="L285" t="s">
        <v>99</v>
      </c>
      <c r="AG285">
        <f t="shared" si="4"/>
        <v>1</v>
      </c>
      <c r="AH285">
        <f>'TABLA PREVIOS'!E285</f>
        <v>245</v>
      </c>
      <c r="AI285">
        <f>VLOOKUP(C285,ALUMNOS!A:B,2,FALSE)</f>
        <v>122</v>
      </c>
    </row>
    <row r="286" spans="1:35" x14ac:dyDescent="0.25">
      <c r="A286" t="s">
        <v>245</v>
      </c>
      <c r="B286" t="s">
        <v>128</v>
      </c>
      <c r="C286">
        <v>48538499</v>
      </c>
      <c r="D286" t="s">
        <v>258</v>
      </c>
      <c r="E286" t="s">
        <v>29</v>
      </c>
      <c r="F286" t="s">
        <v>220</v>
      </c>
      <c r="G286" t="s">
        <v>43</v>
      </c>
      <c r="H286">
        <v>2023</v>
      </c>
      <c r="I286" t="s">
        <v>60</v>
      </c>
      <c r="L286" t="s">
        <v>99</v>
      </c>
      <c r="AG286">
        <f t="shared" si="4"/>
        <v>1</v>
      </c>
      <c r="AH286">
        <f>'TABLA PREVIOS'!E286</f>
        <v>273</v>
      </c>
      <c r="AI286">
        <f>VLOOKUP(C286,ALUMNOS!A:B,2,FALSE)</f>
        <v>284</v>
      </c>
    </row>
    <row r="287" spans="1:35" x14ac:dyDescent="0.25">
      <c r="A287" t="s">
        <v>245</v>
      </c>
      <c r="B287" t="s">
        <v>128</v>
      </c>
      <c r="C287">
        <v>46509049</v>
      </c>
      <c r="D287" t="s">
        <v>259</v>
      </c>
      <c r="E287" t="s">
        <v>22</v>
      </c>
      <c r="F287" t="s">
        <v>95</v>
      </c>
      <c r="G287" t="s">
        <v>45</v>
      </c>
      <c r="H287">
        <v>2020</v>
      </c>
      <c r="I287" t="s">
        <v>59</v>
      </c>
      <c r="L287" t="s">
        <v>99</v>
      </c>
      <c r="AG287">
        <f t="shared" si="4"/>
        <v>1</v>
      </c>
      <c r="AH287">
        <f>'TABLA PREVIOS'!E287</f>
        <v>233</v>
      </c>
      <c r="AI287">
        <f>VLOOKUP(C287,ALUMNOS!A:B,2,FALSE)</f>
        <v>398</v>
      </c>
    </row>
    <row r="288" spans="1:35" x14ac:dyDescent="0.25">
      <c r="A288" t="s">
        <v>245</v>
      </c>
      <c r="B288" t="s">
        <v>128</v>
      </c>
      <c r="C288">
        <v>46509049</v>
      </c>
      <c r="D288" t="s">
        <v>259</v>
      </c>
      <c r="E288" t="s">
        <v>12</v>
      </c>
      <c r="F288" t="s">
        <v>95</v>
      </c>
      <c r="G288" t="s">
        <v>43</v>
      </c>
      <c r="H288">
        <v>2020</v>
      </c>
      <c r="I288" t="s">
        <v>59</v>
      </c>
      <c r="L288" t="s">
        <v>99</v>
      </c>
      <c r="AG288">
        <f t="shared" si="4"/>
        <v>1</v>
      </c>
      <c r="AH288">
        <f>'TABLA PREVIOS'!E288</f>
        <v>230</v>
      </c>
      <c r="AI288">
        <f>VLOOKUP(C288,ALUMNOS!A:B,2,FALSE)</f>
        <v>398</v>
      </c>
    </row>
    <row r="289" spans="1:35" x14ac:dyDescent="0.25">
      <c r="A289" t="s">
        <v>245</v>
      </c>
      <c r="B289" t="s">
        <v>128</v>
      </c>
      <c r="C289">
        <v>46509049</v>
      </c>
      <c r="D289" t="s">
        <v>259</v>
      </c>
      <c r="E289" t="s">
        <v>16</v>
      </c>
      <c r="F289" t="s">
        <v>143</v>
      </c>
      <c r="G289" t="s">
        <v>43</v>
      </c>
      <c r="H289">
        <v>2021</v>
      </c>
      <c r="I289" t="s">
        <v>59</v>
      </c>
      <c r="K289" t="s">
        <v>260</v>
      </c>
      <c r="L289" t="s">
        <v>99</v>
      </c>
      <c r="AG289">
        <f t="shared" si="4"/>
        <v>1</v>
      </c>
      <c r="AH289">
        <f>'TABLA PREVIOS'!E289</f>
        <v>245</v>
      </c>
      <c r="AI289">
        <f>VLOOKUP(C289,ALUMNOS!A:B,2,FALSE)</f>
        <v>398</v>
      </c>
    </row>
    <row r="290" spans="1:35" x14ac:dyDescent="0.25">
      <c r="A290" t="s">
        <v>245</v>
      </c>
      <c r="B290" t="s">
        <v>128</v>
      </c>
      <c r="C290">
        <v>47727928</v>
      </c>
      <c r="D290" t="s">
        <v>261</v>
      </c>
      <c r="E290" t="s">
        <v>30</v>
      </c>
      <c r="F290" t="s">
        <v>190</v>
      </c>
      <c r="G290" t="s">
        <v>44</v>
      </c>
      <c r="H290">
        <v>2023</v>
      </c>
      <c r="I290" t="s">
        <v>60</v>
      </c>
      <c r="L290" t="s">
        <v>107</v>
      </c>
      <c r="Q290">
        <v>45475</v>
      </c>
      <c r="R290">
        <v>7</v>
      </c>
      <c r="S290">
        <v>58</v>
      </c>
      <c r="T290">
        <v>200</v>
      </c>
      <c r="AG290">
        <f t="shared" si="4"/>
        <v>7</v>
      </c>
      <c r="AH290">
        <f>'TABLA PREVIOS'!E290</f>
        <v>260</v>
      </c>
      <c r="AI290">
        <f>VLOOKUP(C290,ALUMNOS!A:B,2,FALSE)</f>
        <v>443</v>
      </c>
    </row>
    <row r="291" spans="1:35" x14ac:dyDescent="0.25">
      <c r="A291" t="s">
        <v>245</v>
      </c>
      <c r="B291" t="s">
        <v>128</v>
      </c>
      <c r="C291">
        <v>47250892</v>
      </c>
      <c r="D291" t="s">
        <v>262</v>
      </c>
      <c r="E291" t="s">
        <v>30</v>
      </c>
      <c r="F291" t="s">
        <v>190</v>
      </c>
      <c r="G291" t="s">
        <v>43</v>
      </c>
      <c r="H291">
        <v>2022</v>
      </c>
      <c r="I291" t="s">
        <v>60</v>
      </c>
      <c r="L291" t="s">
        <v>99</v>
      </c>
      <c r="AG291">
        <f t="shared" si="4"/>
        <v>1</v>
      </c>
      <c r="AH291">
        <f>'TABLA PREVIOS'!E291</f>
        <v>260</v>
      </c>
      <c r="AI291">
        <f>VLOOKUP(C291,ALUMNOS!A:B,2,FALSE)</f>
        <v>473</v>
      </c>
    </row>
    <row r="292" spans="1:35" x14ac:dyDescent="0.25">
      <c r="A292" t="s">
        <v>245</v>
      </c>
      <c r="B292" t="s">
        <v>128</v>
      </c>
      <c r="C292">
        <v>47250892</v>
      </c>
      <c r="D292" t="s">
        <v>262</v>
      </c>
      <c r="E292" t="s">
        <v>28</v>
      </c>
      <c r="F292" t="s">
        <v>190</v>
      </c>
      <c r="G292" t="s">
        <v>43</v>
      </c>
      <c r="H292">
        <v>2022</v>
      </c>
      <c r="I292" t="s">
        <v>60</v>
      </c>
      <c r="L292" t="s">
        <v>99</v>
      </c>
      <c r="M292">
        <v>45400</v>
      </c>
      <c r="N292" t="s">
        <v>263</v>
      </c>
      <c r="O292">
        <v>68</v>
      </c>
      <c r="P292">
        <v>21</v>
      </c>
      <c r="AG292">
        <f t="shared" si="4"/>
        <v>1</v>
      </c>
      <c r="AH292">
        <f>'TABLA PREVIOS'!E292</f>
        <v>258</v>
      </c>
      <c r="AI292">
        <f>VLOOKUP(C292,ALUMNOS!A:B,2,FALSE)</f>
        <v>473</v>
      </c>
    </row>
    <row r="293" spans="1:35" x14ac:dyDescent="0.25">
      <c r="A293" t="s">
        <v>245</v>
      </c>
      <c r="B293" t="s">
        <v>128</v>
      </c>
      <c r="C293">
        <v>47989209</v>
      </c>
      <c r="D293" t="s">
        <v>264</v>
      </c>
      <c r="E293" t="s">
        <v>30</v>
      </c>
      <c r="F293" t="s">
        <v>190</v>
      </c>
      <c r="G293" t="s">
        <v>43</v>
      </c>
      <c r="H293">
        <v>2022</v>
      </c>
      <c r="I293" t="s">
        <v>60</v>
      </c>
      <c r="L293" t="s">
        <v>99</v>
      </c>
      <c r="AG293">
        <f t="shared" si="4"/>
        <v>1</v>
      </c>
      <c r="AH293">
        <f>'TABLA PREVIOS'!E293</f>
        <v>260</v>
      </c>
      <c r="AI293">
        <f>VLOOKUP(C293,ALUMNOS!A:B,2,FALSE)</f>
        <v>498</v>
      </c>
    </row>
    <row r="294" spans="1:35" x14ac:dyDescent="0.25">
      <c r="A294" t="s">
        <v>245</v>
      </c>
      <c r="B294" t="s">
        <v>128</v>
      </c>
      <c r="C294">
        <v>47250824</v>
      </c>
      <c r="D294" t="s">
        <v>265</v>
      </c>
      <c r="E294" t="s">
        <v>21</v>
      </c>
      <c r="F294" t="s">
        <v>95</v>
      </c>
      <c r="G294" t="s">
        <v>43</v>
      </c>
      <c r="H294">
        <v>2020</v>
      </c>
      <c r="I294" t="s">
        <v>59</v>
      </c>
      <c r="L294" t="s">
        <v>99</v>
      </c>
      <c r="AG294">
        <f t="shared" si="4"/>
        <v>1</v>
      </c>
      <c r="AH294">
        <f>'TABLA PREVIOS'!E294</f>
        <v>232</v>
      </c>
      <c r="AI294">
        <f>VLOOKUP(C294,ALUMNOS!A:B,2,FALSE)</f>
        <v>550</v>
      </c>
    </row>
    <row r="295" spans="1:35" x14ac:dyDescent="0.25">
      <c r="A295" t="s">
        <v>245</v>
      </c>
      <c r="B295" t="s">
        <v>128</v>
      </c>
      <c r="C295">
        <v>47250824</v>
      </c>
      <c r="D295" t="s">
        <v>265</v>
      </c>
      <c r="E295" t="s">
        <v>11</v>
      </c>
      <c r="F295" t="s">
        <v>95</v>
      </c>
      <c r="G295" t="s">
        <v>43</v>
      </c>
      <c r="H295">
        <v>2020</v>
      </c>
      <c r="I295" t="s">
        <v>59</v>
      </c>
      <c r="L295" t="s">
        <v>99</v>
      </c>
      <c r="AG295">
        <f t="shared" si="4"/>
        <v>1</v>
      </c>
      <c r="AH295">
        <f>'TABLA PREVIOS'!E295</f>
        <v>229</v>
      </c>
      <c r="AI295">
        <f>VLOOKUP(C295,ALUMNOS!A:B,2,FALSE)</f>
        <v>550</v>
      </c>
    </row>
    <row r="296" spans="1:35" x14ac:dyDescent="0.25">
      <c r="A296" t="s">
        <v>245</v>
      </c>
      <c r="B296" t="s">
        <v>128</v>
      </c>
      <c r="C296">
        <v>47250824</v>
      </c>
      <c r="D296" t="s">
        <v>265</v>
      </c>
      <c r="E296" t="s">
        <v>28</v>
      </c>
      <c r="F296" t="s">
        <v>220</v>
      </c>
      <c r="G296" t="s">
        <v>43</v>
      </c>
      <c r="H296">
        <v>2023</v>
      </c>
      <c r="I296" t="s">
        <v>60</v>
      </c>
      <c r="L296" t="s">
        <v>99</v>
      </c>
      <c r="AG296">
        <f t="shared" si="4"/>
        <v>1</v>
      </c>
      <c r="AH296">
        <f>'TABLA PREVIOS'!E296</f>
        <v>272</v>
      </c>
      <c r="AI296">
        <f>VLOOKUP(C296,ALUMNOS!A:B,2,FALSE)</f>
        <v>550</v>
      </c>
    </row>
    <row r="297" spans="1:35" x14ac:dyDescent="0.25">
      <c r="A297" t="s">
        <v>245</v>
      </c>
      <c r="B297" t="s">
        <v>128</v>
      </c>
      <c r="C297">
        <v>47570651</v>
      </c>
      <c r="D297" t="s">
        <v>266</v>
      </c>
      <c r="E297" t="s">
        <v>12</v>
      </c>
      <c r="F297" t="s">
        <v>143</v>
      </c>
      <c r="G297" t="s">
        <v>43</v>
      </c>
      <c r="H297">
        <v>2021</v>
      </c>
      <c r="I297" t="s">
        <v>59</v>
      </c>
      <c r="J297" t="s">
        <v>267</v>
      </c>
      <c r="L297" t="s">
        <v>99</v>
      </c>
      <c r="AG297">
        <f t="shared" si="4"/>
        <v>1</v>
      </c>
      <c r="AH297">
        <f>'TABLA PREVIOS'!E297</f>
        <v>240</v>
      </c>
      <c r="AI297">
        <f>VLOOKUP(C297,ALUMNOS!A:B,2,FALSE)</f>
        <v>642</v>
      </c>
    </row>
    <row r="298" spans="1:35" x14ac:dyDescent="0.25">
      <c r="A298" t="s">
        <v>245</v>
      </c>
      <c r="B298" t="s">
        <v>128</v>
      </c>
      <c r="C298">
        <v>47570651</v>
      </c>
      <c r="D298" t="s">
        <v>266</v>
      </c>
      <c r="E298" t="s">
        <v>29</v>
      </c>
      <c r="F298" t="s">
        <v>220</v>
      </c>
      <c r="G298" t="s">
        <v>43</v>
      </c>
      <c r="H298">
        <v>2023</v>
      </c>
      <c r="I298" t="s">
        <v>60</v>
      </c>
      <c r="L298" t="s">
        <v>99</v>
      </c>
      <c r="Q298">
        <v>45475</v>
      </c>
      <c r="R298" t="s">
        <v>50</v>
      </c>
      <c r="S298">
        <v>68</v>
      </c>
      <c r="T298">
        <v>79</v>
      </c>
      <c r="AG298">
        <f t="shared" si="4"/>
        <v>1</v>
      </c>
      <c r="AH298">
        <f>'TABLA PREVIOS'!E298</f>
        <v>273</v>
      </c>
      <c r="AI298">
        <f>VLOOKUP(C298,ALUMNOS!A:B,2,FALSE)</f>
        <v>642</v>
      </c>
    </row>
    <row r="299" spans="1:35" x14ac:dyDescent="0.25">
      <c r="A299" t="s">
        <v>245</v>
      </c>
      <c r="B299" t="s">
        <v>128</v>
      </c>
      <c r="C299">
        <v>47665588</v>
      </c>
      <c r="D299" t="s">
        <v>268</v>
      </c>
      <c r="E299" t="s">
        <v>27</v>
      </c>
      <c r="F299" t="s">
        <v>190</v>
      </c>
      <c r="G299" t="s">
        <v>43</v>
      </c>
      <c r="H299">
        <v>2022</v>
      </c>
      <c r="I299" t="s">
        <v>60</v>
      </c>
      <c r="L299" t="s">
        <v>99</v>
      </c>
      <c r="AG299">
        <f t="shared" si="4"/>
        <v>1</v>
      </c>
      <c r="AH299">
        <f>'TABLA PREVIOS'!E299</f>
        <v>255</v>
      </c>
      <c r="AI299">
        <f>VLOOKUP(C299,ALUMNOS!A:B,2,FALSE)</f>
        <v>778</v>
      </c>
    </row>
    <row r="300" spans="1:35" x14ac:dyDescent="0.25">
      <c r="A300" t="s">
        <v>245</v>
      </c>
      <c r="B300" t="s">
        <v>128</v>
      </c>
      <c r="C300">
        <v>47665588</v>
      </c>
      <c r="D300" t="s">
        <v>268</v>
      </c>
      <c r="E300" t="s">
        <v>28</v>
      </c>
      <c r="F300" t="s">
        <v>220</v>
      </c>
      <c r="G300" t="s">
        <v>43</v>
      </c>
      <c r="H300">
        <v>2023</v>
      </c>
      <c r="I300" t="s">
        <v>60</v>
      </c>
      <c r="L300" t="s">
        <v>99</v>
      </c>
      <c r="AG300">
        <f t="shared" si="4"/>
        <v>1</v>
      </c>
      <c r="AH300">
        <f>'TABLA PREVIOS'!E300</f>
        <v>272</v>
      </c>
      <c r="AI300">
        <f>VLOOKUP(C300,ALUMNOS!A:B,2,FALSE)</f>
        <v>778</v>
      </c>
    </row>
    <row r="301" spans="1:35" x14ac:dyDescent="0.25">
      <c r="A301" t="s">
        <v>245</v>
      </c>
      <c r="B301" t="s">
        <v>128</v>
      </c>
      <c r="C301">
        <v>47665588</v>
      </c>
      <c r="D301" t="s">
        <v>268</v>
      </c>
      <c r="E301" t="s">
        <v>29</v>
      </c>
      <c r="F301" t="s">
        <v>220</v>
      </c>
      <c r="G301" t="s">
        <v>43</v>
      </c>
      <c r="H301">
        <v>2023</v>
      </c>
      <c r="I301" t="s">
        <v>60</v>
      </c>
      <c r="L301" t="s">
        <v>99</v>
      </c>
      <c r="AG301">
        <f t="shared" si="4"/>
        <v>1</v>
      </c>
      <c r="AH301">
        <f>'TABLA PREVIOS'!E301</f>
        <v>273</v>
      </c>
      <c r="AI301">
        <f>VLOOKUP(C301,ALUMNOS!A:B,2,FALSE)</f>
        <v>778</v>
      </c>
    </row>
    <row r="302" spans="1:35" x14ac:dyDescent="0.25">
      <c r="A302" t="s">
        <v>269</v>
      </c>
      <c r="C302">
        <v>36148256</v>
      </c>
      <c r="D302" t="s">
        <v>270</v>
      </c>
      <c r="E302" t="s">
        <v>24</v>
      </c>
      <c r="F302" t="s">
        <v>190</v>
      </c>
      <c r="G302" t="s">
        <v>43</v>
      </c>
      <c r="H302">
        <v>2008</v>
      </c>
      <c r="I302" t="s">
        <v>58</v>
      </c>
      <c r="L302" t="s">
        <v>99</v>
      </c>
      <c r="AG302">
        <f t="shared" si="4"/>
        <v>1</v>
      </c>
      <c r="AH302">
        <f>'TABLA PREVIOS'!E302</f>
        <v>173</v>
      </c>
      <c r="AI302">
        <f>VLOOKUP(C302,ALUMNOS!A:B,2,FALSE)</f>
        <v>121</v>
      </c>
    </row>
    <row r="303" spans="1:35" x14ac:dyDescent="0.25">
      <c r="A303" t="s">
        <v>269</v>
      </c>
      <c r="C303">
        <v>36148256</v>
      </c>
      <c r="D303" t="s">
        <v>270</v>
      </c>
      <c r="E303" t="s">
        <v>26</v>
      </c>
      <c r="F303" t="s">
        <v>220</v>
      </c>
      <c r="G303" t="s">
        <v>43</v>
      </c>
      <c r="H303">
        <v>2009</v>
      </c>
      <c r="I303" t="s">
        <v>58</v>
      </c>
      <c r="L303" t="s">
        <v>99</v>
      </c>
      <c r="AG303">
        <f t="shared" si="4"/>
        <v>1</v>
      </c>
      <c r="AH303">
        <f>'TABLA PREVIOS'!E303</f>
        <v>193</v>
      </c>
      <c r="AI303">
        <f>VLOOKUP(C303,ALUMNOS!A:B,2,FALSE)</f>
        <v>121</v>
      </c>
    </row>
    <row r="304" spans="1:35" x14ac:dyDescent="0.25">
      <c r="A304" t="s">
        <v>269</v>
      </c>
      <c r="C304">
        <v>36148256</v>
      </c>
      <c r="D304" t="s">
        <v>270</v>
      </c>
      <c r="E304" t="s">
        <v>10</v>
      </c>
      <c r="F304" t="s">
        <v>245</v>
      </c>
      <c r="G304" t="s">
        <v>43</v>
      </c>
      <c r="H304">
        <v>2010</v>
      </c>
      <c r="I304" t="s">
        <v>58</v>
      </c>
      <c r="L304" t="s">
        <v>99</v>
      </c>
      <c r="AG304">
        <f t="shared" si="4"/>
        <v>1</v>
      </c>
      <c r="AH304">
        <f>'TABLA PREVIOS'!E304</f>
        <v>210</v>
      </c>
      <c r="AI304">
        <f>VLOOKUP(C304,ALUMNOS!A:B,2,FALSE)</f>
        <v>121</v>
      </c>
    </row>
    <row r="305" spans="1:35" x14ac:dyDescent="0.25">
      <c r="A305" t="s">
        <v>269</v>
      </c>
      <c r="C305">
        <v>36148256</v>
      </c>
      <c r="D305" t="s">
        <v>270</v>
      </c>
      <c r="E305" t="s">
        <v>271</v>
      </c>
      <c r="F305" t="s">
        <v>245</v>
      </c>
      <c r="G305" t="s">
        <v>43</v>
      </c>
      <c r="H305">
        <v>2010</v>
      </c>
      <c r="I305" t="s">
        <v>58</v>
      </c>
      <c r="L305" t="s">
        <v>99</v>
      </c>
      <c r="AG305">
        <f t="shared" si="4"/>
        <v>1</v>
      </c>
      <c r="AH305">
        <f>'TABLA PREVIOS'!E305</f>
        <v>216</v>
      </c>
      <c r="AI305">
        <f>VLOOKUP(C305,ALUMNOS!A:B,2,FALSE)</f>
        <v>121</v>
      </c>
    </row>
    <row r="306" spans="1:35" x14ac:dyDescent="0.25">
      <c r="A306" t="s">
        <v>269</v>
      </c>
      <c r="C306">
        <v>36148256</v>
      </c>
      <c r="D306" t="s">
        <v>270</v>
      </c>
      <c r="E306" t="s">
        <v>272</v>
      </c>
      <c r="F306" t="s">
        <v>245</v>
      </c>
      <c r="G306" t="s">
        <v>43</v>
      </c>
      <c r="H306">
        <v>2010</v>
      </c>
      <c r="I306" t="s">
        <v>58</v>
      </c>
      <c r="L306" t="s">
        <v>99</v>
      </c>
      <c r="AG306">
        <f t="shared" si="4"/>
        <v>1</v>
      </c>
      <c r="AH306">
        <f>'TABLA PREVIOS'!E306</f>
        <v>217</v>
      </c>
      <c r="AI306">
        <f>VLOOKUP(C306,ALUMNOS!A:B,2,FALSE)</f>
        <v>121</v>
      </c>
    </row>
    <row r="307" spans="1:35" x14ac:dyDescent="0.25">
      <c r="A307" t="s">
        <v>273</v>
      </c>
      <c r="C307">
        <v>39445113</v>
      </c>
      <c r="D307" t="s">
        <v>274</v>
      </c>
      <c r="E307" t="s">
        <v>16</v>
      </c>
      <c r="F307" t="s">
        <v>143</v>
      </c>
      <c r="G307" t="s">
        <v>43</v>
      </c>
      <c r="H307">
        <v>2011</v>
      </c>
      <c r="I307" t="s">
        <v>59</v>
      </c>
      <c r="L307" t="s">
        <v>99</v>
      </c>
      <c r="AG307">
        <f t="shared" si="4"/>
        <v>1</v>
      </c>
      <c r="AH307">
        <f>'TABLA PREVIOS'!E307</f>
        <v>245</v>
      </c>
      <c r="AI307">
        <f>VLOOKUP(C307,ALUMNOS!A:B,2,FALSE)</f>
        <v>315</v>
      </c>
    </row>
    <row r="308" spans="1:35" x14ac:dyDescent="0.25">
      <c r="A308" t="s">
        <v>275</v>
      </c>
      <c r="C308">
        <v>41158008</v>
      </c>
      <c r="D308" t="s">
        <v>276</v>
      </c>
      <c r="E308" t="s">
        <v>16</v>
      </c>
      <c r="F308" t="s">
        <v>95</v>
      </c>
      <c r="G308" t="s">
        <v>43</v>
      </c>
      <c r="H308">
        <v>2012</v>
      </c>
      <c r="I308" t="s">
        <v>59</v>
      </c>
      <c r="L308" t="s">
        <v>99</v>
      </c>
      <c r="AG308">
        <f t="shared" si="4"/>
        <v>1</v>
      </c>
      <c r="AH308">
        <f>'TABLA PREVIOS'!E308</f>
        <v>234</v>
      </c>
      <c r="AI308">
        <f>VLOOKUP(C308,ALUMNOS!A:B,2,FALSE)</f>
        <v>120</v>
      </c>
    </row>
    <row r="309" spans="1:35" x14ac:dyDescent="0.25">
      <c r="A309" t="s">
        <v>275</v>
      </c>
      <c r="C309">
        <v>41158008</v>
      </c>
      <c r="D309" t="s">
        <v>276</v>
      </c>
      <c r="E309" t="s">
        <v>16</v>
      </c>
      <c r="F309" t="s">
        <v>190</v>
      </c>
      <c r="G309" t="s">
        <v>43</v>
      </c>
      <c r="H309">
        <v>2014</v>
      </c>
      <c r="I309" t="s">
        <v>60</v>
      </c>
      <c r="L309" t="s">
        <v>99</v>
      </c>
      <c r="AG309">
        <f t="shared" si="4"/>
        <v>1</v>
      </c>
      <c r="AH309">
        <f>'TABLA PREVIOS'!E309</f>
        <v>256</v>
      </c>
      <c r="AI309">
        <f>VLOOKUP(C309,ALUMNOS!A:B,2,FALSE)</f>
        <v>120</v>
      </c>
    </row>
    <row r="310" spans="1:35" x14ac:dyDescent="0.25">
      <c r="A310" t="s">
        <v>275</v>
      </c>
      <c r="C310">
        <v>41158008</v>
      </c>
      <c r="D310" t="s">
        <v>276</v>
      </c>
      <c r="E310" t="s">
        <v>12</v>
      </c>
      <c r="F310" t="s">
        <v>220</v>
      </c>
      <c r="G310" t="s">
        <v>43</v>
      </c>
      <c r="H310">
        <v>2015</v>
      </c>
      <c r="I310" t="s">
        <v>60</v>
      </c>
      <c r="L310" t="s">
        <v>99</v>
      </c>
      <c r="AG310">
        <f t="shared" si="4"/>
        <v>1</v>
      </c>
      <c r="AH310">
        <f>'TABLA PREVIOS'!E310</f>
        <v>265</v>
      </c>
      <c r="AI310">
        <f>VLOOKUP(C310,ALUMNOS!A:B,2,FALSE)</f>
        <v>120</v>
      </c>
    </row>
    <row r="311" spans="1:35" x14ac:dyDescent="0.25">
      <c r="A311" t="s">
        <v>275</v>
      </c>
      <c r="C311">
        <v>41158008</v>
      </c>
      <c r="D311" t="s">
        <v>276</v>
      </c>
      <c r="E311" t="s">
        <v>16</v>
      </c>
      <c r="F311" t="s">
        <v>245</v>
      </c>
      <c r="G311" t="s">
        <v>43</v>
      </c>
      <c r="H311">
        <v>2016</v>
      </c>
      <c r="I311" t="s">
        <v>60</v>
      </c>
      <c r="L311" t="s">
        <v>99</v>
      </c>
      <c r="AG311">
        <f t="shared" si="4"/>
        <v>1</v>
      </c>
      <c r="AH311">
        <f>'TABLA PREVIOS'!E311</f>
        <v>282</v>
      </c>
      <c r="AI311">
        <f>VLOOKUP(C311,ALUMNOS!A:B,2,FALSE)</f>
        <v>120</v>
      </c>
    </row>
    <row r="312" spans="1:35" x14ac:dyDescent="0.25">
      <c r="A312" t="s">
        <v>275</v>
      </c>
      <c r="C312">
        <v>40575280</v>
      </c>
      <c r="D312" t="s">
        <v>277</v>
      </c>
      <c r="E312" t="s">
        <v>16</v>
      </c>
      <c r="F312" t="s">
        <v>245</v>
      </c>
      <c r="G312" t="s">
        <v>43</v>
      </c>
      <c r="H312">
        <v>2016</v>
      </c>
      <c r="I312" t="s">
        <v>60</v>
      </c>
      <c r="L312" t="s">
        <v>99</v>
      </c>
      <c r="AG312">
        <f t="shared" si="4"/>
        <v>1</v>
      </c>
      <c r="AH312">
        <f>'TABLA PREVIOS'!E312</f>
        <v>282</v>
      </c>
      <c r="AI312">
        <f>VLOOKUP(C312,ALUMNOS!A:B,2,FALSE)</f>
        <v>528</v>
      </c>
    </row>
    <row r="313" spans="1:35" x14ac:dyDescent="0.25">
      <c r="A313" t="s">
        <v>278</v>
      </c>
      <c r="C313">
        <v>41674034</v>
      </c>
      <c r="D313" t="s">
        <v>279</v>
      </c>
      <c r="E313" t="s">
        <v>26</v>
      </c>
      <c r="F313" t="s">
        <v>190</v>
      </c>
      <c r="G313" t="s">
        <v>43</v>
      </c>
      <c r="H313">
        <v>2014</v>
      </c>
      <c r="I313" t="s">
        <v>60</v>
      </c>
      <c r="L313" t="s">
        <v>99</v>
      </c>
      <c r="AG313">
        <f t="shared" si="4"/>
        <v>1</v>
      </c>
      <c r="AH313">
        <f>'TABLA PREVIOS'!E313</f>
        <v>254</v>
      </c>
      <c r="AI313">
        <f>VLOOKUP(C313,ALUMNOS!A:B,2,FALSE)</f>
        <v>818</v>
      </c>
    </row>
    <row r="314" spans="1:35" x14ac:dyDescent="0.25">
      <c r="A314" t="s">
        <v>278</v>
      </c>
      <c r="C314">
        <v>41674034</v>
      </c>
      <c r="D314" t="s">
        <v>279</v>
      </c>
      <c r="E314" t="s">
        <v>16</v>
      </c>
      <c r="F314" t="s">
        <v>190</v>
      </c>
      <c r="G314" t="s">
        <v>43</v>
      </c>
      <c r="H314">
        <v>2014</v>
      </c>
      <c r="I314" t="s">
        <v>60</v>
      </c>
      <c r="L314" t="s">
        <v>99</v>
      </c>
      <c r="AG314">
        <f t="shared" si="4"/>
        <v>1</v>
      </c>
      <c r="AH314">
        <f>'TABLA PREVIOS'!E314</f>
        <v>256</v>
      </c>
      <c r="AI314">
        <f>VLOOKUP(C314,ALUMNOS!A:B,2,FALSE)</f>
        <v>818</v>
      </c>
    </row>
    <row r="315" spans="1:35" x14ac:dyDescent="0.25">
      <c r="A315" t="s">
        <v>278</v>
      </c>
      <c r="C315">
        <v>41674034</v>
      </c>
      <c r="D315" t="s">
        <v>279</v>
      </c>
      <c r="E315" t="s">
        <v>34</v>
      </c>
      <c r="F315" t="s">
        <v>220</v>
      </c>
      <c r="G315" t="s">
        <v>43</v>
      </c>
      <c r="H315">
        <v>2015</v>
      </c>
      <c r="I315" t="s">
        <v>60</v>
      </c>
      <c r="L315" t="s">
        <v>99</v>
      </c>
      <c r="AG315">
        <f t="shared" si="4"/>
        <v>1</v>
      </c>
      <c r="AH315">
        <f>'TABLA PREVIOS'!E315</f>
        <v>275</v>
      </c>
      <c r="AI315">
        <f>VLOOKUP(C315,ALUMNOS!A:B,2,FALSE)</f>
        <v>818</v>
      </c>
    </row>
    <row r="316" spans="1:35" x14ac:dyDescent="0.25">
      <c r="A316" t="s">
        <v>278</v>
      </c>
      <c r="C316">
        <v>41674034</v>
      </c>
      <c r="D316" t="s">
        <v>279</v>
      </c>
      <c r="E316" t="s">
        <v>30</v>
      </c>
      <c r="F316" t="s">
        <v>245</v>
      </c>
      <c r="G316" t="s">
        <v>43</v>
      </c>
      <c r="H316">
        <v>2017</v>
      </c>
      <c r="I316" t="s">
        <v>60</v>
      </c>
      <c r="L316" t="s">
        <v>99</v>
      </c>
      <c r="AG316">
        <f t="shared" si="4"/>
        <v>1</v>
      </c>
      <c r="AH316">
        <f>'TABLA PREVIOS'!E316</f>
        <v>285</v>
      </c>
      <c r="AI316">
        <f>VLOOKUP(C316,ALUMNOS!A:B,2,FALSE)</f>
        <v>818</v>
      </c>
    </row>
    <row r="317" spans="1:35" x14ac:dyDescent="0.25">
      <c r="A317" t="s">
        <v>278</v>
      </c>
      <c r="C317">
        <v>41674034</v>
      </c>
      <c r="D317" t="s">
        <v>279</v>
      </c>
      <c r="E317" t="s">
        <v>40</v>
      </c>
      <c r="F317" t="s">
        <v>245</v>
      </c>
      <c r="G317" t="s">
        <v>43</v>
      </c>
      <c r="H317">
        <v>2017</v>
      </c>
      <c r="I317" t="s">
        <v>60</v>
      </c>
      <c r="L317" t="s">
        <v>99</v>
      </c>
      <c r="AG317">
        <f t="shared" si="4"/>
        <v>1</v>
      </c>
      <c r="AH317">
        <f>'TABLA PREVIOS'!E317</f>
        <v>289</v>
      </c>
      <c r="AI317">
        <f>VLOOKUP(C317,ALUMNOS!A:B,2,FALSE)</f>
        <v>818</v>
      </c>
    </row>
    <row r="318" spans="1:35" x14ac:dyDescent="0.25">
      <c r="A318" t="s">
        <v>278</v>
      </c>
      <c r="C318">
        <v>41674034</v>
      </c>
      <c r="D318" t="s">
        <v>279</v>
      </c>
      <c r="E318" t="s">
        <v>29</v>
      </c>
      <c r="F318" t="s">
        <v>245</v>
      </c>
      <c r="G318" t="s">
        <v>43</v>
      </c>
      <c r="H318">
        <v>2017</v>
      </c>
      <c r="I318" t="s">
        <v>60</v>
      </c>
      <c r="L318" t="s">
        <v>99</v>
      </c>
      <c r="AG318">
        <f t="shared" si="4"/>
        <v>1</v>
      </c>
      <c r="AH318">
        <f>'TABLA PREVIOS'!E318</f>
        <v>290</v>
      </c>
      <c r="AI318">
        <f>VLOOKUP(C318,ALUMNOS!A:B,2,FALSE)</f>
        <v>818</v>
      </c>
    </row>
    <row r="319" spans="1:35" x14ac:dyDescent="0.25">
      <c r="A319" t="s">
        <v>278</v>
      </c>
      <c r="C319">
        <v>42156664</v>
      </c>
      <c r="D319" t="s">
        <v>280</v>
      </c>
      <c r="E319" t="s">
        <v>27</v>
      </c>
      <c r="F319" t="s">
        <v>143</v>
      </c>
      <c r="G319" t="s">
        <v>43</v>
      </c>
      <c r="H319">
        <v>2014</v>
      </c>
      <c r="I319" t="s">
        <v>59</v>
      </c>
      <c r="L319" t="s">
        <v>107</v>
      </c>
      <c r="M319">
        <v>45411</v>
      </c>
      <c r="N319">
        <v>7</v>
      </c>
      <c r="O319">
        <v>68</v>
      </c>
      <c r="P319">
        <v>43</v>
      </c>
      <c r="AG319">
        <f t="shared" si="4"/>
        <v>7</v>
      </c>
      <c r="AH319">
        <f>'TABLA PREVIOS'!E319</f>
        <v>244</v>
      </c>
      <c r="AI319">
        <f>VLOOKUP(C319,ALUMNOS!A:B,2,FALSE)</f>
        <v>222</v>
      </c>
    </row>
    <row r="320" spans="1:35" x14ac:dyDescent="0.25">
      <c r="A320" t="s">
        <v>278</v>
      </c>
      <c r="C320">
        <v>40575260</v>
      </c>
      <c r="D320" t="s">
        <v>281</v>
      </c>
      <c r="E320" t="s">
        <v>10</v>
      </c>
      <c r="F320" t="s">
        <v>245</v>
      </c>
      <c r="G320" t="s">
        <v>43</v>
      </c>
      <c r="H320">
        <v>2017</v>
      </c>
      <c r="I320" t="s">
        <v>60</v>
      </c>
      <c r="L320" t="s">
        <v>99</v>
      </c>
      <c r="AG320">
        <f t="shared" si="4"/>
        <v>1</v>
      </c>
      <c r="AH320">
        <f>'TABLA PREVIOS'!E320</f>
        <v>278</v>
      </c>
      <c r="AI320">
        <f>VLOOKUP(C320,ALUMNOS!A:B,2,FALSE)</f>
        <v>486</v>
      </c>
    </row>
    <row r="321" spans="1:35" x14ac:dyDescent="0.25">
      <c r="A321" t="s">
        <v>278</v>
      </c>
      <c r="C321">
        <v>40575260</v>
      </c>
      <c r="D321" t="s">
        <v>281</v>
      </c>
      <c r="E321" t="s">
        <v>16</v>
      </c>
      <c r="F321" t="s">
        <v>245</v>
      </c>
      <c r="G321" t="s">
        <v>43</v>
      </c>
      <c r="H321">
        <v>2017</v>
      </c>
      <c r="I321" t="s">
        <v>60</v>
      </c>
      <c r="L321" t="s">
        <v>99</v>
      </c>
      <c r="AG321">
        <f t="shared" si="4"/>
        <v>1</v>
      </c>
      <c r="AH321">
        <f>'TABLA PREVIOS'!E321</f>
        <v>282</v>
      </c>
      <c r="AI321">
        <f>VLOOKUP(C321,ALUMNOS!A:B,2,FALSE)</f>
        <v>486</v>
      </c>
    </row>
    <row r="322" spans="1:35" x14ac:dyDescent="0.25">
      <c r="A322" t="s">
        <v>278</v>
      </c>
      <c r="C322">
        <v>40575260</v>
      </c>
      <c r="D322" t="s">
        <v>281</v>
      </c>
      <c r="E322" t="s">
        <v>11</v>
      </c>
      <c r="F322" t="s">
        <v>245</v>
      </c>
      <c r="G322" t="s">
        <v>43</v>
      </c>
      <c r="H322">
        <v>2017</v>
      </c>
      <c r="I322" t="s">
        <v>60</v>
      </c>
      <c r="L322" t="s">
        <v>99</v>
      </c>
      <c r="AG322">
        <f t="shared" si="4"/>
        <v>1</v>
      </c>
      <c r="AH322">
        <f>'TABLA PREVIOS'!E322</f>
        <v>279</v>
      </c>
      <c r="AI322">
        <f>VLOOKUP(C322,ALUMNOS!A:B,2,FALSE)</f>
        <v>486</v>
      </c>
    </row>
    <row r="323" spans="1:35" x14ac:dyDescent="0.25">
      <c r="A323" t="s">
        <v>282</v>
      </c>
      <c r="C323">
        <v>46847389</v>
      </c>
      <c r="D323" t="s">
        <v>283</v>
      </c>
      <c r="E323" t="s">
        <v>30</v>
      </c>
      <c r="F323" t="s">
        <v>245</v>
      </c>
      <c r="G323" t="s">
        <v>43</v>
      </c>
      <c r="H323">
        <v>2019</v>
      </c>
      <c r="I323" t="s">
        <v>60</v>
      </c>
      <c r="L323" t="s">
        <v>99</v>
      </c>
      <c r="AG323">
        <f t="shared" ref="AG323:AG386" si="5">IF(VALUE(MAX(N323,R323,V323,Z323,AC323,))&gt;=7,VALUE(MAX(N323,R323,V323,Z323,AC323,)),1)</f>
        <v>1</v>
      </c>
      <c r="AH323">
        <f>'TABLA PREVIOS'!E323</f>
        <v>285</v>
      </c>
      <c r="AI323">
        <f>VLOOKUP(C323,ALUMNOS!A:B,2,FALSE)</f>
        <v>378</v>
      </c>
    </row>
    <row r="324" spans="1:35" x14ac:dyDescent="0.25">
      <c r="A324" t="s">
        <v>282</v>
      </c>
      <c r="C324">
        <v>46847389</v>
      </c>
      <c r="D324" t="s">
        <v>283</v>
      </c>
      <c r="E324" t="s">
        <v>34</v>
      </c>
      <c r="F324" t="s">
        <v>245</v>
      </c>
      <c r="G324" t="s">
        <v>43</v>
      </c>
      <c r="H324">
        <v>2019</v>
      </c>
      <c r="I324" t="s">
        <v>60</v>
      </c>
      <c r="L324" t="s">
        <v>99</v>
      </c>
      <c r="AG324">
        <f t="shared" si="5"/>
        <v>1</v>
      </c>
      <c r="AH324">
        <f>'TABLA PREVIOS'!E324</f>
        <v>286</v>
      </c>
      <c r="AI324">
        <f>VLOOKUP(C324,ALUMNOS!A:B,2,FALSE)</f>
        <v>378</v>
      </c>
    </row>
    <row r="325" spans="1:35" x14ac:dyDescent="0.25">
      <c r="A325" t="s">
        <v>282</v>
      </c>
      <c r="C325">
        <v>46847389</v>
      </c>
      <c r="D325" t="s">
        <v>283</v>
      </c>
      <c r="E325" t="s">
        <v>41</v>
      </c>
      <c r="F325" t="s">
        <v>245</v>
      </c>
      <c r="G325" t="s">
        <v>43</v>
      </c>
      <c r="H325">
        <v>2019</v>
      </c>
      <c r="I325" t="s">
        <v>60</v>
      </c>
      <c r="L325" t="s">
        <v>99</v>
      </c>
      <c r="AG325">
        <f t="shared" si="5"/>
        <v>1</v>
      </c>
      <c r="AH325">
        <f>'TABLA PREVIOS'!E325</f>
        <v>292</v>
      </c>
      <c r="AI325">
        <f>VLOOKUP(C325,ALUMNOS!A:B,2,FALSE)</f>
        <v>378</v>
      </c>
    </row>
    <row r="326" spans="1:35" x14ac:dyDescent="0.25">
      <c r="A326" t="s">
        <v>282</v>
      </c>
      <c r="C326">
        <v>46847389</v>
      </c>
      <c r="D326" t="s">
        <v>283</v>
      </c>
      <c r="E326" t="s">
        <v>28</v>
      </c>
      <c r="F326" t="s">
        <v>245</v>
      </c>
      <c r="G326" t="s">
        <v>43</v>
      </c>
      <c r="H326">
        <v>2019</v>
      </c>
      <c r="I326" t="s">
        <v>60</v>
      </c>
      <c r="L326" t="s">
        <v>99</v>
      </c>
      <c r="AG326">
        <f t="shared" si="5"/>
        <v>1</v>
      </c>
      <c r="AH326">
        <f>'TABLA PREVIOS'!E326</f>
        <v>291</v>
      </c>
      <c r="AI326">
        <f>VLOOKUP(C326,ALUMNOS!A:B,2,FALSE)</f>
        <v>378</v>
      </c>
    </row>
    <row r="327" spans="1:35" x14ac:dyDescent="0.25">
      <c r="A327" t="s">
        <v>282</v>
      </c>
      <c r="C327">
        <v>46847389</v>
      </c>
      <c r="D327" t="s">
        <v>283</v>
      </c>
      <c r="E327" t="s">
        <v>39</v>
      </c>
      <c r="F327" t="s">
        <v>245</v>
      </c>
      <c r="G327" t="s">
        <v>43</v>
      </c>
      <c r="H327">
        <v>2019</v>
      </c>
      <c r="I327" t="s">
        <v>60</v>
      </c>
      <c r="L327" t="s">
        <v>99</v>
      </c>
      <c r="AG327">
        <f t="shared" si="5"/>
        <v>1</v>
      </c>
      <c r="AH327">
        <f>'TABLA PREVIOS'!E327</f>
        <v>288</v>
      </c>
      <c r="AI327">
        <f>VLOOKUP(C327,ALUMNOS!A:B,2,FALSE)</f>
        <v>378</v>
      </c>
    </row>
    <row r="328" spans="1:35" x14ac:dyDescent="0.25">
      <c r="A328" t="s">
        <v>282</v>
      </c>
      <c r="C328">
        <v>43367452</v>
      </c>
      <c r="D328" t="s">
        <v>284</v>
      </c>
      <c r="E328" t="s">
        <v>26</v>
      </c>
      <c r="F328" t="s">
        <v>190</v>
      </c>
      <c r="G328" t="s">
        <v>43</v>
      </c>
      <c r="H328">
        <v>2017</v>
      </c>
      <c r="I328" t="s">
        <v>60</v>
      </c>
      <c r="L328" t="s">
        <v>99</v>
      </c>
      <c r="AG328">
        <f t="shared" si="5"/>
        <v>1</v>
      </c>
      <c r="AH328">
        <f>'TABLA PREVIOS'!E328</f>
        <v>254</v>
      </c>
      <c r="AI328">
        <f>VLOOKUP(C328,ALUMNOS!A:B,2,FALSE)</f>
        <v>676</v>
      </c>
    </row>
    <row r="329" spans="1:35" x14ac:dyDescent="0.25">
      <c r="A329" t="s">
        <v>282</v>
      </c>
      <c r="C329">
        <v>43367452</v>
      </c>
      <c r="D329" t="s">
        <v>284</v>
      </c>
      <c r="E329" t="s">
        <v>29</v>
      </c>
      <c r="F329" t="s">
        <v>190</v>
      </c>
      <c r="G329" t="s">
        <v>43</v>
      </c>
      <c r="H329">
        <v>2017</v>
      </c>
      <c r="I329" t="s">
        <v>60</v>
      </c>
      <c r="L329" t="s">
        <v>99</v>
      </c>
      <c r="AG329">
        <f t="shared" si="5"/>
        <v>1</v>
      </c>
      <c r="AH329">
        <f>'TABLA PREVIOS'!E329</f>
        <v>259</v>
      </c>
      <c r="AI329">
        <f>VLOOKUP(C329,ALUMNOS!A:B,2,FALSE)</f>
        <v>676</v>
      </c>
    </row>
    <row r="330" spans="1:35" x14ac:dyDescent="0.25">
      <c r="A330" t="s">
        <v>282</v>
      </c>
      <c r="C330">
        <v>43367452</v>
      </c>
      <c r="D330" t="s">
        <v>284</v>
      </c>
      <c r="E330" t="s">
        <v>30</v>
      </c>
      <c r="F330" t="s">
        <v>245</v>
      </c>
      <c r="G330" t="s">
        <v>43</v>
      </c>
      <c r="H330">
        <v>2019</v>
      </c>
      <c r="I330" t="s">
        <v>60</v>
      </c>
      <c r="L330" t="s">
        <v>99</v>
      </c>
      <c r="AG330">
        <f t="shared" si="5"/>
        <v>1</v>
      </c>
      <c r="AH330">
        <f>'TABLA PREVIOS'!E330</f>
        <v>285</v>
      </c>
      <c r="AI330">
        <f>VLOOKUP(C330,ALUMNOS!A:B,2,FALSE)</f>
        <v>676</v>
      </c>
    </row>
    <row r="331" spans="1:35" x14ac:dyDescent="0.25">
      <c r="A331" t="s">
        <v>282</v>
      </c>
      <c r="C331">
        <v>43367452</v>
      </c>
      <c r="D331" t="s">
        <v>284</v>
      </c>
      <c r="E331" t="s">
        <v>39</v>
      </c>
      <c r="F331" t="s">
        <v>245</v>
      </c>
      <c r="G331" t="s">
        <v>43</v>
      </c>
      <c r="H331">
        <v>2019</v>
      </c>
      <c r="I331" t="s">
        <v>60</v>
      </c>
      <c r="L331" t="s">
        <v>99</v>
      </c>
      <c r="AG331">
        <f t="shared" si="5"/>
        <v>1</v>
      </c>
      <c r="AH331">
        <f>'TABLA PREVIOS'!E331</f>
        <v>288</v>
      </c>
      <c r="AI331">
        <f>VLOOKUP(C331,ALUMNOS!A:B,2,FALSE)</f>
        <v>676</v>
      </c>
    </row>
    <row r="332" spans="1:35" x14ac:dyDescent="0.25">
      <c r="A332" t="s">
        <v>285</v>
      </c>
      <c r="B332" t="s">
        <v>96</v>
      </c>
      <c r="C332">
        <v>44264057</v>
      </c>
      <c r="D332" t="s">
        <v>286</v>
      </c>
      <c r="E332" t="s">
        <v>30</v>
      </c>
      <c r="F332" t="s">
        <v>245</v>
      </c>
      <c r="G332" t="s">
        <v>43</v>
      </c>
      <c r="H332">
        <v>2020</v>
      </c>
      <c r="I332" t="s">
        <v>60</v>
      </c>
      <c r="L332" t="s">
        <v>99</v>
      </c>
      <c r="AG332">
        <f t="shared" si="5"/>
        <v>1</v>
      </c>
      <c r="AH332">
        <f>'TABLA PREVIOS'!E332</f>
        <v>285</v>
      </c>
      <c r="AI332">
        <f>VLOOKUP(C332,ALUMNOS!A:B,2,FALSE)</f>
        <v>63</v>
      </c>
    </row>
    <row r="333" spans="1:35" x14ac:dyDescent="0.25">
      <c r="A333" t="s">
        <v>285</v>
      </c>
      <c r="B333" t="s">
        <v>96</v>
      </c>
      <c r="C333">
        <v>44264057</v>
      </c>
      <c r="D333" t="s">
        <v>286</v>
      </c>
      <c r="E333" t="s">
        <v>29</v>
      </c>
      <c r="F333" t="s">
        <v>245</v>
      </c>
      <c r="G333" t="s">
        <v>43</v>
      </c>
      <c r="H333">
        <v>2020</v>
      </c>
      <c r="I333" t="s">
        <v>60</v>
      </c>
      <c r="L333" t="s">
        <v>99</v>
      </c>
      <c r="AG333">
        <f t="shared" si="5"/>
        <v>1</v>
      </c>
      <c r="AH333">
        <f>'TABLA PREVIOS'!E333</f>
        <v>290</v>
      </c>
      <c r="AI333">
        <f>VLOOKUP(C333,ALUMNOS!A:B,2,FALSE)</f>
        <v>63</v>
      </c>
    </row>
    <row r="334" spans="1:35" x14ac:dyDescent="0.25">
      <c r="A334" t="s">
        <v>285</v>
      </c>
      <c r="B334" t="s">
        <v>96</v>
      </c>
      <c r="C334">
        <v>43230018</v>
      </c>
      <c r="D334" t="s">
        <v>287</v>
      </c>
      <c r="E334" t="s">
        <v>31</v>
      </c>
      <c r="F334" t="s">
        <v>190</v>
      </c>
      <c r="G334" t="s">
        <v>46</v>
      </c>
      <c r="H334">
        <v>2018</v>
      </c>
      <c r="I334" t="s">
        <v>60</v>
      </c>
      <c r="J334" t="s">
        <v>288</v>
      </c>
      <c r="L334" t="s">
        <v>99</v>
      </c>
      <c r="AG334">
        <f t="shared" si="5"/>
        <v>1</v>
      </c>
      <c r="AH334">
        <f>'TABLA PREVIOS'!E334</f>
        <v>261</v>
      </c>
      <c r="AI334">
        <f>VLOOKUP(C334,ALUMNOS!A:B,2,FALSE)</f>
        <v>65</v>
      </c>
    </row>
    <row r="335" spans="1:35" x14ac:dyDescent="0.25">
      <c r="A335" t="s">
        <v>285</v>
      </c>
      <c r="B335" t="s">
        <v>96</v>
      </c>
      <c r="C335">
        <v>43230018</v>
      </c>
      <c r="D335" t="s">
        <v>287</v>
      </c>
      <c r="E335" t="s">
        <v>12</v>
      </c>
      <c r="F335" t="s">
        <v>245</v>
      </c>
      <c r="G335" t="s">
        <v>46</v>
      </c>
      <c r="H335">
        <v>2020</v>
      </c>
      <c r="I335" t="s">
        <v>60</v>
      </c>
      <c r="J335" t="s">
        <v>288</v>
      </c>
      <c r="L335" t="s">
        <v>99</v>
      </c>
      <c r="AG335">
        <f t="shared" si="5"/>
        <v>1</v>
      </c>
      <c r="AH335">
        <f>'TABLA PREVIOS'!E335</f>
        <v>280</v>
      </c>
      <c r="AI335">
        <f>VLOOKUP(C335,ALUMNOS!A:B,2,FALSE)</f>
        <v>65</v>
      </c>
    </row>
    <row r="336" spans="1:35" x14ac:dyDescent="0.25">
      <c r="A336" t="s">
        <v>285</v>
      </c>
      <c r="B336" t="s">
        <v>96</v>
      </c>
      <c r="C336">
        <v>43929972</v>
      </c>
      <c r="D336" t="s">
        <v>289</v>
      </c>
      <c r="E336" t="s">
        <v>16</v>
      </c>
      <c r="F336" t="s">
        <v>190</v>
      </c>
      <c r="G336" t="s">
        <v>43</v>
      </c>
      <c r="H336">
        <v>2018</v>
      </c>
      <c r="I336" t="s">
        <v>60</v>
      </c>
      <c r="L336" t="s">
        <v>99</v>
      </c>
      <c r="AG336">
        <f t="shared" si="5"/>
        <v>1</v>
      </c>
      <c r="AH336">
        <f>'TABLA PREVIOS'!E336</f>
        <v>256</v>
      </c>
      <c r="AI336">
        <f>VLOOKUP(C336,ALUMNOS!A:B,2,FALSE)</f>
        <v>89</v>
      </c>
    </row>
    <row r="337" spans="1:35" x14ac:dyDescent="0.25">
      <c r="A337" t="s">
        <v>285</v>
      </c>
      <c r="B337" t="s">
        <v>96</v>
      </c>
      <c r="C337">
        <v>43929972</v>
      </c>
      <c r="D337" t="s">
        <v>289</v>
      </c>
      <c r="E337" t="s">
        <v>12</v>
      </c>
      <c r="F337" t="s">
        <v>190</v>
      </c>
      <c r="G337" t="s">
        <v>43</v>
      </c>
      <c r="H337">
        <v>2018</v>
      </c>
      <c r="I337" t="s">
        <v>60</v>
      </c>
      <c r="L337" t="s">
        <v>99</v>
      </c>
      <c r="AG337">
        <f t="shared" si="5"/>
        <v>1</v>
      </c>
      <c r="AH337">
        <f>'TABLA PREVIOS'!E337</f>
        <v>252</v>
      </c>
      <c r="AI337">
        <f>VLOOKUP(C337,ALUMNOS!A:B,2,FALSE)</f>
        <v>89</v>
      </c>
    </row>
    <row r="338" spans="1:35" x14ac:dyDescent="0.25">
      <c r="A338" t="s">
        <v>285</v>
      </c>
      <c r="B338" t="s">
        <v>96</v>
      </c>
      <c r="C338">
        <v>43929972</v>
      </c>
      <c r="D338" t="s">
        <v>289</v>
      </c>
      <c r="E338" t="s">
        <v>30</v>
      </c>
      <c r="F338" t="s">
        <v>245</v>
      </c>
      <c r="G338" t="s">
        <v>43</v>
      </c>
      <c r="H338">
        <v>2020</v>
      </c>
      <c r="I338" t="s">
        <v>60</v>
      </c>
      <c r="L338" t="s">
        <v>99</v>
      </c>
      <c r="AG338">
        <f t="shared" si="5"/>
        <v>1</v>
      </c>
      <c r="AH338">
        <f>'TABLA PREVIOS'!E338</f>
        <v>285</v>
      </c>
      <c r="AI338">
        <f>VLOOKUP(C338,ALUMNOS!A:B,2,FALSE)</f>
        <v>89</v>
      </c>
    </row>
    <row r="339" spans="1:35" x14ac:dyDescent="0.25">
      <c r="A339" t="s">
        <v>285</v>
      </c>
      <c r="B339" t="s">
        <v>96</v>
      </c>
      <c r="C339">
        <v>43929972</v>
      </c>
      <c r="D339" t="s">
        <v>289</v>
      </c>
      <c r="E339" t="s">
        <v>37</v>
      </c>
      <c r="F339" t="s">
        <v>245</v>
      </c>
      <c r="G339" t="s">
        <v>43</v>
      </c>
      <c r="H339">
        <v>2020</v>
      </c>
      <c r="I339" t="s">
        <v>60</v>
      </c>
      <c r="L339" t="s">
        <v>99</v>
      </c>
      <c r="AG339">
        <f t="shared" si="5"/>
        <v>1</v>
      </c>
      <c r="AH339">
        <f>'TABLA PREVIOS'!E339</f>
        <v>284</v>
      </c>
      <c r="AI339">
        <f>VLOOKUP(C339,ALUMNOS!A:B,2,FALSE)</f>
        <v>89</v>
      </c>
    </row>
    <row r="340" spans="1:35" x14ac:dyDescent="0.25">
      <c r="A340" t="s">
        <v>285</v>
      </c>
      <c r="B340" t="s">
        <v>96</v>
      </c>
      <c r="C340">
        <v>43929972</v>
      </c>
      <c r="D340" t="s">
        <v>289</v>
      </c>
      <c r="E340" t="s">
        <v>38</v>
      </c>
      <c r="F340" t="s">
        <v>245</v>
      </c>
      <c r="G340" t="s">
        <v>43</v>
      </c>
      <c r="H340">
        <v>2020</v>
      </c>
      <c r="I340" t="s">
        <v>60</v>
      </c>
      <c r="L340" t="s">
        <v>99</v>
      </c>
      <c r="AG340">
        <f t="shared" si="5"/>
        <v>1</v>
      </c>
      <c r="AH340">
        <f>'TABLA PREVIOS'!E340</f>
        <v>287</v>
      </c>
      <c r="AI340">
        <f>VLOOKUP(C340,ALUMNOS!A:B,2,FALSE)</f>
        <v>89</v>
      </c>
    </row>
    <row r="341" spans="1:35" x14ac:dyDescent="0.25">
      <c r="A341" t="s">
        <v>285</v>
      </c>
      <c r="B341" t="s">
        <v>96</v>
      </c>
      <c r="C341">
        <v>43929972</v>
      </c>
      <c r="D341" t="s">
        <v>289</v>
      </c>
      <c r="E341" t="s">
        <v>34</v>
      </c>
      <c r="F341" t="s">
        <v>245</v>
      </c>
      <c r="G341" t="s">
        <v>43</v>
      </c>
      <c r="H341">
        <v>2020</v>
      </c>
      <c r="I341" t="s">
        <v>60</v>
      </c>
      <c r="L341" t="s">
        <v>99</v>
      </c>
      <c r="AG341">
        <f t="shared" si="5"/>
        <v>1</v>
      </c>
      <c r="AH341">
        <f>'TABLA PREVIOS'!E341</f>
        <v>286</v>
      </c>
      <c r="AI341">
        <f>VLOOKUP(C341,ALUMNOS!A:B,2,FALSE)</f>
        <v>89</v>
      </c>
    </row>
    <row r="342" spans="1:35" x14ac:dyDescent="0.25">
      <c r="A342" t="s">
        <v>285</v>
      </c>
      <c r="B342" t="s">
        <v>96</v>
      </c>
      <c r="C342">
        <v>43929972</v>
      </c>
      <c r="D342" t="s">
        <v>289</v>
      </c>
      <c r="E342" t="s">
        <v>41</v>
      </c>
      <c r="F342" t="s">
        <v>245</v>
      </c>
      <c r="G342" t="s">
        <v>43</v>
      </c>
      <c r="H342">
        <v>2020</v>
      </c>
      <c r="I342" t="s">
        <v>60</v>
      </c>
      <c r="L342" t="s">
        <v>99</v>
      </c>
      <c r="AG342">
        <f t="shared" si="5"/>
        <v>1</v>
      </c>
      <c r="AH342">
        <f>'TABLA PREVIOS'!E342</f>
        <v>292</v>
      </c>
      <c r="AI342">
        <f>VLOOKUP(C342,ALUMNOS!A:B,2,FALSE)</f>
        <v>89</v>
      </c>
    </row>
    <row r="343" spans="1:35" x14ac:dyDescent="0.25">
      <c r="A343" t="s">
        <v>285</v>
      </c>
      <c r="B343" t="s">
        <v>96</v>
      </c>
      <c r="C343">
        <v>43929972</v>
      </c>
      <c r="D343" t="s">
        <v>289</v>
      </c>
      <c r="E343" t="s">
        <v>28</v>
      </c>
      <c r="F343" t="s">
        <v>245</v>
      </c>
      <c r="G343" t="s">
        <v>43</v>
      </c>
      <c r="H343">
        <v>2020</v>
      </c>
      <c r="I343" t="s">
        <v>60</v>
      </c>
      <c r="L343" t="s">
        <v>99</v>
      </c>
      <c r="AG343">
        <f t="shared" si="5"/>
        <v>1</v>
      </c>
      <c r="AH343">
        <f>'TABLA PREVIOS'!E343</f>
        <v>291</v>
      </c>
      <c r="AI343">
        <f>VLOOKUP(C343,ALUMNOS!A:B,2,FALSE)</f>
        <v>89</v>
      </c>
    </row>
    <row r="344" spans="1:35" x14ac:dyDescent="0.25">
      <c r="A344" t="s">
        <v>285</v>
      </c>
      <c r="B344" t="s">
        <v>96</v>
      </c>
      <c r="C344">
        <v>43929972</v>
      </c>
      <c r="D344" t="s">
        <v>289</v>
      </c>
      <c r="E344" t="s">
        <v>16</v>
      </c>
      <c r="F344" t="s">
        <v>245</v>
      </c>
      <c r="G344" t="s">
        <v>43</v>
      </c>
      <c r="H344">
        <v>2020</v>
      </c>
      <c r="I344" t="s">
        <v>60</v>
      </c>
      <c r="L344" t="s">
        <v>99</v>
      </c>
      <c r="AG344">
        <f t="shared" si="5"/>
        <v>1</v>
      </c>
      <c r="AH344">
        <f>'TABLA PREVIOS'!E344</f>
        <v>282</v>
      </c>
      <c r="AI344">
        <f>VLOOKUP(C344,ALUMNOS!A:B,2,FALSE)</f>
        <v>89</v>
      </c>
    </row>
    <row r="345" spans="1:35" x14ac:dyDescent="0.25">
      <c r="A345" t="s">
        <v>285</v>
      </c>
      <c r="B345" t="s">
        <v>96</v>
      </c>
      <c r="C345">
        <v>43929972</v>
      </c>
      <c r="D345" t="s">
        <v>289</v>
      </c>
      <c r="E345" t="s">
        <v>11</v>
      </c>
      <c r="F345" t="s">
        <v>245</v>
      </c>
      <c r="G345" t="s">
        <v>43</v>
      </c>
      <c r="H345">
        <v>2020</v>
      </c>
      <c r="I345" t="s">
        <v>60</v>
      </c>
      <c r="L345" t="s">
        <v>99</v>
      </c>
      <c r="AG345">
        <f t="shared" si="5"/>
        <v>1</v>
      </c>
      <c r="AH345">
        <f>'TABLA PREVIOS'!E345</f>
        <v>279</v>
      </c>
      <c r="AI345">
        <f>VLOOKUP(C345,ALUMNOS!A:B,2,FALSE)</f>
        <v>89</v>
      </c>
    </row>
    <row r="346" spans="1:35" x14ac:dyDescent="0.25">
      <c r="A346" t="s">
        <v>285</v>
      </c>
      <c r="B346" t="s">
        <v>96</v>
      </c>
      <c r="C346">
        <v>43929972</v>
      </c>
      <c r="D346" t="s">
        <v>289</v>
      </c>
      <c r="E346" t="s">
        <v>12</v>
      </c>
      <c r="F346" t="s">
        <v>245</v>
      </c>
      <c r="G346" t="s">
        <v>43</v>
      </c>
      <c r="H346">
        <v>2020</v>
      </c>
      <c r="I346" t="s">
        <v>60</v>
      </c>
      <c r="L346" t="s">
        <v>99</v>
      </c>
      <c r="AG346">
        <f t="shared" si="5"/>
        <v>1</v>
      </c>
      <c r="AH346">
        <f>'TABLA PREVIOS'!E346</f>
        <v>280</v>
      </c>
      <c r="AI346">
        <f>VLOOKUP(C346,ALUMNOS!A:B,2,FALSE)</f>
        <v>89</v>
      </c>
    </row>
    <row r="347" spans="1:35" x14ac:dyDescent="0.25">
      <c r="A347" t="s">
        <v>285</v>
      </c>
      <c r="B347" t="s">
        <v>96</v>
      </c>
      <c r="C347">
        <v>43929972</v>
      </c>
      <c r="D347" t="s">
        <v>289</v>
      </c>
      <c r="E347" t="s">
        <v>25</v>
      </c>
      <c r="F347" t="s">
        <v>245</v>
      </c>
      <c r="G347" t="s">
        <v>43</v>
      </c>
      <c r="H347">
        <v>2020</v>
      </c>
      <c r="I347" t="s">
        <v>60</v>
      </c>
      <c r="L347" t="s">
        <v>99</v>
      </c>
      <c r="AG347">
        <f t="shared" si="5"/>
        <v>1</v>
      </c>
      <c r="AH347">
        <f>'TABLA PREVIOS'!E347</f>
        <v>281</v>
      </c>
      <c r="AI347">
        <f>VLOOKUP(C347,ALUMNOS!A:B,2,FALSE)</f>
        <v>89</v>
      </c>
    </row>
    <row r="348" spans="1:35" x14ac:dyDescent="0.25">
      <c r="A348" t="s">
        <v>285</v>
      </c>
      <c r="B348" t="s">
        <v>96</v>
      </c>
      <c r="C348">
        <v>43929972</v>
      </c>
      <c r="D348" t="s">
        <v>289</v>
      </c>
      <c r="E348" t="s">
        <v>39</v>
      </c>
      <c r="F348" t="s">
        <v>245</v>
      </c>
      <c r="G348" t="s">
        <v>43</v>
      </c>
      <c r="H348">
        <v>2020</v>
      </c>
      <c r="I348" t="s">
        <v>60</v>
      </c>
      <c r="L348" t="s">
        <v>99</v>
      </c>
      <c r="AG348">
        <f t="shared" si="5"/>
        <v>1</v>
      </c>
      <c r="AH348">
        <f>'TABLA PREVIOS'!E348</f>
        <v>288</v>
      </c>
      <c r="AI348">
        <f>VLOOKUP(C348,ALUMNOS!A:B,2,FALSE)</f>
        <v>89</v>
      </c>
    </row>
    <row r="349" spans="1:35" x14ac:dyDescent="0.25">
      <c r="A349" t="s">
        <v>285</v>
      </c>
      <c r="B349" t="s">
        <v>96</v>
      </c>
      <c r="C349">
        <v>43929972</v>
      </c>
      <c r="D349" t="s">
        <v>289</v>
      </c>
      <c r="E349" t="s">
        <v>29</v>
      </c>
      <c r="F349" t="s">
        <v>245</v>
      </c>
      <c r="G349" t="s">
        <v>43</v>
      </c>
      <c r="H349">
        <v>2020</v>
      </c>
      <c r="I349" t="s">
        <v>60</v>
      </c>
      <c r="L349" t="s">
        <v>99</v>
      </c>
      <c r="AG349">
        <f t="shared" si="5"/>
        <v>1</v>
      </c>
      <c r="AH349">
        <f>'TABLA PREVIOS'!E349</f>
        <v>290</v>
      </c>
      <c r="AI349">
        <f>VLOOKUP(C349,ALUMNOS!A:B,2,FALSE)</f>
        <v>89</v>
      </c>
    </row>
    <row r="350" spans="1:35" x14ac:dyDescent="0.25">
      <c r="A350" t="s">
        <v>285</v>
      </c>
      <c r="B350" t="s">
        <v>96</v>
      </c>
      <c r="C350">
        <v>44195305</v>
      </c>
      <c r="D350" t="s">
        <v>290</v>
      </c>
      <c r="E350" t="s">
        <v>27</v>
      </c>
      <c r="F350" t="s">
        <v>143</v>
      </c>
      <c r="G350" t="s">
        <v>43</v>
      </c>
      <c r="H350">
        <v>2017</v>
      </c>
      <c r="I350" t="s">
        <v>59</v>
      </c>
      <c r="L350" t="s">
        <v>99</v>
      </c>
      <c r="AG350">
        <f t="shared" si="5"/>
        <v>1</v>
      </c>
      <c r="AH350">
        <f>'TABLA PREVIOS'!E350</f>
        <v>244</v>
      </c>
      <c r="AI350">
        <f>VLOOKUP(C350,ALUMNOS!A:B,2,FALSE)</f>
        <v>252</v>
      </c>
    </row>
    <row r="351" spans="1:35" x14ac:dyDescent="0.25">
      <c r="A351" t="s">
        <v>285</v>
      </c>
      <c r="B351" t="s">
        <v>96</v>
      </c>
      <c r="C351">
        <v>44195305</v>
      </c>
      <c r="D351" t="s">
        <v>290</v>
      </c>
      <c r="E351" t="s">
        <v>12</v>
      </c>
      <c r="F351" t="s">
        <v>143</v>
      </c>
      <c r="G351" t="s">
        <v>43</v>
      </c>
      <c r="H351">
        <v>2017</v>
      </c>
      <c r="I351" t="s">
        <v>59</v>
      </c>
      <c r="L351" t="s">
        <v>99</v>
      </c>
      <c r="AG351">
        <f t="shared" si="5"/>
        <v>1</v>
      </c>
      <c r="AH351">
        <f>'TABLA PREVIOS'!E351</f>
        <v>240</v>
      </c>
      <c r="AI351">
        <f>VLOOKUP(C351,ALUMNOS!A:B,2,FALSE)</f>
        <v>252</v>
      </c>
    </row>
    <row r="352" spans="1:35" x14ac:dyDescent="0.25">
      <c r="A352" t="s">
        <v>285</v>
      </c>
      <c r="B352" t="s">
        <v>96</v>
      </c>
      <c r="C352">
        <v>44195305</v>
      </c>
      <c r="D352" t="s">
        <v>290</v>
      </c>
      <c r="E352" t="s">
        <v>30</v>
      </c>
      <c r="F352" t="s">
        <v>245</v>
      </c>
      <c r="G352" t="s">
        <v>43</v>
      </c>
      <c r="H352">
        <v>2020</v>
      </c>
      <c r="I352" t="s">
        <v>60</v>
      </c>
      <c r="L352" t="s">
        <v>99</v>
      </c>
      <c r="AG352">
        <f t="shared" si="5"/>
        <v>1</v>
      </c>
      <c r="AH352">
        <f>'TABLA PREVIOS'!E352</f>
        <v>285</v>
      </c>
      <c r="AI352">
        <f>VLOOKUP(C352,ALUMNOS!A:B,2,FALSE)</f>
        <v>252</v>
      </c>
    </row>
    <row r="353" spans="1:35" x14ac:dyDescent="0.25">
      <c r="A353" t="s">
        <v>285</v>
      </c>
      <c r="B353" t="s">
        <v>96</v>
      </c>
      <c r="C353">
        <v>44195305</v>
      </c>
      <c r="D353" t="s">
        <v>290</v>
      </c>
      <c r="E353" t="s">
        <v>37</v>
      </c>
      <c r="F353" t="s">
        <v>245</v>
      </c>
      <c r="G353" t="s">
        <v>43</v>
      </c>
      <c r="H353">
        <v>2020</v>
      </c>
      <c r="I353" t="s">
        <v>60</v>
      </c>
      <c r="L353" t="s">
        <v>99</v>
      </c>
      <c r="AG353">
        <f t="shared" si="5"/>
        <v>1</v>
      </c>
      <c r="AH353">
        <f>'TABLA PREVIOS'!E353</f>
        <v>284</v>
      </c>
      <c r="AI353">
        <f>VLOOKUP(C353,ALUMNOS!A:B,2,FALSE)</f>
        <v>252</v>
      </c>
    </row>
    <row r="354" spans="1:35" x14ac:dyDescent="0.25">
      <c r="A354" t="s">
        <v>285</v>
      </c>
      <c r="B354" t="s">
        <v>96</v>
      </c>
      <c r="C354">
        <v>44195305</v>
      </c>
      <c r="D354" t="s">
        <v>290</v>
      </c>
      <c r="E354" t="s">
        <v>38</v>
      </c>
      <c r="F354" t="s">
        <v>245</v>
      </c>
      <c r="G354" t="s">
        <v>43</v>
      </c>
      <c r="H354">
        <v>2020</v>
      </c>
      <c r="I354" t="s">
        <v>60</v>
      </c>
      <c r="L354" t="s">
        <v>99</v>
      </c>
      <c r="AG354">
        <f t="shared" si="5"/>
        <v>1</v>
      </c>
      <c r="AH354">
        <f>'TABLA PREVIOS'!E354</f>
        <v>287</v>
      </c>
      <c r="AI354">
        <f>VLOOKUP(C354,ALUMNOS!A:B,2,FALSE)</f>
        <v>252</v>
      </c>
    </row>
    <row r="355" spans="1:35" x14ac:dyDescent="0.25">
      <c r="A355" t="s">
        <v>285</v>
      </c>
      <c r="B355" t="s">
        <v>96</v>
      </c>
      <c r="C355">
        <v>44195305</v>
      </c>
      <c r="D355" t="s">
        <v>290</v>
      </c>
      <c r="E355" t="s">
        <v>34</v>
      </c>
      <c r="F355" t="s">
        <v>245</v>
      </c>
      <c r="G355" t="s">
        <v>43</v>
      </c>
      <c r="H355">
        <v>2020</v>
      </c>
      <c r="I355" t="s">
        <v>60</v>
      </c>
      <c r="L355" t="s">
        <v>99</v>
      </c>
      <c r="AG355">
        <f t="shared" si="5"/>
        <v>1</v>
      </c>
      <c r="AH355">
        <f>'TABLA PREVIOS'!E355</f>
        <v>286</v>
      </c>
      <c r="AI355">
        <f>VLOOKUP(C355,ALUMNOS!A:B,2,FALSE)</f>
        <v>252</v>
      </c>
    </row>
    <row r="356" spans="1:35" x14ac:dyDescent="0.25">
      <c r="A356" t="s">
        <v>285</v>
      </c>
      <c r="B356" t="s">
        <v>96</v>
      </c>
      <c r="C356">
        <v>44195305</v>
      </c>
      <c r="D356" t="s">
        <v>290</v>
      </c>
      <c r="E356" t="s">
        <v>41</v>
      </c>
      <c r="F356" t="s">
        <v>245</v>
      </c>
      <c r="G356" t="s">
        <v>43</v>
      </c>
      <c r="H356">
        <v>2020</v>
      </c>
      <c r="I356" t="s">
        <v>60</v>
      </c>
      <c r="L356" t="s">
        <v>99</v>
      </c>
      <c r="AG356">
        <f t="shared" si="5"/>
        <v>1</v>
      </c>
      <c r="AH356">
        <f>'TABLA PREVIOS'!E356</f>
        <v>292</v>
      </c>
      <c r="AI356">
        <f>VLOOKUP(C356,ALUMNOS!A:B,2,FALSE)</f>
        <v>252</v>
      </c>
    </row>
    <row r="357" spans="1:35" x14ac:dyDescent="0.25">
      <c r="A357" t="s">
        <v>285</v>
      </c>
      <c r="B357" t="s">
        <v>96</v>
      </c>
      <c r="C357">
        <v>44195305</v>
      </c>
      <c r="D357" t="s">
        <v>290</v>
      </c>
      <c r="E357" t="s">
        <v>28</v>
      </c>
      <c r="F357" t="s">
        <v>245</v>
      </c>
      <c r="G357" t="s">
        <v>43</v>
      </c>
      <c r="H357">
        <v>2020</v>
      </c>
      <c r="I357" t="s">
        <v>60</v>
      </c>
      <c r="L357" t="s">
        <v>99</v>
      </c>
      <c r="AG357">
        <f t="shared" si="5"/>
        <v>1</v>
      </c>
      <c r="AH357">
        <f>'TABLA PREVIOS'!E357</f>
        <v>291</v>
      </c>
      <c r="AI357">
        <f>VLOOKUP(C357,ALUMNOS!A:B,2,FALSE)</f>
        <v>252</v>
      </c>
    </row>
    <row r="358" spans="1:35" x14ac:dyDescent="0.25">
      <c r="A358" t="s">
        <v>285</v>
      </c>
      <c r="B358" t="s">
        <v>96</v>
      </c>
      <c r="C358">
        <v>44195305</v>
      </c>
      <c r="D358" t="s">
        <v>290</v>
      </c>
      <c r="E358" t="s">
        <v>16</v>
      </c>
      <c r="F358" t="s">
        <v>245</v>
      </c>
      <c r="G358" t="s">
        <v>43</v>
      </c>
      <c r="H358">
        <v>2020</v>
      </c>
      <c r="I358" t="s">
        <v>60</v>
      </c>
      <c r="L358" t="s">
        <v>99</v>
      </c>
      <c r="AG358">
        <f t="shared" si="5"/>
        <v>1</v>
      </c>
      <c r="AH358">
        <f>'TABLA PREVIOS'!E358</f>
        <v>282</v>
      </c>
      <c r="AI358">
        <f>VLOOKUP(C358,ALUMNOS!A:B,2,FALSE)</f>
        <v>252</v>
      </c>
    </row>
    <row r="359" spans="1:35" x14ac:dyDescent="0.25">
      <c r="A359" t="s">
        <v>285</v>
      </c>
      <c r="B359" t="s">
        <v>96</v>
      </c>
      <c r="C359">
        <v>44195305</v>
      </c>
      <c r="D359" t="s">
        <v>290</v>
      </c>
      <c r="E359" t="s">
        <v>11</v>
      </c>
      <c r="F359" t="s">
        <v>245</v>
      </c>
      <c r="G359" t="s">
        <v>43</v>
      </c>
      <c r="H359">
        <v>2020</v>
      </c>
      <c r="I359" t="s">
        <v>60</v>
      </c>
      <c r="L359" t="s">
        <v>99</v>
      </c>
      <c r="AG359">
        <f t="shared" si="5"/>
        <v>1</v>
      </c>
      <c r="AH359">
        <f>'TABLA PREVIOS'!E359</f>
        <v>279</v>
      </c>
      <c r="AI359">
        <f>VLOOKUP(C359,ALUMNOS!A:B,2,FALSE)</f>
        <v>252</v>
      </c>
    </row>
    <row r="360" spans="1:35" x14ac:dyDescent="0.25">
      <c r="A360" t="s">
        <v>285</v>
      </c>
      <c r="B360" t="s">
        <v>96</v>
      </c>
      <c r="C360">
        <v>44195305</v>
      </c>
      <c r="D360" t="s">
        <v>290</v>
      </c>
      <c r="E360" t="s">
        <v>12</v>
      </c>
      <c r="F360" t="s">
        <v>245</v>
      </c>
      <c r="G360" t="s">
        <v>43</v>
      </c>
      <c r="H360">
        <v>2020</v>
      </c>
      <c r="I360" t="s">
        <v>60</v>
      </c>
      <c r="L360" t="s">
        <v>99</v>
      </c>
      <c r="AG360">
        <f t="shared" si="5"/>
        <v>1</v>
      </c>
      <c r="AH360">
        <f>'TABLA PREVIOS'!E360</f>
        <v>280</v>
      </c>
      <c r="AI360">
        <f>VLOOKUP(C360,ALUMNOS!A:B,2,FALSE)</f>
        <v>252</v>
      </c>
    </row>
    <row r="361" spans="1:35" x14ac:dyDescent="0.25">
      <c r="A361" t="s">
        <v>285</v>
      </c>
      <c r="B361" t="s">
        <v>96</v>
      </c>
      <c r="C361">
        <v>44195305</v>
      </c>
      <c r="D361" t="s">
        <v>290</v>
      </c>
      <c r="E361" t="s">
        <v>25</v>
      </c>
      <c r="F361" t="s">
        <v>245</v>
      </c>
      <c r="G361" t="s">
        <v>43</v>
      </c>
      <c r="H361">
        <v>2020</v>
      </c>
      <c r="I361" t="s">
        <v>60</v>
      </c>
      <c r="L361" t="s">
        <v>99</v>
      </c>
      <c r="AG361">
        <f t="shared" si="5"/>
        <v>1</v>
      </c>
      <c r="AH361">
        <f>'TABLA PREVIOS'!E361</f>
        <v>281</v>
      </c>
      <c r="AI361">
        <f>VLOOKUP(C361,ALUMNOS!A:B,2,FALSE)</f>
        <v>252</v>
      </c>
    </row>
    <row r="362" spans="1:35" x14ac:dyDescent="0.25">
      <c r="A362" t="s">
        <v>285</v>
      </c>
      <c r="B362" t="s">
        <v>96</v>
      </c>
      <c r="C362">
        <v>44195305</v>
      </c>
      <c r="D362" t="s">
        <v>290</v>
      </c>
      <c r="E362" t="s">
        <v>39</v>
      </c>
      <c r="F362" t="s">
        <v>245</v>
      </c>
      <c r="G362" t="s">
        <v>43</v>
      </c>
      <c r="H362">
        <v>2020</v>
      </c>
      <c r="I362" t="s">
        <v>60</v>
      </c>
      <c r="L362" t="s">
        <v>99</v>
      </c>
      <c r="AG362">
        <f t="shared" si="5"/>
        <v>1</v>
      </c>
      <c r="AH362">
        <f>'TABLA PREVIOS'!E362</f>
        <v>288</v>
      </c>
      <c r="AI362">
        <f>VLOOKUP(C362,ALUMNOS!A:B,2,FALSE)</f>
        <v>252</v>
      </c>
    </row>
    <row r="363" spans="1:35" x14ac:dyDescent="0.25">
      <c r="A363" t="s">
        <v>285</v>
      </c>
      <c r="B363" t="s">
        <v>96</v>
      </c>
      <c r="C363">
        <v>44195305</v>
      </c>
      <c r="D363" t="s">
        <v>290</v>
      </c>
      <c r="E363" t="s">
        <v>29</v>
      </c>
      <c r="F363" t="s">
        <v>245</v>
      </c>
      <c r="G363" t="s">
        <v>43</v>
      </c>
      <c r="H363">
        <v>2020</v>
      </c>
      <c r="I363" t="s">
        <v>60</v>
      </c>
      <c r="L363" t="s">
        <v>99</v>
      </c>
      <c r="AG363">
        <f t="shared" si="5"/>
        <v>1</v>
      </c>
      <c r="AH363">
        <f>'TABLA PREVIOS'!E363</f>
        <v>290</v>
      </c>
      <c r="AI363">
        <f>VLOOKUP(C363,ALUMNOS!A:B,2,FALSE)</f>
        <v>252</v>
      </c>
    </row>
    <row r="364" spans="1:35" x14ac:dyDescent="0.25">
      <c r="A364" t="s">
        <v>285</v>
      </c>
      <c r="B364" t="s">
        <v>96</v>
      </c>
      <c r="C364">
        <v>44071029</v>
      </c>
      <c r="D364" t="s">
        <v>291</v>
      </c>
      <c r="E364" t="s">
        <v>30</v>
      </c>
      <c r="F364" t="s">
        <v>245</v>
      </c>
      <c r="G364" t="s">
        <v>43</v>
      </c>
      <c r="H364">
        <v>2020</v>
      </c>
      <c r="I364" t="s">
        <v>60</v>
      </c>
      <c r="L364" t="s">
        <v>99</v>
      </c>
      <c r="AG364">
        <f t="shared" si="5"/>
        <v>1</v>
      </c>
      <c r="AH364">
        <f>'TABLA PREVIOS'!E364</f>
        <v>285</v>
      </c>
      <c r="AI364">
        <f>VLOOKUP(C364,ALUMNOS!A:B,2,FALSE)</f>
        <v>263</v>
      </c>
    </row>
    <row r="365" spans="1:35" x14ac:dyDescent="0.25">
      <c r="A365" t="s">
        <v>285</v>
      </c>
      <c r="B365" t="s">
        <v>96</v>
      </c>
      <c r="C365">
        <v>44071029</v>
      </c>
      <c r="D365" t="s">
        <v>291</v>
      </c>
      <c r="E365" t="s">
        <v>40</v>
      </c>
      <c r="F365" t="s">
        <v>245</v>
      </c>
      <c r="G365" t="s">
        <v>43</v>
      </c>
      <c r="H365">
        <v>2020</v>
      </c>
      <c r="I365" t="s">
        <v>60</v>
      </c>
      <c r="L365" t="s">
        <v>99</v>
      </c>
      <c r="AG365">
        <f t="shared" si="5"/>
        <v>1</v>
      </c>
      <c r="AH365">
        <f>'TABLA PREVIOS'!E365</f>
        <v>289</v>
      </c>
      <c r="AI365">
        <f>VLOOKUP(C365,ALUMNOS!A:B,2,FALSE)</f>
        <v>263</v>
      </c>
    </row>
    <row r="366" spans="1:35" x14ac:dyDescent="0.25">
      <c r="A366" t="s">
        <v>285</v>
      </c>
      <c r="B366" t="s">
        <v>96</v>
      </c>
      <c r="C366">
        <v>44071029</v>
      </c>
      <c r="D366" t="s">
        <v>291</v>
      </c>
      <c r="E366" t="s">
        <v>29</v>
      </c>
      <c r="F366" t="s">
        <v>245</v>
      </c>
      <c r="G366" t="s">
        <v>43</v>
      </c>
      <c r="H366">
        <v>2020</v>
      </c>
      <c r="I366" t="s">
        <v>60</v>
      </c>
      <c r="L366" t="s">
        <v>99</v>
      </c>
      <c r="AG366">
        <f t="shared" si="5"/>
        <v>1</v>
      </c>
      <c r="AH366">
        <f>'TABLA PREVIOS'!E366</f>
        <v>290</v>
      </c>
      <c r="AI366">
        <f>VLOOKUP(C366,ALUMNOS!A:B,2,FALSE)</f>
        <v>263</v>
      </c>
    </row>
    <row r="367" spans="1:35" x14ac:dyDescent="0.25">
      <c r="A367" t="s">
        <v>285</v>
      </c>
      <c r="B367" t="s">
        <v>96</v>
      </c>
      <c r="C367">
        <v>44369620</v>
      </c>
      <c r="D367" t="s">
        <v>292</v>
      </c>
      <c r="E367" t="s">
        <v>34</v>
      </c>
      <c r="F367" t="s">
        <v>220</v>
      </c>
      <c r="G367" t="s">
        <v>43</v>
      </c>
      <c r="H367">
        <v>2019</v>
      </c>
      <c r="I367" t="s">
        <v>60</v>
      </c>
      <c r="L367" t="s">
        <v>99</v>
      </c>
      <c r="AG367">
        <f t="shared" si="5"/>
        <v>1</v>
      </c>
      <c r="AH367">
        <f>'TABLA PREVIOS'!E367</f>
        <v>275</v>
      </c>
      <c r="AI367">
        <f>VLOOKUP(C367,ALUMNOS!A:B,2,FALSE)</f>
        <v>280</v>
      </c>
    </row>
    <row r="368" spans="1:35" x14ac:dyDescent="0.25">
      <c r="A368" t="s">
        <v>285</v>
      </c>
      <c r="B368" t="s">
        <v>96</v>
      </c>
      <c r="C368">
        <v>44369620</v>
      </c>
      <c r="D368" t="s">
        <v>292</v>
      </c>
      <c r="E368" t="s">
        <v>29</v>
      </c>
      <c r="F368" t="s">
        <v>245</v>
      </c>
      <c r="G368" t="s">
        <v>43</v>
      </c>
      <c r="H368">
        <v>2020</v>
      </c>
      <c r="I368" t="s">
        <v>60</v>
      </c>
      <c r="L368" t="s">
        <v>99</v>
      </c>
      <c r="AG368">
        <f t="shared" si="5"/>
        <v>1</v>
      </c>
      <c r="AH368">
        <f>'TABLA PREVIOS'!E368</f>
        <v>290</v>
      </c>
      <c r="AI368">
        <f>VLOOKUP(C368,ALUMNOS!A:B,2,FALSE)</f>
        <v>280</v>
      </c>
    </row>
    <row r="369" spans="1:35" x14ac:dyDescent="0.25">
      <c r="A369" t="s">
        <v>285</v>
      </c>
      <c r="B369" t="s">
        <v>96</v>
      </c>
      <c r="C369">
        <v>44588496</v>
      </c>
      <c r="D369" t="s">
        <v>293</v>
      </c>
      <c r="E369" t="s">
        <v>11</v>
      </c>
      <c r="F369" t="s">
        <v>143</v>
      </c>
      <c r="G369" t="s">
        <v>43</v>
      </c>
      <c r="H369">
        <v>2017</v>
      </c>
      <c r="I369" t="s">
        <v>59</v>
      </c>
      <c r="L369" t="s">
        <v>99</v>
      </c>
      <c r="AG369">
        <f t="shared" si="5"/>
        <v>1</v>
      </c>
      <c r="AH369">
        <f>'TABLA PREVIOS'!E369</f>
        <v>239</v>
      </c>
      <c r="AI369">
        <f>VLOOKUP(C369,ALUMNOS!A:B,2,FALSE)</f>
        <v>292</v>
      </c>
    </row>
    <row r="370" spans="1:35" x14ac:dyDescent="0.25">
      <c r="A370" t="s">
        <v>285</v>
      </c>
      <c r="B370" t="s">
        <v>96</v>
      </c>
      <c r="C370">
        <v>44588496</v>
      </c>
      <c r="D370" t="s">
        <v>293</v>
      </c>
      <c r="E370" t="s">
        <v>27</v>
      </c>
      <c r="F370" t="s">
        <v>190</v>
      </c>
      <c r="G370" t="s">
        <v>43</v>
      </c>
      <c r="H370">
        <v>2018</v>
      </c>
      <c r="I370" t="s">
        <v>60</v>
      </c>
      <c r="L370" t="s">
        <v>99</v>
      </c>
      <c r="AG370">
        <f t="shared" si="5"/>
        <v>1</v>
      </c>
      <c r="AH370">
        <f>'TABLA PREVIOS'!E370</f>
        <v>255</v>
      </c>
      <c r="AI370">
        <f>VLOOKUP(C370,ALUMNOS!A:B,2,FALSE)</f>
        <v>292</v>
      </c>
    </row>
    <row r="371" spans="1:35" x14ac:dyDescent="0.25">
      <c r="A371" t="s">
        <v>285</v>
      </c>
      <c r="B371" t="s">
        <v>96</v>
      </c>
      <c r="C371">
        <v>44588496</v>
      </c>
      <c r="D371" t="s">
        <v>293</v>
      </c>
      <c r="E371" t="s">
        <v>34</v>
      </c>
      <c r="F371" t="s">
        <v>220</v>
      </c>
      <c r="G371" t="s">
        <v>43</v>
      </c>
      <c r="H371">
        <v>2019</v>
      </c>
      <c r="I371" t="s">
        <v>60</v>
      </c>
      <c r="L371" t="s">
        <v>99</v>
      </c>
      <c r="AG371">
        <f t="shared" si="5"/>
        <v>1</v>
      </c>
      <c r="AH371">
        <f>'TABLA PREVIOS'!E371</f>
        <v>275</v>
      </c>
      <c r="AI371">
        <f>VLOOKUP(C371,ALUMNOS!A:B,2,FALSE)</f>
        <v>292</v>
      </c>
    </row>
    <row r="372" spans="1:35" x14ac:dyDescent="0.25">
      <c r="A372" t="s">
        <v>285</v>
      </c>
      <c r="B372" t="s">
        <v>96</v>
      </c>
      <c r="C372">
        <v>44588496</v>
      </c>
      <c r="D372" t="s">
        <v>293</v>
      </c>
      <c r="E372" t="s">
        <v>30</v>
      </c>
      <c r="F372" t="s">
        <v>245</v>
      </c>
      <c r="G372" t="s">
        <v>43</v>
      </c>
      <c r="H372">
        <v>2020</v>
      </c>
      <c r="I372" t="s">
        <v>60</v>
      </c>
      <c r="L372" t="s">
        <v>99</v>
      </c>
      <c r="AG372">
        <f t="shared" si="5"/>
        <v>1</v>
      </c>
      <c r="AH372">
        <f>'TABLA PREVIOS'!E372</f>
        <v>285</v>
      </c>
      <c r="AI372">
        <f>VLOOKUP(C372,ALUMNOS!A:B,2,FALSE)</f>
        <v>292</v>
      </c>
    </row>
    <row r="373" spans="1:35" x14ac:dyDescent="0.25">
      <c r="A373" t="s">
        <v>285</v>
      </c>
      <c r="B373" t="s">
        <v>96</v>
      </c>
      <c r="C373">
        <v>44588496</v>
      </c>
      <c r="D373" t="s">
        <v>293</v>
      </c>
      <c r="E373" t="s">
        <v>37</v>
      </c>
      <c r="F373" t="s">
        <v>245</v>
      </c>
      <c r="G373" t="s">
        <v>43</v>
      </c>
      <c r="H373">
        <v>2020</v>
      </c>
      <c r="I373" t="s">
        <v>60</v>
      </c>
      <c r="L373" t="s">
        <v>99</v>
      </c>
      <c r="AG373">
        <f t="shared" si="5"/>
        <v>1</v>
      </c>
      <c r="AH373">
        <f>'TABLA PREVIOS'!E373</f>
        <v>284</v>
      </c>
      <c r="AI373">
        <f>VLOOKUP(C373,ALUMNOS!A:B,2,FALSE)</f>
        <v>292</v>
      </c>
    </row>
    <row r="374" spans="1:35" x14ac:dyDescent="0.25">
      <c r="A374" t="s">
        <v>285</v>
      </c>
      <c r="B374" t="s">
        <v>96</v>
      </c>
      <c r="C374">
        <v>44588496</v>
      </c>
      <c r="D374" t="s">
        <v>293</v>
      </c>
      <c r="E374" t="s">
        <v>38</v>
      </c>
      <c r="F374" t="s">
        <v>245</v>
      </c>
      <c r="G374" t="s">
        <v>43</v>
      </c>
      <c r="H374">
        <v>2020</v>
      </c>
      <c r="I374" t="s">
        <v>60</v>
      </c>
      <c r="L374" t="s">
        <v>99</v>
      </c>
      <c r="AG374">
        <f t="shared" si="5"/>
        <v>1</v>
      </c>
      <c r="AH374">
        <f>'TABLA PREVIOS'!E374</f>
        <v>287</v>
      </c>
      <c r="AI374">
        <f>VLOOKUP(C374,ALUMNOS!A:B,2,FALSE)</f>
        <v>292</v>
      </c>
    </row>
    <row r="375" spans="1:35" x14ac:dyDescent="0.25">
      <c r="A375" t="s">
        <v>285</v>
      </c>
      <c r="B375" t="s">
        <v>96</v>
      </c>
      <c r="C375">
        <v>44588496</v>
      </c>
      <c r="D375" t="s">
        <v>293</v>
      </c>
      <c r="E375" t="s">
        <v>34</v>
      </c>
      <c r="F375" t="s">
        <v>245</v>
      </c>
      <c r="G375" t="s">
        <v>43</v>
      </c>
      <c r="H375">
        <v>2020</v>
      </c>
      <c r="I375" t="s">
        <v>60</v>
      </c>
      <c r="L375" t="s">
        <v>99</v>
      </c>
      <c r="AG375">
        <f t="shared" si="5"/>
        <v>1</v>
      </c>
      <c r="AH375">
        <f>'TABLA PREVIOS'!E375</f>
        <v>286</v>
      </c>
      <c r="AI375">
        <f>VLOOKUP(C375,ALUMNOS!A:B,2,FALSE)</f>
        <v>292</v>
      </c>
    </row>
    <row r="376" spans="1:35" x14ac:dyDescent="0.25">
      <c r="A376" t="s">
        <v>285</v>
      </c>
      <c r="B376" t="s">
        <v>96</v>
      </c>
      <c r="C376">
        <v>44588496</v>
      </c>
      <c r="D376" t="s">
        <v>293</v>
      </c>
      <c r="E376" t="s">
        <v>41</v>
      </c>
      <c r="F376" t="s">
        <v>245</v>
      </c>
      <c r="G376" t="s">
        <v>43</v>
      </c>
      <c r="H376">
        <v>2020</v>
      </c>
      <c r="I376" t="s">
        <v>60</v>
      </c>
      <c r="L376" t="s">
        <v>99</v>
      </c>
      <c r="AG376">
        <f t="shared" si="5"/>
        <v>1</v>
      </c>
      <c r="AH376">
        <f>'TABLA PREVIOS'!E376</f>
        <v>292</v>
      </c>
      <c r="AI376">
        <f>VLOOKUP(C376,ALUMNOS!A:B,2,FALSE)</f>
        <v>292</v>
      </c>
    </row>
    <row r="377" spans="1:35" x14ac:dyDescent="0.25">
      <c r="A377" t="s">
        <v>285</v>
      </c>
      <c r="B377" t="s">
        <v>96</v>
      </c>
      <c r="C377">
        <v>44588496</v>
      </c>
      <c r="D377" t="s">
        <v>293</v>
      </c>
      <c r="E377" t="s">
        <v>28</v>
      </c>
      <c r="F377" t="s">
        <v>245</v>
      </c>
      <c r="G377" t="s">
        <v>43</v>
      </c>
      <c r="H377">
        <v>2020</v>
      </c>
      <c r="I377" t="s">
        <v>60</v>
      </c>
      <c r="L377" t="s">
        <v>99</v>
      </c>
      <c r="AG377">
        <f t="shared" si="5"/>
        <v>1</v>
      </c>
      <c r="AH377">
        <f>'TABLA PREVIOS'!E377</f>
        <v>291</v>
      </c>
      <c r="AI377">
        <f>VLOOKUP(C377,ALUMNOS!A:B,2,FALSE)</f>
        <v>292</v>
      </c>
    </row>
    <row r="378" spans="1:35" x14ac:dyDescent="0.25">
      <c r="A378" t="s">
        <v>285</v>
      </c>
      <c r="B378" t="s">
        <v>96</v>
      </c>
      <c r="C378">
        <v>44588496</v>
      </c>
      <c r="D378" t="s">
        <v>293</v>
      </c>
      <c r="E378" t="s">
        <v>16</v>
      </c>
      <c r="F378" t="s">
        <v>245</v>
      </c>
      <c r="G378" t="s">
        <v>43</v>
      </c>
      <c r="H378">
        <v>2020</v>
      </c>
      <c r="I378" t="s">
        <v>60</v>
      </c>
      <c r="L378" t="s">
        <v>99</v>
      </c>
      <c r="AG378">
        <f t="shared" si="5"/>
        <v>1</v>
      </c>
      <c r="AH378">
        <f>'TABLA PREVIOS'!E378</f>
        <v>282</v>
      </c>
      <c r="AI378">
        <f>VLOOKUP(C378,ALUMNOS!A:B,2,FALSE)</f>
        <v>292</v>
      </c>
    </row>
    <row r="379" spans="1:35" x14ac:dyDescent="0.25">
      <c r="A379" t="s">
        <v>285</v>
      </c>
      <c r="B379" t="s">
        <v>96</v>
      </c>
      <c r="C379">
        <v>44588496</v>
      </c>
      <c r="D379" t="s">
        <v>293</v>
      </c>
      <c r="E379" t="s">
        <v>11</v>
      </c>
      <c r="F379" t="s">
        <v>245</v>
      </c>
      <c r="G379" t="s">
        <v>43</v>
      </c>
      <c r="H379">
        <v>2020</v>
      </c>
      <c r="I379" t="s">
        <v>60</v>
      </c>
      <c r="L379" t="s">
        <v>99</v>
      </c>
      <c r="AG379">
        <f t="shared" si="5"/>
        <v>1</v>
      </c>
      <c r="AH379">
        <f>'TABLA PREVIOS'!E379</f>
        <v>279</v>
      </c>
      <c r="AI379">
        <f>VLOOKUP(C379,ALUMNOS!A:B,2,FALSE)</f>
        <v>292</v>
      </c>
    </row>
    <row r="380" spans="1:35" x14ac:dyDescent="0.25">
      <c r="A380" t="s">
        <v>285</v>
      </c>
      <c r="B380" t="s">
        <v>96</v>
      </c>
      <c r="C380">
        <v>44588496</v>
      </c>
      <c r="D380" t="s">
        <v>293</v>
      </c>
      <c r="E380" t="s">
        <v>12</v>
      </c>
      <c r="F380" t="s">
        <v>245</v>
      </c>
      <c r="G380" t="s">
        <v>43</v>
      </c>
      <c r="H380">
        <v>2020</v>
      </c>
      <c r="I380" t="s">
        <v>60</v>
      </c>
      <c r="L380" t="s">
        <v>99</v>
      </c>
      <c r="AG380">
        <f t="shared" si="5"/>
        <v>1</v>
      </c>
      <c r="AH380">
        <f>'TABLA PREVIOS'!E380</f>
        <v>280</v>
      </c>
      <c r="AI380">
        <f>VLOOKUP(C380,ALUMNOS!A:B,2,FALSE)</f>
        <v>292</v>
      </c>
    </row>
    <row r="381" spans="1:35" x14ac:dyDescent="0.25">
      <c r="A381" t="s">
        <v>285</v>
      </c>
      <c r="B381" t="s">
        <v>96</v>
      </c>
      <c r="C381">
        <v>44588496</v>
      </c>
      <c r="D381" t="s">
        <v>293</v>
      </c>
      <c r="E381" t="s">
        <v>25</v>
      </c>
      <c r="F381" t="s">
        <v>245</v>
      </c>
      <c r="G381" t="s">
        <v>43</v>
      </c>
      <c r="H381">
        <v>2020</v>
      </c>
      <c r="I381" t="s">
        <v>60</v>
      </c>
      <c r="L381" t="s">
        <v>99</v>
      </c>
      <c r="AG381">
        <f t="shared" si="5"/>
        <v>1</v>
      </c>
      <c r="AH381">
        <f>'TABLA PREVIOS'!E381</f>
        <v>281</v>
      </c>
      <c r="AI381">
        <f>VLOOKUP(C381,ALUMNOS!A:B,2,FALSE)</f>
        <v>292</v>
      </c>
    </row>
    <row r="382" spans="1:35" x14ac:dyDescent="0.25">
      <c r="A382" t="s">
        <v>285</v>
      </c>
      <c r="B382" t="s">
        <v>96</v>
      </c>
      <c r="C382">
        <v>44588496</v>
      </c>
      <c r="D382" t="s">
        <v>293</v>
      </c>
      <c r="E382" t="s">
        <v>39</v>
      </c>
      <c r="F382" t="s">
        <v>245</v>
      </c>
      <c r="G382" t="s">
        <v>43</v>
      </c>
      <c r="H382">
        <v>2020</v>
      </c>
      <c r="I382" t="s">
        <v>60</v>
      </c>
      <c r="L382" t="s">
        <v>99</v>
      </c>
      <c r="AG382">
        <f t="shared" si="5"/>
        <v>1</v>
      </c>
      <c r="AH382">
        <f>'TABLA PREVIOS'!E382</f>
        <v>288</v>
      </c>
      <c r="AI382">
        <f>VLOOKUP(C382,ALUMNOS!A:B,2,FALSE)</f>
        <v>292</v>
      </c>
    </row>
    <row r="383" spans="1:35" x14ac:dyDescent="0.25">
      <c r="A383" t="s">
        <v>285</v>
      </c>
      <c r="B383" t="s">
        <v>96</v>
      </c>
      <c r="C383">
        <v>44588496</v>
      </c>
      <c r="D383" t="s">
        <v>293</v>
      </c>
      <c r="E383" t="s">
        <v>29</v>
      </c>
      <c r="F383" t="s">
        <v>245</v>
      </c>
      <c r="G383" t="s">
        <v>43</v>
      </c>
      <c r="H383">
        <v>2020</v>
      </c>
      <c r="I383" t="s">
        <v>60</v>
      </c>
      <c r="L383" t="s">
        <v>99</v>
      </c>
      <c r="AG383">
        <f t="shared" si="5"/>
        <v>1</v>
      </c>
      <c r="AH383">
        <f>'TABLA PREVIOS'!E383</f>
        <v>290</v>
      </c>
      <c r="AI383">
        <f>VLOOKUP(C383,ALUMNOS!A:B,2,FALSE)</f>
        <v>292</v>
      </c>
    </row>
    <row r="384" spans="1:35" x14ac:dyDescent="0.25">
      <c r="A384" t="s">
        <v>285</v>
      </c>
      <c r="B384" t="s">
        <v>96</v>
      </c>
      <c r="C384">
        <v>44768513</v>
      </c>
      <c r="D384" t="s">
        <v>294</v>
      </c>
      <c r="E384" t="s">
        <v>30</v>
      </c>
      <c r="F384" t="s">
        <v>220</v>
      </c>
      <c r="G384" t="s">
        <v>43</v>
      </c>
      <c r="H384">
        <v>2019</v>
      </c>
      <c r="I384" t="s">
        <v>60</v>
      </c>
      <c r="L384" t="s">
        <v>99</v>
      </c>
      <c r="Q384">
        <v>45475</v>
      </c>
      <c r="R384" t="s">
        <v>50</v>
      </c>
      <c r="S384">
        <v>68</v>
      </c>
      <c r="T384">
        <v>82</v>
      </c>
      <c r="AG384">
        <f t="shared" si="5"/>
        <v>1</v>
      </c>
      <c r="AH384">
        <f>'TABLA PREVIOS'!E384</f>
        <v>274</v>
      </c>
      <c r="AI384">
        <f>VLOOKUP(C384,ALUMNOS!A:B,2,FALSE)</f>
        <v>450</v>
      </c>
    </row>
    <row r="385" spans="1:35" x14ac:dyDescent="0.25">
      <c r="A385" t="s">
        <v>285</v>
      </c>
      <c r="B385" t="s">
        <v>96</v>
      </c>
      <c r="C385">
        <v>44768513</v>
      </c>
      <c r="D385" t="s">
        <v>294</v>
      </c>
      <c r="E385" t="s">
        <v>30</v>
      </c>
      <c r="F385" t="s">
        <v>245</v>
      </c>
      <c r="G385" t="s">
        <v>43</v>
      </c>
      <c r="H385">
        <v>2020</v>
      </c>
      <c r="I385" t="s">
        <v>60</v>
      </c>
      <c r="L385" t="s">
        <v>99</v>
      </c>
      <c r="Q385">
        <v>45475</v>
      </c>
      <c r="R385" t="s">
        <v>50</v>
      </c>
      <c r="S385">
        <v>68</v>
      </c>
      <c r="T385">
        <v>84</v>
      </c>
      <c r="AG385">
        <f t="shared" si="5"/>
        <v>1</v>
      </c>
      <c r="AH385">
        <f>'TABLA PREVIOS'!E385</f>
        <v>285</v>
      </c>
      <c r="AI385">
        <f>VLOOKUP(C385,ALUMNOS!A:B,2,FALSE)</f>
        <v>450</v>
      </c>
    </row>
    <row r="386" spans="1:35" x14ac:dyDescent="0.25">
      <c r="A386" t="s">
        <v>285</v>
      </c>
      <c r="B386" t="s">
        <v>96</v>
      </c>
      <c r="C386">
        <v>44768513</v>
      </c>
      <c r="D386" t="s">
        <v>294</v>
      </c>
      <c r="E386" t="s">
        <v>40</v>
      </c>
      <c r="F386" t="s">
        <v>245</v>
      </c>
      <c r="G386" t="s">
        <v>43</v>
      </c>
      <c r="H386">
        <v>2020</v>
      </c>
      <c r="I386" t="s">
        <v>60</v>
      </c>
      <c r="L386" t="s">
        <v>99</v>
      </c>
      <c r="AG386">
        <f t="shared" si="5"/>
        <v>1</v>
      </c>
      <c r="AH386">
        <f>'TABLA PREVIOS'!E386</f>
        <v>289</v>
      </c>
      <c r="AI386">
        <f>VLOOKUP(C386,ALUMNOS!A:B,2,FALSE)</f>
        <v>450</v>
      </c>
    </row>
    <row r="387" spans="1:35" x14ac:dyDescent="0.25">
      <c r="A387" t="s">
        <v>285</v>
      </c>
      <c r="B387" t="s">
        <v>96</v>
      </c>
      <c r="C387">
        <v>44768513</v>
      </c>
      <c r="D387" t="s">
        <v>294</v>
      </c>
      <c r="E387" t="s">
        <v>37</v>
      </c>
      <c r="F387" t="s">
        <v>245</v>
      </c>
      <c r="G387" t="s">
        <v>43</v>
      </c>
      <c r="H387">
        <v>2020</v>
      </c>
      <c r="I387" t="s">
        <v>60</v>
      </c>
      <c r="L387" t="s">
        <v>99</v>
      </c>
      <c r="AG387">
        <f t="shared" ref="AG387:AG450" si="6">IF(VALUE(MAX(N387,R387,V387,Z387,AC387,))&gt;=7,VALUE(MAX(N387,R387,V387,Z387,AC387,)),1)</f>
        <v>1</v>
      </c>
      <c r="AH387">
        <f>'TABLA PREVIOS'!E387</f>
        <v>284</v>
      </c>
      <c r="AI387">
        <f>VLOOKUP(C387,ALUMNOS!A:B,2,FALSE)</f>
        <v>450</v>
      </c>
    </row>
    <row r="388" spans="1:35" x14ac:dyDescent="0.25">
      <c r="A388" t="s">
        <v>285</v>
      </c>
      <c r="B388" t="s">
        <v>96</v>
      </c>
      <c r="C388">
        <v>44768513</v>
      </c>
      <c r="D388" t="s">
        <v>294</v>
      </c>
      <c r="E388" t="s">
        <v>38</v>
      </c>
      <c r="F388" t="s">
        <v>245</v>
      </c>
      <c r="G388" t="s">
        <v>43</v>
      </c>
      <c r="H388">
        <v>2020</v>
      </c>
      <c r="I388" t="s">
        <v>60</v>
      </c>
      <c r="L388" t="s">
        <v>99</v>
      </c>
      <c r="AG388">
        <f t="shared" si="6"/>
        <v>1</v>
      </c>
      <c r="AH388">
        <f>'TABLA PREVIOS'!E388</f>
        <v>287</v>
      </c>
      <c r="AI388">
        <f>VLOOKUP(C388,ALUMNOS!A:B,2,FALSE)</f>
        <v>450</v>
      </c>
    </row>
    <row r="389" spans="1:35" x14ac:dyDescent="0.25">
      <c r="A389" t="s">
        <v>285</v>
      </c>
      <c r="B389" t="s">
        <v>96</v>
      </c>
      <c r="C389">
        <v>44768513</v>
      </c>
      <c r="D389" t="s">
        <v>294</v>
      </c>
      <c r="E389" t="s">
        <v>41</v>
      </c>
      <c r="F389" t="s">
        <v>245</v>
      </c>
      <c r="G389" t="s">
        <v>43</v>
      </c>
      <c r="H389">
        <v>2020</v>
      </c>
      <c r="I389" t="s">
        <v>60</v>
      </c>
      <c r="L389" t="s">
        <v>99</v>
      </c>
      <c r="AG389">
        <f t="shared" si="6"/>
        <v>1</v>
      </c>
      <c r="AH389">
        <f>'TABLA PREVIOS'!E389</f>
        <v>292</v>
      </c>
      <c r="AI389">
        <f>VLOOKUP(C389,ALUMNOS!A:B,2,FALSE)</f>
        <v>450</v>
      </c>
    </row>
    <row r="390" spans="1:35" x14ac:dyDescent="0.25">
      <c r="A390" t="s">
        <v>285</v>
      </c>
      <c r="B390" t="s">
        <v>96</v>
      </c>
      <c r="C390">
        <v>44768513</v>
      </c>
      <c r="D390" t="s">
        <v>294</v>
      </c>
      <c r="E390" t="s">
        <v>16</v>
      </c>
      <c r="F390" t="s">
        <v>245</v>
      </c>
      <c r="G390" t="s">
        <v>43</v>
      </c>
      <c r="H390">
        <v>2020</v>
      </c>
      <c r="I390" t="s">
        <v>60</v>
      </c>
      <c r="L390" t="s">
        <v>99</v>
      </c>
      <c r="AG390">
        <f t="shared" si="6"/>
        <v>1</v>
      </c>
      <c r="AH390">
        <f>'TABLA PREVIOS'!E390</f>
        <v>282</v>
      </c>
      <c r="AI390">
        <f>VLOOKUP(C390,ALUMNOS!A:B,2,FALSE)</f>
        <v>450</v>
      </c>
    </row>
    <row r="391" spans="1:35" x14ac:dyDescent="0.25">
      <c r="A391" t="s">
        <v>285</v>
      </c>
      <c r="B391" t="s">
        <v>96</v>
      </c>
      <c r="C391">
        <v>44768513</v>
      </c>
      <c r="D391" t="s">
        <v>294</v>
      </c>
      <c r="E391" t="s">
        <v>11</v>
      </c>
      <c r="F391" t="s">
        <v>245</v>
      </c>
      <c r="G391" t="s">
        <v>43</v>
      </c>
      <c r="H391">
        <v>2020</v>
      </c>
      <c r="I391" t="s">
        <v>60</v>
      </c>
      <c r="L391" t="s">
        <v>99</v>
      </c>
      <c r="AG391">
        <f t="shared" si="6"/>
        <v>1</v>
      </c>
      <c r="AH391">
        <f>'TABLA PREVIOS'!E391</f>
        <v>279</v>
      </c>
      <c r="AI391">
        <f>VLOOKUP(C391,ALUMNOS!A:B,2,FALSE)</f>
        <v>450</v>
      </c>
    </row>
    <row r="392" spans="1:35" x14ac:dyDescent="0.25">
      <c r="A392" t="s">
        <v>285</v>
      </c>
      <c r="B392" t="s">
        <v>96</v>
      </c>
      <c r="C392">
        <v>44768513</v>
      </c>
      <c r="D392" t="s">
        <v>294</v>
      </c>
      <c r="E392" t="s">
        <v>12</v>
      </c>
      <c r="F392" t="s">
        <v>245</v>
      </c>
      <c r="G392" t="s">
        <v>43</v>
      </c>
      <c r="H392">
        <v>2020</v>
      </c>
      <c r="I392" t="s">
        <v>60</v>
      </c>
      <c r="L392" t="s">
        <v>99</v>
      </c>
      <c r="AG392">
        <f t="shared" si="6"/>
        <v>1</v>
      </c>
      <c r="AH392">
        <f>'TABLA PREVIOS'!E392</f>
        <v>280</v>
      </c>
      <c r="AI392">
        <f>VLOOKUP(C392,ALUMNOS!A:B,2,FALSE)</f>
        <v>450</v>
      </c>
    </row>
    <row r="393" spans="1:35" x14ac:dyDescent="0.25">
      <c r="A393" t="s">
        <v>285</v>
      </c>
      <c r="B393" t="s">
        <v>96</v>
      </c>
      <c r="C393">
        <v>44768513</v>
      </c>
      <c r="D393" t="s">
        <v>294</v>
      </c>
      <c r="E393" t="s">
        <v>25</v>
      </c>
      <c r="F393" t="s">
        <v>245</v>
      </c>
      <c r="G393" t="s">
        <v>43</v>
      </c>
      <c r="H393">
        <v>2020</v>
      </c>
      <c r="I393" t="s">
        <v>60</v>
      </c>
      <c r="L393" t="s">
        <v>99</v>
      </c>
      <c r="AG393">
        <f t="shared" si="6"/>
        <v>1</v>
      </c>
      <c r="AH393">
        <f>'TABLA PREVIOS'!E393</f>
        <v>281</v>
      </c>
      <c r="AI393">
        <f>VLOOKUP(C393,ALUMNOS!A:B,2,FALSE)</f>
        <v>450</v>
      </c>
    </row>
    <row r="394" spans="1:35" x14ac:dyDescent="0.25">
      <c r="A394" t="s">
        <v>285</v>
      </c>
      <c r="B394" t="s">
        <v>96</v>
      </c>
      <c r="C394">
        <v>44973247</v>
      </c>
      <c r="D394" t="s">
        <v>295</v>
      </c>
      <c r="E394" t="s">
        <v>12</v>
      </c>
      <c r="F394" t="s">
        <v>190</v>
      </c>
      <c r="G394" t="s">
        <v>43</v>
      </c>
      <c r="H394">
        <v>2018</v>
      </c>
      <c r="I394" t="s">
        <v>60</v>
      </c>
      <c r="L394" t="s">
        <v>99</v>
      </c>
      <c r="AG394">
        <f t="shared" si="6"/>
        <v>1</v>
      </c>
      <c r="AH394">
        <f>'TABLA PREVIOS'!E394</f>
        <v>252</v>
      </c>
      <c r="AI394">
        <f>VLOOKUP(C394,ALUMNOS!A:B,2,FALSE)</f>
        <v>452</v>
      </c>
    </row>
    <row r="395" spans="1:35" x14ac:dyDescent="0.25">
      <c r="A395" t="s">
        <v>285</v>
      </c>
      <c r="B395" t="s">
        <v>96</v>
      </c>
      <c r="C395">
        <v>44973247</v>
      </c>
      <c r="D395" t="s">
        <v>295</v>
      </c>
      <c r="E395" t="s">
        <v>29</v>
      </c>
      <c r="F395" t="s">
        <v>220</v>
      </c>
      <c r="G395" t="s">
        <v>43</v>
      </c>
      <c r="H395">
        <v>2019</v>
      </c>
      <c r="I395" t="s">
        <v>60</v>
      </c>
      <c r="L395" t="s">
        <v>99</v>
      </c>
      <c r="AG395">
        <f t="shared" si="6"/>
        <v>1</v>
      </c>
      <c r="AH395">
        <f>'TABLA PREVIOS'!E395</f>
        <v>273</v>
      </c>
      <c r="AI395">
        <f>VLOOKUP(C395,ALUMNOS!A:B,2,FALSE)</f>
        <v>452</v>
      </c>
    </row>
    <row r="396" spans="1:35" x14ac:dyDescent="0.25">
      <c r="A396" t="s">
        <v>285</v>
      </c>
      <c r="B396" t="s">
        <v>96</v>
      </c>
      <c r="C396">
        <v>44973247</v>
      </c>
      <c r="D396" t="s">
        <v>295</v>
      </c>
      <c r="E396" t="s">
        <v>30</v>
      </c>
      <c r="F396" t="s">
        <v>245</v>
      </c>
      <c r="G396" t="s">
        <v>43</v>
      </c>
      <c r="H396">
        <v>2020</v>
      </c>
      <c r="I396" t="s">
        <v>60</v>
      </c>
      <c r="L396" t="s">
        <v>99</v>
      </c>
      <c r="AG396">
        <f t="shared" si="6"/>
        <v>1</v>
      </c>
      <c r="AH396">
        <f>'TABLA PREVIOS'!E396</f>
        <v>285</v>
      </c>
      <c r="AI396">
        <f>VLOOKUP(C396,ALUMNOS!A:B,2,FALSE)</f>
        <v>452</v>
      </c>
    </row>
    <row r="397" spans="1:35" x14ac:dyDescent="0.25">
      <c r="A397" t="s">
        <v>285</v>
      </c>
      <c r="B397" t="s">
        <v>96</v>
      </c>
      <c r="C397">
        <v>44973247</v>
      </c>
      <c r="D397" t="s">
        <v>295</v>
      </c>
      <c r="E397" t="s">
        <v>34</v>
      </c>
      <c r="F397" t="s">
        <v>245</v>
      </c>
      <c r="G397" t="s">
        <v>43</v>
      </c>
      <c r="H397">
        <v>2020</v>
      </c>
      <c r="I397" t="s">
        <v>60</v>
      </c>
      <c r="L397" t="s">
        <v>99</v>
      </c>
      <c r="AG397">
        <f t="shared" si="6"/>
        <v>1</v>
      </c>
      <c r="AH397">
        <f>'TABLA PREVIOS'!E397</f>
        <v>286</v>
      </c>
      <c r="AI397">
        <f>VLOOKUP(C397,ALUMNOS!A:B,2,FALSE)</f>
        <v>452</v>
      </c>
    </row>
    <row r="398" spans="1:35" x14ac:dyDescent="0.25">
      <c r="A398" t="s">
        <v>285</v>
      </c>
      <c r="B398" t="s">
        <v>96</v>
      </c>
      <c r="C398">
        <v>44973247</v>
      </c>
      <c r="D398" t="s">
        <v>295</v>
      </c>
      <c r="E398" t="s">
        <v>41</v>
      </c>
      <c r="F398" t="s">
        <v>245</v>
      </c>
      <c r="G398" t="s">
        <v>43</v>
      </c>
      <c r="H398">
        <v>2020</v>
      </c>
      <c r="I398" t="s">
        <v>60</v>
      </c>
      <c r="L398" t="s">
        <v>99</v>
      </c>
      <c r="AG398">
        <f t="shared" si="6"/>
        <v>1</v>
      </c>
      <c r="AH398">
        <f>'TABLA PREVIOS'!E398</f>
        <v>292</v>
      </c>
      <c r="AI398">
        <f>VLOOKUP(C398,ALUMNOS!A:B,2,FALSE)</f>
        <v>452</v>
      </c>
    </row>
    <row r="399" spans="1:35" x14ac:dyDescent="0.25">
      <c r="A399" t="s">
        <v>285</v>
      </c>
      <c r="B399" t="s">
        <v>96</v>
      </c>
      <c r="C399">
        <v>44973247</v>
      </c>
      <c r="D399" t="s">
        <v>295</v>
      </c>
      <c r="E399" t="s">
        <v>16</v>
      </c>
      <c r="F399" t="s">
        <v>245</v>
      </c>
      <c r="G399" t="s">
        <v>43</v>
      </c>
      <c r="H399">
        <v>2020</v>
      </c>
      <c r="I399" t="s">
        <v>60</v>
      </c>
      <c r="L399" t="s">
        <v>99</v>
      </c>
      <c r="AG399">
        <f t="shared" si="6"/>
        <v>1</v>
      </c>
      <c r="AH399">
        <f>'TABLA PREVIOS'!E399</f>
        <v>282</v>
      </c>
      <c r="AI399">
        <f>VLOOKUP(C399,ALUMNOS!A:B,2,FALSE)</f>
        <v>452</v>
      </c>
    </row>
    <row r="400" spans="1:35" x14ac:dyDescent="0.25">
      <c r="A400" t="s">
        <v>285</v>
      </c>
      <c r="B400" t="s">
        <v>96</v>
      </c>
      <c r="C400">
        <v>44973247</v>
      </c>
      <c r="D400" t="s">
        <v>295</v>
      </c>
      <c r="E400" t="s">
        <v>12</v>
      </c>
      <c r="F400" t="s">
        <v>245</v>
      </c>
      <c r="G400" t="s">
        <v>43</v>
      </c>
      <c r="H400">
        <v>2020</v>
      </c>
      <c r="I400" t="s">
        <v>60</v>
      </c>
      <c r="L400" t="s">
        <v>99</v>
      </c>
      <c r="AG400">
        <f t="shared" si="6"/>
        <v>1</v>
      </c>
      <c r="AH400">
        <f>'TABLA PREVIOS'!E400</f>
        <v>280</v>
      </c>
      <c r="AI400">
        <f>VLOOKUP(C400,ALUMNOS!A:B,2,FALSE)</f>
        <v>452</v>
      </c>
    </row>
    <row r="401" spans="1:35" x14ac:dyDescent="0.25">
      <c r="A401" t="s">
        <v>285</v>
      </c>
      <c r="B401" t="s">
        <v>96</v>
      </c>
      <c r="C401">
        <v>44973247</v>
      </c>
      <c r="D401" t="s">
        <v>295</v>
      </c>
      <c r="E401" t="s">
        <v>29</v>
      </c>
      <c r="F401" t="s">
        <v>245</v>
      </c>
      <c r="G401" t="s">
        <v>43</v>
      </c>
      <c r="H401">
        <v>2020</v>
      </c>
      <c r="I401" t="s">
        <v>60</v>
      </c>
      <c r="L401" t="s">
        <v>99</v>
      </c>
      <c r="AG401">
        <f t="shared" si="6"/>
        <v>1</v>
      </c>
      <c r="AH401">
        <f>'TABLA PREVIOS'!E401</f>
        <v>290</v>
      </c>
      <c r="AI401">
        <f>VLOOKUP(C401,ALUMNOS!A:B,2,FALSE)</f>
        <v>452</v>
      </c>
    </row>
    <row r="402" spans="1:35" x14ac:dyDescent="0.25">
      <c r="A402" t="s">
        <v>285</v>
      </c>
      <c r="B402" t="s">
        <v>96</v>
      </c>
      <c r="C402" t="s">
        <v>6</v>
      </c>
      <c r="D402" t="s">
        <v>296</v>
      </c>
      <c r="E402" t="s">
        <v>30</v>
      </c>
      <c r="F402" t="s">
        <v>245</v>
      </c>
      <c r="G402" t="s">
        <v>43</v>
      </c>
      <c r="H402">
        <v>2020</v>
      </c>
      <c r="I402" t="s">
        <v>60</v>
      </c>
      <c r="L402" t="s">
        <v>99</v>
      </c>
      <c r="AG402">
        <f t="shared" si="6"/>
        <v>1</v>
      </c>
      <c r="AH402">
        <f>'TABLA PREVIOS'!E402</f>
        <v>285</v>
      </c>
      <c r="AI402">
        <f>VLOOKUP(C402,ALUMNOS!A:B,2,FALSE)</f>
        <v>474</v>
      </c>
    </row>
    <row r="403" spans="1:35" x14ac:dyDescent="0.25">
      <c r="A403" t="s">
        <v>285</v>
      </c>
      <c r="B403" t="s">
        <v>96</v>
      </c>
      <c r="C403" t="s">
        <v>6</v>
      </c>
      <c r="D403" t="s">
        <v>296</v>
      </c>
      <c r="E403" t="s">
        <v>37</v>
      </c>
      <c r="F403" t="s">
        <v>245</v>
      </c>
      <c r="G403" t="s">
        <v>43</v>
      </c>
      <c r="H403">
        <v>2020</v>
      </c>
      <c r="I403" t="s">
        <v>60</v>
      </c>
      <c r="L403" t="s">
        <v>99</v>
      </c>
      <c r="AG403">
        <f t="shared" si="6"/>
        <v>1</v>
      </c>
      <c r="AH403">
        <f>'TABLA PREVIOS'!E403</f>
        <v>284</v>
      </c>
      <c r="AI403">
        <f>VLOOKUP(C403,ALUMNOS!A:B,2,FALSE)</f>
        <v>474</v>
      </c>
    </row>
    <row r="404" spans="1:35" x14ac:dyDescent="0.25">
      <c r="A404" t="s">
        <v>285</v>
      </c>
      <c r="B404" t="s">
        <v>96</v>
      </c>
      <c r="C404" t="s">
        <v>6</v>
      </c>
      <c r="D404" t="s">
        <v>296</v>
      </c>
      <c r="E404" t="s">
        <v>38</v>
      </c>
      <c r="F404" t="s">
        <v>245</v>
      </c>
      <c r="G404" t="s">
        <v>43</v>
      </c>
      <c r="H404">
        <v>2020</v>
      </c>
      <c r="I404" t="s">
        <v>60</v>
      </c>
      <c r="L404" t="s">
        <v>99</v>
      </c>
      <c r="AG404">
        <f t="shared" si="6"/>
        <v>1</v>
      </c>
      <c r="AH404">
        <f>'TABLA PREVIOS'!E404</f>
        <v>287</v>
      </c>
      <c r="AI404">
        <f>VLOOKUP(C404,ALUMNOS!A:B,2,FALSE)</f>
        <v>474</v>
      </c>
    </row>
    <row r="405" spans="1:35" x14ac:dyDescent="0.25">
      <c r="A405" t="s">
        <v>285</v>
      </c>
      <c r="B405" t="s">
        <v>96</v>
      </c>
      <c r="C405" t="s">
        <v>6</v>
      </c>
      <c r="D405" t="s">
        <v>296</v>
      </c>
      <c r="E405" t="s">
        <v>34</v>
      </c>
      <c r="F405" t="s">
        <v>245</v>
      </c>
      <c r="G405" t="s">
        <v>43</v>
      </c>
      <c r="H405">
        <v>2020</v>
      </c>
      <c r="I405" t="s">
        <v>60</v>
      </c>
      <c r="L405" t="s">
        <v>99</v>
      </c>
      <c r="AG405">
        <f t="shared" si="6"/>
        <v>1</v>
      </c>
      <c r="AH405">
        <f>'TABLA PREVIOS'!E405</f>
        <v>286</v>
      </c>
      <c r="AI405">
        <f>VLOOKUP(C405,ALUMNOS!A:B,2,FALSE)</f>
        <v>474</v>
      </c>
    </row>
    <row r="406" spans="1:35" x14ac:dyDescent="0.25">
      <c r="A406" t="s">
        <v>285</v>
      </c>
      <c r="B406" t="s">
        <v>96</v>
      </c>
      <c r="C406" t="s">
        <v>6</v>
      </c>
      <c r="D406" t="s">
        <v>296</v>
      </c>
      <c r="E406" t="s">
        <v>41</v>
      </c>
      <c r="F406" t="s">
        <v>245</v>
      </c>
      <c r="G406" t="s">
        <v>43</v>
      </c>
      <c r="H406">
        <v>2020</v>
      </c>
      <c r="I406" t="s">
        <v>60</v>
      </c>
      <c r="L406" t="s">
        <v>99</v>
      </c>
      <c r="AG406">
        <f t="shared" si="6"/>
        <v>1</v>
      </c>
      <c r="AH406">
        <f>'TABLA PREVIOS'!E406</f>
        <v>292</v>
      </c>
      <c r="AI406">
        <f>VLOOKUP(C406,ALUMNOS!A:B,2,FALSE)</f>
        <v>474</v>
      </c>
    </row>
    <row r="407" spans="1:35" x14ac:dyDescent="0.25">
      <c r="A407" t="s">
        <v>285</v>
      </c>
      <c r="B407" t="s">
        <v>96</v>
      </c>
      <c r="C407" t="s">
        <v>6</v>
      </c>
      <c r="D407" t="s">
        <v>296</v>
      </c>
      <c r="E407" t="s">
        <v>28</v>
      </c>
      <c r="F407" t="s">
        <v>245</v>
      </c>
      <c r="G407" t="s">
        <v>43</v>
      </c>
      <c r="H407">
        <v>2020</v>
      </c>
      <c r="I407" t="s">
        <v>60</v>
      </c>
      <c r="L407" t="s">
        <v>99</v>
      </c>
      <c r="AG407">
        <f t="shared" si="6"/>
        <v>1</v>
      </c>
      <c r="AH407">
        <f>'TABLA PREVIOS'!E407</f>
        <v>291</v>
      </c>
      <c r="AI407">
        <f>VLOOKUP(C407,ALUMNOS!A:B,2,FALSE)</f>
        <v>474</v>
      </c>
    </row>
    <row r="408" spans="1:35" x14ac:dyDescent="0.25">
      <c r="A408" t="s">
        <v>285</v>
      </c>
      <c r="B408" t="s">
        <v>96</v>
      </c>
      <c r="C408" t="s">
        <v>6</v>
      </c>
      <c r="D408" t="s">
        <v>296</v>
      </c>
      <c r="E408" t="s">
        <v>16</v>
      </c>
      <c r="F408" t="s">
        <v>245</v>
      </c>
      <c r="G408" t="s">
        <v>43</v>
      </c>
      <c r="H408">
        <v>2020</v>
      </c>
      <c r="I408" t="s">
        <v>60</v>
      </c>
      <c r="L408" t="s">
        <v>99</v>
      </c>
      <c r="AG408">
        <f t="shared" si="6"/>
        <v>1</v>
      </c>
      <c r="AH408">
        <f>'TABLA PREVIOS'!E408</f>
        <v>282</v>
      </c>
      <c r="AI408">
        <f>VLOOKUP(C408,ALUMNOS!A:B,2,FALSE)</f>
        <v>474</v>
      </c>
    </row>
    <row r="409" spans="1:35" x14ac:dyDescent="0.25">
      <c r="A409" t="s">
        <v>285</v>
      </c>
      <c r="B409" t="s">
        <v>96</v>
      </c>
      <c r="C409" t="s">
        <v>6</v>
      </c>
      <c r="D409" t="s">
        <v>296</v>
      </c>
      <c r="E409" t="s">
        <v>11</v>
      </c>
      <c r="F409" t="s">
        <v>245</v>
      </c>
      <c r="G409" t="s">
        <v>43</v>
      </c>
      <c r="H409">
        <v>2020</v>
      </c>
      <c r="I409" t="s">
        <v>60</v>
      </c>
      <c r="L409" t="s">
        <v>99</v>
      </c>
      <c r="AG409">
        <f t="shared" si="6"/>
        <v>1</v>
      </c>
      <c r="AH409">
        <f>'TABLA PREVIOS'!E409</f>
        <v>279</v>
      </c>
      <c r="AI409">
        <f>VLOOKUP(C409,ALUMNOS!A:B,2,FALSE)</f>
        <v>474</v>
      </c>
    </row>
    <row r="410" spans="1:35" x14ac:dyDescent="0.25">
      <c r="A410" t="s">
        <v>285</v>
      </c>
      <c r="B410" t="s">
        <v>96</v>
      </c>
      <c r="C410" t="s">
        <v>6</v>
      </c>
      <c r="D410" t="s">
        <v>296</v>
      </c>
      <c r="E410" t="s">
        <v>12</v>
      </c>
      <c r="F410" t="s">
        <v>245</v>
      </c>
      <c r="G410" t="s">
        <v>43</v>
      </c>
      <c r="H410">
        <v>2020</v>
      </c>
      <c r="I410" t="s">
        <v>60</v>
      </c>
      <c r="L410" t="s">
        <v>99</v>
      </c>
      <c r="AG410">
        <f t="shared" si="6"/>
        <v>1</v>
      </c>
      <c r="AH410">
        <f>'TABLA PREVIOS'!E410</f>
        <v>280</v>
      </c>
      <c r="AI410">
        <f>VLOOKUP(C410,ALUMNOS!A:B,2,FALSE)</f>
        <v>474</v>
      </c>
    </row>
    <row r="411" spans="1:35" x14ac:dyDescent="0.25">
      <c r="A411" t="s">
        <v>285</v>
      </c>
      <c r="B411" t="s">
        <v>96</v>
      </c>
      <c r="C411" t="s">
        <v>6</v>
      </c>
      <c r="D411" t="s">
        <v>296</v>
      </c>
      <c r="E411" t="s">
        <v>25</v>
      </c>
      <c r="F411" t="s">
        <v>245</v>
      </c>
      <c r="G411" t="s">
        <v>43</v>
      </c>
      <c r="H411">
        <v>2020</v>
      </c>
      <c r="I411" t="s">
        <v>60</v>
      </c>
      <c r="L411" t="s">
        <v>99</v>
      </c>
      <c r="AG411">
        <f t="shared" si="6"/>
        <v>1</v>
      </c>
      <c r="AH411">
        <f>'TABLA PREVIOS'!E411</f>
        <v>281</v>
      </c>
      <c r="AI411">
        <f>VLOOKUP(C411,ALUMNOS!A:B,2,FALSE)</f>
        <v>474</v>
      </c>
    </row>
    <row r="412" spans="1:35" x14ac:dyDescent="0.25">
      <c r="A412" t="s">
        <v>285</v>
      </c>
      <c r="B412" t="s">
        <v>96</v>
      </c>
      <c r="C412" t="s">
        <v>6</v>
      </c>
      <c r="D412" t="s">
        <v>296</v>
      </c>
      <c r="E412" t="s">
        <v>39</v>
      </c>
      <c r="F412" t="s">
        <v>245</v>
      </c>
      <c r="G412" t="s">
        <v>43</v>
      </c>
      <c r="H412">
        <v>2020</v>
      </c>
      <c r="I412" t="s">
        <v>60</v>
      </c>
      <c r="L412" t="s">
        <v>99</v>
      </c>
      <c r="AG412">
        <f t="shared" si="6"/>
        <v>1</v>
      </c>
      <c r="AH412">
        <f>'TABLA PREVIOS'!E412</f>
        <v>288</v>
      </c>
      <c r="AI412">
        <f>VLOOKUP(C412,ALUMNOS!A:B,2,FALSE)</f>
        <v>474</v>
      </c>
    </row>
    <row r="413" spans="1:35" x14ac:dyDescent="0.25">
      <c r="A413" t="s">
        <v>285</v>
      </c>
      <c r="B413" t="s">
        <v>96</v>
      </c>
      <c r="C413" t="s">
        <v>6</v>
      </c>
      <c r="D413" t="s">
        <v>296</v>
      </c>
      <c r="E413" t="s">
        <v>29</v>
      </c>
      <c r="F413" t="s">
        <v>245</v>
      </c>
      <c r="G413" t="s">
        <v>43</v>
      </c>
      <c r="H413">
        <v>2020</v>
      </c>
      <c r="I413" t="s">
        <v>60</v>
      </c>
      <c r="L413" t="s">
        <v>99</v>
      </c>
      <c r="AG413">
        <f t="shared" si="6"/>
        <v>1</v>
      </c>
      <c r="AH413">
        <f>'TABLA PREVIOS'!E413</f>
        <v>290</v>
      </c>
      <c r="AI413">
        <f>VLOOKUP(C413,ALUMNOS!A:B,2,FALSE)</f>
        <v>474</v>
      </c>
    </row>
    <row r="414" spans="1:35" x14ac:dyDescent="0.25">
      <c r="A414" t="s">
        <v>285</v>
      </c>
      <c r="B414" t="s">
        <v>96</v>
      </c>
      <c r="C414">
        <v>43929972</v>
      </c>
      <c r="D414" t="s">
        <v>297</v>
      </c>
      <c r="E414" t="s">
        <v>16</v>
      </c>
      <c r="F414" t="s">
        <v>143</v>
      </c>
      <c r="G414" t="s">
        <v>43</v>
      </c>
      <c r="H414">
        <v>2017</v>
      </c>
      <c r="I414" t="s">
        <v>59</v>
      </c>
      <c r="L414" t="s">
        <v>99</v>
      </c>
      <c r="AG414">
        <f t="shared" si="6"/>
        <v>1</v>
      </c>
      <c r="AH414">
        <f>'TABLA PREVIOS'!E414</f>
        <v>245</v>
      </c>
      <c r="AI414">
        <f>VLOOKUP(C414,ALUMNOS!A:B,2,FALSE)</f>
        <v>89</v>
      </c>
    </row>
    <row r="415" spans="1:35" x14ac:dyDescent="0.25">
      <c r="A415" t="s">
        <v>285</v>
      </c>
      <c r="B415" t="s">
        <v>96</v>
      </c>
      <c r="C415">
        <v>44204983</v>
      </c>
      <c r="D415" t="s">
        <v>298</v>
      </c>
      <c r="E415" t="s">
        <v>16</v>
      </c>
      <c r="F415" t="s">
        <v>143</v>
      </c>
      <c r="G415" t="s">
        <v>43</v>
      </c>
      <c r="H415">
        <v>2017</v>
      </c>
      <c r="I415" t="s">
        <v>59</v>
      </c>
      <c r="L415" t="s">
        <v>99</v>
      </c>
      <c r="AG415">
        <f t="shared" si="6"/>
        <v>1</v>
      </c>
      <c r="AH415">
        <f>'TABLA PREVIOS'!E415</f>
        <v>245</v>
      </c>
      <c r="AI415">
        <f>VLOOKUP(C415,ALUMNOS!A:B,2,FALSE)</f>
        <v>636</v>
      </c>
    </row>
    <row r="416" spans="1:35" x14ac:dyDescent="0.25">
      <c r="A416" t="s">
        <v>285</v>
      </c>
      <c r="B416" t="s">
        <v>96</v>
      </c>
      <c r="C416">
        <v>44204983</v>
      </c>
      <c r="D416" t="s">
        <v>298</v>
      </c>
      <c r="E416" t="s">
        <v>27</v>
      </c>
      <c r="F416" t="s">
        <v>190</v>
      </c>
      <c r="G416" t="s">
        <v>43</v>
      </c>
      <c r="H416">
        <v>2018</v>
      </c>
      <c r="I416" t="s">
        <v>60</v>
      </c>
      <c r="L416" t="s">
        <v>99</v>
      </c>
      <c r="AG416">
        <f t="shared" si="6"/>
        <v>1</v>
      </c>
      <c r="AH416">
        <f>'TABLA PREVIOS'!E416</f>
        <v>255</v>
      </c>
      <c r="AI416">
        <f>VLOOKUP(C416,ALUMNOS!A:B,2,FALSE)</f>
        <v>636</v>
      </c>
    </row>
    <row r="417" spans="1:35" x14ac:dyDescent="0.25">
      <c r="A417" t="s">
        <v>285</v>
      </c>
      <c r="B417" t="s">
        <v>96</v>
      </c>
      <c r="C417">
        <v>44204983</v>
      </c>
      <c r="D417" t="s">
        <v>298</v>
      </c>
      <c r="E417" t="s">
        <v>11</v>
      </c>
      <c r="F417" t="s">
        <v>220</v>
      </c>
      <c r="G417" t="s">
        <v>43</v>
      </c>
      <c r="H417">
        <v>2019</v>
      </c>
      <c r="I417" t="s">
        <v>60</v>
      </c>
      <c r="L417" t="s">
        <v>99</v>
      </c>
      <c r="AG417">
        <f t="shared" si="6"/>
        <v>1</v>
      </c>
      <c r="AH417">
        <f>'TABLA PREVIOS'!E417</f>
        <v>264</v>
      </c>
      <c r="AI417">
        <f>VLOOKUP(C417,ALUMNOS!A:B,2,FALSE)</f>
        <v>636</v>
      </c>
    </row>
    <row r="418" spans="1:35" x14ac:dyDescent="0.25">
      <c r="A418" t="s">
        <v>285</v>
      </c>
      <c r="B418" t="s">
        <v>96</v>
      </c>
      <c r="C418">
        <v>44204983</v>
      </c>
      <c r="D418" t="s">
        <v>298</v>
      </c>
      <c r="E418" t="s">
        <v>30</v>
      </c>
      <c r="F418" t="s">
        <v>245</v>
      </c>
      <c r="G418" t="s">
        <v>43</v>
      </c>
      <c r="H418">
        <v>2020</v>
      </c>
      <c r="I418" t="s">
        <v>60</v>
      </c>
      <c r="L418" t="s">
        <v>99</v>
      </c>
      <c r="AG418">
        <f t="shared" si="6"/>
        <v>1</v>
      </c>
      <c r="AH418">
        <f>'TABLA PREVIOS'!E418</f>
        <v>285</v>
      </c>
      <c r="AI418">
        <f>VLOOKUP(C418,ALUMNOS!A:B,2,FALSE)</f>
        <v>636</v>
      </c>
    </row>
    <row r="419" spans="1:35" x14ac:dyDescent="0.25">
      <c r="A419" t="s">
        <v>285</v>
      </c>
      <c r="B419" t="s">
        <v>96</v>
      </c>
      <c r="C419">
        <v>44204983</v>
      </c>
      <c r="D419" t="s">
        <v>298</v>
      </c>
      <c r="E419" t="s">
        <v>37</v>
      </c>
      <c r="F419" t="s">
        <v>245</v>
      </c>
      <c r="G419" t="s">
        <v>43</v>
      </c>
      <c r="H419">
        <v>2020</v>
      </c>
      <c r="I419" t="s">
        <v>60</v>
      </c>
      <c r="L419" t="s">
        <v>99</v>
      </c>
      <c r="AG419">
        <f t="shared" si="6"/>
        <v>1</v>
      </c>
      <c r="AH419">
        <f>'TABLA PREVIOS'!E419</f>
        <v>284</v>
      </c>
      <c r="AI419">
        <f>VLOOKUP(C419,ALUMNOS!A:B,2,FALSE)</f>
        <v>636</v>
      </c>
    </row>
    <row r="420" spans="1:35" x14ac:dyDescent="0.25">
      <c r="A420" t="s">
        <v>285</v>
      </c>
      <c r="B420" t="s">
        <v>96</v>
      </c>
      <c r="C420">
        <v>44204983</v>
      </c>
      <c r="D420" t="s">
        <v>298</v>
      </c>
      <c r="E420" t="s">
        <v>38</v>
      </c>
      <c r="F420" t="s">
        <v>245</v>
      </c>
      <c r="G420" t="s">
        <v>43</v>
      </c>
      <c r="H420">
        <v>2020</v>
      </c>
      <c r="I420" t="s">
        <v>60</v>
      </c>
      <c r="L420" t="s">
        <v>99</v>
      </c>
      <c r="AG420">
        <f t="shared" si="6"/>
        <v>1</v>
      </c>
      <c r="AH420">
        <f>'TABLA PREVIOS'!E420</f>
        <v>287</v>
      </c>
      <c r="AI420">
        <f>VLOOKUP(C420,ALUMNOS!A:B,2,FALSE)</f>
        <v>636</v>
      </c>
    </row>
    <row r="421" spans="1:35" x14ac:dyDescent="0.25">
      <c r="A421" t="s">
        <v>285</v>
      </c>
      <c r="B421" t="s">
        <v>96</v>
      </c>
      <c r="C421">
        <v>44204983</v>
      </c>
      <c r="D421" t="s">
        <v>298</v>
      </c>
      <c r="E421" t="s">
        <v>34</v>
      </c>
      <c r="F421" t="s">
        <v>245</v>
      </c>
      <c r="G421" t="s">
        <v>43</v>
      </c>
      <c r="H421">
        <v>2020</v>
      </c>
      <c r="I421" t="s">
        <v>60</v>
      </c>
      <c r="L421" t="s">
        <v>99</v>
      </c>
      <c r="AG421">
        <f t="shared" si="6"/>
        <v>1</v>
      </c>
      <c r="AH421">
        <f>'TABLA PREVIOS'!E421</f>
        <v>286</v>
      </c>
      <c r="AI421">
        <f>VLOOKUP(C421,ALUMNOS!A:B,2,FALSE)</f>
        <v>636</v>
      </c>
    </row>
    <row r="422" spans="1:35" x14ac:dyDescent="0.25">
      <c r="A422" t="s">
        <v>285</v>
      </c>
      <c r="B422" t="s">
        <v>96</v>
      </c>
      <c r="C422">
        <v>44204983</v>
      </c>
      <c r="D422" t="s">
        <v>298</v>
      </c>
      <c r="E422" t="s">
        <v>41</v>
      </c>
      <c r="F422" t="s">
        <v>245</v>
      </c>
      <c r="G422" t="s">
        <v>43</v>
      </c>
      <c r="H422">
        <v>2020</v>
      </c>
      <c r="I422" t="s">
        <v>60</v>
      </c>
      <c r="L422" t="s">
        <v>99</v>
      </c>
      <c r="AG422">
        <f t="shared" si="6"/>
        <v>1</v>
      </c>
      <c r="AH422">
        <f>'TABLA PREVIOS'!E422</f>
        <v>292</v>
      </c>
      <c r="AI422">
        <f>VLOOKUP(C422,ALUMNOS!A:B,2,FALSE)</f>
        <v>636</v>
      </c>
    </row>
    <row r="423" spans="1:35" x14ac:dyDescent="0.25">
      <c r="A423" t="s">
        <v>285</v>
      </c>
      <c r="B423" t="s">
        <v>96</v>
      </c>
      <c r="C423">
        <v>44204983</v>
      </c>
      <c r="D423" t="s">
        <v>298</v>
      </c>
      <c r="E423" t="s">
        <v>28</v>
      </c>
      <c r="F423" t="s">
        <v>245</v>
      </c>
      <c r="G423" t="s">
        <v>43</v>
      </c>
      <c r="H423">
        <v>2020</v>
      </c>
      <c r="I423" t="s">
        <v>60</v>
      </c>
      <c r="L423" t="s">
        <v>99</v>
      </c>
      <c r="AG423">
        <f t="shared" si="6"/>
        <v>1</v>
      </c>
      <c r="AH423">
        <f>'TABLA PREVIOS'!E423</f>
        <v>291</v>
      </c>
      <c r="AI423">
        <f>VLOOKUP(C423,ALUMNOS!A:B,2,FALSE)</f>
        <v>636</v>
      </c>
    </row>
    <row r="424" spans="1:35" x14ac:dyDescent="0.25">
      <c r="A424" t="s">
        <v>285</v>
      </c>
      <c r="B424" t="s">
        <v>96</v>
      </c>
      <c r="C424">
        <v>44204983</v>
      </c>
      <c r="D424" t="s">
        <v>298</v>
      </c>
      <c r="E424" t="s">
        <v>16</v>
      </c>
      <c r="F424" t="s">
        <v>245</v>
      </c>
      <c r="G424" t="s">
        <v>43</v>
      </c>
      <c r="H424">
        <v>2020</v>
      </c>
      <c r="I424" t="s">
        <v>60</v>
      </c>
      <c r="L424" t="s">
        <v>99</v>
      </c>
      <c r="AG424">
        <f t="shared" si="6"/>
        <v>1</v>
      </c>
      <c r="AH424">
        <f>'TABLA PREVIOS'!E424</f>
        <v>282</v>
      </c>
      <c r="AI424">
        <f>VLOOKUP(C424,ALUMNOS!A:B,2,FALSE)</f>
        <v>636</v>
      </c>
    </row>
    <row r="425" spans="1:35" x14ac:dyDescent="0.25">
      <c r="A425" t="s">
        <v>285</v>
      </c>
      <c r="B425" t="s">
        <v>96</v>
      </c>
      <c r="C425">
        <v>44204983</v>
      </c>
      <c r="D425" t="s">
        <v>298</v>
      </c>
      <c r="E425" t="s">
        <v>11</v>
      </c>
      <c r="F425" t="s">
        <v>245</v>
      </c>
      <c r="G425" t="s">
        <v>43</v>
      </c>
      <c r="H425">
        <v>2020</v>
      </c>
      <c r="I425" t="s">
        <v>60</v>
      </c>
      <c r="L425" t="s">
        <v>99</v>
      </c>
      <c r="AG425">
        <f t="shared" si="6"/>
        <v>1</v>
      </c>
      <c r="AH425">
        <f>'TABLA PREVIOS'!E425</f>
        <v>279</v>
      </c>
      <c r="AI425">
        <f>VLOOKUP(C425,ALUMNOS!A:B,2,FALSE)</f>
        <v>636</v>
      </c>
    </row>
    <row r="426" spans="1:35" x14ac:dyDescent="0.25">
      <c r="A426" t="s">
        <v>285</v>
      </c>
      <c r="B426" t="s">
        <v>96</v>
      </c>
      <c r="C426">
        <v>44204983</v>
      </c>
      <c r="D426" t="s">
        <v>298</v>
      </c>
      <c r="E426" t="s">
        <v>12</v>
      </c>
      <c r="F426" t="s">
        <v>245</v>
      </c>
      <c r="G426" t="s">
        <v>43</v>
      </c>
      <c r="H426">
        <v>2020</v>
      </c>
      <c r="I426" t="s">
        <v>60</v>
      </c>
      <c r="L426" t="s">
        <v>99</v>
      </c>
      <c r="AG426">
        <f t="shared" si="6"/>
        <v>1</v>
      </c>
      <c r="AH426">
        <f>'TABLA PREVIOS'!E426</f>
        <v>280</v>
      </c>
      <c r="AI426">
        <f>VLOOKUP(C426,ALUMNOS!A:B,2,FALSE)</f>
        <v>636</v>
      </c>
    </row>
    <row r="427" spans="1:35" x14ac:dyDescent="0.25">
      <c r="A427" t="s">
        <v>285</v>
      </c>
      <c r="B427" t="s">
        <v>96</v>
      </c>
      <c r="C427">
        <v>44204983</v>
      </c>
      <c r="D427" t="s">
        <v>298</v>
      </c>
      <c r="E427" t="s">
        <v>25</v>
      </c>
      <c r="F427" t="s">
        <v>245</v>
      </c>
      <c r="G427" t="s">
        <v>43</v>
      </c>
      <c r="H427">
        <v>2020</v>
      </c>
      <c r="I427" t="s">
        <v>60</v>
      </c>
      <c r="L427" t="s">
        <v>99</v>
      </c>
      <c r="AG427">
        <f t="shared" si="6"/>
        <v>1</v>
      </c>
      <c r="AH427">
        <f>'TABLA PREVIOS'!E427</f>
        <v>281</v>
      </c>
      <c r="AI427">
        <f>VLOOKUP(C427,ALUMNOS!A:B,2,FALSE)</f>
        <v>636</v>
      </c>
    </row>
    <row r="428" spans="1:35" x14ac:dyDescent="0.25">
      <c r="A428" t="s">
        <v>285</v>
      </c>
      <c r="B428" t="s">
        <v>96</v>
      </c>
      <c r="C428">
        <v>44204983</v>
      </c>
      <c r="D428" t="s">
        <v>298</v>
      </c>
      <c r="E428" t="s">
        <v>39</v>
      </c>
      <c r="F428" t="s">
        <v>245</v>
      </c>
      <c r="G428" t="s">
        <v>43</v>
      </c>
      <c r="H428">
        <v>2020</v>
      </c>
      <c r="I428" t="s">
        <v>60</v>
      </c>
      <c r="L428" t="s">
        <v>99</v>
      </c>
      <c r="AG428">
        <f t="shared" si="6"/>
        <v>1</v>
      </c>
      <c r="AH428">
        <f>'TABLA PREVIOS'!E428</f>
        <v>288</v>
      </c>
      <c r="AI428">
        <f>VLOOKUP(C428,ALUMNOS!A:B,2,FALSE)</f>
        <v>636</v>
      </c>
    </row>
    <row r="429" spans="1:35" x14ac:dyDescent="0.25">
      <c r="A429" t="s">
        <v>285</v>
      </c>
      <c r="B429" t="s">
        <v>96</v>
      </c>
      <c r="C429">
        <v>44204983</v>
      </c>
      <c r="D429" t="s">
        <v>298</v>
      </c>
      <c r="E429" t="s">
        <v>29</v>
      </c>
      <c r="F429" t="s">
        <v>245</v>
      </c>
      <c r="G429" t="s">
        <v>43</v>
      </c>
      <c r="H429">
        <v>2020</v>
      </c>
      <c r="I429" t="s">
        <v>60</v>
      </c>
      <c r="L429" t="s">
        <v>99</v>
      </c>
      <c r="AG429">
        <f t="shared" si="6"/>
        <v>1</v>
      </c>
      <c r="AH429">
        <f>'TABLA PREVIOS'!E429</f>
        <v>290</v>
      </c>
      <c r="AI429">
        <f>VLOOKUP(C429,ALUMNOS!A:B,2,FALSE)</f>
        <v>636</v>
      </c>
    </row>
    <row r="430" spans="1:35" x14ac:dyDescent="0.25">
      <c r="A430" t="s">
        <v>285</v>
      </c>
      <c r="B430" t="s">
        <v>96</v>
      </c>
      <c r="C430">
        <v>44578281</v>
      </c>
      <c r="D430" t="s">
        <v>299</v>
      </c>
      <c r="E430" t="s">
        <v>30</v>
      </c>
      <c r="F430" t="s">
        <v>220</v>
      </c>
      <c r="G430" t="s">
        <v>43</v>
      </c>
      <c r="H430">
        <v>2019</v>
      </c>
      <c r="I430" t="s">
        <v>60</v>
      </c>
      <c r="L430" t="s">
        <v>99</v>
      </c>
      <c r="Q430">
        <v>45475</v>
      </c>
      <c r="R430" t="s">
        <v>50</v>
      </c>
      <c r="S430">
        <v>68</v>
      </c>
      <c r="T430">
        <v>82</v>
      </c>
      <c r="AG430">
        <f t="shared" si="6"/>
        <v>1</v>
      </c>
      <c r="AH430">
        <f>'TABLA PREVIOS'!E430</f>
        <v>274</v>
      </c>
      <c r="AI430">
        <f>VLOOKUP(C430,ALUMNOS!A:B,2,FALSE)</f>
        <v>663</v>
      </c>
    </row>
    <row r="431" spans="1:35" x14ac:dyDescent="0.25">
      <c r="A431" t="s">
        <v>285</v>
      </c>
      <c r="B431" t="s">
        <v>96</v>
      </c>
      <c r="C431">
        <v>44578281</v>
      </c>
      <c r="D431" t="s">
        <v>299</v>
      </c>
      <c r="E431" t="s">
        <v>34</v>
      </c>
      <c r="F431" t="s">
        <v>220</v>
      </c>
      <c r="G431" t="s">
        <v>43</v>
      </c>
      <c r="H431">
        <v>2019</v>
      </c>
      <c r="I431" t="s">
        <v>60</v>
      </c>
      <c r="L431" t="s">
        <v>99</v>
      </c>
      <c r="AG431">
        <f t="shared" si="6"/>
        <v>1</v>
      </c>
      <c r="AH431">
        <f>'TABLA PREVIOS'!E431</f>
        <v>275</v>
      </c>
      <c r="AI431">
        <f>VLOOKUP(C431,ALUMNOS!A:B,2,FALSE)</f>
        <v>663</v>
      </c>
    </row>
    <row r="432" spans="1:35" x14ac:dyDescent="0.25">
      <c r="A432" t="s">
        <v>285</v>
      </c>
      <c r="B432" t="s">
        <v>96</v>
      </c>
      <c r="C432">
        <v>44578281</v>
      </c>
      <c r="D432" t="s">
        <v>299</v>
      </c>
      <c r="E432" t="s">
        <v>30</v>
      </c>
      <c r="F432" t="s">
        <v>245</v>
      </c>
      <c r="G432" t="s">
        <v>43</v>
      </c>
      <c r="H432">
        <v>2020</v>
      </c>
      <c r="I432" t="s">
        <v>60</v>
      </c>
      <c r="L432" t="s">
        <v>99</v>
      </c>
      <c r="Q432">
        <v>45475</v>
      </c>
      <c r="R432" t="s">
        <v>50</v>
      </c>
      <c r="S432">
        <v>68</v>
      </c>
      <c r="T432">
        <v>84</v>
      </c>
      <c r="AG432">
        <f t="shared" si="6"/>
        <v>1</v>
      </c>
      <c r="AH432">
        <f>'TABLA PREVIOS'!E432</f>
        <v>285</v>
      </c>
      <c r="AI432">
        <f>VLOOKUP(C432,ALUMNOS!A:B,2,FALSE)</f>
        <v>663</v>
      </c>
    </row>
    <row r="433" spans="1:35" x14ac:dyDescent="0.25">
      <c r="A433" t="s">
        <v>285</v>
      </c>
      <c r="B433" t="s">
        <v>96</v>
      </c>
      <c r="C433">
        <v>44578281</v>
      </c>
      <c r="D433" t="s">
        <v>299</v>
      </c>
      <c r="E433" t="s">
        <v>40</v>
      </c>
      <c r="F433" t="s">
        <v>245</v>
      </c>
      <c r="G433" t="s">
        <v>43</v>
      </c>
      <c r="H433">
        <v>2020</v>
      </c>
      <c r="I433" t="s">
        <v>60</v>
      </c>
      <c r="L433" t="s">
        <v>99</v>
      </c>
      <c r="AG433">
        <f t="shared" si="6"/>
        <v>1</v>
      </c>
      <c r="AH433">
        <f>'TABLA PREVIOS'!E433</f>
        <v>289</v>
      </c>
      <c r="AI433">
        <f>VLOOKUP(C433,ALUMNOS!A:B,2,FALSE)</f>
        <v>663</v>
      </c>
    </row>
    <row r="434" spans="1:35" x14ac:dyDescent="0.25">
      <c r="A434" t="s">
        <v>285</v>
      </c>
      <c r="B434" t="s">
        <v>96</v>
      </c>
      <c r="C434">
        <v>44578281</v>
      </c>
      <c r="D434" t="s">
        <v>299</v>
      </c>
      <c r="E434" t="s">
        <v>38</v>
      </c>
      <c r="F434" t="s">
        <v>245</v>
      </c>
      <c r="G434" t="s">
        <v>43</v>
      </c>
      <c r="H434">
        <v>2020</v>
      </c>
      <c r="I434" t="s">
        <v>60</v>
      </c>
      <c r="L434" t="s">
        <v>99</v>
      </c>
      <c r="AG434">
        <f t="shared" si="6"/>
        <v>1</v>
      </c>
      <c r="AH434">
        <f>'TABLA PREVIOS'!E434</f>
        <v>287</v>
      </c>
      <c r="AI434">
        <f>VLOOKUP(C434,ALUMNOS!A:B,2,FALSE)</f>
        <v>663</v>
      </c>
    </row>
    <row r="435" spans="1:35" x14ac:dyDescent="0.25">
      <c r="A435" t="s">
        <v>285</v>
      </c>
      <c r="B435" t="s">
        <v>96</v>
      </c>
      <c r="C435">
        <v>44578281</v>
      </c>
      <c r="D435" t="s">
        <v>299</v>
      </c>
      <c r="E435" t="s">
        <v>41</v>
      </c>
      <c r="F435" t="s">
        <v>245</v>
      </c>
      <c r="G435" t="s">
        <v>43</v>
      </c>
      <c r="H435">
        <v>2020</v>
      </c>
      <c r="I435" t="s">
        <v>60</v>
      </c>
      <c r="L435" t="s">
        <v>99</v>
      </c>
      <c r="AG435">
        <f t="shared" si="6"/>
        <v>1</v>
      </c>
      <c r="AH435">
        <f>'TABLA PREVIOS'!E435</f>
        <v>292</v>
      </c>
      <c r="AI435">
        <f>VLOOKUP(C435,ALUMNOS!A:B,2,FALSE)</f>
        <v>663</v>
      </c>
    </row>
    <row r="436" spans="1:35" x14ac:dyDescent="0.25">
      <c r="A436" t="s">
        <v>285</v>
      </c>
      <c r="B436" t="s">
        <v>96</v>
      </c>
      <c r="C436">
        <v>44578281</v>
      </c>
      <c r="D436" t="s">
        <v>299</v>
      </c>
      <c r="E436" t="s">
        <v>16</v>
      </c>
      <c r="F436" t="s">
        <v>245</v>
      </c>
      <c r="G436" t="s">
        <v>43</v>
      </c>
      <c r="H436">
        <v>2020</v>
      </c>
      <c r="I436" t="s">
        <v>60</v>
      </c>
      <c r="L436" t="s">
        <v>99</v>
      </c>
      <c r="AG436">
        <f t="shared" si="6"/>
        <v>1</v>
      </c>
      <c r="AH436">
        <f>'TABLA PREVIOS'!E436</f>
        <v>282</v>
      </c>
      <c r="AI436">
        <f>VLOOKUP(C436,ALUMNOS!A:B,2,FALSE)</f>
        <v>663</v>
      </c>
    </row>
    <row r="437" spans="1:35" x14ac:dyDescent="0.25">
      <c r="A437" t="s">
        <v>285</v>
      </c>
      <c r="B437" t="s">
        <v>96</v>
      </c>
      <c r="C437">
        <v>44578281</v>
      </c>
      <c r="D437" t="s">
        <v>299</v>
      </c>
      <c r="E437" t="s">
        <v>25</v>
      </c>
      <c r="F437" t="s">
        <v>245</v>
      </c>
      <c r="G437" t="s">
        <v>43</v>
      </c>
      <c r="H437">
        <v>2020</v>
      </c>
      <c r="I437" t="s">
        <v>60</v>
      </c>
      <c r="L437" t="s">
        <v>99</v>
      </c>
      <c r="AG437">
        <f t="shared" si="6"/>
        <v>1</v>
      </c>
      <c r="AH437">
        <f>'TABLA PREVIOS'!E437</f>
        <v>281</v>
      </c>
      <c r="AI437">
        <f>VLOOKUP(C437,ALUMNOS!A:B,2,FALSE)</f>
        <v>663</v>
      </c>
    </row>
    <row r="438" spans="1:35" x14ac:dyDescent="0.25">
      <c r="A438" t="s">
        <v>285</v>
      </c>
      <c r="B438" t="s">
        <v>96</v>
      </c>
      <c r="C438">
        <v>44578281</v>
      </c>
      <c r="D438" t="s">
        <v>299</v>
      </c>
      <c r="E438" t="s">
        <v>29</v>
      </c>
      <c r="F438" t="s">
        <v>245</v>
      </c>
      <c r="G438" t="s">
        <v>43</v>
      </c>
      <c r="H438">
        <v>2020</v>
      </c>
      <c r="I438" t="s">
        <v>60</v>
      </c>
      <c r="L438" t="s">
        <v>99</v>
      </c>
      <c r="AG438">
        <f t="shared" si="6"/>
        <v>1</v>
      </c>
      <c r="AH438">
        <f>'TABLA PREVIOS'!E438</f>
        <v>290</v>
      </c>
      <c r="AI438">
        <f>VLOOKUP(C438,ALUMNOS!A:B,2,FALSE)</f>
        <v>663</v>
      </c>
    </row>
    <row r="439" spans="1:35" x14ac:dyDescent="0.25">
      <c r="A439" t="s">
        <v>285</v>
      </c>
      <c r="B439" t="s">
        <v>96</v>
      </c>
      <c r="C439">
        <v>45092233</v>
      </c>
      <c r="D439" t="s">
        <v>300</v>
      </c>
      <c r="E439" t="s">
        <v>11</v>
      </c>
      <c r="F439" t="s">
        <v>95</v>
      </c>
      <c r="G439" t="s">
        <v>43</v>
      </c>
      <c r="H439">
        <v>2016</v>
      </c>
      <c r="I439" t="s">
        <v>59</v>
      </c>
      <c r="L439" t="s">
        <v>99</v>
      </c>
      <c r="AG439">
        <f t="shared" si="6"/>
        <v>1</v>
      </c>
      <c r="AH439">
        <f>'TABLA PREVIOS'!E439</f>
        <v>229</v>
      </c>
      <c r="AI439">
        <f>VLOOKUP(C439,ALUMNOS!A:B,2,FALSE)</f>
        <v>709</v>
      </c>
    </row>
    <row r="440" spans="1:35" x14ac:dyDescent="0.25">
      <c r="A440" t="s">
        <v>285</v>
      </c>
      <c r="B440" t="s">
        <v>96</v>
      </c>
      <c r="C440">
        <v>45092233</v>
      </c>
      <c r="D440" t="s">
        <v>300</v>
      </c>
      <c r="E440" t="s">
        <v>30</v>
      </c>
      <c r="F440" t="s">
        <v>220</v>
      </c>
      <c r="G440" t="s">
        <v>44</v>
      </c>
      <c r="H440">
        <v>2019</v>
      </c>
      <c r="I440" t="s">
        <v>60</v>
      </c>
      <c r="L440" t="s">
        <v>99</v>
      </c>
      <c r="AG440">
        <f t="shared" si="6"/>
        <v>1</v>
      </c>
      <c r="AH440">
        <f>'TABLA PREVIOS'!E440</f>
        <v>274</v>
      </c>
      <c r="AI440">
        <f>VLOOKUP(C440,ALUMNOS!A:B,2,FALSE)</f>
        <v>709</v>
      </c>
    </row>
    <row r="441" spans="1:35" x14ac:dyDescent="0.25">
      <c r="A441" t="s">
        <v>285</v>
      </c>
      <c r="B441" t="s">
        <v>96</v>
      </c>
      <c r="C441">
        <v>45092233</v>
      </c>
      <c r="D441" t="s">
        <v>300</v>
      </c>
      <c r="E441" t="s">
        <v>34</v>
      </c>
      <c r="F441" t="s">
        <v>220</v>
      </c>
      <c r="G441" t="s">
        <v>44</v>
      </c>
      <c r="H441">
        <v>2019</v>
      </c>
      <c r="I441" t="s">
        <v>60</v>
      </c>
      <c r="L441" t="s">
        <v>99</v>
      </c>
      <c r="AG441">
        <f t="shared" si="6"/>
        <v>1</v>
      </c>
      <c r="AH441">
        <f>'TABLA PREVIOS'!E441</f>
        <v>275</v>
      </c>
      <c r="AI441">
        <f>VLOOKUP(C441,ALUMNOS!A:B,2,FALSE)</f>
        <v>709</v>
      </c>
    </row>
    <row r="442" spans="1:35" x14ac:dyDescent="0.25">
      <c r="A442" t="s">
        <v>285</v>
      </c>
      <c r="B442" t="s">
        <v>96</v>
      </c>
      <c r="C442">
        <v>45092233</v>
      </c>
      <c r="D442" t="s">
        <v>300</v>
      </c>
      <c r="E442" t="s">
        <v>29</v>
      </c>
      <c r="F442" t="s">
        <v>220</v>
      </c>
      <c r="G442" t="s">
        <v>44</v>
      </c>
      <c r="H442">
        <v>2019</v>
      </c>
      <c r="I442" t="s">
        <v>60</v>
      </c>
      <c r="L442" t="s">
        <v>99</v>
      </c>
      <c r="AG442">
        <f t="shared" si="6"/>
        <v>1</v>
      </c>
      <c r="AH442">
        <f>'TABLA PREVIOS'!E442</f>
        <v>273</v>
      </c>
      <c r="AI442">
        <f>VLOOKUP(C442,ALUMNOS!A:B,2,FALSE)</f>
        <v>709</v>
      </c>
    </row>
    <row r="443" spans="1:35" x14ac:dyDescent="0.25">
      <c r="A443" t="s">
        <v>285</v>
      </c>
      <c r="B443" t="s">
        <v>96</v>
      </c>
      <c r="C443">
        <v>45092233</v>
      </c>
      <c r="D443" t="s">
        <v>300</v>
      </c>
      <c r="E443" t="s">
        <v>30</v>
      </c>
      <c r="F443" t="s">
        <v>245</v>
      </c>
      <c r="G443" t="s">
        <v>43</v>
      </c>
      <c r="H443">
        <v>2020</v>
      </c>
      <c r="I443" t="s">
        <v>60</v>
      </c>
      <c r="L443" t="s">
        <v>99</v>
      </c>
      <c r="AG443">
        <f t="shared" si="6"/>
        <v>1</v>
      </c>
      <c r="AH443">
        <f>'TABLA PREVIOS'!E443</f>
        <v>285</v>
      </c>
      <c r="AI443">
        <f>VLOOKUP(C443,ALUMNOS!A:B,2,FALSE)</f>
        <v>709</v>
      </c>
    </row>
    <row r="444" spans="1:35" x14ac:dyDescent="0.25">
      <c r="A444" t="s">
        <v>285</v>
      </c>
      <c r="B444" t="s">
        <v>96</v>
      </c>
      <c r="C444">
        <v>45092233</v>
      </c>
      <c r="D444" t="s">
        <v>300</v>
      </c>
      <c r="E444" t="s">
        <v>37</v>
      </c>
      <c r="F444" t="s">
        <v>245</v>
      </c>
      <c r="G444" t="s">
        <v>43</v>
      </c>
      <c r="H444">
        <v>2020</v>
      </c>
      <c r="I444" t="s">
        <v>60</v>
      </c>
      <c r="L444" t="s">
        <v>99</v>
      </c>
      <c r="AG444">
        <f t="shared" si="6"/>
        <v>1</v>
      </c>
      <c r="AH444">
        <f>'TABLA PREVIOS'!E444</f>
        <v>284</v>
      </c>
      <c r="AI444">
        <f>VLOOKUP(C444,ALUMNOS!A:B,2,FALSE)</f>
        <v>709</v>
      </c>
    </row>
    <row r="445" spans="1:35" x14ac:dyDescent="0.25">
      <c r="A445" t="s">
        <v>285</v>
      </c>
      <c r="B445" t="s">
        <v>96</v>
      </c>
      <c r="C445">
        <v>45092233</v>
      </c>
      <c r="D445" t="s">
        <v>300</v>
      </c>
      <c r="E445" t="s">
        <v>38</v>
      </c>
      <c r="F445" t="s">
        <v>245</v>
      </c>
      <c r="G445" t="s">
        <v>43</v>
      </c>
      <c r="H445">
        <v>2020</v>
      </c>
      <c r="I445" t="s">
        <v>60</v>
      </c>
      <c r="L445" t="s">
        <v>99</v>
      </c>
      <c r="AG445">
        <f t="shared" si="6"/>
        <v>1</v>
      </c>
      <c r="AH445">
        <f>'TABLA PREVIOS'!E445</f>
        <v>287</v>
      </c>
      <c r="AI445">
        <f>VLOOKUP(C445,ALUMNOS!A:B,2,FALSE)</f>
        <v>709</v>
      </c>
    </row>
    <row r="446" spans="1:35" x14ac:dyDescent="0.25">
      <c r="A446" t="s">
        <v>285</v>
      </c>
      <c r="B446" t="s">
        <v>96</v>
      </c>
      <c r="C446">
        <v>45092233</v>
      </c>
      <c r="D446" t="s">
        <v>300</v>
      </c>
      <c r="E446" t="s">
        <v>34</v>
      </c>
      <c r="F446" t="s">
        <v>245</v>
      </c>
      <c r="G446" t="s">
        <v>43</v>
      </c>
      <c r="H446">
        <v>2020</v>
      </c>
      <c r="I446" t="s">
        <v>60</v>
      </c>
      <c r="L446" t="s">
        <v>99</v>
      </c>
      <c r="AG446">
        <f t="shared" si="6"/>
        <v>1</v>
      </c>
      <c r="AH446">
        <f>'TABLA PREVIOS'!E446</f>
        <v>286</v>
      </c>
      <c r="AI446">
        <f>VLOOKUP(C446,ALUMNOS!A:B,2,FALSE)</f>
        <v>709</v>
      </c>
    </row>
    <row r="447" spans="1:35" x14ac:dyDescent="0.25">
      <c r="A447" t="s">
        <v>285</v>
      </c>
      <c r="B447" t="s">
        <v>96</v>
      </c>
      <c r="C447">
        <v>45092233</v>
      </c>
      <c r="D447" t="s">
        <v>300</v>
      </c>
      <c r="E447" t="s">
        <v>41</v>
      </c>
      <c r="F447" t="s">
        <v>245</v>
      </c>
      <c r="G447" t="s">
        <v>43</v>
      </c>
      <c r="H447">
        <v>2020</v>
      </c>
      <c r="I447" t="s">
        <v>60</v>
      </c>
      <c r="L447" t="s">
        <v>99</v>
      </c>
      <c r="AG447">
        <f t="shared" si="6"/>
        <v>1</v>
      </c>
      <c r="AH447">
        <f>'TABLA PREVIOS'!E447</f>
        <v>292</v>
      </c>
      <c r="AI447">
        <f>VLOOKUP(C447,ALUMNOS!A:B,2,FALSE)</f>
        <v>709</v>
      </c>
    </row>
    <row r="448" spans="1:35" x14ac:dyDescent="0.25">
      <c r="A448" t="s">
        <v>285</v>
      </c>
      <c r="B448" t="s">
        <v>96</v>
      </c>
      <c r="C448">
        <v>45092233</v>
      </c>
      <c r="D448" t="s">
        <v>300</v>
      </c>
      <c r="E448" t="s">
        <v>28</v>
      </c>
      <c r="F448" t="s">
        <v>245</v>
      </c>
      <c r="G448" t="s">
        <v>43</v>
      </c>
      <c r="H448">
        <v>2020</v>
      </c>
      <c r="I448" t="s">
        <v>60</v>
      </c>
      <c r="L448" t="s">
        <v>99</v>
      </c>
      <c r="AG448">
        <f t="shared" si="6"/>
        <v>1</v>
      </c>
      <c r="AH448">
        <f>'TABLA PREVIOS'!E448</f>
        <v>291</v>
      </c>
      <c r="AI448">
        <f>VLOOKUP(C448,ALUMNOS!A:B,2,FALSE)</f>
        <v>709</v>
      </c>
    </row>
    <row r="449" spans="1:35" x14ac:dyDescent="0.25">
      <c r="A449" t="s">
        <v>285</v>
      </c>
      <c r="B449" t="s">
        <v>96</v>
      </c>
      <c r="C449">
        <v>45092233</v>
      </c>
      <c r="D449" t="s">
        <v>300</v>
      </c>
      <c r="E449" t="s">
        <v>11</v>
      </c>
      <c r="F449" t="s">
        <v>245</v>
      </c>
      <c r="G449" t="s">
        <v>43</v>
      </c>
      <c r="H449">
        <v>2020</v>
      </c>
      <c r="I449" t="s">
        <v>60</v>
      </c>
      <c r="L449" t="s">
        <v>99</v>
      </c>
      <c r="AG449">
        <f t="shared" si="6"/>
        <v>1</v>
      </c>
      <c r="AH449">
        <f>'TABLA PREVIOS'!E449</f>
        <v>279</v>
      </c>
      <c r="AI449">
        <f>VLOOKUP(C449,ALUMNOS!A:B,2,FALSE)</f>
        <v>709</v>
      </c>
    </row>
    <row r="450" spans="1:35" x14ac:dyDescent="0.25">
      <c r="A450" t="s">
        <v>285</v>
      </c>
      <c r="B450" t="s">
        <v>96</v>
      </c>
      <c r="C450">
        <v>45092233</v>
      </c>
      <c r="D450" t="s">
        <v>300</v>
      </c>
      <c r="E450" t="s">
        <v>12</v>
      </c>
      <c r="F450" t="s">
        <v>245</v>
      </c>
      <c r="G450" t="s">
        <v>43</v>
      </c>
      <c r="H450">
        <v>2020</v>
      </c>
      <c r="I450" t="s">
        <v>60</v>
      </c>
      <c r="L450" t="s">
        <v>99</v>
      </c>
      <c r="AG450">
        <f t="shared" si="6"/>
        <v>1</v>
      </c>
      <c r="AH450">
        <f>'TABLA PREVIOS'!E450</f>
        <v>280</v>
      </c>
      <c r="AI450">
        <f>VLOOKUP(C450,ALUMNOS!A:B,2,FALSE)</f>
        <v>709</v>
      </c>
    </row>
    <row r="451" spans="1:35" x14ac:dyDescent="0.25">
      <c r="A451" t="s">
        <v>285</v>
      </c>
      <c r="B451" t="s">
        <v>96</v>
      </c>
      <c r="C451">
        <v>45092233</v>
      </c>
      <c r="D451" t="s">
        <v>300</v>
      </c>
      <c r="E451" t="s">
        <v>25</v>
      </c>
      <c r="F451" t="s">
        <v>245</v>
      </c>
      <c r="G451" t="s">
        <v>43</v>
      </c>
      <c r="H451">
        <v>2020</v>
      </c>
      <c r="I451" t="s">
        <v>60</v>
      </c>
      <c r="L451" t="s">
        <v>99</v>
      </c>
      <c r="AG451">
        <f t="shared" ref="AG451:AG514" si="7">IF(VALUE(MAX(N451,R451,V451,Z451,AC451,))&gt;=7,VALUE(MAX(N451,R451,V451,Z451,AC451,)),1)</f>
        <v>1</v>
      </c>
      <c r="AH451">
        <f>'TABLA PREVIOS'!E451</f>
        <v>281</v>
      </c>
      <c r="AI451">
        <f>VLOOKUP(C451,ALUMNOS!A:B,2,FALSE)</f>
        <v>709</v>
      </c>
    </row>
    <row r="452" spans="1:35" x14ac:dyDescent="0.25">
      <c r="A452" t="s">
        <v>285</v>
      </c>
      <c r="B452" t="s">
        <v>96</v>
      </c>
      <c r="C452">
        <v>45092233</v>
      </c>
      <c r="D452" t="s">
        <v>300</v>
      </c>
      <c r="E452" t="s">
        <v>39</v>
      </c>
      <c r="F452" t="s">
        <v>245</v>
      </c>
      <c r="G452" t="s">
        <v>43</v>
      </c>
      <c r="H452">
        <v>2020</v>
      </c>
      <c r="I452" t="s">
        <v>60</v>
      </c>
      <c r="L452" t="s">
        <v>99</v>
      </c>
      <c r="AG452">
        <f t="shared" si="7"/>
        <v>1</v>
      </c>
      <c r="AH452">
        <f>'TABLA PREVIOS'!E452</f>
        <v>288</v>
      </c>
      <c r="AI452">
        <f>VLOOKUP(C452,ALUMNOS!A:B,2,FALSE)</f>
        <v>709</v>
      </c>
    </row>
    <row r="453" spans="1:35" x14ac:dyDescent="0.25">
      <c r="A453" t="s">
        <v>285</v>
      </c>
      <c r="B453" t="s">
        <v>96</v>
      </c>
      <c r="C453">
        <v>45092233</v>
      </c>
      <c r="D453" t="s">
        <v>300</v>
      </c>
      <c r="E453" t="s">
        <v>29</v>
      </c>
      <c r="F453" t="s">
        <v>245</v>
      </c>
      <c r="G453" t="s">
        <v>43</v>
      </c>
      <c r="H453">
        <v>2020</v>
      </c>
      <c r="I453" t="s">
        <v>60</v>
      </c>
      <c r="L453" t="s">
        <v>99</v>
      </c>
      <c r="AG453">
        <f t="shared" si="7"/>
        <v>1</v>
      </c>
      <c r="AH453">
        <f>'TABLA PREVIOS'!E453</f>
        <v>290</v>
      </c>
      <c r="AI453">
        <f>VLOOKUP(C453,ALUMNOS!A:B,2,FALSE)</f>
        <v>709</v>
      </c>
    </row>
    <row r="454" spans="1:35" x14ac:dyDescent="0.25">
      <c r="A454" t="s">
        <v>285</v>
      </c>
      <c r="B454" t="s">
        <v>109</v>
      </c>
      <c r="C454">
        <v>44657998</v>
      </c>
      <c r="D454" t="s">
        <v>301</v>
      </c>
      <c r="E454" t="s">
        <v>25</v>
      </c>
      <c r="F454" t="s">
        <v>245</v>
      </c>
      <c r="G454" t="s">
        <v>43</v>
      </c>
      <c r="H454">
        <v>2020</v>
      </c>
      <c r="I454" t="s">
        <v>60</v>
      </c>
      <c r="L454" t="s">
        <v>99</v>
      </c>
      <c r="AG454">
        <f t="shared" si="7"/>
        <v>1</v>
      </c>
      <c r="AH454">
        <f>'TABLA PREVIOS'!E454</f>
        <v>281</v>
      </c>
      <c r="AI454">
        <f>VLOOKUP(C454,ALUMNOS!A:B,2,FALSE)</f>
        <v>221</v>
      </c>
    </row>
    <row r="455" spans="1:35" x14ac:dyDescent="0.25">
      <c r="A455" t="s">
        <v>285</v>
      </c>
      <c r="B455" t="s">
        <v>109</v>
      </c>
      <c r="C455">
        <v>44657998</v>
      </c>
      <c r="D455" t="s">
        <v>301</v>
      </c>
      <c r="E455" t="s">
        <v>29</v>
      </c>
      <c r="F455" t="s">
        <v>245</v>
      </c>
      <c r="G455" t="s">
        <v>43</v>
      </c>
      <c r="H455">
        <v>2020</v>
      </c>
      <c r="I455" t="s">
        <v>60</v>
      </c>
      <c r="L455" t="s">
        <v>99</v>
      </c>
      <c r="AG455">
        <f t="shared" si="7"/>
        <v>1</v>
      </c>
      <c r="AH455">
        <f>'TABLA PREVIOS'!E455</f>
        <v>290</v>
      </c>
      <c r="AI455">
        <f>VLOOKUP(C455,ALUMNOS!A:B,2,FALSE)</f>
        <v>221</v>
      </c>
    </row>
    <row r="456" spans="1:35" x14ac:dyDescent="0.25">
      <c r="A456" t="s">
        <v>285</v>
      </c>
      <c r="B456" t="s">
        <v>109</v>
      </c>
      <c r="C456">
        <v>44674195</v>
      </c>
      <c r="D456" t="s">
        <v>302</v>
      </c>
      <c r="E456" t="s">
        <v>16</v>
      </c>
      <c r="F456" t="s">
        <v>245</v>
      </c>
      <c r="G456" t="s">
        <v>43</v>
      </c>
      <c r="H456">
        <v>2020</v>
      </c>
      <c r="I456" t="s">
        <v>60</v>
      </c>
      <c r="L456" t="s">
        <v>99</v>
      </c>
      <c r="AG456">
        <f t="shared" si="7"/>
        <v>1</v>
      </c>
      <c r="AH456">
        <f>'TABLA PREVIOS'!E456</f>
        <v>282</v>
      </c>
      <c r="AI456">
        <f>VLOOKUP(C456,ALUMNOS!A:B,2,FALSE)</f>
        <v>239</v>
      </c>
    </row>
    <row r="457" spans="1:35" x14ac:dyDescent="0.25">
      <c r="A457" t="s">
        <v>285</v>
      </c>
      <c r="B457" t="s">
        <v>109</v>
      </c>
      <c r="C457">
        <v>44674195</v>
      </c>
      <c r="D457" t="s">
        <v>302</v>
      </c>
      <c r="E457" t="s">
        <v>29</v>
      </c>
      <c r="F457" t="s">
        <v>245</v>
      </c>
      <c r="G457" t="s">
        <v>43</v>
      </c>
      <c r="H457">
        <v>2020</v>
      </c>
      <c r="I457" t="s">
        <v>60</v>
      </c>
      <c r="L457" t="s">
        <v>99</v>
      </c>
      <c r="AG457">
        <f t="shared" si="7"/>
        <v>1</v>
      </c>
      <c r="AH457">
        <f>'TABLA PREVIOS'!E457</f>
        <v>290</v>
      </c>
      <c r="AI457">
        <f>VLOOKUP(C457,ALUMNOS!A:B,2,FALSE)</f>
        <v>239</v>
      </c>
    </row>
    <row r="458" spans="1:35" x14ac:dyDescent="0.25">
      <c r="A458" t="s">
        <v>285</v>
      </c>
      <c r="B458" t="s">
        <v>109</v>
      </c>
      <c r="C458">
        <v>44204976</v>
      </c>
      <c r="D458" t="s">
        <v>303</v>
      </c>
      <c r="E458" t="s">
        <v>29</v>
      </c>
      <c r="F458" t="s">
        <v>190</v>
      </c>
      <c r="G458" t="s">
        <v>43</v>
      </c>
      <c r="H458">
        <v>2018</v>
      </c>
      <c r="I458" t="s">
        <v>60</v>
      </c>
      <c r="L458" t="s">
        <v>99</v>
      </c>
      <c r="AG458">
        <f t="shared" si="7"/>
        <v>1</v>
      </c>
      <c r="AH458">
        <f>'TABLA PREVIOS'!E458</f>
        <v>259</v>
      </c>
      <c r="AI458">
        <f>VLOOKUP(C458,ALUMNOS!A:B,2,FALSE)</f>
        <v>253</v>
      </c>
    </row>
    <row r="459" spans="1:35" x14ac:dyDescent="0.25">
      <c r="A459" t="s">
        <v>285</v>
      </c>
      <c r="B459" t="s">
        <v>109</v>
      </c>
      <c r="C459">
        <v>44204976</v>
      </c>
      <c r="D459" t="s">
        <v>303</v>
      </c>
      <c r="E459" t="s">
        <v>29</v>
      </c>
      <c r="F459" t="s">
        <v>220</v>
      </c>
      <c r="G459" t="s">
        <v>43</v>
      </c>
      <c r="H459">
        <v>2019</v>
      </c>
      <c r="I459" t="s">
        <v>60</v>
      </c>
      <c r="L459" t="s">
        <v>99</v>
      </c>
      <c r="AG459">
        <f t="shared" si="7"/>
        <v>1</v>
      </c>
      <c r="AH459">
        <f>'TABLA PREVIOS'!E459</f>
        <v>273</v>
      </c>
      <c r="AI459">
        <f>VLOOKUP(C459,ALUMNOS!A:B,2,FALSE)</f>
        <v>253</v>
      </c>
    </row>
    <row r="460" spans="1:35" x14ac:dyDescent="0.25">
      <c r="A460" t="s">
        <v>285</v>
      </c>
      <c r="B460" t="s">
        <v>109</v>
      </c>
      <c r="C460">
        <v>44204976</v>
      </c>
      <c r="D460" t="s">
        <v>303</v>
      </c>
      <c r="E460" t="s">
        <v>16</v>
      </c>
      <c r="F460" t="s">
        <v>245</v>
      </c>
      <c r="G460" t="s">
        <v>43</v>
      </c>
      <c r="H460">
        <v>2020</v>
      </c>
      <c r="I460" t="s">
        <v>60</v>
      </c>
      <c r="L460" t="s">
        <v>99</v>
      </c>
      <c r="AG460">
        <f t="shared" si="7"/>
        <v>1</v>
      </c>
      <c r="AH460">
        <f>'TABLA PREVIOS'!E460</f>
        <v>282</v>
      </c>
      <c r="AI460">
        <f>VLOOKUP(C460,ALUMNOS!A:B,2,FALSE)</f>
        <v>253</v>
      </c>
    </row>
    <row r="461" spans="1:35" x14ac:dyDescent="0.25">
      <c r="A461" t="s">
        <v>285</v>
      </c>
      <c r="B461" t="s">
        <v>109</v>
      </c>
      <c r="C461">
        <v>44204976</v>
      </c>
      <c r="D461" t="s">
        <v>303</v>
      </c>
      <c r="E461" t="s">
        <v>29</v>
      </c>
      <c r="F461" t="s">
        <v>245</v>
      </c>
      <c r="G461" t="s">
        <v>43</v>
      </c>
      <c r="H461">
        <v>2020</v>
      </c>
      <c r="I461" t="s">
        <v>60</v>
      </c>
      <c r="L461" t="s">
        <v>99</v>
      </c>
      <c r="AG461">
        <f t="shared" si="7"/>
        <v>1</v>
      </c>
      <c r="AH461">
        <f>'TABLA PREVIOS'!E461</f>
        <v>290</v>
      </c>
      <c r="AI461">
        <f>VLOOKUP(C461,ALUMNOS!A:B,2,FALSE)</f>
        <v>253</v>
      </c>
    </row>
    <row r="462" spans="1:35" x14ac:dyDescent="0.25">
      <c r="A462" t="s">
        <v>285</v>
      </c>
      <c r="B462" t="s">
        <v>109</v>
      </c>
      <c r="C462">
        <v>44372156</v>
      </c>
      <c r="D462" t="s">
        <v>304</v>
      </c>
      <c r="E462" t="s">
        <v>29</v>
      </c>
      <c r="F462" t="s">
        <v>220</v>
      </c>
      <c r="G462" t="s">
        <v>43</v>
      </c>
      <c r="H462">
        <v>2019</v>
      </c>
      <c r="I462" t="s">
        <v>60</v>
      </c>
      <c r="L462" t="s">
        <v>99</v>
      </c>
      <c r="AG462">
        <f t="shared" si="7"/>
        <v>1</v>
      </c>
      <c r="AH462">
        <f>'TABLA PREVIOS'!E462</f>
        <v>273</v>
      </c>
      <c r="AI462">
        <f>VLOOKUP(C462,ALUMNOS!A:B,2,FALSE)</f>
        <v>256</v>
      </c>
    </row>
    <row r="463" spans="1:35" x14ac:dyDescent="0.25">
      <c r="A463" t="s">
        <v>285</v>
      </c>
      <c r="B463" t="s">
        <v>109</v>
      </c>
      <c r="C463">
        <v>44372156</v>
      </c>
      <c r="D463" t="s">
        <v>304</v>
      </c>
      <c r="E463" t="s">
        <v>30</v>
      </c>
      <c r="F463" t="s">
        <v>245</v>
      </c>
      <c r="G463" t="s">
        <v>43</v>
      </c>
      <c r="H463">
        <v>2020</v>
      </c>
      <c r="I463" t="s">
        <v>60</v>
      </c>
      <c r="L463" t="s">
        <v>99</v>
      </c>
      <c r="AG463">
        <f t="shared" si="7"/>
        <v>1</v>
      </c>
      <c r="AH463">
        <f>'TABLA PREVIOS'!E463</f>
        <v>285</v>
      </c>
      <c r="AI463">
        <f>VLOOKUP(C463,ALUMNOS!A:B,2,FALSE)</f>
        <v>256</v>
      </c>
    </row>
    <row r="464" spans="1:35" x14ac:dyDescent="0.25">
      <c r="A464" t="s">
        <v>285</v>
      </c>
      <c r="B464" t="s">
        <v>109</v>
      </c>
      <c r="C464">
        <v>44372156</v>
      </c>
      <c r="D464" t="s">
        <v>304</v>
      </c>
      <c r="E464" t="s">
        <v>37</v>
      </c>
      <c r="F464" t="s">
        <v>245</v>
      </c>
      <c r="G464" t="s">
        <v>43</v>
      </c>
      <c r="H464">
        <v>2020</v>
      </c>
      <c r="I464" t="s">
        <v>60</v>
      </c>
      <c r="L464" t="s">
        <v>99</v>
      </c>
      <c r="AG464">
        <f t="shared" si="7"/>
        <v>1</v>
      </c>
      <c r="AH464">
        <f>'TABLA PREVIOS'!E464</f>
        <v>284</v>
      </c>
      <c r="AI464">
        <f>VLOOKUP(C464,ALUMNOS!A:B,2,FALSE)</f>
        <v>256</v>
      </c>
    </row>
    <row r="465" spans="1:35" x14ac:dyDescent="0.25">
      <c r="A465" t="s">
        <v>285</v>
      </c>
      <c r="B465" t="s">
        <v>109</v>
      </c>
      <c r="C465">
        <v>44372156</v>
      </c>
      <c r="D465" t="s">
        <v>304</v>
      </c>
      <c r="E465" t="s">
        <v>38</v>
      </c>
      <c r="F465" t="s">
        <v>245</v>
      </c>
      <c r="G465" t="s">
        <v>43</v>
      </c>
      <c r="H465">
        <v>2020</v>
      </c>
      <c r="I465" t="s">
        <v>60</v>
      </c>
      <c r="L465" t="s">
        <v>99</v>
      </c>
      <c r="AG465">
        <f t="shared" si="7"/>
        <v>1</v>
      </c>
      <c r="AH465">
        <f>'TABLA PREVIOS'!E465</f>
        <v>287</v>
      </c>
      <c r="AI465">
        <f>VLOOKUP(C465,ALUMNOS!A:B,2,FALSE)</f>
        <v>256</v>
      </c>
    </row>
    <row r="466" spans="1:35" x14ac:dyDescent="0.25">
      <c r="A466" t="s">
        <v>285</v>
      </c>
      <c r="B466" t="s">
        <v>109</v>
      </c>
      <c r="C466">
        <v>44372156</v>
      </c>
      <c r="D466" t="s">
        <v>304</v>
      </c>
      <c r="E466" t="s">
        <v>34</v>
      </c>
      <c r="F466" t="s">
        <v>245</v>
      </c>
      <c r="G466" t="s">
        <v>43</v>
      </c>
      <c r="H466">
        <v>2020</v>
      </c>
      <c r="I466" t="s">
        <v>60</v>
      </c>
      <c r="L466" t="s">
        <v>99</v>
      </c>
      <c r="AG466">
        <f t="shared" si="7"/>
        <v>1</v>
      </c>
      <c r="AH466">
        <f>'TABLA PREVIOS'!E466</f>
        <v>286</v>
      </c>
      <c r="AI466">
        <f>VLOOKUP(C466,ALUMNOS!A:B,2,FALSE)</f>
        <v>256</v>
      </c>
    </row>
    <row r="467" spans="1:35" x14ac:dyDescent="0.25">
      <c r="A467" t="s">
        <v>285</v>
      </c>
      <c r="B467" t="s">
        <v>109</v>
      </c>
      <c r="C467">
        <v>44372156</v>
      </c>
      <c r="D467" t="s">
        <v>304</v>
      </c>
      <c r="E467" t="s">
        <v>16</v>
      </c>
      <c r="F467" t="s">
        <v>245</v>
      </c>
      <c r="G467" t="s">
        <v>43</v>
      </c>
      <c r="H467">
        <v>2020</v>
      </c>
      <c r="I467" t="s">
        <v>60</v>
      </c>
      <c r="L467" t="s">
        <v>99</v>
      </c>
      <c r="AG467">
        <f t="shared" si="7"/>
        <v>1</v>
      </c>
      <c r="AH467">
        <f>'TABLA PREVIOS'!E467</f>
        <v>282</v>
      </c>
      <c r="AI467">
        <f>VLOOKUP(C467,ALUMNOS!A:B,2,FALSE)</f>
        <v>256</v>
      </c>
    </row>
    <row r="468" spans="1:35" x14ac:dyDescent="0.25">
      <c r="A468" t="s">
        <v>285</v>
      </c>
      <c r="B468" t="s">
        <v>109</v>
      </c>
      <c r="C468">
        <v>44372156</v>
      </c>
      <c r="D468" t="s">
        <v>304</v>
      </c>
      <c r="E468" t="s">
        <v>11</v>
      </c>
      <c r="F468" t="s">
        <v>245</v>
      </c>
      <c r="G468" t="s">
        <v>43</v>
      </c>
      <c r="H468">
        <v>2020</v>
      </c>
      <c r="I468" t="s">
        <v>60</v>
      </c>
      <c r="L468" t="s">
        <v>99</v>
      </c>
      <c r="AG468">
        <f t="shared" si="7"/>
        <v>1</v>
      </c>
      <c r="AH468">
        <f>'TABLA PREVIOS'!E468</f>
        <v>279</v>
      </c>
      <c r="AI468">
        <f>VLOOKUP(C468,ALUMNOS!A:B,2,FALSE)</f>
        <v>256</v>
      </c>
    </row>
    <row r="469" spans="1:35" x14ac:dyDescent="0.25">
      <c r="A469" t="s">
        <v>285</v>
      </c>
      <c r="B469" t="s">
        <v>109</v>
      </c>
      <c r="C469">
        <v>44372156</v>
      </c>
      <c r="D469" t="s">
        <v>304</v>
      </c>
      <c r="E469" t="s">
        <v>12</v>
      </c>
      <c r="F469" t="s">
        <v>245</v>
      </c>
      <c r="G469" t="s">
        <v>43</v>
      </c>
      <c r="H469">
        <v>2020</v>
      </c>
      <c r="I469" t="s">
        <v>60</v>
      </c>
      <c r="L469" t="s">
        <v>99</v>
      </c>
      <c r="AG469">
        <f t="shared" si="7"/>
        <v>1</v>
      </c>
      <c r="AH469">
        <f>'TABLA PREVIOS'!E469</f>
        <v>280</v>
      </c>
      <c r="AI469">
        <f>VLOOKUP(C469,ALUMNOS!A:B,2,FALSE)</f>
        <v>256</v>
      </c>
    </row>
    <row r="470" spans="1:35" x14ac:dyDescent="0.25">
      <c r="A470" t="s">
        <v>285</v>
      </c>
      <c r="B470" t="s">
        <v>109</v>
      </c>
      <c r="C470">
        <v>44372156</v>
      </c>
      <c r="D470" t="s">
        <v>304</v>
      </c>
      <c r="E470" t="s">
        <v>25</v>
      </c>
      <c r="F470" t="s">
        <v>245</v>
      </c>
      <c r="G470" t="s">
        <v>43</v>
      </c>
      <c r="H470">
        <v>2020</v>
      </c>
      <c r="I470" t="s">
        <v>60</v>
      </c>
      <c r="L470" t="s">
        <v>99</v>
      </c>
      <c r="AG470">
        <f t="shared" si="7"/>
        <v>1</v>
      </c>
      <c r="AH470">
        <f>'TABLA PREVIOS'!E470</f>
        <v>281</v>
      </c>
      <c r="AI470">
        <f>VLOOKUP(C470,ALUMNOS!A:B,2,FALSE)</f>
        <v>256</v>
      </c>
    </row>
    <row r="471" spans="1:35" x14ac:dyDescent="0.25">
      <c r="A471" t="s">
        <v>285</v>
      </c>
      <c r="B471" t="s">
        <v>109</v>
      </c>
      <c r="C471">
        <v>44372156</v>
      </c>
      <c r="D471" t="s">
        <v>304</v>
      </c>
      <c r="E471" t="s">
        <v>39</v>
      </c>
      <c r="F471" t="s">
        <v>245</v>
      </c>
      <c r="G471" t="s">
        <v>43</v>
      </c>
      <c r="H471">
        <v>2020</v>
      </c>
      <c r="I471" t="s">
        <v>60</v>
      </c>
      <c r="L471" t="s">
        <v>99</v>
      </c>
      <c r="AG471">
        <f t="shared" si="7"/>
        <v>1</v>
      </c>
      <c r="AH471">
        <f>'TABLA PREVIOS'!E471</f>
        <v>288</v>
      </c>
      <c r="AI471">
        <f>VLOOKUP(C471,ALUMNOS!A:B,2,FALSE)</f>
        <v>256</v>
      </c>
    </row>
    <row r="472" spans="1:35" x14ac:dyDescent="0.25">
      <c r="A472" t="s">
        <v>285</v>
      </c>
      <c r="B472" t="s">
        <v>109</v>
      </c>
      <c r="C472">
        <v>44372156</v>
      </c>
      <c r="D472" t="s">
        <v>304</v>
      </c>
      <c r="E472" t="s">
        <v>29</v>
      </c>
      <c r="F472" t="s">
        <v>245</v>
      </c>
      <c r="G472" t="s">
        <v>43</v>
      </c>
      <c r="H472">
        <v>2020</v>
      </c>
      <c r="I472" t="s">
        <v>60</v>
      </c>
      <c r="L472" t="s">
        <v>99</v>
      </c>
      <c r="AG472">
        <f t="shared" si="7"/>
        <v>1</v>
      </c>
      <c r="AH472">
        <f>'TABLA PREVIOS'!E472</f>
        <v>290</v>
      </c>
      <c r="AI472">
        <f>VLOOKUP(C472,ALUMNOS!A:B,2,FALSE)</f>
        <v>256</v>
      </c>
    </row>
    <row r="473" spans="1:35" x14ac:dyDescent="0.25">
      <c r="A473" t="s">
        <v>285</v>
      </c>
      <c r="B473" t="s">
        <v>109</v>
      </c>
      <c r="C473">
        <v>43609644</v>
      </c>
      <c r="D473" t="s">
        <v>305</v>
      </c>
      <c r="E473" t="s">
        <v>26</v>
      </c>
      <c r="F473" t="s">
        <v>190</v>
      </c>
      <c r="G473" t="s">
        <v>43</v>
      </c>
      <c r="H473">
        <v>2018</v>
      </c>
      <c r="I473" t="s">
        <v>60</v>
      </c>
      <c r="L473" t="s">
        <v>99</v>
      </c>
      <c r="AG473">
        <f t="shared" si="7"/>
        <v>1</v>
      </c>
      <c r="AH473">
        <f>'TABLA PREVIOS'!E473</f>
        <v>254</v>
      </c>
      <c r="AI473">
        <f>VLOOKUP(C473,ALUMNOS!A:B,2,FALSE)</f>
        <v>576</v>
      </c>
    </row>
    <row r="474" spans="1:35" x14ac:dyDescent="0.25">
      <c r="A474" t="s">
        <v>285</v>
      </c>
      <c r="B474" t="s">
        <v>109</v>
      </c>
      <c r="C474">
        <v>43609644</v>
      </c>
      <c r="D474" t="s">
        <v>305</v>
      </c>
      <c r="E474" t="s">
        <v>30</v>
      </c>
      <c r="F474" t="s">
        <v>220</v>
      </c>
      <c r="G474" t="s">
        <v>43</v>
      </c>
      <c r="H474">
        <v>2019</v>
      </c>
      <c r="I474" t="s">
        <v>60</v>
      </c>
      <c r="L474" t="s">
        <v>99</v>
      </c>
      <c r="AG474">
        <f t="shared" si="7"/>
        <v>1</v>
      </c>
      <c r="AH474">
        <f>'TABLA PREVIOS'!E474</f>
        <v>274</v>
      </c>
      <c r="AI474">
        <f>VLOOKUP(C474,ALUMNOS!A:B,2,FALSE)</f>
        <v>576</v>
      </c>
    </row>
    <row r="475" spans="1:35" x14ac:dyDescent="0.25">
      <c r="A475" t="s">
        <v>285</v>
      </c>
      <c r="B475" t="s">
        <v>109</v>
      </c>
      <c r="C475">
        <v>43609644</v>
      </c>
      <c r="D475" t="s">
        <v>305</v>
      </c>
      <c r="E475" t="s">
        <v>27</v>
      </c>
      <c r="F475" t="s">
        <v>220</v>
      </c>
      <c r="G475" t="s">
        <v>43</v>
      </c>
      <c r="H475">
        <v>2019</v>
      </c>
      <c r="I475" t="s">
        <v>60</v>
      </c>
      <c r="L475" t="s">
        <v>99</v>
      </c>
      <c r="AG475">
        <f t="shared" si="7"/>
        <v>1</v>
      </c>
      <c r="AH475">
        <f>'TABLA PREVIOS'!E475</f>
        <v>268</v>
      </c>
      <c r="AI475">
        <f>VLOOKUP(C475,ALUMNOS!A:B,2,FALSE)</f>
        <v>576</v>
      </c>
    </row>
    <row r="476" spans="1:35" x14ac:dyDescent="0.25">
      <c r="A476" t="s">
        <v>285</v>
      </c>
      <c r="B476" t="s">
        <v>109</v>
      </c>
      <c r="C476">
        <v>43609644</v>
      </c>
      <c r="D476" t="s">
        <v>305</v>
      </c>
      <c r="E476" t="s">
        <v>37</v>
      </c>
      <c r="F476" t="s">
        <v>245</v>
      </c>
      <c r="G476" t="s">
        <v>43</v>
      </c>
      <c r="H476">
        <v>2020</v>
      </c>
      <c r="I476" t="s">
        <v>60</v>
      </c>
      <c r="L476" t="s">
        <v>99</v>
      </c>
      <c r="AG476">
        <f t="shared" si="7"/>
        <v>1</v>
      </c>
      <c r="AH476">
        <f>'TABLA PREVIOS'!E476</f>
        <v>284</v>
      </c>
      <c r="AI476">
        <f>VLOOKUP(C476,ALUMNOS!A:B,2,FALSE)</f>
        <v>576</v>
      </c>
    </row>
    <row r="477" spans="1:35" x14ac:dyDescent="0.25">
      <c r="A477" t="s">
        <v>285</v>
      </c>
      <c r="B477" t="s">
        <v>109</v>
      </c>
      <c r="C477">
        <v>43609644</v>
      </c>
      <c r="D477" t="s">
        <v>305</v>
      </c>
      <c r="E477" t="s">
        <v>38</v>
      </c>
      <c r="F477" t="s">
        <v>245</v>
      </c>
      <c r="G477" t="s">
        <v>43</v>
      </c>
      <c r="H477">
        <v>2020</v>
      </c>
      <c r="I477" t="s">
        <v>60</v>
      </c>
      <c r="L477" t="s">
        <v>99</v>
      </c>
      <c r="AG477">
        <f t="shared" si="7"/>
        <v>1</v>
      </c>
      <c r="AH477">
        <f>'TABLA PREVIOS'!E477</f>
        <v>287</v>
      </c>
      <c r="AI477">
        <f>VLOOKUP(C477,ALUMNOS!A:B,2,FALSE)</f>
        <v>576</v>
      </c>
    </row>
    <row r="478" spans="1:35" x14ac:dyDescent="0.25">
      <c r="A478" t="s">
        <v>285</v>
      </c>
      <c r="B478" t="s">
        <v>109</v>
      </c>
      <c r="C478">
        <v>43609644</v>
      </c>
      <c r="D478" t="s">
        <v>305</v>
      </c>
      <c r="E478" t="s">
        <v>34</v>
      </c>
      <c r="F478" t="s">
        <v>245</v>
      </c>
      <c r="G478" t="s">
        <v>43</v>
      </c>
      <c r="H478">
        <v>2020</v>
      </c>
      <c r="I478" t="s">
        <v>60</v>
      </c>
      <c r="L478" t="s">
        <v>99</v>
      </c>
      <c r="AG478">
        <f t="shared" si="7"/>
        <v>1</v>
      </c>
      <c r="AH478">
        <f>'TABLA PREVIOS'!E478</f>
        <v>286</v>
      </c>
      <c r="AI478">
        <f>VLOOKUP(C478,ALUMNOS!A:B,2,FALSE)</f>
        <v>576</v>
      </c>
    </row>
    <row r="479" spans="1:35" x14ac:dyDescent="0.25">
      <c r="A479" t="s">
        <v>285</v>
      </c>
      <c r="B479" t="s">
        <v>109</v>
      </c>
      <c r="C479">
        <v>43609644</v>
      </c>
      <c r="D479" t="s">
        <v>305</v>
      </c>
      <c r="E479" t="s">
        <v>41</v>
      </c>
      <c r="F479" t="s">
        <v>245</v>
      </c>
      <c r="G479" t="s">
        <v>43</v>
      </c>
      <c r="H479">
        <v>2020</v>
      </c>
      <c r="I479" t="s">
        <v>60</v>
      </c>
      <c r="L479" t="s">
        <v>99</v>
      </c>
      <c r="AG479">
        <f t="shared" si="7"/>
        <v>1</v>
      </c>
      <c r="AH479">
        <f>'TABLA PREVIOS'!E479</f>
        <v>292</v>
      </c>
      <c r="AI479">
        <f>VLOOKUP(C479,ALUMNOS!A:B,2,FALSE)</f>
        <v>576</v>
      </c>
    </row>
    <row r="480" spans="1:35" x14ac:dyDescent="0.25">
      <c r="A480" t="s">
        <v>285</v>
      </c>
      <c r="B480" t="s">
        <v>109</v>
      </c>
      <c r="C480">
        <v>43609644</v>
      </c>
      <c r="D480" t="s">
        <v>305</v>
      </c>
      <c r="E480" t="s">
        <v>16</v>
      </c>
      <c r="F480" t="s">
        <v>245</v>
      </c>
      <c r="G480" t="s">
        <v>43</v>
      </c>
      <c r="H480">
        <v>2020</v>
      </c>
      <c r="I480" t="s">
        <v>60</v>
      </c>
      <c r="L480" t="s">
        <v>99</v>
      </c>
      <c r="AG480">
        <f t="shared" si="7"/>
        <v>1</v>
      </c>
      <c r="AH480">
        <f>'TABLA PREVIOS'!E480</f>
        <v>282</v>
      </c>
      <c r="AI480">
        <f>VLOOKUP(C480,ALUMNOS!A:B,2,FALSE)</f>
        <v>576</v>
      </c>
    </row>
    <row r="481" spans="1:35" x14ac:dyDescent="0.25">
      <c r="A481" t="s">
        <v>285</v>
      </c>
      <c r="B481" t="s">
        <v>109</v>
      </c>
      <c r="C481">
        <v>43609644</v>
      </c>
      <c r="D481" t="s">
        <v>305</v>
      </c>
      <c r="E481" t="s">
        <v>11</v>
      </c>
      <c r="F481" t="s">
        <v>245</v>
      </c>
      <c r="G481" t="s">
        <v>43</v>
      </c>
      <c r="H481">
        <v>2020</v>
      </c>
      <c r="I481" t="s">
        <v>60</v>
      </c>
      <c r="L481" t="s">
        <v>99</v>
      </c>
      <c r="AG481">
        <f t="shared" si="7"/>
        <v>1</v>
      </c>
      <c r="AH481">
        <f>'TABLA PREVIOS'!E481</f>
        <v>279</v>
      </c>
      <c r="AI481">
        <f>VLOOKUP(C481,ALUMNOS!A:B,2,FALSE)</f>
        <v>576</v>
      </c>
    </row>
    <row r="482" spans="1:35" x14ac:dyDescent="0.25">
      <c r="A482" t="s">
        <v>285</v>
      </c>
      <c r="B482" t="s">
        <v>109</v>
      </c>
      <c r="C482">
        <v>43609644</v>
      </c>
      <c r="D482" t="s">
        <v>305</v>
      </c>
      <c r="E482" t="s">
        <v>12</v>
      </c>
      <c r="F482" t="s">
        <v>245</v>
      </c>
      <c r="G482" t="s">
        <v>43</v>
      </c>
      <c r="H482">
        <v>2020</v>
      </c>
      <c r="I482" t="s">
        <v>60</v>
      </c>
      <c r="L482" t="s">
        <v>99</v>
      </c>
      <c r="AG482">
        <f t="shared" si="7"/>
        <v>1</v>
      </c>
      <c r="AH482">
        <f>'TABLA PREVIOS'!E482</f>
        <v>280</v>
      </c>
      <c r="AI482">
        <f>VLOOKUP(C482,ALUMNOS!A:B,2,FALSE)</f>
        <v>576</v>
      </c>
    </row>
    <row r="483" spans="1:35" x14ac:dyDescent="0.25">
      <c r="A483" t="s">
        <v>285</v>
      </c>
      <c r="B483" t="s">
        <v>109</v>
      </c>
      <c r="C483">
        <v>43609644</v>
      </c>
      <c r="D483" t="s">
        <v>305</v>
      </c>
      <c r="E483" t="s">
        <v>39</v>
      </c>
      <c r="F483" t="s">
        <v>245</v>
      </c>
      <c r="G483" t="s">
        <v>43</v>
      </c>
      <c r="H483">
        <v>2020</v>
      </c>
      <c r="I483" t="s">
        <v>60</v>
      </c>
      <c r="L483" t="s">
        <v>99</v>
      </c>
      <c r="AG483">
        <f t="shared" si="7"/>
        <v>1</v>
      </c>
      <c r="AH483">
        <f>'TABLA PREVIOS'!E483</f>
        <v>288</v>
      </c>
      <c r="AI483">
        <f>VLOOKUP(C483,ALUMNOS!A:B,2,FALSE)</f>
        <v>576</v>
      </c>
    </row>
    <row r="484" spans="1:35" x14ac:dyDescent="0.25">
      <c r="A484" t="s">
        <v>285</v>
      </c>
      <c r="B484" t="s">
        <v>109</v>
      </c>
      <c r="C484">
        <v>43609644</v>
      </c>
      <c r="D484" t="s">
        <v>305</v>
      </c>
      <c r="E484" t="s">
        <v>29</v>
      </c>
      <c r="F484" t="s">
        <v>245</v>
      </c>
      <c r="G484" t="s">
        <v>43</v>
      </c>
      <c r="H484">
        <v>2020</v>
      </c>
      <c r="I484" t="s">
        <v>60</v>
      </c>
      <c r="L484" t="s">
        <v>99</v>
      </c>
      <c r="AG484">
        <f t="shared" si="7"/>
        <v>1</v>
      </c>
      <c r="AH484">
        <f>'TABLA PREVIOS'!E484</f>
        <v>290</v>
      </c>
      <c r="AI484">
        <f>VLOOKUP(C484,ALUMNOS!A:B,2,FALSE)</f>
        <v>576</v>
      </c>
    </row>
    <row r="485" spans="1:35" x14ac:dyDescent="0.25">
      <c r="A485" t="s">
        <v>285</v>
      </c>
      <c r="B485" t="s">
        <v>109</v>
      </c>
      <c r="C485">
        <v>43648251</v>
      </c>
      <c r="D485" t="s">
        <v>306</v>
      </c>
      <c r="E485" t="s">
        <v>26</v>
      </c>
      <c r="F485" t="s">
        <v>143</v>
      </c>
      <c r="G485" t="s">
        <v>43</v>
      </c>
      <c r="H485">
        <v>2017</v>
      </c>
      <c r="I485" t="s">
        <v>59</v>
      </c>
      <c r="L485" t="s">
        <v>99</v>
      </c>
      <c r="AG485">
        <f t="shared" si="7"/>
        <v>1</v>
      </c>
      <c r="AH485">
        <f>'TABLA PREVIOS'!E485</f>
        <v>243</v>
      </c>
      <c r="AI485">
        <f>VLOOKUP(C485,ALUMNOS!A:B,2,FALSE)</f>
        <v>606</v>
      </c>
    </row>
    <row r="486" spans="1:35" x14ac:dyDescent="0.25">
      <c r="A486" t="s">
        <v>285</v>
      </c>
      <c r="B486" t="s">
        <v>109</v>
      </c>
      <c r="C486">
        <v>43648251</v>
      </c>
      <c r="D486" t="s">
        <v>306</v>
      </c>
      <c r="E486" t="s">
        <v>30</v>
      </c>
      <c r="F486" t="s">
        <v>245</v>
      </c>
      <c r="G486" t="s">
        <v>43</v>
      </c>
      <c r="H486">
        <v>2020</v>
      </c>
      <c r="I486" t="s">
        <v>60</v>
      </c>
      <c r="L486" t="s">
        <v>99</v>
      </c>
      <c r="AG486">
        <f t="shared" si="7"/>
        <v>1</v>
      </c>
      <c r="AH486">
        <f>'TABLA PREVIOS'!E486</f>
        <v>285</v>
      </c>
      <c r="AI486">
        <f>VLOOKUP(C486,ALUMNOS!A:B,2,FALSE)</f>
        <v>606</v>
      </c>
    </row>
    <row r="487" spans="1:35" x14ac:dyDescent="0.25">
      <c r="A487" t="s">
        <v>285</v>
      </c>
      <c r="B487" t="s">
        <v>109</v>
      </c>
      <c r="C487">
        <v>43648251</v>
      </c>
      <c r="D487" t="s">
        <v>306</v>
      </c>
      <c r="E487" t="s">
        <v>37</v>
      </c>
      <c r="F487" t="s">
        <v>245</v>
      </c>
      <c r="G487" t="s">
        <v>43</v>
      </c>
      <c r="H487">
        <v>2020</v>
      </c>
      <c r="I487" t="s">
        <v>60</v>
      </c>
      <c r="L487" t="s">
        <v>99</v>
      </c>
      <c r="AG487">
        <f t="shared" si="7"/>
        <v>1</v>
      </c>
      <c r="AH487">
        <f>'TABLA PREVIOS'!E487</f>
        <v>284</v>
      </c>
      <c r="AI487">
        <f>VLOOKUP(C487,ALUMNOS!A:B,2,FALSE)</f>
        <v>606</v>
      </c>
    </row>
    <row r="488" spans="1:35" x14ac:dyDescent="0.25">
      <c r="A488" t="s">
        <v>285</v>
      </c>
      <c r="B488" t="s">
        <v>109</v>
      </c>
      <c r="C488">
        <v>43648251</v>
      </c>
      <c r="D488" t="s">
        <v>306</v>
      </c>
      <c r="E488" t="s">
        <v>38</v>
      </c>
      <c r="F488" t="s">
        <v>245</v>
      </c>
      <c r="G488" t="s">
        <v>43</v>
      </c>
      <c r="H488">
        <v>2020</v>
      </c>
      <c r="I488" t="s">
        <v>60</v>
      </c>
      <c r="L488" t="s">
        <v>99</v>
      </c>
      <c r="AG488">
        <f t="shared" si="7"/>
        <v>1</v>
      </c>
      <c r="AH488">
        <f>'TABLA PREVIOS'!E488</f>
        <v>287</v>
      </c>
      <c r="AI488">
        <f>VLOOKUP(C488,ALUMNOS!A:B,2,FALSE)</f>
        <v>606</v>
      </c>
    </row>
    <row r="489" spans="1:35" x14ac:dyDescent="0.25">
      <c r="A489" t="s">
        <v>285</v>
      </c>
      <c r="B489" t="s">
        <v>109</v>
      </c>
      <c r="C489">
        <v>43648251</v>
      </c>
      <c r="D489" t="s">
        <v>306</v>
      </c>
      <c r="E489" t="s">
        <v>34</v>
      </c>
      <c r="F489" t="s">
        <v>245</v>
      </c>
      <c r="G489" t="s">
        <v>43</v>
      </c>
      <c r="H489">
        <v>2020</v>
      </c>
      <c r="I489" t="s">
        <v>60</v>
      </c>
      <c r="L489" t="s">
        <v>99</v>
      </c>
      <c r="AG489">
        <f t="shared" si="7"/>
        <v>1</v>
      </c>
      <c r="AH489">
        <f>'TABLA PREVIOS'!E489</f>
        <v>286</v>
      </c>
      <c r="AI489">
        <f>VLOOKUP(C489,ALUMNOS!A:B,2,FALSE)</f>
        <v>606</v>
      </c>
    </row>
    <row r="490" spans="1:35" x14ac:dyDescent="0.25">
      <c r="A490" t="s">
        <v>285</v>
      </c>
      <c r="B490" t="s">
        <v>109</v>
      </c>
      <c r="C490">
        <v>43648251</v>
      </c>
      <c r="D490" t="s">
        <v>306</v>
      </c>
      <c r="E490" t="s">
        <v>41</v>
      </c>
      <c r="F490" t="s">
        <v>245</v>
      </c>
      <c r="G490" t="s">
        <v>43</v>
      </c>
      <c r="H490">
        <v>2020</v>
      </c>
      <c r="I490" t="s">
        <v>60</v>
      </c>
      <c r="L490" t="s">
        <v>99</v>
      </c>
      <c r="AG490">
        <f t="shared" si="7"/>
        <v>1</v>
      </c>
      <c r="AH490">
        <f>'TABLA PREVIOS'!E490</f>
        <v>292</v>
      </c>
      <c r="AI490">
        <f>VLOOKUP(C490,ALUMNOS!A:B,2,FALSE)</f>
        <v>606</v>
      </c>
    </row>
    <row r="491" spans="1:35" x14ac:dyDescent="0.25">
      <c r="A491" t="s">
        <v>285</v>
      </c>
      <c r="B491" t="s">
        <v>109</v>
      </c>
      <c r="C491">
        <v>43648251</v>
      </c>
      <c r="D491" t="s">
        <v>306</v>
      </c>
      <c r="E491" t="s">
        <v>28</v>
      </c>
      <c r="F491" t="s">
        <v>245</v>
      </c>
      <c r="G491" t="s">
        <v>43</v>
      </c>
      <c r="H491">
        <v>2020</v>
      </c>
      <c r="I491" t="s">
        <v>60</v>
      </c>
      <c r="L491" t="s">
        <v>99</v>
      </c>
      <c r="AG491">
        <f t="shared" si="7"/>
        <v>1</v>
      </c>
      <c r="AH491">
        <f>'TABLA PREVIOS'!E491</f>
        <v>291</v>
      </c>
      <c r="AI491">
        <f>VLOOKUP(C491,ALUMNOS!A:B,2,FALSE)</f>
        <v>606</v>
      </c>
    </row>
    <row r="492" spans="1:35" x14ac:dyDescent="0.25">
      <c r="A492" t="s">
        <v>285</v>
      </c>
      <c r="B492" t="s">
        <v>109</v>
      </c>
      <c r="C492">
        <v>43648251</v>
      </c>
      <c r="D492" t="s">
        <v>306</v>
      </c>
      <c r="E492" t="s">
        <v>16</v>
      </c>
      <c r="F492" t="s">
        <v>245</v>
      </c>
      <c r="G492" t="s">
        <v>43</v>
      </c>
      <c r="H492">
        <v>2020</v>
      </c>
      <c r="I492" t="s">
        <v>60</v>
      </c>
      <c r="L492" t="s">
        <v>99</v>
      </c>
      <c r="AG492">
        <f t="shared" si="7"/>
        <v>1</v>
      </c>
      <c r="AH492">
        <f>'TABLA PREVIOS'!E492</f>
        <v>282</v>
      </c>
      <c r="AI492">
        <f>VLOOKUP(C492,ALUMNOS!A:B,2,FALSE)</f>
        <v>606</v>
      </c>
    </row>
    <row r="493" spans="1:35" x14ac:dyDescent="0.25">
      <c r="A493" t="s">
        <v>285</v>
      </c>
      <c r="B493" t="s">
        <v>109</v>
      </c>
      <c r="C493">
        <v>43648251</v>
      </c>
      <c r="D493" t="s">
        <v>306</v>
      </c>
      <c r="E493" t="s">
        <v>11</v>
      </c>
      <c r="F493" t="s">
        <v>245</v>
      </c>
      <c r="G493" t="s">
        <v>43</v>
      </c>
      <c r="H493">
        <v>2020</v>
      </c>
      <c r="I493" t="s">
        <v>60</v>
      </c>
      <c r="L493" t="s">
        <v>99</v>
      </c>
      <c r="AG493">
        <f t="shared" si="7"/>
        <v>1</v>
      </c>
      <c r="AH493">
        <f>'TABLA PREVIOS'!E493</f>
        <v>279</v>
      </c>
      <c r="AI493">
        <f>VLOOKUP(C493,ALUMNOS!A:B,2,FALSE)</f>
        <v>606</v>
      </c>
    </row>
    <row r="494" spans="1:35" x14ac:dyDescent="0.25">
      <c r="A494" t="s">
        <v>285</v>
      </c>
      <c r="B494" t="s">
        <v>109</v>
      </c>
      <c r="C494">
        <v>43648251</v>
      </c>
      <c r="D494" t="s">
        <v>306</v>
      </c>
      <c r="E494" t="s">
        <v>12</v>
      </c>
      <c r="F494" t="s">
        <v>245</v>
      </c>
      <c r="G494" t="s">
        <v>43</v>
      </c>
      <c r="H494">
        <v>2020</v>
      </c>
      <c r="I494" t="s">
        <v>60</v>
      </c>
      <c r="L494" t="s">
        <v>99</v>
      </c>
      <c r="AG494">
        <f t="shared" si="7"/>
        <v>1</v>
      </c>
      <c r="AH494">
        <f>'TABLA PREVIOS'!E494</f>
        <v>280</v>
      </c>
      <c r="AI494">
        <f>VLOOKUP(C494,ALUMNOS!A:B,2,FALSE)</f>
        <v>606</v>
      </c>
    </row>
    <row r="495" spans="1:35" x14ac:dyDescent="0.25">
      <c r="A495" t="s">
        <v>285</v>
      </c>
      <c r="B495" t="s">
        <v>109</v>
      </c>
      <c r="C495">
        <v>43648251</v>
      </c>
      <c r="D495" t="s">
        <v>306</v>
      </c>
      <c r="E495" t="s">
        <v>25</v>
      </c>
      <c r="F495" t="s">
        <v>245</v>
      </c>
      <c r="G495" t="s">
        <v>43</v>
      </c>
      <c r="H495">
        <v>2020</v>
      </c>
      <c r="I495" t="s">
        <v>60</v>
      </c>
      <c r="L495" t="s">
        <v>99</v>
      </c>
      <c r="AG495">
        <f t="shared" si="7"/>
        <v>1</v>
      </c>
      <c r="AH495">
        <f>'TABLA PREVIOS'!E495</f>
        <v>281</v>
      </c>
      <c r="AI495">
        <f>VLOOKUP(C495,ALUMNOS!A:B,2,FALSE)</f>
        <v>606</v>
      </c>
    </row>
    <row r="496" spans="1:35" x14ac:dyDescent="0.25">
      <c r="A496" t="s">
        <v>285</v>
      </c>
      <c r="B496" t="s">
        <v>109</v>
      </c>
      <c r="C496">
        <v>43648251</v>
      </c>
      <c r="D496" t="s">
        <v>306</v>
      </c>
      <c r="E496" t="s">
        <v>39</v>
      </c>
      <c r="F496" t="s">
        <v>245</v>
      </c>
      <c r="G496" t="s">
        <v>43</v>
      </c>
      <c r="H496">
        <v>2020</v>
      </c>
      <c r="I496" t="s">
        <v>60</v>
      </c>
      <c r="L496" t="s">
        <v>99</v>
      </c>
      <c r="AG496">
        <f t="shared" si="7"/>
        <v>1</v>
      </c>
      <c r="AH496">
        <f>'TABLA PREVIOS'!E496</f>
        <v>288</v>
      </c>
      <c r="AI496">
        <f>VLOOKUP(C496,ALUMNOS!A:B,2,FALSE)</f>
        <v>606</v>
      </c>
    </row>
    <row r="497" spans="1:35" x14ac:dyDescent="0.25">
      <c r="A497" t="s">
        <v>285</v>
      </c>
      <c r="B497" t="s">
        <v>109</v>
      </c>
      <c r="C497">
        <v>43648251</v>
      </c>
      <c r="D497" t="s">
        <v>306</v>
      </c>
      <c r="E497" t="s">
        <v>29</v>
      </c>
      <c r="F497" t="s">
        <v>245</v>
      </c>
      <c r="G497" t="s">
        <v>43</v>
      </c>
      <c r="H497">
        <v>2020</v>
      </c>
      <c r="I497" t="s">
        <v>60</v>
      </c>
      <c r="L497" t="s">
        <v>99</v>
      </c>
      <c r="AG497">
        <f t="shared" si="7"/>
        <v>1</v>
      </c>
      <c r="AH497">
        <f>'TABLA PREVIOS'!E497</f>
        <v>290</v>
      </c>
      <c r="AI497">
        <f>VLOOKUP(C497,ALUMNOS!A:B,2,FALSE)</f>
        <v>606</v>
      </c>
    </row>
    <row r="498" spans="1:35" x14ac:dyDescent="0.25">
      <c r="A498" t="s">
        <v>285</v>
      </c>
      <c r="B498" t="s">
        <v>109</v>
      </c>
      <c r="C498">
        <v>43929574</v>
      </c>
      <c r="D498" t="s">
        <v>307</v>
      </c>
      <c r="E498" t="s">
        <v>30</v>
      </c>
      <c r="F498" t="s">
        <v>245</v>
      </c>
      <c r="G498" t="s">
        <v>43</v>
      </c>
      <c r="H498">
        <v>2020</v>
      </c>
      <c r="I498" t="s">
        <v>60</v>
      </c>
      <c r="L498" t="s">
        <v>99</v>
      </c>
      <c r="AG498">
        <f t="shared" si="7"/>
        <v>1</v>
      </c>
      <c r="AH498">
        <f>'TABLA PREVIOS'!E498</f>
        <v>285</v>
      </c>
      <c r="AI498">
        <f>VLOOKUP(C498,ALUMNOS!A:B,2,FALSE)</f>
        <v>627</v>
      </c>
    </row>
    <row r="499" spans="1:35" x14ac:dyDescent="0.25">
      <c r="A499" t="s">
        <v>285</v>
      </c>
      <c r="B499" t="s">
        <v>109</v>
      </c>
      <c r="C499">
        <v>43929574</v>
      </c>
      <c r="D499" t="s">
        <v>307</v>
      </c>
      <c r="E499" t="s">
        <v>34</v>
      </c>
      <c r="F499" t="s">
        <v>245</v>
      </c>
      <c r="G499" t="s">
        <v>43</v>
      </c>
      <c r="H499">
        <v>2020</v>
      </c>
      <c r="I499" t="s">
        <v>60</v>
      </c>
      <c r="L499" t="s">
        <v>99</v>
      </c>
      <c r="AG499">
        <f t="shared" si="7"/>
        <v>1</v>
      </c>
      <c r="AH499">
        <f>'TABLA PREVIOS'!E499</f>
        <v>286</v>
      </c>
      <c r="AI499">
        <f>VLOOKUP(C499,ALUMNOS!A:B,2,FALSE)</f>
        <v>627</v>
      </c>
    </row>
    <row r="500" spans="1:35" x14ac:dyDescent="0.25">
      <c r="A500" t="s">
        <v>285</v>
      </c>
      <c r="B500" t="s">
        <v>109</v>
      </c>
      <c r="C500">
        <v>43929574</v>
      </c>
      <c r="D500" t="s">
        <v>307</v>
      </c>
      <c r="E500" t="s">
        <v>12</v>
      </c>
      <c r="F500" t="s">
        <v>245</v>
      </c>
      <c r="G500" t="s">
        <v>43</v>
      </c>
      <c r="H500">
        <v>2020</v>
      </c>
      <c r="I500" t="s">
        <v>60</v>
      </c>
      <c r="L500" t="s">
        <v>99</v>
      </c>
      <c r="AG500">
        <f t="shared" si="7"/>
        <v>1</v>
      </c>
      <c r="AH500">
        <f>'TABLA PREVIOS'!E500</f>
        <v>280</v>
      </c>
      <c r="AI500">
        <f>VLOOKUP(C500,ALUMNOS!A:B,2,FALSE)</f>
        <v>627</v>
      </c>
    </row>
    <row r="501" spans="1:35" x14ac:dyDescent="0.25">
      <c r="A501" t="s">
        <v>285</v>
      </c>
      <c r="B501" t="s">
        <v>109</v>
      </c>
      <c r="C501">
        <v>43929574</v>
      </c>
      <c r="D501" t="s">
        <v>307</v>
      </c>
      <c r="E501" t="s">
        <v>25</v>
      </c>
      <c r="F501" t="s">
        <v>245</v>
      </c>
      <c r="G501" t="s">
        <v>43</v>
      </c>
      <c r="H501">
        <v>2020</v>
      </c>
      <c r="I501" t="s">
        <v>60</v>
      </c>
      <c r="L501" t="s">
        <v>99</v>
      </c>
      <c r="AG501">
        <f t="shared" si="7"/>
        <v>1</v>
      </c>
      <c r="AH501">
        <f>'TABLA PREVIOS'!E501</f>
        <v>281</v>
      </c>
      <c r="AI501">
        <f>VLOOKUP(C501,ALUMNOS!A:B,2,FALSE)</f>
        <v>627</v>
      </c>
    </row>
    <row r="502" spans="1:35" x14ac:dyDescent="0.25">
      <c r="A502" t="s">
        <v>285</v>
      </c>
      <c r="B502" t="s">
        <v>109</v>
      </c>
      <c r="C502">
        <v>43929574</v>
      </c>
      <c r="D502" t="s">
        <v>307</v>
      </c>
      <c r="E502" t="s">
        <v>29</v>
      </c>
      <c r="F502" t="s">
        <v>245</v>
      </c>
      <c r="G502" t="s">
        <v>43</v>
      </c>
      <c r="H502">
        <v>2020</v>
      </c>
      <c r="I502" t="s">
        <v>60</v>
      </c>
      <c r="L502" t="s">
        <v>99</v>
      </c>
      <c r="AG502">
        <f t="shared" si="7"/>
        <v>1</v>
      </c>
      <c r="AH502">
        <f>'TABLA PREVIOS'!E502</f>
        <v>290</v>
      </c>
      <c r="AI502">
        <f>VLOOKUP(C502,ALUMNOS!A:B,2,FALSE)</f>
        <v>627</v>
      </c>
    </row>
    <row r="503" spans="1:35" x14ac:dyDescent="0.25">
      <c r="A503" t="s">
        <v>285</v>
      </c>
      <c r="B503" t="s">
        <v>109</v>
      </c>
      <c r="C503">
        <v>44168562</v>
      </c>
      <c r="D503" t="s">
        <v>308</v>
      </c>
      <c r="E503" t="s">
        <v>12</v>
      </c>
      <c r="F503" t="s">
        <v>220</v>
      </c>
      <c r="G503" t="s">
        <v>43</v>
      </c>
      <c r="H503">
        <v>2019</v>
      </c>
      <c r="I503" t="s">
        <v>60</v>
      </c>
      <c r="L503" t="s">
        <v>99</v>
      </c>
      <c r="AG503">
        <f t="shared" si="7"/>
        <v>1</v>
      </c>
      <c r="AH503">
        <f>'TABLA PREVIOS'!E503</f>
        <v>265</v>
      </c>
      <c r="AI503">
        <f>VLOOKUP(C503,ALUMNOS!A:B,2,FALSE)</f>
        <v>637</v>
      </c>
    </row>
    <row r="504" spans="1:35" x14ac:dyDescent="0.25">
      <c r="A504" t="s">
        <v>285</v>
      </c>
      <c r="B504" t="s">
        <v>109</v>
      </c>
      <c r="C504">
        <v>44168562</v>
      </c>
      <c r="D504" t="s">
        <v>308</v>
      </c>
      <c r="E504" t="s">
        <v>30</v>
      </c>
      <c r="F504" t="s">
        <v>245</v>
      </c>
      <c r="G504" t="s">
        <v>43</v>
      </c>
      <c r="H504">
        <v>2020</v>
      </c>
      <c r="I504" t="s">
        <v>60</v>
      </c>
      <c r="L504" t="s">
        <v>99</v>
      </c>
      <c r="AG504">
        <f t="shared" si="7"/>
        <v>1</v>
      </c>
      <c r="AH504">
        <f>'TABLA PREVIOS'!E504</f>
        <v>285</v>
      </c>
      <c r="AI504">
        <f>VLOOKUP(C504,ALUMNOS!A:B,2,FALSE)</f>
        <v>637</v>
      </c>
    </row>
    <row r="505" spans="1:35" x14ac:dyDescent="0.25">
      <c r="A505" t="s">
        <v>285</v>
      </c>
      <c r="B505" t="s">
        <v>109</v>
      </c>
      <c r="C505">
        <v>44168562</v>
      </c>
      <c r="D505" t="s">
        <v>308</v>
      </c>
      <c r="E505" t="s">
        <v>40</v>
      </c>
      <c r="F505" t="s">
        <v>245</v>
      </c>
      <c r="G505" t="s">
        <v>43</v>
      </c>
      <c r="H505">
        <v>2020</v>
      </c>
      <c r="I505" t="s">
        <v>60</v>
      </c>
      <c r="L505" t="s">
        <v>99</v>
      </c>
      <c r="AG505">
        <f t="shared" si="7"/>
        <v>1</v>
      </c>
      <c r="AH505">
        <f>'TABLA PREVIOS'!E505</f>
        <v>289</v>
      </c>
      <c r="AI505">
        <f>VLOOKUP(C505,ALUMNOS!A:B,2,FALSE)</f>
        <v>637</v>
      </c>
    </row>
    <row r="506" spans="1:35" x14ac:dyDescent="0.25">
      <c r="A506" t="s">
        <v>285</v>
      </c>
      <c r="B506" t="s">
        <v>109</v>
      </c>
      <c r="C506">
        <v>44168562</v>
      </c>
      <c r="D506" t="s">
        <v>308</v>
      </c>
      <c r="E506" t="s">
        <v>37</v>
      </c>
      <c r="F506" t="s">
        <v>245</v>
      </c>
      <c r="G506" t="s">
        <v>43</v>
      </c>
      <c r="H506">
        <v>2020</v>
      </c>
      <c r="I506" t="s">
        <v>60</v>
      </c>
      <c r="L506" t="s">
        <v>99</v>
      </c>
      <c r="AG506">
        <f t="shared" si="7"/>
        <v>1</v>
      </c>
      <c r="AH506">
        <f>'TABLA PREVIOS'!E506</f>
        <v>284</v>
      </c>
      <c r="AI506">
        <f>VLOOKUP(C506,ALUMNOS!A:B,2,FALSE)</f>
        <v>637</v>
      </c>
    </row>
    <row r="507" spans="1:35" x14ac:dyDescent="0.25">
      <c r="A507" t="s">
        <v>285</v>
      </c>
      <c r="B507" t="s">
        <v>109</v>
      </c>
      <c r="C507">
        <v>44168562</v>
      </c>
      <c r="D507" t="s">
        <v>308</v>
      </c>
      <c r="E507" t="s">
        <v>38</v>
      </c>
      <c r="F507" t="s">
        <v>245</v>
      </c>
      <c r="G507" t="s">
        <v>43</v>
      </c>
      <c r="H507">
        <v>2020</v>
      </c>
      <c r="I507" t="s">
        <v>60</v>
      </c>
      <c r="L507" t="s">
        <v>99</v>
      </c>
      <c r="AG507">
        <f t="shared" si="7"/>
        <v>1</v>
      </c>
      <c r="AH507">
        <f>'TABLA PREVIOS'!E507</f>
        <v>287</v>
      </c>
      <c r="AI507">
        <f>VLOOKUP(C507,ALUMNOS!A:B,2,FALSE)</f>
        <v>637</v>
      </c>
    </row>
    <row r="508" spans="1:35" x14ac:dyDescent="0.25">
      <c r="A508" t="s">
        <v>285</v>
      </c>
      <c r="B508" t="s">
        <v>109</v>
      </c>
      <c r="C508">
        <v>44168562</v>
      </c>
      <c r="D508" t="s">
        <v>308</v>
      </c>
      <c r="E508" t="s">
        <v>34</v>
      </c>
      <c r="F508" t="s">
        <v>245</v>
      </c>
      <c r="G508" t="s">
        <v>43</v>
      </c>
      <c r="H508">
        <v>2020</v>
      </c>
      <c r="I508" t="s">
        <v>60</v>
      </c>
      <c r="L508" t="s">
        <v>99</v>
      </c>
      <c r="AG508">
        <f t="shared" si="7"/>
        <v>1</v>
      </c>
      <c r="AH508">
        <f>'TABLA PREVIOS'!E508</f>
        <v>286</v>
      </c>
      <c r="AI508">
        <f>VLOOKUP(C508,ALUMNOS!A:B,2,FALSE)</f>
        <v>637</v>
      </c>
    </row>
    <row r="509" spans="1:35" x14ac:dyDescent="0.25">
      <c r="A509" t="s">
        <v>285</v>
      </c>
      <c r="B509" t="s">
        <v>109</v>
      </c>
      <c r="C509">
        <v>44168562</v>
      </c>
      <c r="D509" t="s">
        <v>308</v>
      </c>
      <c r="E509" t="s">
        <v>41</v>
      </c>
      <c r="F509" t="s">
        <v>245</v>
      </c>
      <c r="G509" t="s">
        <v>43</v>
      </c>
      <c r="H509">
        <v>2020</v>
      </c>
      <c r="I509" t="s">
        <v>60</v>
      </c>
      <c r="L509" t="s">
        <v>99</v>
      </c>
      <c r="AG509">
        <f t="shared" si="7"/>
        <v>1</v>
      </c>
      <c r="AH509">
        <f>'TABLA PREVIOS'!E509</f>
        <v>292</v>
      </c>
      <c r="AI509">
        <f>VLOOKUP(C509,ALUMNOS!A:B,2,FALSE)</f>
        <v>637</v>
      </c>
    </row>
    <row r="510" spans="1:35" x14ac:dyDescent="0.25">
      <c r="A510" t="s">
        <v>285</v>
      </c>
      <c r="B510" t="s">
        <v>109</v>
      </c>
      <c r="C510">
        <v>44168562</v>
      </c>
      <c r="D510" t="s">
        <v>308</v>
      </c>
      <c r="E510" t="s">
        <v>28</v>
      </c>
      <c r="F510" t="s">
        <v>245</v>
      </c>
      <c r="G510" t="s">
        <v>43</v>
      </c>
      <c r="H510">
        <v>2020</v>
      </c>
      <c r="I510" t="s">
        <v>60</v>
      </c>
      <c r="L510" t="s">
        <v>99</v>
      </c>
      <c r="AG510">
        <f t="shared" si="7"/>
        <v>1</v>
      </c>
      <c r="AH510">
        <f>'TABLA PREVIOS'!E510</f>
        <v>291</v>
      </c>
      <c r="AI510">
        <f>VLOOKUP(C510,ALUMNOS!A:B,2,FALSE)</f>
        <v>637</v>
      </c>
    </row>
    <row r="511" spans="1:35" x14ac:dyDescent="0.25">
      <c r="A511" t="s">
        <v>285</v>
      </c>
      <c r="B511" t="s">
        <v>109</v>
      </c>
      <c r="C511">
        <v>44168562</v>
      </c>
      <c r="D511" t="s">
        <v>308</v>
      </c>
      <c r="E511" t="s">
        <v>16</v>
      </c>
      <c r="F511" t="s">
        <v>245</v>
      </c>
      <c r="G511" t="s">
        <v>43</v>
      </c>
      <c r="H511">
        <v>2020</v>
      </c>
      <c r="I511" t="s">
        <v>60</v>
      </c>
      <c r="L511" t="s">
        <v>99</v>
      </c>
      <c r="AG511">
        <f t="shared" si="7"/>
        <v>1</v>
      </c>
      <c r="AH511">
        <f>'TABLA PREVIOS'!E511</f>
        <v>282</v>
      </c>
      <c r="AI511">
        <f>VLOOKUP(C511,ALUMNOS!A:B,2,FALSE)</f>
        <v>637</v>
      </c>
    </row>
    <row r="512" spans="1:35" x14ac:dyDescent="0.25">
      <c r="A512" t="s">
        <v>285</v>
      </c>
      <c r="B512" t="s">
        <v>109</v>
      </c>
      <c r="C512">
        <v>44168562</v>
      </c>
      <c r="D512" t="s">
        <v>308</v>
      </c>
      <c r="E512" t="s">
        <v>11</v>
      </c>
      <c r="F512" t="s">
        <v>245</v>
      </c>
      <c r="G512" t="s">
        <v>43</v>
      </c>
      <c r="H512">
        <v>2020</v>
      </c>
      <c r="I512" t="s">
        <v>60</v>
      </c>
      <c r="L512" t="s">
        <v>99</v>
      </c>
      <c r="AG512">
        <f t="shared" si="7"/>
        <v>1</v>
      </c>
      <c r="AH512">
        <f>'TABLA PREVIOS'!E512</f>
        <v>279</v>
      </c>
      <c r="AI512">
        <f>VLOOKUP(C512,ALUMNOS!A:B,2,FALSE)</f>
        <v>637</v>
      </c>
    </row>
    <row r="513" spans="1:35" x14ac:dyDescent="0.25">
      <c r="A513" t="s">
        <v>285</v>
      </c>
      <c r="B513" t="s">
        <v>109</v>
      </c>
      <c r="C513">
        <v>44168562</v>
      </c>
      <c r="D513" t="s">
        <v>308</v>
      </c>
      <c r="E513" t="s">
        <v>25</v>
      </c>
      <c r="F513" t="s">
        <v>245</v>
      </c>
      <c r="G513" t="s">
        <v>43</v>
      </c>
      <c r="H513">
        <v>2020</v>
      </c>
      <c r="I513" t="s">
        <v>60</v>
      </c>
      <c r="L513" t="s">
        <v>99</v>
      </c>
      <c r="AG513">
        <f t="shared" si="7"/>
        <v>1</v>
      </c>
      <c r="AH513">
        <f>'TABLA PREVIOS'!E513</f>
        <v>281</v>
      </c>
      <c r="AI513">
        <f>VLOOKUP(C513,ALUMNOS!A:B,2,FALSE)</f>
        <v>637</v>
      </c>
    </row>
    <row r="514" spans="1:35" x14ac:dyDescent="0.25">
      <c r="A514" t="s">
        <v>285</v>
      </c>
      <c r="B514" t="s">
        <v>109</v>
      </c>
      <c r="C514">
        <v>44168562</v>
      </c>
      <c r="D514" t="s">
        <v>308</v>
      </c>
      <c r="E514" t="s">
        <v>29</v>
      </c>
      <c r="F514" t="s">
        <v>245</v>
      </c>
      <c r="G514" t="s">
        <v>43</v>
      </c>
      <c r="H514">
        <v>2020</v>
      </c>
      <c r="I514" t="s">
        <v>60</v>
      </c>
      <c r="L514" t="s">
        <v>99</v>
      </c>
      <c r="AG514">
        <f t="shared" si="7"/>
        <v>1</v>
      </c>
      <c r="AH514">
        <f>'TABLA PREVIOS'!E514</f>
        <v>290</v>
      </c>
      <c r="AI514">
        <f>VLOOKUP(C514,ALUMNOS!A:B,2,FALSE)</f>
        <v>637</v>
      </c>
    </row>
    <row r="515" spans="1:35" x14ac:dyDescent="0.25">
      <c r="A515" t="s">
        <v>285</v>
      </c>
      <c r="B515" t="s">
        <v>109</v>
      </c>
      <c r="C515">
        <v>44899046</v>
      </c>
      <c r="D515" t="s">
        <v>309</v>
      </c>
      <c r="E515" t="s">
        <v>11</v>
      </c>
      <c r="F515" t="s">
        <v>245</v>
      </c>
      <c r="G515" t="s">
        <v>43</v>
      </c>
      <c r="H515">
        <v>2020</v>
      </c>
      <c r="I515" t="s">
        <v>60</v>
      </c>
      <c r="K515" t="s">
        <v>310</v>
      </c>
      <c r="L515" t="s">
        <v>99</v>
      </c>
      <c r="AG515">
        <f t="shared" ref="AG515:AG578" si="8">IF(VALUE(MAX(N515,R515,V515,Z515,AC515,))&gt;=7,VALUE(MAX(N515,R515,V515,Z515,AC515,)),1)</f>
        <v>1</v>
      </c>
      <c r="AH515">
        <f>'TABLA PREVIOS'!E515</f>
        <v>279</v>
      </c>
      <c r="AI515">
        <f>VLOOKUP(C515,ALUMNOS!A:B,2,FALSE)</f>
        <v>701</v>
      </c>
    </row>
    <row r="516" spans="1:35" x14ac:dyDescent="0.25">
      <c r="A516" t="s">
        <v>285</v>
      </c>
      <c r="B516" t="s">
        <v>109</v>
      </c>
      <c r="C516">
        <v>44686779</v>
      </c>
      <c r="D516" t="s">
        <v>311</v>
      </c>
      <c r="E516" t="s">
        <v>40</v>
      </c>
      <c r="F516" t="s">
        <v>245</v>
      </c>
      <c r="G516" t="s">
        <v>43</v>
      </c>
      <c r="H516">
        <v>2020</v>
      </c>
      <c r="I516" t="s">
        <v>60</v>
      </c>
      <c r="L516" t="s">
        <v>99</v>
      </c>
      <c r="AG516">
        <f t="shared" si="8"/>
        <v>1</v>
      </c>
      <c r="AH516">
        <f>'TABLA PREVIOS'!E516</f>
        <v>289</v>
      </c>
      <c r="AI516">
        <f>VLOOKUP(C516,ALUMNOS!A:B,2,FALSE)</f>
        <v>769</v>
      </c>
    </row>
    <row r="517" spans="1:35" x14ac:dyDescent="0.25">
      <c r="A517" t="s">
        <v>285</v>
      </c>
      <c r="B517" t="s">
        <v>109</v>
      </c>
      <c r="C517">
        <v>44686779</v>
      </c>
      <c r="D517" t="s">
        <v>311</v>
      </c>
      <c r="E517" t="s">
        <v>38</v>
      </c>
      <c r="F517" t="s">
        <v>245</v>
      </c>
      <c r="G517" t="s">
        <v>43</v>
      </c>
      <c r="H517">
        <v>2020</v>
      </c>
      <c r="I517" t="s">
        <v>60</v>
      </c>
      <c r="L517" t="s">
        <v>99</v>
      </c>
      <c r="AG517">
        <f t="shared" si="8"/>
        <v>1</v>
      </c>
      <c r="AH517">
        <f>'TABLA PREVIOS'!E517</f>
        <v>287</v>
      </c>
      <c r="AI517">
        <f>VLOOKUP(C517,ALUMNOS!A:B,2,FALSE)</f>
        <v>769</v>
      </c>
    </row>
    <row r="518" spans="1:35" x14ac:dyDescent="0.25">
      <c r="A518" t="s">
        <v>285</v>
      </c>
      <c r="B518" t="s">
        <v>109</v>
      </c>
      <c r="C518">
        <v>44686779</v>
      </c>
      <c r="D518" t="s">
        <v>311</v>
      </c>
      <c r="E518" t="s">
        <v>34</v>
      </c>
      <c r="F518" t="s">
        <v>245</v>
      </c>
      <c r="G518" t="s">
        <v>43</v>
      </c>
      <c r="H518">
        <v>2020</v>
      </c>
      <c r="I518" t="s">
        <v>60</v>
      </c>
      <c r="L518" t="s">
        <v>99</v>
      </c>
      <c r="AG518">
        <f t="shared" si="8"/>
        <v>1</v>
      </c>
      <c r="AH518">
        <f>'TABLA PREVIOS'!E518</f>
        <v>286</v>
      </c>
      <c r="AI518">
        <f>VLOOKUP(C518,ALUMNOS!A:B,2,FALSE)</f>
        <v>769</v>
      </c>
    </row>
    <row r="519" spans="1:35" x14ac:dyDescent="0.25">
      <c r="A519" t="s">
        <v>285</v>
      </c>
      <c r="B519" t="s">
        <v>109</v>
      </c>
      <c r="C519">
        <v>44686779</v>
      </c>
      <c r="D519" t="s">
        <v>311</v>
      </c>
      <c r="E519" t="s">
        <v>41</v>
      </c>
      <c r="F519" t="s">
        <v>245</v>
      </c>
      <c r="G519" t="s">
        <v>43</v>
      </c>
      <c r="H519">
        <v>2020</v>
      </c>
      <c r="I519" t="s">
        <v>60</v>
      </c>
      <c r="L519" t="s">
        <v>99</v>
      </c>
      <c r="AG519">
        <f t="shared" si="8"/>
        <v>1</v>
      </c>
      <c r="AH519">
        <f>'TABLA PREVIOS'!E519</f>
        <v>292</v>
      </c>
      <c r="AI519">
        <f>VLOOKUP(C519,ALUMNOS!A:B,2,FALSE)</f>
        <v>769</v>
      </c>
    </row>
    <row r="520" spans="1:35" x14ac:dyDescent="0.25">
      <c r="A520" t="s">
        <v>285</v>
      </c>
      <c r="B520" t="s">
        <v>109</v>
      </c>
      <c r="C520">
        <v>44686779</v>
      </c>
      <c r="D520" t="s">
        <v>311</v>
      </c>
      <c r="E520" t="s">
        <v>11</v>
      </c>
      <c r="F520" t="s">
        <v>245</v>
      </c>
      <c r="G520" t="s">
        <v>43</v>
      </c>
      <c r="H520">
        <v>2020</v>
      </c>
      <c r="I520" t="s">
        <v>60</v>
      </c>
      <c r="L520" t="s">
        <v>99</v>
      </c>
      <c r="AG520">
        <f t="shared" si="8"/>
        <v>1</v>
      </c>
      <c r="AH520">
        <f>'TABLA PREVIOS'!E520</f>
        <v>279</v>
      </c>
      <c r="AI520">
        <f>VLOOKUP(C520,ALUMNOS!A:B,2,FALSE)</f>
        <v>769</v>
      </c>
    </row>
    <row r="521" spans="1:35" x14ac:dyDescent="0.25">
      <c r="A521" t="s">
        <v>285</v>
      </c>
      <c r="B521" t="s">
        <v>109</v>
      </c>
      <c r="C521">
        <v>44686779</v>
      </c>
      <c r="D521" t="s">
        <v>311</v>
      </c>
      <c r="E521" t="s">
        <v>12</v>
      </c>
      <c r="F521" t="s">
        <v>245</v>
      </c>
      <c r="G521" t="s">
        <v>43</v>
      </c>
      <c r="H521">
        <v>2020</v>
      </c>
      <c r="I521" t="s">
        <v>60</v>
      </c>
      <c r="K521" t="s">
        <v>312</v>
      </c>
      <c r="L521" t="s">
        <v>99</v>
      </c>
      <c r="AG521">
        <f t="shared" si="8"/>
        <v>1</v>
      </c>
      <c r="AH521">
        <f>'TABLA PREVIOS'!E521</f>
        <v>280</v>
      </c>
      <c r="AI521">
        <f>VLOOKUP(C521,ALUMNOS!A:B,2,FALSE)</f>
        <v>769</v>
      </c>
    </row>
    <row r="522" spans="1:35" x14ac:dyDescent="0.25">
      <c r="A522" t="s">
        <v>285</v>
      </c>
      <c r="B522" t="s">
        <v>109</v>
      </c>
      <c r="C522">
        <v>44686779</v>
      </c>
      <c r="D522" t="s">
        <v>311</v>
      </c>
      <c r="E522" t="s">
        <v>25</v>
      </c>
      <c r="F522" t="s">
        <v>245</v>
      </c>
      <c r="G522" t="s">
        <v>43</v>
      </c>
      <c r="H522">
        <v>2020</v>
      </c>
      <c r="I522" t="s">
        <v>60</v>
      </c>
      <c r="L522" t="s">
        <v>99</v>
      </c>
      <c r="AG522">
        <f t="shared" si="8"/>
        <v>1</v>
      </c>
      <c r="AH522">
        <f>'TABLA PREVIOS'!E522</f>
        <v>281</v>
      </c>
      <c r="AI522">
        <f>VLOOKUP(C522,ALUMNOS!A:B,2,FALSE)</f>
        <v>769</v>
      </c>
    </row>
    <row r="523" spans="1:35" x14ac:dyDescent="0.25">
      <c r="A523" t="s">
        <v>285</v>
      </c>
      <c r="B523" t="s">
        <v>128</v>
      </c>
      <c r="C523">
        <v>43609639</v>
      </c>
      <c r="D523" t="s">
        <v>313</v>
      </c>
      <c r="E523" t="s">
        <v>11</v>
      </c>
      <c r="F523" t="s">
        <v>220</v>
      </c>
      <c r="G523" t="s">
        <v>43</v>
      </c>
      <c r="H523">
        <v>2019</v>
      </c>
      <c r="I523" t="s">
        <v>60</v>
      </c>
      <c r="L523" t="s">
        <v>99</v>
      </c>
      <c r="AG523">
        <f t="shared" si="8"/>
        <v>1</v>
      </c>
      <c r="AH523">
        <f>'TABLA PREVIOS'!E523</f>
        <v>264</v>
      </c>
      <c r="AI523">
        <f>VLOOKUP(C523,ALUMNOS!A:B,2,FALSE)</f>
        <v>11</v>
      </c>
    </row>
    <row r="524" spans="1:35" x14ac:dyDescent="0.25">
      <c r="A524" t="s">
        <v>285</v>
      </c>
      <c r="B524" t="s">
        <v>128</v>
      </c>
      <c r="C524">
        <v>43609639</v>
      </c>
      <c r="D524" t="s">
        <v>313</v>
      </c>
      <c r="E524" t="s">
        <v>16</v>
      </c>
      <c r="F524" t="s">
        <v>245</v>
      </c>
      <c r="G524" t="s">
        <v>43</v>
      </c>
      <c r="H524">
        <v>2020</v>
      </c>
      <c r="I524" t="s">
        <v>60</v>
      </c>
      <c r="L524" t="s">
        <v>99</v>
      </c>
      <c r="AG524">
        <f t="shared" si="8"/>
        <v>1</v>
      </c>
      <c r="AH524">
        <f>'TABLA PREVIOS'!E524</f>
        <v>282</v>
      </c>
      <c r="AI524">
        <f>VLOOKUP(C524,ALUMNOS!A:B,2,FALSE)</f>
        <v>11</v>
      </c>
    </row>
    <row r="525" spans="1:35" x14ac:dyDescent="0.25">
      <c r="A525" t="s">
        <v>285</v>
      </c>
      <c r="B525" t="s">
        <v>128</v>
      </c>
      <c r="C525">
        <v>43609639</v>
      </c>
      <c r="D525" t="s">
        <v>313</v>
      </c>
      <c r="E525" t="s">
        <v>11</v>
      </c>
      <c r="F525" t="s">
        <v>245</v>
      </c>
      <c r="G525" t="s">
        <v>43</v>
      </c>
      <c r="H525">
        <v>2020</v>
      </c>
      <c r="I525" t="s">
        <v>60</v>
      </c>
      <c r="L525" t="s">
        <v>99</v>
      </c>
      <c r="AG525">
        <f t="shared" si="8"/>
        <v>1</v>
      </c>
      <c r="AH525">
        <f>'TABLA PREVIOS'!E525</f>
        <v>279</v>
      </c>
      <c r="AI525">
        <f>VLOOKUP(C525,ALUMNOS!A:B,2,FALSE)</f>
        <v>11</v>
      </c>
    </row>
    <row r="526" spans="1:35" x14ac:dyDescent="0.25">
      <c r="A526" t="s">
        <v>285</v>
      </c>
      <c r="B526" t="s">
        <v>128</v>
      </c>
      <c r="C526">
        <v>43609639</v>
      </c>
      <c r="D526" t="s">
        <v>313</v>
      </c>
      <c r="E526" t="s">
        <v>12</v>
      </c>
      <c r="F526" t="s">
        <v>245</v>
      </c>
      <c r="G526" t="s">
        <v>43</v>
      </c>
      <c r="H526">
        <v>2020</v>
      </c>
      <c r="I526" t="s">
        <v>60</v>
      </c>
      <c r="L526" t="s">
        <v>99</v>
      </c>
      <c r="AG526">
        <f t="shared" si="8"/>
        <v>1</v>
      </c>
      <c r="AH526">
        <f>'TABLA PREVIOS'!E526</f>
        <v>280</v>
      </c>
      <c r="AI526">
        <f>VLOOKUP(C526,ALUMNOS!A:B,2,FALSE)</f>
        <v>11</v>
      </c>
    </row>
    <row r="527" spans="1:35" x14ac:dyDescent="0.25">
      <c r="A527" t="s">
        <v>285</v>
      </c>
      <c r="B527" t="s">
        <v>128</v>
      </c>
      <c r="C527">
        <v>44642031</v>
      </c>
      <c r="D527" t="s">
        <v>314</v>
      </c>
      <c r="E527" t="s">
        <v>30</v>
      </c>
      <c r="F527" t="s">
        <v>245</v>
      </c>
      <c r="G527" t="s">
        <v>43</v>
      </c>
      <c r="H527">
        <v>2020</v>
      </c>
      <c r="I527" t="s">
        <v>60</v>
      </c>
      <c r="L527" t="s">
        <v>99</v>
      </c>
      <c r="AG527">
        <f t="shared" si="8"/>
        <v>1</v>
      </c>
      <c r="AH527">
        <f>'TABLA PREVIOS'!E527</f>
        <v>285</v>
      </c>
      <c r="AI527">
        <f>VLOOKUP(C527,ALUMNOS!A:B,2,FALSE)</f>
        <v>20</v>
      </c>
    </row>
    <row r="528" spans="1:35" x14ac:dyDescent="0.25">
      <c r="A528" t="s">
        <v>285</v>
      </c>
      <c r="B528" t="s">
        <v>128</v>
      </c>
      <c r="C528">
        <v>44642031</v>
      </c>
      <c r="D528" t="s">
        <v>314</v>
      </c>
      <c r="E528" t="s">
        <v>40</v>
      </c>
      <c r="F528" t="s">
        <v>245</v>
      </c>
      <c r="G528" t="s">
        <v>43</v>
      </c>
      <c r="H528">
        <v>2020</v>
      </c>
      <c r="I528" t="s">
        <v>60</v>
      </c>
      <c r="L528" t="s">
        <v>99</v>
      </c>
      <c r="AG528">
        <f t="shared" si="8"/>
        <v>1</v>
      </c>
      <c r="AH528">
        <f>'TABLA PREVIOS'!E528</f>
        <v>289</v>
      </c>
      <c r="AI528">
        <f>VLOOKUP(C528,ALUMNOS!A:B,2,FALSE)</f>
        <v>20</v>
      </c>
    </row>
    <row r="529" spans="1:35" x14ac:dyDescent="0.25">
      <c r="A529" t="s">
        <v>285</v>
      </c>
      <c r="B529" t="s">
        <v>128</v>
      </c>
      <c r="C529">
        <v>44642031</v>
      </c>
      <c r="D529" t="s">
        <v>314</v>
      </c>
      <c r="E529" t="s">
        <v>34</v>
      </c>
      <c r="F529" t="s">
        <v>245</v>
      </c>
      <c r="G529" t="s">
        <v>43</v>
      </c>
      <c r="H529">
        <v>2020</v>
      </c>
      <c r="I529" t="s">
        <v>60</v>
      </c>
      <c r="L529" t="s">
        <v>99</v>
      </c>
      <c r="AG529">
        <f t="shared" si="8"/>
        <v>1</v>
      </c>
      <c r="AH529">
        <f>'TABLA PREVIOS'!E529</f>
        <v>286</v>
      </c>
      <c r="AI529">
        <f>VLOOKUP(C529,ALUMNOS!A:B,2,FALSE)</f>
        <v>20</v>
      </c>
    </row>
    <row r="530" spans="1:35" x14ac:dyDescent="0.25">
      <c r="A530" t="s">
        <v>285</v>
      </c>
      <c r="B530" t="s">
        <v>128</v>
      </c>
      <c r="C530">
        <v>44642031</v>
      </c>
      <c r="D530" t="s">
        <v>314</v>
      </c>
      <c r="E530" t="s">
        <v>12</v>
      </c>
      <c r="F530" t="s">
        <v>245</v>
      </c>
      <c r="G530" t="s">
        <v>43</v>
      </c>
      <c r="H530">
        <v>2020</v>
      </c>
      <c r="I530" t="s">
        <v>60</v>
      </c>
      <c r="L530" t="s">
        <v>99</v>
      </c>
      <c r="AG530">
        <f t="shared" si="8"/>
        <v>1</v>
      </c>
      <c r="AH530">
        <f>'TABLA PREVIOS'!E530</f>
        <v>280</v>
      </c>
      <c r="AI530">
        <f>VLOOKUP(C530,ALUMNOS!A:B,2,FALSE)</f>
        <v>20</v>
      </c>
    </row>
    <row r="531" spans="1:35" x14ac:dyDescent="0.25">
      <c r="A531" t="s">
        <v>285</v>
      </c>
      <c r="B531" t="s">
        <v>128</v>
      </c>
      <c r="C531">
        <v>44642031</v>
      </c>
      <c r="D531" t="s">
        <v>314</v>
      </c>
      <c r="E531" t="s">
        <v>29</v>
      </c>
      <c r="F531" t="s">
        <v>245</v>
      </c>
      <c r="G531" t="s">
        <v>43</v>
      </c>
      <c r="H531">
        <v>2020</v>
      </c>
      <c r="I531" t="s">
        <v>60</v>
      </c>
      <c r="L531" t="s">
        <v>99</v>
      </c>
      <c r="AG531">
        <f t="shared" si="8"/>
        <v>1</v>
      </c>
      <c r="AH531">
        <f>'TABLA PREVIOS'!E531</f>
        <v>290</v>
      </c>
      <c r="AI531">
        <f>VLOOKUP(C531,ALUMNOS!A:B,2,FALSE)</f>
        <v>20</v>
      </c>
    </row>
    <row r="532" spans="1:35" x14ac:dyDescent="0.25">
      <c r="A532" t="s">
        <v>285</v>
      </c>
      <c r="B532" t="s">
        <v>128</v>
      </c>
      <c r="C532">
        <v>44372170</v>
      </c>
      <c r="D532" t="s">
        <v>315</v>
      </c>
      <c r="E532" t="s">
        <v>11</v>
      </c>
      <c r="F532" t="s">
        <v>95</v>
      </c>
      <c r="G532" t="s">
        <v>43</v>
      </c>
      <c r="H532">
        <v>2016</v>
      </c>
      <c r="I532" t="s">
        <v>59</v>
      </c>
      <c r="L532" t="s">
        <v>99</v>
      </c>
      <c r="AG532">
        <f t="shared" si="8"/>
        <v>1</v>
      </c>
      <c r="AH532">
        <f>'TABLA PREVIOS'!E532</f>
        <v>229</v>
      </c>
      <c r="AI532">
        <f>VLOOKUP(C532,ALUMNOS!A:B,2,FALSE)</f>
        <v>46</v>
      </c>
    </row>
    <row r="533" spans="1:35" x14ac:dyDescent="0.25">
      <c r="A533" t="s">
        <v>285</v>
      </c>
      <c r="B533" t="s">
        <v>128</v>
      </c>
      <c r="C533">
        <v>44372170</v>
      </c>
      <c r="D533" t="s">
        <v>315</v>
      </c>
      <c r="E533" t="s">
        <v>27</v>
      </c>
      <c r="F533" t="s">
        <v>220</v>
      </c>
      <c r="G533" t="s">
        <v>43</v>
      </c>
      <c r="H533">
        <v>2019</v>
      </c>
      <c r="I533" t="s">
        <v>60</v>
      </c>
      <c r="L533" t="s">
        <v>99</v>
      </c>
      <c r="AG533">
        <f t="shared" si="8"/>
        <v>1</v>
      </c>
      <c r="AH533">
        <f>'TABLA PREVIOS'!E533</f>
        <v>268</v>
      </c>
      <c r="AI533">
        <f>VLOOKUP(C533,ALUMNOS!A:B,2,FALSE)</f>
        <v>46</v>
      </c>
    </row>
    <row r="534" spans="1:35" x14ac:dyDescent="0.25">
      <c r="A534" t="s">
        <v>285</v>
      </c>
      <c r="B534" t="s">
        <v>128</v>
      </c>
      <c r="C534">
        <v>44372170</v>
      </c>
      <c r="D534" t="s">
        <v>315</v>
      </c>
      <c r="E534" t="s">
        <v>12</v>
      </c>
      <c r="F534" t="s">
        <v>220</v>
      </c>
      <c r="G534" t="s">
        <v>43</v>
      </c>
      <c r="H534">
        <v>2019</v>
      </c>
      <c r="I534" t="s">
        <v>60</v>
      </c>
      <c r="L534" t="s">
        <v>99</v>
      </c>
      <c r="AG534">
        <f t="shared" si="8"/>
        <v>1</v>
      </c>
      <c r="AH534">
        <f>'TABLA PREVIOS'!E534</f>
        <v>265</v>
      </c>
      <c r="AI534">
        <f>VLOOKUP(C534,ALUMNOS!A:B,2,FALSE)</f>
        <v>46</v>
      </c>
    </row>
    <row r="535" spans="1:35" x14ac:dyDescent="0.25">
      <c r="A535" t="s">
        <v>285</v>
      </c>
      <c r="B535" t="s">
        <v>128</v>
      </c>
      <c r="C535">
        <v>44372170</v>
      </c>
      <c r="D535" t="s">
        <v>315</v>
      </c>
      <c r="E535" t="s">
        <v>30</v>
      </c>
      <c r="F535" t="s">
        <v>245</v>
      </c>
      <c r="G535" t="s">
        <v>43</v>
      </c>
      <c r="H535">
        <v>2020</v>
      </c>
      <c r="I535" t="s">
        <v>60</v>
      </c>
      <c r="L535" t="s">
        <v>99</v>
      </c>
      <c r="AG535">
        <f t="shared" si="8"/>
        <v>1</v>
      </c>
      <c r="AH535">
        <f>'TABLA PREVIOS'!E535</f>
        <v>285</v>
      </c>
      <c r="AI535">
        <f>VLOOKUP(C535,ALUMNOS!A:B,2,FALSE)</f>
        <v>46</v>
      </c>
    </row>
    <row r="536" spans="1:35" x14ac:dyDescent="0.25">
      <c r="A536" t="s">
        <v>285</v>
      </c>
      <c r="B536" t="s">
        <v>128</v>
      </c>
      <c r="C536">
        <v>44372170</v>
      </c>
      <c r="D536" t="s">
        <v>315</v>
      </c>
      <c r="E536" t="s">
        <v>37</v>
      </c>
      <c r="F536" t="s">
        <v>245</v>
      </c>
      <c r="G536" t="s">
        <v>43</v>
      </c>
      <c r="H536">
        <v>2020</v>
      </c>
      <c r="I536" t="s">
        <v>60</v>
      </c>
      <c r="L536" t="s">
        <v>99</v>
      </c>
      <c r="AG536">
        <f t="shared" si="8"/>
        <v>1</v>
      </c>
      <c r="AH536">
        <f>'TABLA PREVIOS'!E536</f>
        <v>284</v>
      </c>
      <c r="AI536">
        <f>VLOOKUP(C536,ALUMNOS!A:B,2,FALSE)</f>
        <v>46</v>
      </c>
    </row>
    <row r="537" spans="1:35" x14ac:dyDescent="0.25">
      <c r="A537" t="s">
        <v>285</v>
      </c>
      <c r="B537" t="s">
        <v>128</v>
      </c>
      <c r="C537">
        <v>44372170</v>
      </c>
      <c r="D537" t="s">
        <v>315</v>
      </c>
      <c r="E537" t="s">
        <v>38</v>
      </c>
      <c r="F537" t="s">
        <v>245</v>
      </c>
      <c r="G537" t="s">
        <v>43</v>
      </c>
      <c r="H537">
        <v>2020</v>
      </c>
      <c r="I537" t="s">
        <v>60</v>
      </c>
      <c r="L537" t="s">
        <v>99</v>
      </c>
      <c r="AG537">
        <f t="shared" si="8"/>
        <v>1</v>
      </c>
      <c r="AH537">
        <f>'TABLA PREVIOS'!E537</f>
        <v>287</v>
      </c>
      <c r="AI537">
        <f>VLOOKUP(C537,ALUMNOS!A:B,2,FALSE)</f>
        <v>46</v>
      </c>
    </row>
    <row r="538" spans="1:35" x14ac:dyDescent="0.25">
      <c r="A538" t="s">
        <v>285</v>
      </c>
      <c r="B538" t="s">
        <v>128</v>
      </c>
      <c r="C538">
        <v>44372170</v>
      </c>
      <c r="D538" t="s">
        <v>315</v>
      </c>
      <c r="E538" t="s">
        <v>34</v>
      </c>
      <c r="F538" t="s">
        <v>245</v>
      </c>
      <c r="G538" t="s">
        <v>43</v>
      </c>
      <c r="H538">
        <v>2020</v>
      </c>
      <c r="I538" t="s">
        <v>60</v>
      </c>
      <c r="L538" t="s">
        <v>99</v>
      </c>
      <c r="AG538">
        <f t="shared" si="8"/>
        <v>1</v>
      </c>
      <c r="AH538">
        <f>'TABLA PREVIOS'!E538</f>
        <v>286</v>
      </c>
      <c r="AI538">
        <f>VLOOKUP(C538,ALUMNOS!A:B,2,FALSE)</f>
        <v>46</v>
      </c>
    </row>
    <row r="539" spans="1:35" x14ac:dyDescent="0.25">
      <c r="A539" t="s">
        <v>285</v>
      </c>
      <c r="B539" t="s">
        <v>128</v>
      </c>
      <c r="C539">
        <v>44372170</v>
      </c>
      <c r="D539" t="s">
        <v>315</v>
      </c>
      <c r="E539" t="s">
        <v>41</v>
      </c>
      <c r="F539" t="s">
        <v>245</v>
      </c>
      <c r="G539" t="s">
        <v>43</v>
      </c>
      <c r="H539">
        <v>2020</v>
      </c>
      <c r="I539" t="s">
        <v>60</v>
      </c>
      <c r="L539" t="s">
        <v>99</v>
      </c>
      <c r="AG539">
        <f t="shared" si="8"/>
        <v>1</v>
      </c>
      <c r="AH539">
        <f>'TABLA PREVIOS'!E539</f>
        <v>292</v>
      </c>
      <c r="AI539">
        <f>VLOOKUP(C539,ALUMNOS!A:B,2,FALSE)</f>
        <v>46</v>
      </c>
    </row>
    <row r="540" spans="1:35" x14ac:dyDescent="0.25">
      <c r="A540" t="s">
        <v>285</v>
      </c>
      <c r="B540" t="s">
        <v>128</v>
      </c>
      <c r="C540">
        <v>44372170</v>
      </c>
      <c r="D540" t="s">
        <v>315</v>
      </c>
      <c r="E540" t="s">
        <v>28</v>
      </c>
      <c r="F540" t="s">
        <v>245</v>
      </c>
      <c r="G540" t="s">
        <v>43</v>
      </c>
      <c r="H540">
        <v>2020</v>
      </c>
      <c r="I540" t="s">
        <v>60</v>
      </c>
      <c r="L540" t="s">
        <v>99</v>
      </c>
      <c r="AG540">
        <f t="shared" si="8"/>
        <v>1</v>
      </c>
      <c r="AH540">
        <f>'TABLA PREVIOS'!E540</f>
        <v>291</v>
      </c>
      <c r="AI540">
        <f>VLOOKUP(C540,ALUMNOS!A:B,2,FALSE)</f>
        <v>46</v>
      </c>
    </row>
    <row r="541" spans="1:35" x14ac:dyDescent="0.25">
      <c r="A541" t="s">
        <v>285</v>
      </c>
      <c r="B541" t="s">
        <v>128</v>
      </c>
      <c r="C541">
        <v>44372170</v>
      </c>
      <c r="D541" t="s">
        <v>315</v>
      </c>
      <c r="E541" t="s">
        <v>16</v>
      </c>
      <c r="F541" t="s">
        <v>245</v>
      </c>
      <c r="G541" t="s">
        <v>43</v>
      </c>
      <c r="H541">
        <v>2020</v>
      </c>
      <c r="I541" t="s">
        <v>60</v>
      </c>
      <c r="L541" t="s">
        <v>99</v>
      </c>
      <c r="AG541">
        <f t="shared" si="8"/>
        <v>1</v>
      </c>
      <c r="AH541">
        <f>'TABLA PREVIOS'!E541</f>
        <v>282</v>
      </c>
      <c r="AI541">
        <f>VLOOKUP(C541,ALUMNOS!A:B,2,FALSE)</f>
        <v>46</v>
      </c>
    </row>
    <row r="542" spans="1:35" x14ac:dyDescent="0.25">
      <c r="A542" t="s">
        <v>285</v>
      </c>
      <c r="B542" t="s">
        <v>128</v>
      </c>
      <c r="C542">
        <v>44372170</v>
      </c>
      <c r="D542" t="s">
        <v>315</v>
      </c>
      <c r="E542" t="s">
        <v>11</v>
      </c>
      <c r="F542" t="s">
        <v>245</v>
      </c>
      <c r="G542" t="s">
        <v>43</v>
      </c>
      <c r="H542">
        <v>2020</v>
      </c>
      <c r="I542" t="s">
        <v>60</v>
      </c>
      <c r="L542" t="s">
        <v>99</v>
      </c>
      <c r="AG542">
        <f t="shared" si="8"/>
        <v>1</v>
      </c>
      <c r="AH542">
        <f>'TABLA PREVIOS'!E542</f>
        <v>279</v>
      </c>
      <c r="AI542">
        <f>VLOOKUP(C542,ALUMNOS!A:B,2,FALSE)</f>
        <v>46</v>
      </c>
    </row>
    <row r="543" spans="1:35" x14ac:dyDescent="0.25">
      <c r="A543" t="s">
        <v>285</v>
      </c>
      <c r="B543" t="s">
        <v>128</v>
      </c>
      <c r="C543">
        <v>44372170</v>
      </c>
      <c r="D543" t="s">
        <v>315</v>
      </c>
      <c r="E543" t="s">
        <v>12</v>
      </c>
      <c r="F543" t="s">
        <v>245</v>
      </c>
      <c r="G543" t="s">
        <v>43</v>
      </c>
      <c r="H543">
        <v>2020</v>
      </c>
      <c r="I543" t="s">
        <v>60</v>
      </c>
      <c r="L543" t="s">
        <v>99</v>
      </c>
      <c r="AG543">
        <f t="shared" si="8"/>
        <v>1</v>
      </c>
      <c r="AH543">
        <f>'TABLA PREVIOS'!E543</f>
        <v>280</v>
      </c>
      <c r="AI543">
        <f>VLOOKUP(C543,ALUMNOS!A:B,2,FALSE)</f>
        <v>46</v>
      </c>
    </row>
    <row r="544" spans="1:35" x14ac:dyDescent="0.25">
      <c r="A544" t="s">
        <v>285</v>
      </c>
      <c r="B544" t="s">
        <v>128</v>
      </c>
      <c r="C544">
        <v>44372170</v>
      </c>
      <c r="D544" t="s">
        <v>315</v>
      </c>
      <c r="E544" t="s">
        <v>25</v>
      </c>
      <c r="F544" t="s">
        <v>245</v>
      </c>
      <c r="G544" t="s">
        <v>43</v>
      </c>
      <c r="H544">
        <v>2020</v>
      </c>
      <c r="I544" t="s">
        <v>60</v>
      </c>
      <c r="L544" t="s">
        <v>99</v>
      </c>
      <c r="AG544">
        <f t="shared" si="8"/>
        <v>1</v>
      </c>
      <c r="AH544">
        <f>'TABLA PREVIOS'!E544</f>
        <v>281</v>
      </c>
      <c r="AI544">
        <f>VLOOKUP(C544,ALUMNOS!A:B,2,FALSE)</f>
        <v>46</v>
      </c>
    </row>
    <row r="545" spans="1:35" x14ac:dyDescent="0.25">
      <c r="A545" t="s">
        <v>285</v>
      </c>
      <c r="B545" t="s">
        <v>128</v>
      </c>
      <c r="C545">
        <v>44372170</v>
      </c>
      <c r="D545" t="s">
        <v>315</v>
      </c>
      <c r="E545" t="s">
        <v>39</v>
      </c>
      <c r="F545" t="s">
        <v>245</v>
      </c>
      <c r="G545" t="s">
        <v>43</v>
      </c>
      <c r="H545">
        <v>2020</v>
      </c>
      <c r="I545" t="s">
        <v>60</v>
      </c>
      <c r="L545" t="s">
        <v>99</v>
      </c>
      <c r="AG545">
        <f t="shared" si="8"/>
        <v>1</v>
      </c>
      <c r="AH545">
        <f>'TABLA PREVIOS'!E545</f>
        <v>288</v>
      </c>
      <c r="AI545">
        <f>VLOOKUP(C545,ALUMNOS!A:B,2,FALSE)</f>
        <v>46</v>
      </c>
    </row>
    <row r="546" spans="1:35" x14ac:dyDescent="0.25">
      <c r="A546" t="s">
        <v>285</v>
      </c>
      <c r="B546" t="s">
        <v>128</v>
      </c>
      <c r="C546">
        <v>44372170</v>
      </c>
      <c r="D546" t="s">
        <v>315</v>
      </c>
      <c r="E546" t="s">
        <v>29</v>
      </c>
      <c r="F546" t="s">
        <v>245</v>
      </c>
      <c r="G546" t="s">
        <v>43</v>
      </c>
      <c r="H546">
        <v>2020</v>
      </c>
      <c r="I546" t="s">
        <v>60</v>
      </c>
      <c r="L546" t="s">
        <v>99</v>
      </c>
      <c r="AG546">
        <f t="shared" si="8"/>
        <v>1</v>
      </c>
      <c r="AH546">
        <f>'TABLA PREVIOS'!E546</f>
        <v>290</v>
      </c>
      <c r="AI546">
        <f>VLOOKUP(C546,ALUMNOS!A:B,2,FALSE)</f>
        <v>46</v>
      </c>
    </row>
    <row r="547" spans="1:35" x14ac:dyDescent="0.25">
      <c r="A547" t="s">
        <v>285</v>
      </c>
      <c r="B547" t="s">
        <v>128</v>
      </c>
      <c r="C547">
        <v>44204987</v>
      </c>
      <c r="D547" t="s">
        <v>316</v>
      </c>
      <c r="E547" t="s">
        <v>12</v>
      </c>
      <c r="F547" t="s">
        <v>220</v>
      </c>
      <c r="G547" t="s">
        <v>43</v>
      </c>
      <c r="H547">
        <v>2019</v>
      </c>
      <c r="I547" t="s">
        <v>60</v>
      </c>
      <c r="L547" t="s">
        <v>99</v>
      </c>
      <c r="AG547">
        <f t="shared" si="8"/>
        <v>1</v>
      </c>
      <c r="AH547">
        <f>'TABLA PREVIOS'!E547</f>
        <v>265</v>
      </c>
      <c r="AI547">
        <f>VLOOKUP(C547,ALUMNOS!A:B,2,FALSE)</f>
        <v>67</v>
      </c>
    </row>
    <row r="548" spans="1:35" x14ac:dyDescent="0.25">
      <c r="A548" t="s">
        <v>285</v>
      </c>
      <c r="B548" t="s">
        <v>128</v>
      </c>
      <c r="C548">
        <v>44204987</v>
      </c>
      <c r="D548" t="s">
        <v>316</v>
      </c>
      <c r="E548" t="s">
        <v>30</v>
      </c>
      <c r="F548" t="s">
        <v>245</v>
      </c>
      <c r="G548" t="s">
        <v>43</v>
      </c>
      <c r="H548">
        <v>2020</v>
      </c>
      <c r="I548" t="s">
        <v>60</v>
      </c>
      <c r="L548" t="s">
        <v>99</v>
      </c>
      <c r="AG548">
        <f t="shared" si="8"/>
        <v>1</v>
      </c>
      <c r="AH548">
        <f>'TABLA PREVIOS'!E548</f>
        <v>285</v>
      </c>
      <c r="AI548">
        <f>VLOOKUP(C548,ALUMNOS!A:B,2,FALSE)</f>
        <v>67</v>
      </c>
    </row>
    <row r="549" spans="1:35" x14ac:dyDescent="0.25">
      <c r="A549" t="s">
        <v>285</v>
      </c>
      <c r="B549" t="s">
        <v>128</v>
      </c>
      <c r="C549">
        <v>44204987</v>
      </c>
      <c r="D549" t="s">
        <v>316</v>
      </c>
      <c r="E549" t="s">
        <v>34</v>
      </c>
      <c r="F549" t="s">
        <v>245</v>
      </c>
      <c r="G549" t="s">
        <v>43</v>
      </c>
      <c r="H549">
        <v>2020</v>
      </c>
      <c r="I549" t="s">
        <v>60</v>
      </c>
      <c r="L549" t="s">
        <v>99</v>
      </c>
      <c r="AG549">
        <f t="shared" si="8"/>
        <v>1</v>
      </c>
      <c r="AH549">
        <f>'TABLA PREVIOS'!E549</f>
        <v>286</v>
      </c>
      <c r="AI549">
        <f>VLOOKUP(C549,ALUMNOS!A:B,2,FALSE)</f>
        <v>67</v>
      </c>
    </row>
    <row r="550" spans="1:35" x14ac:dyDescent="0.25">
      <c r="A550" t="s">
        <v>285</v>
      </c>
      <c r="B550" t="s">
        <v>128</v>
      </c>
      <c r="C550">
        <v>44204987</v>
      </c>
      <c r="D550" t="s">
        <v>316</v>
      </c>
      <c r="E550" t="s">
        <v>16</v>
      </c>
      <c r="F550" t="s">
        <v>245</v>
      </c>
      <c r="G550" t="s">
        <v>43</v>
      </c>
      <c r="H550">
        <v>2020</v>
      </c>
      <c r="I550" t="s">
        <v>60</v>
      </c>
      <c r="L550" t="s">
        <v>99</v>
      </c>
      <c r="AG550">
        <f t="shared" si="8"/>
        <v>1</v>
      </c>
      <c r="AH550">
        <f>'TABLA PREVIOS'!E550</f>
        <v>282</v>
      </c>
      <c r="AI550">
        <f>VLOOKUP(C550,ALUMNOS!A:B,2,FALSE)</f>
        <v>67</v>
      </c>
    </row>
    <row r="551" spans="1:35" x14ac:dyDescent="0.25">
      <c r="A551" t="s">
        <v>285</v>
      </c>
      <c r="B551" t="s">
        <v>128</v>
      </c>
      <c r="C551">
        <v>44204987</v>
      </c>
      <c r="D551" t="s">
        <v>316</v>
      </c>
      <c r="E551" t="s">
        <v>12</v>
      </c>
      <c r="F551" t="s">
        <v>245</v>
      </c>
      <c r="G551" t="s">
        <v>43</v>
      </c>
      <c r="H551">
        <v>2020</v>
      </c>
      <c r="I551" t="s">
        <v>60</v>
      </c>
      <c r="L551" t="s">
        <v>99</v>
      </c>
      <c r="AG551">
        <f t="shared" si="8"/>
        <v>1</v>
      </c>
      <c r="AH551">
        <f>'TABLA PREVIOS'!E551</f>
        <v>280</v>
      </c>
      <c r="AI551">
        <f>VLOOKUP(C551,ALUMNOS!A:B,2,FALSE)</f>
        <v>67</v>
      </c>
    </row>
    <row r="552" spans="1:35" x14ac:dyDescent="0.25">
      <c r="A552" t="s">
        <v>285</v>
      </c>
      <c r="B552" t="s">
        <v>128</v>
      </c>
      <c r="C552">
        <v>44204987</v>
      </c>
      <c r="D552" t="s">
        <v>316</v>
      </c>
      <c r="E552" t="s">
        <v>39</v>
      </c>
      <c r="F552" t="s">
        <v>245</v>
      </c>
      <c r="G552" t="s">
        <v>43</v>
      </c>
      <c r="H552">
        <v>2020</v>
      </c>
      <c r="I552" t="s">
        <v>60</v>
      </c>
      <c r="L552" t="s">
        <v>99</v>
      </c>
      <c r="AG552">
        <f t="shared" si="8"/>
        <v>1</v>
      </c>
      <c r="AH552">
        <f>'TABLA PREVIOS'!E552</f>
        <v>288</v>
      </c>
      <c r="AI552">
        <f>VLOOKUP(C552,ALUMNOS!A:B,2,FALSE)</f>
        <v>67</v>
      </c>
    </row>
    <row r="553" spans="1:35" x14ac:dyDescent="0.25">
      <c r="A553" t="s">
        <v>285</v>
      </c>
      <c r="B553" t="s">
        <v>128</v>
      </c>
      <c r="C553">
        <v>44204987</v>
      </c>
      <c r="D553" t="s">
        <v>316</v>
      </c>
      <c r="E553" t="s">
        <v>29</v>
      </c>
      <c r="F553" t="s">
        <v>245</v>
      </c>
      <c r="G553" t="s">
        <v>43</v>
      </c>
      <c r="H553">
        <v>2020</v>
      </c>
      <c r="I553" t="s">
        <v>60</v>
      </c>
      <c r="L553" t="s">
        <v>99</v>
      </c>
      <c r="AG553">
        <f t="shared" si="8"/>
        <v>1</v>
      </c>
      <c r="AH553">
        <f>'TABLA PREVIOS'!E553</f>
        <v>290</v>
      </c>
      <c r="AI553">
        <f>VLOOKUP(C553,ALUMNOS!A:B,2,FALSE)</f>
        <v>67</v>
      </c>
    </row>
    <row r="554" spans="1:35" x14ac:dyDescent="0.25">
      <c r="A554" t="s">
        <v>285</v>
      </c>
      <c r="B554" t="s">
        <v>128</v>
      </c>
      <c r="C554">
        <v>44296637</v>
      </c>
      <c r="D554" t="s">
        <v>317</v>
      </c>
      <c r="E554" t="s">
        <v>27</v>
      </c>
      <c r="F554" t="s">
        <v>190</v>
      </c>
      <c r="G554" t="s">
        <v>43</v>
      </c>
      <c r="H554">
        <v>2018</v>
      </c>
      <c r="I554" t="s">
        <v>60</v>
      </c>
      <c r="L554" t="s">
        <v>99</v>
      </c>
      <c r="AG554">
        <f t="shared" si="8"/>
        <v>1</v>
      </c>
      <c r="AH554">
        <f>'TABLA PREVIOS'!E554</f>
        <v>255</v>
      </c>
      <c r="AI554">
        <f>VLOOKUP(C554,ALUMNOS!A:B,2,FALSE)</f>
        <v>99</v>
      </c>
    </row>
    <row r="555" spans="1:35" x14ac:dyDescent="0.25">
      <c r="A555" t="s">
        <v>285</v>
      </c>
      <c r="B555" t="s">
        <v>128</v>
      </c>
      <c r="C555">
        <v>44296637</v>
      </c>
      <c r="D555" t="s">
        <v>317</v>
      </c>
      <c r="E555" t="s">
        <v>11</v>
      </c>
      <c r="F555" t="s">
        <v>190</v>
      </c>
      <c r="G555" t="s">
        <v>43</v>
      </c>
      <c r="H555">
        <v>2018</v>
      </c>
      <c r="I555" t="s">
        <v>60</v>
      </c>
      <c r="L555" t="s">
        <v>99</v>
      </c>
      <c r="AG555">
        <f t="shared" si="8"/>
        <v>1</v>
      </c>
      <c r="AH555">
        <f>'TABLA PREVIOS'!E555</f>
        <v>251</v>
      </c>
      <c r="AI555">
        <f>VLOOKUP(C555,ALUMNOS!A:B,2,FALSE)</f>
        <v>99</v>
      </c>
    </row>
    <row r="556" spans="1:35" x14ac:dyDescent="0.25">
      <c r="A556" t="s">
        <v>285</v>
      </c>
      <c r="B556" t="s">
        <v>128</v>
      </c>
      <c r="C556">
        <v>44296637</v>
      </c>
      <c r="D556" t="s">
        <v>317</v>
      </c>
      <c r="E556" t="s">
        <v>29</v>
      </c>
      <c r="F556" t="s">
        <v>190</v>
      </c>
      <c r="G556" t="s">
        <v>43</v>
      </c>
      <c r="H556">
        <v>2018</v>
      </c>
      <c r="I556" t="s">
        <v>60</v>
      </c>
      <c r="L556" t="s">
        <v>99</v>
      </c>
      <c r="AG556">
        <f t="shared" si="8"/>
        <v>1</v>
      </c>
      <c r="AH556">
        <f>'TABLA PREVIOS'!E556</f>
        <v>259</v>
      </c>
      <c r="AI556">
        <f>VLOOKUP(C556,ALUMNOS!A:B,2,FALSE)</f>
        <v>99</v>
      </c>
    </row>
    <row r="557" spans="1:35" x14ac:dyDescent="0.25">
      <c r="A557" t="s">
        <v>285</v>
      </c>
      <c r="B557" t="s">
        <v>128</v>
      </c>
      <c r="C557">
        <v>44296637</v>
      </c>
      <c r="D557" t="s">
        <v>317</v>
      </c>
      <c r="E557" t="s">
        <v>30</v>
      </c>
      <c r="F557" t="s">
        <v>245</v>
      </c>
      <c r="G557" t="s">
        <v>43</v>
      </c>
      <c r="H557">
        <v>2020</v>
      </c>
      <c r="I557" t="s">
        <v>60</v>
      </c>
      <c r="L557" t="s">
        <v>99</v>
      </c>
      <c r="AG557">
        <f t="shared" si="8"/>
        <v>1</v>
      </c>
      <c r="AH557">
        <f>'TABLA PREVIOS'!E557</f>
        <v>285</v>
      </c>
      <c r="AI557">
        <f>VLOOKUP(C557,ALUMNOS!A:B,2,FALSE)</f>
        <v>99</v>
      </c>
    </row>
    <row r="558" spans="1:35" x14ac:dyDescent="0.25">
      <c r="A558" t="s">
        <v>285</v>
      </c>
      <c r="B558" t="s">
        <v>128</v>
      </c>
      <c r="C558">
        <v>44296637</v>
      </c>
      <c r="D558" t="s">
        <v>317</v>
      </c>
      <c r="E558" t="s">
        <v>37</v>
      </c>
      <c r="F558" t="s">
        <v>245</v>
      </c>
      <c r="G558" t="s">
        <v>43</v>
      </c>
      <c r="H558">
        <v>2020</v>
      </c>
      <c r="I558" t="s">
        <v>60</v>
      </c>
      <c r="L558" t="s">
        <v>99</v>
      </c>
      <c r="AG558">
        <f t="shared" si="8"/>
        <v>1</v>
      </c>
      <c r="AH558">
        <f>'TABLA PREVIOS'!E558</f>
        <v>284</v>
      </c>
      <c r="AI558">
        <f>VLOOKUP(C558,ALUMNOS!A:B,2,FALSE)</f>
        <v>99</v>
      </c>
    </row>
    <row r="559" spans="1:35" x14ac:dyDescent="0.25">
      <c r="A559" t="s">
        <v>285</v>
      </c>
      <c r="B559" t="s">
        <v>128</v>
      </c>
      <c r="C559">
        <v>44296637</v>
      </c>
      <c r="D559" t="s">
        <v>317</v>
      </c>
      <c r="E559" t="s">
        <v>38</v>
      </c>
      <c r="F559" t="s">
        <v>245</v>
      </c>
      <c r="G559" t="s">
        <v>43</v>
      </c>
      <c r="H559">
        <v>2020</v>
      </c>
      <c r="I559" t="s">
        <v>60</v>
      </c>
      <c r="L559" t="s">
        <v>99</v>
      </c>
      <c r="AG559">
        <f t="shared" si="8"/>
        <v>1</v>
      </c>
      <c r="AH559">
        <f>'TABLA PREVIOS'!E559</f>
        <v>287</v>
      </c>
      <c r="AI559">
        <f>VLOOKUP(C559,ALUMNOS!A:B,2,FALSE)</f>
        <v>99</v>
      </c>
    </row>
    <row r="560" spans="1:35" x14ac:dyDescent="0.25">
      <c r="A560" t="s">
        <v>285</v>
      </c>
      <c r="B560" t="s">
        <v>128</v>
      </c>
      <c r="C560">
        <v>44296637</v>
      </c>
      <c r="D560" t="s">
        <v>317</v>
      </c>
      <c r="E560" t="s">
        <v>10</v>
      </c>
      <c r="F560" t="s">
        <v>245</v>
      </c>
      <c r="G560" t="s">
        <v>43</v>
      </c>
      <c r="H560">
        <v>2020</v>
      </c>
      <c r="I560" t="s">
        <v>60</v>
      </c>
      <c r="L560" t="s">
        <v>99</v>
      </c>
      <c r="AG560">
        <f t="shared" si="8"/>
        <v>1</v>
      </c>
      <c r="AH560">
        <f>'TABLA PREVIOS'!E560</f>
        <v>278</v>
      </c>
      <c r="AI560">
        <f>VLOOKUP(C560,ALUMNOS!A:B,2,FALSE)</f>
        <v>99</v>
      </c>
    </row>
    <row r="561" spans="1:35" x14ac:dyDescent="0.25">
      <c r="A561" t="s">
        <v>285</v>
      </c>
      <c r="B561" t="s">
        <v>128</v>
      </c>
      <c r="C561">
        <v>44296637</v>
      </c>
      <c r="D561" t="s">
        <v>317</v>
      </c>
      <c r="E561" t="s">
        <v>41</v>
      </c>
      <c r="F561" t="s">
        <v>245</v>
      </c>
      <c r="G561" t="s">
        <v>43</v>
      </c>
      <c r="H561">
        <v>2020</v>
      </c>
      <c r="I561" t="s">
        <v>60</v>
      </c>
      <c r="L561" t="s">
        <v>99</v>
      </c>
      <c r="AG561">
        <f t="shared" si="8"/>
        <v>1</v>
      </c>
      <c r="AH561">
        <f>'TABLA PREVIOS'!E561</f>
        <v>292</v>
      </c>
      <c r="AI561">
        <f>VLOOKUP(C561,ALUMNOS!A:B,2,FALSE)</f>
        <v>99</v>
      </c>
    </row>
    <row r="562" spans="1:35" x14ac:dyDescent="0.25">
      <c r="A562" t="s">
        <v>285</v>
      </c>
      <c r="B562" t="s">
        <v>128</v>
      </c>
      <c r="C562">
        <v>44296637</v>
      </c>
      <c r="D562" t="s">
        <v>317</v>
      </c>
      <c r="E562" t="s">
        <v>28</v>
      </c>
      <c r="F562" t="s">
        <v>245</v>
      </c>
      <c r="G562" t="s">
        <v>43</v>
      </c>
      <c r="H562">
        <v>2020</v>
      </c>
      <c r="I562" t="s">
        <v>60</v>
      </c>
      <c r="L562" t="s">
        <v>99</v>
      </c>
      <c r="AG562">
        <f t="shared" si="8"/>
        <v>1</v>
      </c>
      <c r="AH562">
        <f>'TABLA PREVIOS'!E562</f>
        <v>291</v>
      </c>
      <c r="AI562">
        <f>VLOOKUP(C562,ALUMNOS!A:B,2,FALSE)</f>
        <v>99</v>
      </c>
    </row>
    <row r="563" spans="1:35" x14ac:dyDescent="0.25">
      <c r="A563" t="s">
        <v>285</v>
      </c>
      <c r="B563" t="s">
        <v>128</v>
      </c>
      <c r="C563">
        <v>44296637</v>
      </c>
      <c r="D563" t="s">
        <v>317</v>
      </c>
      <c r="E563" t="s">
        <v>16</v>
      </c>
      <c r="F563" t="s">
        <v>245</v>
      </c>
      <c r="G563" t="s">
        <v>43</v>
      </c>
      <c r="H563">
        <v>2020</v>
      </c>
      <c r="I563" t="s">
        <v>60</v>
      </c>
      <c r="L563" t="s">
        <v>99</v>
      </c>
      <c r="AG563">
        <f t="shared" si="8"/>
        <v>1</v>
      </c>
      <c r="AH563">
        <f>'TABLA PREVIOS'!E563</f>
        <v>282</v>
      </c>
      <c r="AI563">
        <f>VLOOKUP(C563,ALUMNOS!A:B,2,FALSE)</f>
        <v>99</v>
      </c>
    </row>
    <row r="564" spans="1:35" x14ac:dyDescent="0.25">
      <c r="A564" t="s">
        <v>285</v>
      </c>
      <c r="B564" t="s">
        <v>128</v>
      </c>
      <c r="C564">
        <v>44296637</v>
      </c>
      <c r="D564" t="s">
        <v>317</v>
      </c>
      <c r="E564" t="s">
        <v>11</v>
      </c>
      <c r="F564" t="s">
        <v>245</v>
      </c>
      <c r="G564" t="s">
        <v>43</v>
      </c>
      <c r="H564">
        <v>2020</v>
      </c>
      <c r="I564" t="s">
        <v>60</v>
      </c>
      <c r="L564" t="s">
        <v>99</v>
      </c>
      <c r="AG564">
        <f t="shared" si="8"/>
        <v>1</v>
      </c>
      <c r="AH564">
        <f>'TABLA PREVIOS'!E564</f>
        <v>279</v>
      </c>
      <c r="AI564">
        <f>VLOOKUP(C564,ALUMNOS!A:B,2,FALSE)</f>
        <v>99</v>
      </c>
    </row>
    <row r="565" spans="1:35" x14ac:dyDescent="0.25">
      <c r="A565" t="s">
        <v>285</v>
      </c>
      <c r="B565" t="s">
        <v>128</v>
      </c>
      <c r="C565">
        <v>44296637</v>
      </c>
      <c r="D565" t="s">
        <v>317</v>
      </c>
      <c r="E565" t="s">
        <v>12</v>
      </c>
      <c r="F565" t="s">
        <v>245</v>
      </c>
      <c r="G565" t="s">
        <v>43</v>
      </c>
      <c r="H565">
        <v>2020</v>
      </c>
      <c r="I565" t="s">
        <v>60</v>
      </c>
      <c r="L565" t="s">
        <v>99</v>
      </c>
      <c r="AG565">
        <f t="shared" si="8"/>
        <v>1</v>
      </c>
      <c r="AH565">
        <f>'TABLA PREVIOS'!E565</f>
        <v>280</v>
      </c>
      <c r="AI565">
        <f>VLOOKUP(C565,ALUMNOS!A:B,2,FALSE)</f>
        <v>99</v>
      </c>
    </row>
    <row r="566" spans="1:35" x14ac:dyDescent="0.25">
      <c r="A566" t="s">
        <v>285</v>
      </c>
      <c r="B566" t="s">
        <v>128</v>
      </c>
      <c r="C566">
        <v>44296637</v>
      </c>
      <c r="D566" t="s">
        <v>317</v>
      </c>
      <c r="E566" t="s">
        <v>25</v>
      </c>
      <c r="F566" t="s">
        <v>245</v>
      </c>
      <c r="G566" t="s">
        <v>43</v>
      </c>
      <c r="H566">
        <v>2020</v>
      </c>
      <c r="I566" t="s">
        <v>60</v>
      </c>
      <c r="L566" t="s">
        <v>99</v>
      </c>
      <c r="AG566">
        <f t="shared" si="8"/>
        <v>1</v>
      </c>
      <c r="AH566">
        <f>'TABLA PREVIOS'!E566</f>
        <v>281</v>
      </c>
      <c r="AI566">
        <f>VLOOKUP(C566,ALUMNOS!A:B,2,FALSE)</f>
        <v>99</v>
      </c>
    </row>
    <row r="567" spans="1:35" x14ac:dyDescent="0.25">
      <c r="A567" t="s">
        <v>285</v>
      </c>
      <c r="B567" t="s">
        <v>128</v>
      </c>
      <c r="C567">
        <v>44296637</v>
      </c>
      <c r="D567" t="s">
        <v>317</v>
      </c>
      <c r="E567" t="s">
        <v>39</v>
      </c>
      <c r="F567" t="s">
        <v>245</v>
      </c>
      <c r="G567" t="s">
        <v>43</v>
      </c>
      <c r="H567">
        <v>2020</v>
      </c>
      <c r="I567" t="s">
        <v>60</v>
      </c>
      <c r="L567" t="s">
        <v>99</v>
      </c>
      <c r="AG567">
        <f t="shared" si="8"/>
        <v>1</v>
      </c>
      <c r="AH567">
        <f>'TABLA PREVIOS'!E567</f>
        <v>288</v>
      </c>
      <c r="AI567">
        <f>VLOOKUP(C567,ALUMNOS!A:B,2,FALSE)</f>
        <v>99</v>
      </c>
    </row>
    <row r="568" spans="1:35" x14ac:dyDescent="0.25">
      <c r="A568" t="s">
        <v>285</v>
      </c>
      <c r="B568" t="s">
        <v>128</v>
      </c>
      <c r="C568">
        <v>44296637</v>
      </c>
      <c r="D568" t="s">
        <v>317</v>
      </c>
      <c r="E568" t="s">
        <v>29</v>
      </c>
      <c r="F568" t="s">
        <v>245</v>
      </c>
      <c r="G568" t="s">
        <v>43</v>
      </c>
      <c r="H568">
        <v>2020</v>
      </c>
      <c r="I568" t="s">
        <v>60</v>
      </c>
      <c r="L568" t="s">
        <v>99</v>
      </c>
      <c r="AG568">
        <f t="shared" si="8"/>
        <v>1</v>
      </c>
      <c r="AH568">
        <f>'TABLA PREVIOS'!E568</f>
        <v>290</v>
      </c>
      <c r="AI568">
        <f>VLOOKUP(C568,ALUMNOS!A:B,2,FALSE)</f>
        <v>99</v>
      </c>
    </row>
    <row r="569" spans="1:35" x14ac:dyDescent="0.25">
      <c r="A569" t="s">
        <v>285</v>
      </c>
      <c r="B569" t="s">
        <v>128</v>
      </c>
      <c r="C569">
        <v>44213841</v>
      </c>
      <c r="D569" t="s">
        <v>318</v>
      </c>
      <c r="E569" t="s">
        <v>12</v>
      </c>
      <c r="F569" t="s">
        <v>190</v>
      </c>
      <c r="G569" t="s">
        <v>43</v>
      </c>
      <c r="H569">
        <v>2018</v>
      </c>
      <c r="I569" t="s">
        <v>60</v>
      </c>
      <c r="L569" t="s">
        <v>99</v>
      </c>
      <c r="AG569">
        <f t="shared" si="8"/>
        <v>1</v>
      </c>
      <c r="AH569">
        <f>'TABLA PREVIOS'!E569</f>
        <v>252</v>
      </c>
      <c r="AI569">
        <f>VLOOKUP(C569,ALUMNOS!A:B,2,FALSE)</f>
        <v>145</v>
      </c>
    </row>
    <row r="570" spans="1:35" x14ac:dyDescent="0.25">
      <c r="A570" t="s">
        <v>285</v>
      </c>
      <c r="B570" t="s">
        <v>128</v>
      </c>
      <c r="C570">
        <v>44213841</v>
      </c>
      <c r="D570" t="s">
        <v>318</v>
      </c>
      <c r="E570" t="s">
        <v>12</v>
      </c>
      <c r="F570" t="s">
        <v>220</v>
      </c>
      <c r="G570" t="s">
        <v>43</v>
      </c>
      <c r="H570">
        <v>2019</v>
      </c>
      <c r="I570" t="s">
        <v>60</v>
      </c>
      <c r="L570" t="s">
        <v>99</v>
      </c>
      <c r="AG570">
        <f t="shared" si="8"/>
        <v>1</v>
      </c>
      <c r="AH570">
        <f>'TABLA PREVIOS'!E570</f>
        <v>265</v>
      </c>
      <c r="AI570">
        <f>VLOOKUP(C570,ALUMNOS!A:B,2,FALSE)</f>
        <v>145</v>
      </c>
    </row>
    <row r="571" spans="1:35" x14ac:dyDescent="0.25">
      <c r="A571" t="s">
        <v>285</v>
      </c>
      <c r="B571" t="s">
        <v>128</v>
      </c>
      <c r="C571">
        <v>44213841</v>
      </c>
      <c r="D571" t="s">
        <v>318</v>
      </c>
      <c r="E571" t="s">
        <v>30</v>
      </c>
      <c r="F571" t="s">
        <v>245</v>
      </c>
      <c r="G571" t="s">
        <v>43</v>
      </c>
      <c r="H571">
        <v>2020</v>
      </c>
      <c r="I571" t="s">
        <v>60</v>
      </c>
      <c r="L571" t="s">
        <v>99</v>
      </c>
      <c r="AG571">
        <f t="shared" si="8"/>
        <v>1</v>
      </c>
      <c r="AH571">
        <f>'TABLA PREVIOS'!E571</f>
        <v>285</v>
      </c>
      <c r="AI571">
        <f>VLOOKUP(C571,ALUMNOS!A:B,2,FALSE)</f>
        <v>145</v>
      </c>
    </row>
    <row r="572" spans="1:35" x14ac:dyDescent="0.25">
      <c r="A572" t="s">
        <v>285</v>
      </c>
      <c r="B572" t="s">
        <v>128</v>
      </c>
      <c r="C572">
        <v>44213841</v>
      </c>
      <c r="D572" t="s">
        <v>318</v>
      </c>
      <c r="E572" t="s">
        <v>40</v>
      </c>
      <c r="F572" t="s">
        <v>245</v>
      </c>
      <c r="G572" t="s">
        <v>43</v>
      </c>
      <c r="H572">
        <v>2020</v>
      </c>
      <c r="I572" t="s">
        <v>60</v>
      </c>
      <c r="L572" t="s">
        <v>99</v>
      </c>
      <c r="AG572">
        <f t="shared" si="8"/>
        <v>1</v>
      </c>
      <c r="AH572">
        <f>'TABLA PREVIOS'!E572</f>
        <v>289</v>
      </c>
      <c r="AI572">
        <f>VLOOKUP(C572,ALUMNOS!A:B,2,FALSE)</f>
        <v>145</v>
      </c>
    </row>
    <row r="573" spans="1:35" x14ac:dyDescent="0.25">
      <c r="A573" t="s">
        <v>285</v>
      </c>
      <c r="B573" t="s">
        <v>128</v>
      </c>
      <c r="C573">
        <v>44213841</v>
      </c>
      <c r="D573" t="s">
        <v>318</v>
      </c>
      <c r="E573" t="s">
        <v>37</v>
      </c>
      <c r="F573" t="s">
        <v>245</v>
      </c>
      <c r="G573" t="s">
        <v>43</v>
      </c>
      <c r="H573">
        <v>2020</v>
      </c>
      <c r="I573" t="s">
        <v>60</v>
      </c>
      <c r="L573" t="s">
        <v>99</v>
      </c>
      <c r="AG573">
        <f t="shared" si="8"/>
        <v>1</v>
      </c>
      <c r="AH573">
        <f>'TABLA PREVIOS'!E573</f>
        <v>284</v>
      </c>
      <c r="AI573">
        <f>VLOOKUP(C573,ALUMNOS!A:B,2,FALSE)</f>
        <v>145</v>
      </c>
    </row>
    <row r="574" spans="1:35" x14ac:dyDescent="0.25">
      <c r="A574" t="s">
        <v>285</v>
      </c>
      <c r="B574" t="s">
        <v>128</v>
      </c>
      <c r="C574">
        <v>44213841</v>
      </c>
      <c r="D574" t="s">
        <v>318</v>
      </c>
      <c r="E574" t="s">
        <v>38</v>
      </c>
      <c r="F574" t="s">
        <v>245</v>
      </c>
      <c r="G574" t="s">
        <v>43</v>
      </c>
      <c r="H574">
        <v>2020</v>
      </c>
      <c r="I574" t="s">
        <v>60</v>
      </c>
      <c r="L574" t="s">
        <v>99</v>
      </c>
      <c r="AG574">
        <f t="shared" si="8"/>
        <v>1</v>
      </c>
      <c r="AH574">
        <f>'TABLA PREVIOS'!E574</f>
        <v>287</v>
      </c>
      <c r="AI574">
        <f>VLOOKUP(C574,ALUMNOS!A:B,2,FALSE)</f>
        <v>145</v>
      </c>
    </row>
    <row r="575" spans="1:35" x14ac:dyDescent="0.25">
      <c r="A575" t="s">
        <v>285</v>
      </c>
      <c r="B575" t="s">
        <v>128</v>
      </c>
      <c r="C575">
        <v>44213841</v>
      </c>
      <c r="D575" t="s">
        <v>318</v>
      </c>
      <c r="E575" t="s">
        <v>34</v>
      </c>
      <c r="F575" t="s">
        <v>245</v>
      </c>
      <c r="G575" t="s">
        <v>43</v>
      </c>
      <c r="H575">
        <v>2020</v>
      </c>
      <c r="I575" t="s">
        <v>60</v>
      </c>
      <c r="L575" t="s">
        <v>99</v>
      </c>
      <c r="AG575">
        <f t="shared" si="8"/>
        <v>1</v>
      </c>
      <c r="AH575">
        <f>'TABLA PREVIOS'!E575</f>
        <v>286</v>
      </c>
      <c r="AI575">
        <f>VLOOKUP(C575,ALUMNOS!A:B,2,FALSE)</f>
        <v>145</v>
      </c>
    </row>
    <row r="576" spans="1:35" x14ac:dyDescent="0.25">
      <c r="A576" t="s">
        <v>285</v>
      </c>
      <c r="B576" t="s">
        <v>128</v>
      </c>
      <c r="C576">
        <v>44213841</v>
      </c>
      <c r="D576" t="s">
        <v>318</v>
      </c>
      <c r="E576" t="s">
        <v>41</v>
      </c>
      <c r="F576" t="s">
        <v>245</v>
      </c>
      <c r="G576" t="s">
        <v>43</v>
      </c>
      <c r="H576">
        <v>2020</v>
      </c>
      <c r="I576" t="s">
        <v>60</v>
      </c>
      <c r="L576" t="s">
        <v>99</v>
      </c>
      <c r="AG576">
        <f t="shared" si="8"/>
        <v>1</v>
      </c>
      <c r="AH576">
        <f>'TABLA PREVIOS'!E576</f>
        <v>292</v>
      </c>
      <c r="AI576">
        <f>VLOOKUP(C576,ALUMNOS!A:B,2,FALSE)</f>
        <v>145</v>
      </c>
    </row>
    <row r="577" spans="1:35" x14ac:dyDescent="0.25">
      <c r="A577" t="s">
        <v>285</v>
      </c>
      <c r="B577" t="s">
        <v>128</v>
      </c>
      <c r="C577">
        <v>44213841</v>
      </c>
      <c r="D577" t="s">
        <v>318</v>
      </c>
      <c r="E577" t="s">
        <v>28</v>
      </c>
      <c r="F577" t="s">
        <v>245</v>
      </c>
      <c r="G577" t="s">
        <v>43</v>
      </c>
      <c r="H577">
        <v>2020</v>
      </c>
      <c r="I577" t="s">
        <v>60</v>
      </c>
      <c r="L577" t="s">
        <v>99</v>
      </c>
      <c r="AG577">
        <f t="shared" si="8"/>
        <v>1</v>
      </c>
      <c r="AH577">
        <f>'TABLA PREVIOS'!E577</f>
        <v>291</v>
      </c>
      <c r="AI577">
        <f>VLOOKUP(C577,ALUMNOS!A:B,2,FALSE)</f>
        <v>145</v>
      </c>
    </row>
    <row r="578" spans="1:35" x14ac:dyDescent="0.25">
      <c r="A578" t="s">
        <v>285</v>
      </c>
      <c r="B578" t="s">
        <v>128</v>
      </c>
      <c r="C578">
        <v>44213841</v>
      </c>
      <c r="D578" t="s">
        <v>318</v>
      </c>
      <c r="E578" t="s">
        <v>11</v>
      </c>
      <c r="F578" t="s">
        <v>245</v>
      </c>
      <c r="G578" t="s">
        <v>43</v>
      </c>
      <c r="H578">
        <v>2020</v>
      </c>
      <c r="I578" t="s">
        <v>60</v>
      </c>
      <c r="L578" t="s">
        <v>99</v>
      </c>
      <c r="AG578">
        <f t="shared" si="8"/>
        <v>1</v>
      </c>
      <c r="AH578">
        <f>'TABLA PREVIOS'!E578</f>
        <v>279</v>
      </c>
      <c r="AI578">
        <f>VLOOKUP(C578,ALUMNOS!A:B,2,FALSE)</f>
        <v>145</v>
      </c>
    </row>
    <row r="579" spans="1:35" x14ac:dyDescent="0.25">
      <c r="A579" t="s">
        <v>285</v>
      </c>
      <c r="B579" t="s">
        <v>128</v>
      </c>
      <c r="C579">
        <v>44213841</v>
      </c>
      <c r="D579" t="s">
        <v>318</v>
      </c>
      <c r="E579" t="s">
        <v>12</v>
      </c>
      <c r="F579" t="s">
        <v>245</v>
      </c>
      <c r="G579" t="s">
        <v>43</v>
      </c>
      <c r="H579">
        <v>2020</v>
      </c>
      <c r="I579" t="s">
        <v>60</v>
      </c>
      <c r="J579" t="s">
        <v>319</v>
      </c>
      <c r="L579" t="s">
        <v>99</v>
      </c>
      <c r="AG579">
        <f t="shared" ref="AG579:AG642" si="9">IF(VALUE(MAX(N579,R579,V579,Z579,AC579,))&gt;=7,VALUE(MAX(N579,R579,V579,Z579,AC579,)),1)</f>
        <v>1</v>
      </c>
      <c r="AH579">
        <f>'TABLA PREVIOS'!E579</f>
        <v>280</v>
      </c>
      <c r="AI579">
        <f>VLOOKUP(C579,ALUMNOS!A:B,2,FALSE)</f>
        <v>145</v>
      </c>
    </row>
    <row r="580" spans="1:35" x14ac:dyDescent="0.25">
      <c r="A580" t="s">
        <v>285</v>
      </c>
      <c r="B580" t="s">
        <v>128</v>
      </c>
      <c r="C580">
        <v>44213841</v>
      </c>
      <c r="D580" t="s">
        <v>318</v>
      </c>
      <c r="E580" t="s">
        <v>25</v>
      </c>
      <c r="F580" t="s">
        <v>245</v>
      </c>
      <c r="G580" t="s">
        <v>43</v>
      </c>
      <c r="H580">
        <v>2020</v>
      </c>
      <c r="I580" t="s">
        <v>60</v>
      </c>
      <c r="L580" t="s">
        <v>99</v>
      </c>
      <c r="AG580">
        <f t="shared" si="9"/>
        <v>1</v>
      </c>
      <c r="AH580">
        <f>'TABLA PREVIOS'!E580</f>
        <v>281</v>
      </c>
      <c r="AI580">
        <f>VLOOKUP(C580,ALUMNOS!A:B,2,FALSE)</f>
        <v>145</v>
      </c>
    </row>
    <row r="581" spans="1:35" x14ac:dyDescent="0.25">
      <c r="A581" t="s">
        <v>285</v>
      </c>
      <c r="B581" t="s">
        <v>128</v>
      </c>
      <c r="C581">
        <v>44213841</v>
      </c>
      <c r="D581" t="s">
        <v>318</v>
      </c>
      <c r="E581" t="s">
        <v>29</v>
      </c>
      <c r="F581" t="s">
        <v>245</v>
      </c>
      <c r="G581" t="s">
        <v>43</v>
      </c>
      <c r="H581">
        <v>2020</v>
      </c>
      <c r="I581" t="s">
        <v>60</v>
      </c>
      <c r="L581" t="s">
        <v>99</v>
      </c>
      <c r="AG581">
        <f t="shared" si="9"/>
        <v>1</v>
      </c>
      <c r="AH581">
        <f>'TABLA PREVIOS'!E581</f>
        <v>290</v>
      </c>
      <c r="AI581">
        <f>VLOOKUP(C581,ALUMNOS!A:B,2,FALSE)</f>
        <v>145</v>
      </c>
    </row>
    <row r="582" spans="1:35" x14ac:dyDescent="0.25">
      <c r="A582" t="s">
        <v>285</v>
      </c>
      <c r="B582" t="s">
        <v>128</v>
      </c>
      <c r="C582">
        <v>44791403</v>
      </c>
      <c r="D582" t="s">
        <v>320</v>
      </c>
      <c r="E582" t="s">
        <v>39</v>
      </c>
      <c r="F582" t="s">
        <v>245</v>
      </c>
      <c r="G582" t="s">
        <v>43</v>
      </c>
      <c r="H582">
        <v>2020</v>
      </c>
      <c r="I582" t="s">
        <v>60</v>
      </c>
      <c r="J582" t="s">
        <v>288</v>
      </c>
      <c r="K582" t="s">
        <v>321</v>
      </c>
      <c r="L582" t="s">
        <v>99</v>
      </c>
      <c r="AG582">
        <f t="shared" si="9"/>
        <v>1</v>
      </c>
      <c r="AH582">
        <f>'TABLA PREVIOS'!E582</f>
        <v>288</v>
      </c>
      <c r="AI582">
        <f>VLOOKUP(C582,ALUMNOS!A:B,2,FALSE)</f>
        <v>152</v>
      </c>
    </row>
    <row r="583" spans="1:35" x14ac:dyDescent="0.25">
      <c r="A583" t="s">
        <v>285</v>
      </c>
      <c r="B583" t="s">
        <v>128</v>
      </c>
      <c r="C583">
        <v>44296627</v>
      </c>
      <c r="D583" t="s">
        <v>322</v>
      </c>
      <c r="E583" t="s">
        <v>34</v>
      </c>
      <c r="F583" t="s">
        <v>220</v>
      </c>
      <c r="G583" t="s">
        <v>43</v>
      </c>
      <c r="H583">
        <v>2019</v>
      </c>
      <c r="I583" t="s">
        <v>60</v>
      </c>
      <c r="L583" t="s">
        <v>99</v>
      </c>
      <c r="AG583">
        <f t="shared" si="9"/>
        <v>1</v>
      </c>
      <c r="AH583">
        <f>'TABLA PREVIOS'!E583</f>
        <v>275</v>
      </c>
      <c r="AI583">
        <f>VLOOKUP(C583,ALUMNOS!A:B,2,FALSE)</f>
        <v>184</v>
      </c>
    </row>
    <row r="584" spans="1:35" x14ac:dyDescent="0.25">
      <c r="A584" t="s">
        <v>285</v>
      </c>
      <c r="B584" t="s">
        <v>128</v>
      </c>
      <c r="C584">
        <v>44296627</v>
      </c>
      <c r="D584" t="s">
        <v>322</v>
      </c>
      <c r="E584" t="s">
        <v>12</v>
      </c>
      <c r="F584" t="s">
        <v>220</v>
      </c>
      <c r="G584" t="s">
        <v>43</v>
      </c>
      <c r="H584">
        <v>2019</v>
      </c>
      <c r="I584" t="s">
        <v>60</v>
      </c>
      <c r="L584" t="s">
        <v>99</v>
      </c>
      <c r="AG584">
        <f t="shared" si="9"/>
        <v>1</v>
      </c>
      <c r="AH584">
        <f>'TABLA PREVIOS'!E584</f>
        <v>265</v>
      </c>
      <c r="AI584">
        <f>VLOOKUP(C584,ALUMNOS!A:B,2,FALSE)</f>
        <v>184</v>
      </c>
    </row>
    <row r="585" spans="1:35" x14ac:dyDescent="0.25">
      <c r="A585" t="s">
        <v>285</v>
      </c>
      <c r="B585" t="s">
        <v>128</v>
      </c>
      <c r="C585">
        <v>44296627</v>
      </c>
      <c r="D585" t="s">
        <v>322</v>
      </c>
      <c r="E585" t="s">
        <v>30</v>
      </c>
      <c r="F585" t="s">
        <v>245</v>
      </c>
      <c r="G585" t="s">
        <v>43</v>
      </c>
      <c r="H585">
        <v>2020</v>
      </c>
      <c r="I585" t="s">
        <v>60</v>
      </c>
      <c r="L585" t="s">
        <v>99</v>
      </c>
      <c r="AG585">
        <f t="shared" si="9"/>
        <v>1</v>
      </c>
      <c r="AH585">
        <f>'TABLA PREVIOS'!E585</f>
        <v>285</v>
      </c>
      <c r="AI585">
        <f>VLOOKUP(C585,ALUMNOS!A:B,2,FALSE)</f>
        <v>184</v>
      </c>
    </row>
    <row r="586" spans="1:35" x14ac:dyDescent="0.25">
      <c r="A586" t="s">
        <v>285</v>
      </c>
      <c r="B586" t="s">
        <v>128</v>
      </c>
      <c r="C586">
        <v>44296627</v>
      </c>
      <c r="D586" t="s">
        <v>322</v>
      </c>
      <c r="E586" t="s">
        <v>40</v>
      </c>
      <c r="F586" t="s">
        <v>245</v>
      </c>
      <c r="G586" t="s">
        <v>43</v>
      </c>
      <c r="H586">
        <v>2020</v>
      </c>
      <c r="I586" t="s">
        <v>60</v>
      </c>
      <c r="L586" t="s">
        <v>99</v>
      </c>
      <c r="AG586">
        <f t="shared" si="9"/>
        <v>1</v>
      </c>
      <c r="AH586">
        <f>'TABLA PREVIOS'!E586</f>
        <v>289</v>
      </c>
      <c r="AI586">
        <f>VLOOKUP(C586,ALUMNOS!A:B,2,FALSE)</f>
        <v>184</v>
      </c>
    </row>
    <row r="587" spans="1:35" x14ac:dyDescent="0.25">
      <c r="A587" t="s">
        <v>285</v>
      </c>
      <c r="B587" t="s">
        <v>128</v>
      </c>
      <c r="C587">
        <v>44296627</v>
      </c>
      <c r="D587" t="s">
        <v>322</v>
      </c>
      <c r="E587" t="s">
        <v>37</v>
      </c>
      <c r="F587" t="s">
        <v>245</v>
      </c>
      <c r="G587" t="s">
        <v>43</v>
      </c>
      <c r="H587">
        <v>2020</v>
      </c>
      <c r="I587" t="s">
        <v>60</v>
      </c>
      <c r="L587" t="s">
        <v>99</v>
      </c>
      <c r="AG587">
        <f t="shared" si="9"/>
        <v>1</v>
      </c>
      <c r="AH587">
        <f>'TABLA PREVIOS'!E587</f>
        <v>284</v>
      </c>
      <c r="AI587">
        <f>VLOOKUP(C587,ALUMNOS!A:B,2,FALSE)</f>
        <v>184</v>
      </c>
    </row>
    <row r="588" spans="1:35" x14ac:dyDescent="0.25">
      <c r="A588" t="s">
        <v>285</v>
      </c>
      <c r="B588" t="s">
        <v>128</v>
      </c>
      <c r="C588">
        <v>44296627</v>
      </c>
      <c r="D588" t="s">
        <v>322</v>
      </c>
      <c r="E588" t="s">
        <v>38</v>
      </c>
      <c r="F588" t="s">
        <v>245</v>
      </c>
      <c r="G588" t="s">
        <v>43</v>
      </c>
      <c r="H588">
        <v>2020</v>
      </c>
      <c r="I588" t="s">
        <v>60</v>
      </c>
      <c r="L588" t="s">
        <v>99</v>
      </c>
      <c r="AG588">
        <f t="shared" si="9"/>
        <v>1</v>
      </c>
      <c r="AH588">
        <f>'TABLA PREVIOS'!E588</f>
        <v>287</v>
      </c>
      <c r="AI588">
        <f>VLOOKUP(C588,ALUMNOS!A:B,2,FALSE)</f>
        <v>184</v>
      </c>
    </row>
    <row r="589" spans="1:35" x14ac:dyDescent="0.25">
      <c r="A589" t="s">
        <v>285</v>
      </c>
      <c r="B589" t="s">
        <v>128</v>
      </c>
      <c r="C589">
        <v>44296627</v>
      </c>
      <c r="D589" t="s">
        <v>322</v>
      </c>
      <c r="E589" t="s">
        <v>34</v>
      </c>
      <c r="F589" t="s">
        <v>245</v>
      </c>
      <c r="G589" t="s">
        <v>43</v>
      </c>
      <c r="H589">
        <v>2020</v>
      </c>
      <c r="I589" t="s">
        <v>60</v>
      </c>
      <c r="L589" t="s">
        <v>99</v>
      </c>
      <c r="AG589">
        <f t="shared" si="9"/>
        <v>1</v>
      </c>
      <c r="AH589">
        <f>'TABLA PREVIOS'!E589</f>
        <v>286</v>
      </c>
      <c r="AI589">
        <f>VLOOKUP(C589,ALUMNOS!A:B,2,FALSE)</f>
        <v>184</v>
      </c>
    </row>
    <row r="590" spans="1:35" x14ac:dyDescent="0.25">
      <c r="A590" t="s">
        <v>285</v>
      </c>
      <c r="B590" t="s">
        <v>128</v>
      </c>
      <c r="C590">
        <v>44296627</v>
      </c>
      <c r="D590" t="s">
        <v>322</v>
      </c>
      <c r="E590" t="s">
        <v>10</v>
      </c>
      <c r="F590" t="s">
        <v>245</v>
      </c>
      <c r="G590" t="s">
        <v>43</v>
      </c>
      <c r="H590">
        <v>2020</v>
      </c>
      <c r="I590" t="s">
        <v>60</v>
      </c>
      <c r="L590" t="s">
        <v>99</v>
      </c>
      <c r="AG590">
        <f t="shared" si="9"/>
        <v>1</v>
      </c>
      <c r="AH590">
        <f>'TABLA PREVIOS'!E590</f>
        <v>278</v>
      </c>
      <c r="AI590">
        <f>VLOOKUP(C590,ALUMNOS!A:B,2,FALSE)</f>
        <v>184</v>
      </c>
    </row>
    <row r="591" spans="1:35" x14ac:dyDescent="0.25">
      <c r="A591" t="s">
        <v>285</v>
      </c>
      <c r="B591" t="s">
        <v>128</v>
      </c>
      <c r="C591">
        <v>44296627</v>
      </c>
      <c r="D591" t="s">
        <v>322</v>
      </c>
      <c r="E591" t="s">
        <v>41</v>
      </c>
      <c r="F591" t="s">
        <v>245</v>
      </c>
      <c r="G591" t="s">
        <v>43</v>
      </c>
      <c r="H591">
        <v>2020</v>
      </c>
      <c r="I591" t="s">
        <v>60</v>
      </c>
      <c r="L591" t="s">
        <v>99</v>
      </c>
      <c r="AG591">
        <f t="shared" si="9"/>
        <v>1</v>
      </c>
      <c r="AH591">
        <f>'TABLA PREVIOS'!E591</f>
        <v>292</v>
      </c>
      <c r="AI591">
        <f>VLOOKUP(C591,ALUMNOS!A:B,2,FALSE)</f>
        <v>184</v>
      </c>
    </row>
    <row r="592" spans="1:35" x14ac:dyDescent="0.25">
      <c r="A592" t="s">
        <v>285</v>
      </c>
      <c r="B592" t="s">
        <v>128</v>
      </c>
      <c r="C592">
        <v>44296627</v>
      </c>
      <c r="D592" t="s">
        <v>322</v>
      </c>
      <c r="E592" t="s">
        <v>28</v>
      </c>
      <c r="F592" t="s">
        <v>245</v>
      </c>
      <c r="G592" t="s">
        <v>43</v>
      </c>
      <c r="H592">
        <v>2020</v>
      </c>
      <c r="I592" t="s">
        <v>60</v>
      </c>
      <c r="L592" t="s">
        <v>99</v>
      </c>
      <c r="AG592">
        <f t="shared" si="9"/>
        <v>1</v>
      </c>
      <c r="AH592">
        <f>'TABLA PREVIOS'!E592</f>
        <v>291</v>
      </c>
      <c r="AI592">
        <f>VLOOKUP(C592,ALUMNOS!A:B,2,FALSE)</f>
        <v>184</v>
      </c>
    </row>
    <row r="593" spans="1:35" x14ac:dyDescent="0.25">
      <c r="A593" t="s">
        <v>285</v>
      </c>
      <c r="B593" t="s">
        <v>128</v>
      </c>
      <c r="C593">
        <v>44296627</v>
      </c>
      <c r="D593" t="s">
        <v>322</v>
      </c>
      <c r="E593" t="s">
        <v>16</v>
      </c>
      <c r="F593" t="s">
        <v>245</v>
      </c>
      <c r="G593" t="s">
        <v>43</v>
      </c>
      <c r="H593">
        <v>2020</v>
      </c>
      <c r="I593" t="s">
        <v>60</v>
      </c>
      <c r="L593" t="s">
        <v>99</v>
      </c>
      <c r="AG593">
        <f t="shared" si="9"/>
        <v>1</v>
      </c>
      <c r="AH593">
        <f>'TABLA PREVIOS'!E593</f>
        <v>282</v>
      </c>
      <c r="AI593">
        <f>VLOOKUP(C593,ALUMNOS!A:B,2,FALSE)</f>
        <v>184</v>
      </c>
    </row>
    <row r="594" spans="1:35" x14ac:dyDescent="0.25">
      <c r="A594" t="s">
        <v>285</v>
      </c>
      <c r="B594" t="s">
        <v>128</v>
      </c>
      <c r="C594">
        <v>44296627</v>
      </c>
      <c r="D594" t="s">
        <v>322</v>
      </c>
      <c r="E594" t="s">
        <v>11</v>
      </c>
      <c r="F594" t="s">
        <v>245</v>
      </c>
      <c r="G594" t="s">
        <v>43</v>
      </c>
      <c r="H594">
        <v>2020</v>
      </c>
      <c r="I594" t="s">
        <v>60</v>
      </c>
      <c r="L594" t="s">
        <v>99</v>
      </c>
      <c r="AG594">
        <f t="shared" si="9"/>
        <v>1</v>
      </c>
      <c r="AH594">
        <f>'TABLA PREVIOS'!E594</f>
        <v>279</v>
      </c>
      <c r="AI594">
        <f>VLOOKUP(C594,ALUMNOS!A:B,2,FALSE)</f>
        <v>184</v>
      </c>
    </row>
    <row r="595" spans="1:35" x14ac:dyDescent="0.25">
      <c r="A595" t="s">
        <v>285</v>
      </c>
      <c r="B595" t="s">
        <v>128</v>
      </c>
      <c r="C595">
        <v>44296627</v>
      </c>
      <c r="D595" t="s">
        <v>322</v>
      </c>
      <c r="E595" t="s">
        <v>12</v>
      </c>
      <c r="F595" t="s">
        <v>245</v>
      </c>
      <c r="G595" t="s">
        <v>43</v>
      </c>
      <c r="H595">
        <v>2020</v>
      </c>
      <c r="I595" t="s">
        <v>60</v>
      </c>
      <c r="L595" t="s">
        <v>99</v>
      </c>
      <c r="AG595">
        <f t="shared" si="9"/>
        <v>1</v>
      </c>
      <c r="AH595">
        <f>'TABLA PREVIOS'!E595</f>
        <v>280</v>
      </c>
      <c r="AI595">
        <f>VLOOKUP(C595,ALUMNOS!A:B,2,FALSE)</f>
        <v>184</v>
      </c>
    </row>
    <row r="596" spans="1:35" x14ac:dyDescent="0.25">
      <c r="A596" t="s">
        <v>285</v>
      </c>
      <c r="B596" t="s">
        <v>128</v>
      </c>
      <c r="C596">
        <v>44296627</v>
      </c>
      <c r="D596" t="s">
        <v>322</v>
      </c>
      <c r="E596" t="s">
        <v>25</v>
      </c>
      <c r="F596" t="s">
        <v>245</v>
      </c>
      <c r="G596" t="s">
        <v>43</v>
      </c>
      <c r="H596">
        <v>2020</v>
      </c>
      <c r="I596" t="s">
        <v>60</v>
      </c>
      <c r="L596" t="s">
        <v>99</v>
      </c>
      <c r="AG596">
        <f t="shared" si="9"/>
        <v>1</v>
      </c>
      <c r="AH596">
        <f>'TABLA PREVIOS'!E596</f>
        <v>281</v>
      </c>
      <c r="AI596">
        <f>VLOOKUP(C596,ALUMNOS!A:B,2,FALSE)</f>
        <v>184</v>
      </c>
    </row>
    <row r="597" spans="1:35" x14ac:dyDescent="0.25">
      <c r="A597" t="s">
        <v>285</v>
      </c>
      <c r="B597" t="s">
        <v>128</v>
      </c>
      <c r="C597">
        <v>44296627</v>
      </c>
      <c r="D597" t="s">
        <v>322</v>
      </c>
      <c r="E597" t="s">
        <v>29</v>
      </c>
      <c r="F597" t="s">
        <v>245</v>
      </c>
      <c r="G597" t="s">
        <v>43</v>
      </c>
      <c r="H597">
        <v>2020</v>
      </c>
      <c r="I597" t="s">
        <v>60</v>
      </c>
      <c r="L597" t="s">
        <v>99</v>
      </c>
      <c r="AG597">
        <f t="shared" si="9"/>
        <v>1</v>
      </c>
      <c r="AH597">
        <f>'TABLA PREVIOS'!E597</f>
        <v>290</v>
      </c>
      <c r="AI597">
        <f>VLOOKUP(C597,ALUMNOS!A:B,2,FALSE)</f>
        <v>184</v>
      </c>
    </row>
    <row r="598" spans="1:35" x14ac:dyDescent="0.25">
      <c r="A598" t="s">
        <v>285</v>
      </c>
      <c r="B598" t="s">
        <v>128</v>
      </c>
      <c r="C598">
        <v>44791401</v>
      </c>
      <c r="D598" t="s">
        <v>323</v>
      </c>
      <c r="E598" t="s">
        <v>30</v>
      </c>
      <c r="F598" t="s">
        <v>245</v>
      </c>
      <c r="G598" t="s">
        <v>43</v>
      </c>
      <c r="H598">
        <v>2020</v>
      </c>
      <c r="I598" t="s">
        <v>60</v>
      </c>
      <c r="L598" t="s">
        <v>99</v>
      </c>
      <c r="AG598">
        <f t="shared" si="9"/>
        <v>1</v>
      </c>
      <c r="AH598">
        <f>'TABLA PREVIOS'!E598</f>
        <v>285</v>
      </c>
      <c r="AI598">
        <f>VLOOKUP(C598,ALUMNOS!A:B,2,FALSE)</f>
        <v>259</v>
      </c>
    </row>
    <row r="599" spans="1:35" x14ac:dyDescent="0.25">
      <c r="A599" t="s">
        <v>285</v>
      </c>
      <c r="B599" t="s">
        <v>128</v>
      </c>
      <c r="C599">
        <v>44791401</v>
      </c>
      <c r="D599" t="s">
        <v>323</v>
      </c>
      <c r="E599" t="s">
        <v>40</v>
      </c>
      <c r="F599" t="s">
        <v>245</v>
      </c>
      <c r="G599" t="s">
        <v>43</v>
      </c>
      <c r="H599">
        <v>2020</v>
      </c>
      <c r="I599" t="s">
        <v>60</v>
      </c>
      <c r="L599" t="s">
        <v>99</v>
      </c>
      <c r="AG599">
        <f t="shared" si="9"/>
        <v>1</v>
      </c>
      <c r="AH599">
        <f>'TABLA PREVIOS'!E599</f>
        <v>289</v>
      </c>
      <c r="AI599">
        <f>VLOOKUP(C599,ALUMNOS!A:B,2,FALSE)</f>
        <v>259</v>
      </c>
    </row>
    <row r="600" spans="1:35" x14ac:dyDescent="0.25">
      <c r="A600" t="s">
        <v>285</v>
      </c>
      <c r="B600" t="s">
        <v>128</v>
      </c>
      <c r="C600">
        <v>44791401</v>
      </c>
      <c r="D600" t="s">
        <v>323</v>
      </c>
      <c r="E600" t="s">
        <v>37</v>
      </c>
      <c r="F600" t="s">
        <v>245</v>
      </c>
      <c r="G600" t="s">
        <v>43</v>
      </c>
      <c r="H600">
        <v>2020</v>
      </c>
      <c r="I600" t="s">
        <v>60</v>
      </c>
      <c r="L600" t="s">
        <v>99</v>
      </c>
      <c r="AG600">
        <f t="shared" si="9"/>
        <v>1</v>
      </c>
      <c r="AH600">
        <f>'TABLA PREVIOS'!E600</f>
        <v>284</v>
      </c>
      <c r="AI600">
        <f>VLOOKUP(C600,ALUMNOS!A:B,2,FALSE)</f>
        <v>259</v>
      </c>
    </row>
    <row r="601" spans="1:35" x14ac:dyDescent="0.25">
      <c r="A601" t="s">
        <v>285</v>
      </c>
      <c r="B601" t="s">
        <v>128</v>
      </c>
      <c r="C601">
        <v>44791401</v>
      </c>
      <c r="D601" t="s">
        <v>323</v>
      </c>
      <c r="E601" t="s">
        <v>38</v>
      </c>
      <c r="F601" t="s">
        <v>245</v>
      </c>
      <c r="G601" t="s">
        <v>43</v>
      </c>
      <c r="H601">
        <v>2020</v>
      </c>
      <c r="I601" t="s">
        <v>60</v>
      </c>
      <c r="L601" t="s">
        <v>99</v>
      </c>
      <c r="AG601">
        <f t="shared" si="9"/>
        <v>1</v>
      </c>
      <c r="AH601">
        <f>'TABLA PREVIOS'!E601</f>
        <v>287</v>
      </c>
      <c r="AI601">
        <f>VLOOKUP(C601,ALUMNOS!A:B,2,FALSE)</f>
        <v>259</v>
      </c>
    </row>
    <row r="602" spans="1:35" x14ac:dyDescent="0.25">
      <c r="A602" t="s">
        <v>285</v>
      </c>
      <c r="B602" t="s">
        <v>128</v>
      </c>
      <c r="C602">
        <v>44791401</v>
      </c>
      <c r="D602" t="s">
        <v>323</v>
      </c>
      <c r="E602" t="s">
        <v>34</v>
      </c>
      <c r="F602" t="s">
        <v>245</v>
      </c>
      <c r="G602" t="s">
        <v>43</v>
      </c>
      <c r="H602">
        <v>2020</v>
      </c>
      <c r="I602" t="s">
        <v>60</v>
      </c>
      <c r="L602" t="s">
        <v>99</v>
      </c>
      <c r="AG602">
        <f t="shared" si="9"/>
        <v>1</v>
      </c>
      <c r="AH602">
        <f>'TABLA PREVIOS'!E602</f>
        <v>286</v>
      </c>
      <c r="AI602">
        <f>VLOOKUP(C602,ALUMNOS!A:B,2,FALSE)</f>
        <v>259</v>
      </c>
    </row>
    <row r="603" spans="1:35" x14ac:dyDescent="0.25">
      <c r="A603" t="s">
        <v>285</v>
      </c>
      <c r="B603" t="s">
        <v>128</v>
      </c>
      <c r="C603">
        <v>44791401</v>
      </c>
      <c r="D603" t="s">
        <v>323</v>
      </c>
      <c r="E603" t="s">
        <v>41</v>
      </c>
      <c r="F603" t="s">
        <v>245</v>
      </c>
      <c r="G603" t="s">
        <v>43</v>
      </c>
      <c r="H603">
        <v>2020</v>
      </c>
      <c r="I603" t="s">
        <v>60</v>
      </c>
      <c r="L603" t="s">
        <v>99</v>
      </c>
      <c r="AG603">
        <f t="shared" si="9"/>
        <v>1</v>
      </c>
      <c r="AH603">
        <f>'TABLA PREVIOS'!E603</f>
        <v>292</v>
      </c>
      <c r="AI603">
        <f>VLOOKUP(C603,ALUMNOS!A:B,2,FALSE)</f>
        <v>259</v>
      </c>
    </row>
    <row r="604" spans="1:35" x14ac:dyDescent="0.25">
      <c r="A604" t="s">
        <v>285</v>
      </c>
      <c r="B604" t="s">
        <v>128</v>
      </c>
      <c r="C604">
        <v>44791401</v>
      </c>
      <c r="D604" t="s">
        <v>323</v>
      </c>
      <c r="E604" t="s">
        <v>28</v>
      </c>
      <c r="F604" t="s">
        <v>245</v>
      </c>
      <c r="G604" t="s">
        <v>43</v>
      </c>
      <c r="H604">
        <v>2020</v>
      </c>
      <c r="I604" t="s">
        <v>60</v>
      </c>
      <c r="L604" t="s">
        <v>99</v>
      </c>
      <c r="AG604">
        <f t="shared" si="9"/>
        <v>1</v>
      </c>
      <c r="AH604">
        <f>'TABLA PREVIOS'!E604</f>
        <v>291</v>
      </c>
      <c r="AI604">
        <f>VLOOKUP(C604,ALUMNOS!A:B,2,FALSE)</f>
        <v>259</v>
      </c>
    </row>
    <row r="605" spans="1:35" x14ac:dyDescent="0.25">
      <c r="A605" t="s">
        <v>285</v>
      </c>
      <c r="B605" t="s">
        <v>128</v>
      </c>
      <c r="C605">
        <v>44791401</v>
      </c>
      <c r="D605" t="s">
        <v>323</v>
      </c>
      <c r="E605" t="s">
        <v>11</v>
      </c>
      <c r="F605" t="s">
        <v>245</v>
      </c>
      <c r="G605" t="s">
        <v>43</v>
      </c>
      <c r="H605">
        <v>2020</v>
      </c>
      <c r="I605" t="s">
        <v>60</v>
      </c>
      <c r="L605" t="s">
        <v>99</v>
      </c>
      <c r="AG605">
        <f t="shared" si="9"/>
        <v>1</v>
      </c>
      <c r="AH605">
        <f>'TABLA PREVIOS'!E605</f>
        <v>279</v>
      </c>
      <c r="AI605">
        <f>VLOOKUP(C605,ALUMNOS!A:B,2,FALSE)</f>
        <v>259</v>
      </c>
    </row>
    <row r="606" spans="1:35" x14ac:dyDescent="0.25">
      <c r="A606" t="s">
        <v>285</v>
      </c>
      <c r="B606" t="s">
        <v>128</v>
      </c>
      <c r="C606">
        <v>44791401</v>
      </c>
      <c r="D606" t="s">
        <v>323</v>
      </c>
      <c r="E606" t="s">
        <v>12</v>
      </c>
      <c r="F606" t="s">
        <v>245</v>
      </c>
      <c r="G606" t="s">
        <v>43</v>
      </c>
      <c r="H606">
        <v>2020</v>
      </c>
      <c r="I606" t="s">
        <v>60</v>
      </c>
      <c r="L606" t="s">
        <v>99</v>
      </c>
      <c r="AG606">
        <f t="shared" si="9"/>
        <v>1</v>
      </c>
      <c r="AH606">
        <f>'TABLA PREVIOS'!E606</f>
        <v>280</v>
      </c>
      <c r="AI606">
        <f>VLOOKUP(C606,ALUMNOS!A:B,2,FALSE)</f>
        <v>259</v>
      </c>
    </row>
    <row r="607" spans="1:35" x14ac:dyDescent="0.25">
      <c r="A607" t="s">
        <v>285</v>
      </c>
      <c r="B607" t="s">
        <v>128</v>
      </c>
      <c r="C607">
        <v>44791401</v>
      </c>
      <c r="D607" t="s">
        <v>323</v>
      </c>
      <c r="E607" t="s">
        <v>25</v>
      </c>
      <c r="F607" t="s">
        <v>245</v>
      </c>
      <c r="G607" t="s">
        <v>43</v>
      </c>
      <c r="H607">
        <v>2020</v>
      </c>
      <c r="I607" t="s">
        <v>60</v>
      </c>
      <c r="L607" t="s">
        <v>99</v>
      </c>
      <c r="AG607">
        <f t="shared" si="9"/>
        <v>1</v>
      </c>
      <c r="AH607">
        <f>'TABLA PREVIOS'!E607</f>
        <v>281</v>
      </c>
      <c r="AI607">
        <f>VLOOKUP(C607,ALUMNOS!A:B,2,FALSE)</f>
        <v>259</v>
      </c>
    </row>
    <row r="608" spans="1:35" x14ac:dyDescent="0.25">
      <c r="A608" t="s">
        <v>285</v>
      </c>
      <c r="B608" t="s">
        <v>128</v>
      </c>
      <c r="C608">
        <v>44791401</v>
      </c>
      <c r="D608" t="s">
        <v>323</v>
      </c>
      <c r="E608" t="s">
        <v>29</v>
      </c>
      <c r="F608" t="s">
        <v>245</v>
      </c>
      <c r="G608" t="s">
        <v>43</v>
      </c>
      <c r="H608">
        <v>2020</v>
      </c>
      <c r="I608" t="s">
        <v>60</v>
      </c>
      <c r="L608" t="s">
        <v>99</v>
      </c>
      <c r="AG608">
        <f t="shared" si="9"/>
        <v>1</v>
      </c>
      <c r="AH608">
        <f>'TABLA PREVIOS'!E608</f>
        <v>290</v>
      </c>
      <c r="AI608">
        <f>VLOOKUP(C608,ALUMNOS!A:B,2,FALSE)</f>
        <v>259</v>
      </c>
    </row>
    <row r="609" spans="1:35" x14ac:dyDescent="0.25">
      <c r="A609" t="s">
        <v>285</v>
      </c>
      <c r="B609" t="s">
        <v>128</v>
      </c>
      <c r="C609">
        <v>43609636</v>
      </c>
      <c r="D609" t="s">
        <v>324</v>
      </c>
      <c r="E609" t="s">
        <v>24</v>
      </c>
      <c r="F609" t="s">
        <v>220</v>
      </c>
      <c r="G609" t="s">
        <v>43</v>
      </c>
      <c r="H609">
        <v>2019</v>
      </c>
      <c r="I609" t="s">
        <v>60</v>
      </c>
      <c r="L609" t="s">
        <v>99</v>
      </c>
      <c r="AG609">
        <f t="shared" si="9"/>
        <v>1</v>
      </c>
      <c r="AH609">
        <f>'TABLA PREVIOS'!E609</f>
        <v>266</v>
      </c>
      <c r="AI609">
        <f>VLOOKUP(C609,ALUMNOS!A:B,2,FALSE)</f>
        <v>304</v>
      </c>
    </row>
    <row r="610" spans="1:35" x14ac:dyDescent="0.25">
      <c r="A610" t="s">
        <v>285</v>
      </c>
      <c r="B610" t="s">
        <v>128</v>
      </c>
      <c r="C610">
        <v>43609636</v>
      </c>
      <c r="D610" t="s">
        <v>324</v>
      </c>
      <c r="E610" t="s">
        <v>16</v>
      </c>
      <c r="F610" t="s">
        <v>220</v>
      </c>
      <c r="G610" t="s">
        <v>43</v>
      </c>
      <c r="H610">
        <v>2019</v>
      </c>
      <c r="I610" t="s">
        <v>60</v>
      </c>
      <c r="L610" t="s">
        <v>99</v>
      </c>
      <c r="AG610">
        <f t="shared" si="9"/>
        <v>1</v>
      </c>
      <c r="AH610">
        <f>'TABLA PREVIOS'!E610</f>
        <v>269</v>
      </c>
      <c r="AI610">
        <f>VLOOKUP(C610,ALUMNOS!A:B,2,FALSE)</f>
        <v>304</v>
      </c>
    </row>
    <row r="611" spans="1:35" x14ac:dyDescent="0.25">
      <c r="A611" t="s">
        <v>285</v>
      </c>
      <c r="B611" t="s">
        <v>128</v>
      </c>
      <c r="C611">
        <v>43609636</v>
      </c>
      <c r="D611" t="s">
        <v>324</v>
      </c>
      <c r="E611" t="s">
        <v>12</v>
      </c>
      <c r="F611" t="s">
        <v>220</v>
      </c>
      <c r="G611" t="s">
        <v>43</v>
      </c>
      <c r="H611">
        <v>2019</v>
      </c>
      <c r="I611" t="s">
        <v>60</v>
      </c>
      <c r="L611" t="s">
        <v>99</v>
      </c>
      <c r="AG611">
        <f t="shared" si="9"/>
        <v>1</v>
      </c>
      <c r="AH611">
        <f>'TABLA PREVIOS'!E611</f>
        <v>265</v>
      </c>
      <c r="AI611">
        <f>VLOOKUP(C611,ALUMNOS!A:B,2,FALSE)</f>
        <v>304</v>
      </c>
    </row>
    <row r="612" spans="1:35" x14ac:dyDescent="0.25">
      <c r="A612" t="s">
        <v>285</v>
      </c>
      <c r="B612" t="s">
        <v>128</v>
      </c>
      <c r="C612">
        <v>43609636</v>
      </c>
      <c r="D612" t="s">
        <v>324</v>
      </c>
      <c r="E612" t="s">
        <v>30</v>
      </c>
      <c r="F612" t="s">
        <v>245</v>
      </c>
      <c r="G612" t="s">
        <v>43</v>
      </c>
      <c r="H612">
        <v>2020</v>
      </c>
      <c r="I612" t="s">
        <v>60</v>
      </c>
      <c r="L612" t="s">
        <v>99</v>
      </c>
      <c r="AG612">
        <f t="shared" si="9"/>
        <v>1</v>
      </c>
      <c r="AH612">
        <f>'TABLA PREVIOS'!E612</f>
        <v>285</v>
      </c>
      <c r="AI612">
        <f>VLOOKUP(C612,ALUMNOS!A:B,2,FALSE)</f>
        <v>304</v>
      </c>
    </row>
    <row r="613" spans="1:35" x14ac:dyDescent="0.25">
      <c r="A613" t="s">
        <v>285</v>
      </c>
      <c r="B613" t="s">
        <v>128</v>
      </c>
      <c r="C613">
        <v>43609636</v>
      </c>
      <c r="D613" t="s">
        <v>324</v>
      </c>
      <c r="E613" t="s">
        <v>37</v>
      </c>
      <c r="F613" t="s">
        <v>245</v>
      </c>
      <c r="G613" t="s">
        <v>43</v>
      </c>
      <c r="H613">
        <v>2020</v>
      </c>
      <c r="I613" t="s">
        <v>60</v>
      </c>
      <c r="L613" t="s">
        <v>99</v>
      </c>
      <c r="AG613">
        <f t="shared" si="9"/>
        <v>1</v>
      </c>
      <c r="AH613">
        <f>'TABLA PREVIOS'!E613</f>
        <v>284</v>
      </c>
      <c r="AI613">
        <f>VLOOKUP(C613,ALUMNOS!A:B,2,FALSE)</f>
        <v>304</v>
      </c>
    </row>
    <row r="614" spans="1:35" x14ac:dyDescent="0.25">
      <c r="A614" t="s">
        <v>285</v>
      </c>
      <c r="B614" t="s">
        <v>128</v>
      </c>
      <c r="C614">
        <v>43609636</v>
      </c>
      <c r="D614" t="s">
        <v>324</v>
      </c>
      <c r="E614" t="s">
        <v>38</v>
      </c>
      <c r="F614" t="s">
        <v>245</v>
      </c>
      <c r="G614" t="s">
        <v>43</v>
      </c>
      <c r="H614">
        <v>2020</v>
      </c>
      <c r="I614" t="s">
        <v>60</v>
      </c>
      <c r="L614" t="s">
        <v>99</v>
      </c>
      <c r="AG614">
        <f t="shared" si="9"/>
        <v>1</v>
      </c>
      <c r="AH614">
        <f>'TABLA PREVIOS'!E614</f>
        <v>287</v>
      </c>
      <c r="AI614">
        <f>VLOOKUP(C614,ALUMNOS!A:B,2,FALSE)</f>
        <v>304</v>
      </c>
    </row>
    <row r="615" spans="1:35" x14ac:dyDescent="0.25">
      <c r="A615" t="s">
        <v>285</v>
      </c>
      <c r="B615" t="s">
        <v>128</v>
      </c>
      <c r="C615">
        <v>43609636</v>
      </c>
      <c r="D615" t="s">
        <v>324</v>
      </c>
      <c r="E615" t="s">
        <v>34</v>
      </c>
      <c r="F615" t="s">
        <v>245</v>
      </c>
      <c r="G615" t="s">
        <v>43</v>
      </c>
      <c r="H615">
        <v>2020</v>
      </c>
      <c r="I615" t="s">
        <v>60</v>
      </c>
      <c r="L615" t="s">
        <v>99</v>
      </c>
      <c r="AG615">
        <f t="shared" si="9"/>
        <v>1</v>
      </c>
      <c r="AH615">
        <f>'TABLA PREVIOS'!E615</f>
        <v>286</v>
      </c>
      <c r="AI615">
        <f>VLOOKUP(C615,ALUMNOS!A:B,2,FALSE)</f>
        <v>304</v>
      </c>
    </row>
    <row r="616" spans="1:35" x14ac:dyDescent="0.25">
      <c r="A616" t="s">
        <v>285</v>
      </c>
      <c r="B616" t="s">
        <v>128</v>
      </c>
      <c r="C616">
        <v>43609636</v>
      </c>
      <c r="D616" t="s">
        <v>324</v>
      </c>
      <c r="E616" t="s">
        <v>10</v>
      </c>
      <c r="F616" t="s">
        <v>245</v>
      </c>
      <c r="G616" t="s">
        <v>43</v>
      </c>
      <c r="H616">
        <v>2020</v>
      </c>
      <c r="I616" t="s">
        <v>60</v>
      </c>
      <c r="L616" t="s">
        <v>99</v>
      </c>
      <c r="AG616">
        <f t="shared" si="9"/>
        <v>1</v>
      </c>
      <c r="AH616">
        <f>'TABLA PREVIOS'!E616</f>
        <v>278</v>
      </c>
      <c r="AI616">
        <f>VLOOKUP(C616,ALUMNOS!A:B,2,FALSE)</f>
        <v>304</v>
      </c>
    </row>
    <row r="617" spans="1:35" x14ac:dyDescent="0.25">
      <c r="A617" t="s">
        <v>285</v>
      </c>
      <c r="B617" t="s">
        <v>128</v>
      </c>
      <c r="C617">
        <v>43609636</v>
      </c>
      <c r="D617" t="s">
        <v>324</v>
      </c>
      <c r="E617" t="s">
        <v>41</v>
      </c>
      <c r="F617" t="s">
        <v>245</v>
      </c>
      <c r="G617" t="s">
        <v>43</v>
      </c>
      <c r="H617">
        <v>2020</v>
      </c>
      <c r="I617" t="s">
        <v>60</v>
      </c>
      <c r="L617" t="s">
        <v>99</v>
      </c>
      <c r="AG617">
        <f t="shared" si="9"/>
        <v>1</v>
      </c>
      <c r="AH617">
        <f>'TABLA PREVIOS'!E617</f>
        <v>292</v>
      </c>
      <c r="AI617">
        <f>VLOOKUP(C617,ALUMNOS!A:B,2,FALSE)</f>
        <v>304</v>
      </c>
    </row>
    <row r="618" spans="1:35" x14ac:dyDescent="0.25">
      <c r="A618" t="s">
        <v>285</v>
      </c>
      <c r="B618" t="s">
        <v>128</v>
      </c>
      <c r="C618">
        <v>43609636</v>
      </c>
      <c r="D618" t="s">
        <v>324</v>
      </c>
      <c r="E618" t="s">
        <v>28</v>
      </c>
      <c r="F618" t="s">
        <v>245</v>
      </c>
      <c r="G618" t="s">
        <v>43</v>
      </c>
      <c r="H618">
        <v>2020</v>
      </c>
      <c r="I618" t="s">
        <v>60</v>
      </c>
      <c r="L618" t="s">
        <v>99</v>
      </c>
      <c r="AG618">
        <f t="shared" si="9"/>
        <v>1</v>
      </c>
      <c r="AH618">
        <f>'TABLA PREVIOS'!E618</f>
        <v>291</v>
      </c>
      <c r="AI618">
        <f>VLOOKUP(C618,ALUMNOS!A:B,2,FALSE)</f>
        <v>304</v>
      </c>
    </row>
    <row r="619" spans="1:35" x14ac:dyDescent="0.25">
      <c r="A619" t="s">
        <v>285</v>
      </c>
      <c r="B619" t="s">
        <v>128</v>
      </c>
      <c r="C619">
        <v>43609636</v>
      </c>
      <c r="D619" t="s">
        <v>324</v>
      </c>
      <c r="E619" t="s">
        <v>16</v>
      </c>
      <c r="F619" t="s">
        <v>245</v>
      </c>
      <c r="G619" t="s">
        <v>43</v>
      </c>
      <c r="H619">
        <v>2020</v>
      </c>
      <c r="I619" t="s">
        <v>60</v>
      </c>
      <c r="L619" t="s">
        <v>99</v>
      </c>
      <c r="AG619">
        <f t="shared" si="9"/>
        <v>1</v>
      </c>
      <c r="AH619">
        <f>'TABLA PREVIOS'!E619</f>
        <v>282</v>
      </c>
      <c r="AI619">
        <f>VLOOKUP(C619,ALUMNOS!A:B,2,FALSE)</f>
        <v>304</v>
      </c>
    </row>
    <row r="620" spans="1:35" x14ac:dyDescent="0.25">
      <c r="A620" t="s">
        <v>285</v>
      </c>
      <c r="B620" t="s">
        <v>128</v>
      </c>
      <c r="C620">
        <v>43609636</v>
      </c>
      <c r="D620" t="s">
        <v>324</v>
      </c>
      <c r="E620" t="s">
        <v>11</v>
      </c>
      <c r="F620" t="s">
        <v>245</v>
      </c>
      <c r="G620" t="s">
        <v>43</v>
      </c>
      <c r="H620">
        <v>2020</v>
      </c>
      <c r="I620" t="s">
        <v>60</v>
      </c>
      <c r="L620" t="s">
        <v>99</v>
      </c>
      <c r="AG620">
        <f t="shared" si="9"/>
        <v>1</v>
      </c>
      <c r="AH620">
        <f>'TABLA PREVIOS'!E620</f>
        <v>279</v>
      </c>
      <c r="AI620">
        <f>VLOOKUP(C620,ALUMNOS!A:B,2,FALSE)</f>
        <v>304</v>
      </c>
    </row>
    <row r="621" spans="1:35" x14ac:dyDescent="0.25">
      <c r="A621" t="s">
        <v>285</v>
      </c>
      <c r="B621" t="s">
        <v>128</v>
      </c>
      <c r="C621">
        <v>43609636</v>
      </c>
      <c r="D621" t="s">
        <v>324</v>
      </c>
      <c r="E621" t="s">
        <v>12</v>
      </c>
      <c r="F621" t="s">
        <v>245</v>
      </c>
      <c r="G621" t="s">
        <v>43</v>
      </c>
      <c r="H621">
        <v>2020</v>
      </c>
      <c r="I621" t="s">
        <v>60</v>
      </c>
      <c r="L621" t="s">
        <v>99</v>
      </c>
      <c r="AG621">
        <f t="shared" si="9"/>
        <v>1</v>
      </c>
      <c r="AH621">
        <f>'TABLA PREVIOS'!E621</f>
        <v>280</v>
      </c>
      <c r="AI621">
        <f>VLOOKUP(C621,ALUMNOS!A:B,2,FALSE)</f>
        <v>304</v>
      </c>
    </row>
    <row r="622" spans="1:35" x14ac:dyDescent="0.25">
      <c r="A622" t="s">
        <v>285</v>
      </c>
      <c r="B622" t="s">
        <v>128</v>
      </c>
      <c r="C622">
        <v>43609636</v>
      </c>
      <c r="D622" t="s">
        <v>324</v>
      </c>
      <c r="E622" t="s">
        <v>25</v>
      </c>
      <c r="F622" t="s">
        <v>245</v>
      </c>
      <c r="G622" t="s">
        <v>43</v>
      </c>
      <c r="H622">
        <v>2020</v>
      </c>
      <c r="I622" t="s">
        <v>60</v>
      </c>
      <c r="L622" t="s">
        <v>99</v>
      </c>
      <c r="AG622">
        <f t="shared" si="9"/>
        <v>1</v>
      </c>
      <c r="AH622">
        <f>'TABLA PREVIOS'!E622</f>
        <v>281</v>
      </c>
      <c r="AI622">
        <f>VLOOKUP(C622,ALUMNOS!A:B,2,FALSE)</f>
        <v>304</v>
      </c>
    </row>
    <row r="623" spans="1:35" x14ac:dyDescent="0.25">
      <c r="A623" t="s">
        <v>285</v>
      </c>
      <c r="B623" t="s">
        <v>128</v>
      </c>
      <c r="C623">
        <v>43609636</v>
      </c>
      <c r="D623" t="s">
        <v>324</v>
      </c>
      <c r="E623" t="s">
        <v>39</v>
      </c>
      <c r="F623" t="s">
        <v>245</v>
      </c>
      <c r="G623" t="s">
        <v>43</v>
      </c>
      <c r="H623">
        <v>2020</v>
      </c>
      <c r="I623" t="s">
        <v>60</v>
      </c>
      <c r="L623" t="s">
        <v>99</v>
      </c>
      <c r="AG623">
        <f t="shared" si="9"/>
        <v>1</v>
      </c>
      <c r="AH623">
        <f>'TABLA PREVIOS'!E623</f>
        <v>288</v>
      </c>
      <c r="AI623">
        <f>VLOOKUP(C623,ALUMNOS!A:B,2,FALSE)</f>
        <v>304</v>
      </c>
    </row>
    <row r="624" spans="1:35" x14ac:dyDescent="0.25">
      <c r="A624" t="s">
        <v>285</v>
      </c>
      <c r="B624" t="s">
        <v>128</v>
      </c>
      <c r="C624">
        <v>43609636</v>
      </c>
      <c r="D624" t="s">
        <v>324</v>
      </c>
      <c r="E624" t="s">
        <v>29</v>
      </c>
      <c r="F624" t="s">
        <v>245</v>
      </c>
      <c r="G624" t="s">
        <v>43</v>
      </c>
      <c r="H624">
        <v>2020</v>
      </c>
      <c r="I624" t="s">
        <v>60</v>
      </c>
      <c r="L624" t="s">
        <v>99</v>
      </c>
      <c r="AG624">
        <f t="shared" si="9"/>
        <v>1</v>
      </c>
      <c r="AH624">
        <f>'TABLA PREVIOS'!E624</f>
        <v>290</v>
      </c>
      <c r="AI624">
        <f>VLOOKUP(C624,ALUMNOS!A:B,2,FALSE)</f>
        <v>304</v>
      </c>
    </row>
    <row r="625" spans="1:35" x14ac:dyDescent="0.25">
      <c r="A625" t="s">
        <v>285</v>
      </c>
      <c r="B625" t="s">
        <v>128</v>
      </c>
      <c r="C625">
        <v>44296634</v>
      </c>
      <c r="D625" t="s">
        <v>325</v>
      </c>
      <c r="E625" t="s">
        <v>16</v>
      </c>
      <c r="F625" t="s">
        <v>220</v>
      </c>
      <c r="G625" t="s">
        <v>43</v>
      </c>
      <c r="H625">
        <v>2019</v>
      </c>
      <c r="I625" t="s">
        <v>60</v>
      </c>
      <c r="L625" t="s">
        <v>99</v>
      </c>
      <c r="AG625">
        <f t="shared" si="9"/>
        <v>1</v>
      </c>
      <c r="AH625">
        <f>'TABLA PREVIOS'!E625</f>
        <v>269</v>
      </c>
      <c r="AI625">
        <f>VLOOKUP(C625,ALUMNOS!A:B,2,FALSE)</f>
        <v>775</v>
      </c>
    </row>
    <row r="626" spans="1:35" x14ac:dyDescent="0.25">
      <c r="A626" t="s">
        <v>285</v>
      </c>
      <c r="B626" t="s">
        <v>128</v>
      </c>
      <c r="C626">
        <v>44296634</v>
      </c>
      <c r="D626" t="s">
        <v>325</v>
      </c>
      <c r="E626" t="s">
        <v>12</v>
      </c>
      <c r="F626" t="s">
        <v>220</v>
      </c>
      <c r="G626" t="s">
        <v>43</v>
      </c>
      <c r="H626">
        <v>2019</v>
      </c>
      <c r="I626" t="s">
        <v>60</v>
      </c>
      <c r="L626" t="s">
        <v>99</v>
      </c>
      <c r="AG626">
        <f t="shared" si="9"/>
        <v>1</v>
      </c>
      <c r="AH626">
        <f>'TABLA PREVIOS'!E626</f>
        <v>265</v>
      </c>
      <c r="AI626">
        <f>VLOOKUP(C626,ALUMNOS!A:B,2,FALSE)</f>
        <v>775</v>
      </c>
    </row>
    <row r="627" spans="1:35" x14ac:dyDescent="0.25">
      <c r="A627" t="s">
        <v>285</v>
      </c>
      <c r="B627" t="s">
        <v>128</v>
      </c>
      <c r="C627">
        <v>44296634</v>
      </c>
      <c r="D627" t="s">
        <v>325</v>
      </c>
      <c r="E627" t="s">
        <v>30</v>
      </c>
      <c r="F627" t="s">
        <v>245</v>
      </c>
      <c r="G627" t="s">
        <v>43</v>
      </c>
      <c r="H627">
        <v>2020</v>
      </c>
      <c r="I627" t="s">
        <v>60</v>
      </c>
      <c r="L627" t="s">
        <v>99</v>
      </c>
      <c r="AG627">
        <f t="shared" si="9"/>
        <v>1</v>
      </c>
      <c r="AH627">
        <f>'TABLA PREVIOS'!E627</f>
        <v>285</v>
      </c>
      <c r="AI627">
        <f>VLOOKUP(C627,ALUMNOS!A:B,2,FALSE)</f>
        <v>775</v>
      </c>
    </row>
    <row r="628" spans="1:35" x14ac:dyDescent="0.25">
      <c r="A628" t="s">
        <v>285</v>
      </c>
      <c r="B628" t="s">
        <v>128</v>
      </c>
      <c r="C628">
        <v>44296634</v>
      </c>
      <c r="D628" t="s">
        <v>325</v>
      </c>
      <c r="E628" t="s">
        <v>40</v>
      </c>
      <c r="F628" t="s">
        <v>245</v>
      </c>
      <c r="G628" t="s">
        <v>43</v>
      </c>
      <c r="H628">
        <v>2020</v>
      </c>
      <c r="I628" t="s">
        <v>60</v>
      </c>
      <c r="L628" t="s">
        <v>99</v>
      </c>
      <c r="AG628">
        <f t="shared" si="9"/>
        <v>1</v>
      </c>
      <c r="AH628">
        <f>'TABLA PREVIOS'!E628</f>
        <v>289</v>
      </c>
      <c r="AI628">
        <f>VLOOKUP(C628,ALUMNOS!A:B,2,FALSE)</f>
        <v>775</v>
      </c>
    </row>
    <row r="629" spans="1:35" x14ac:dyDescent="0.25">
      <c r="A629" t="s">
        <v>285</v>
      </c>
      <c r="B629" t="s">
        <v>128</v>
      </c>
      <c r="C629">
        <v>44296634</v>
      </c>
      <c r="D629" t="s">
        <v>325</v>
      </c>
      <c r="E629" t="s">
        <v>37</v>
      </c>
      <c r="F629" t="s">
        <v>245</v>
      </c>
      <c r="G629" t="s">
        <v>43</v>
      </c>
      <c r="H629">
        <v>2020</v>
      </c>
      <c r="I629" t="s">
        <v>60</v>
      </c>
      <c r="L629" t="s">
        <v>99</v>
      </c>
      <c r="AG629">
        <f t="shared" si="9"/>
        <v>1</v>
      </c>
      <c r="AH629">
        <f>'TABLA PREVIOS'!E629</f>
        <v>284</v>
      </c>
      <c r="AI629">
        <f>VLOOKUP(C629,ALUMNOS!A:B,2,FALSE)</f>
        <v>775</v>
      </c>
    </row>
    <row r="630" spans="1:35" x14ac:dyDescent="0.25">
      <c r="A630" t="s">
        <v>285</v>
      </c>
      <c r="B630" t="s">
        <v>128</v>
      </c>
      <c r="C630">
        <v>44296634</v>
      </c>
      <c r="D630" t="s">
        <v>325</v>
      </c>
      <c r="E630" t="s">
        <v>38</v>
      </c>
      <c r="F630" t="s">
        <v>245</v>
      </c>
      <c r="G630" t="s">
        <v>43</v>
      </c>
      <c r="H630">
        <v>2020</v>
      </c>
      <c r="I630" t="s">
        <v>60</v>
      </c>
      <c r="L630" t="s">
        <v>99</v>
      </c>
      <c r="AG630">
        <f t="shared" si="9"/>
        <v>1</v>
      </c>
      <c r="AH630">
        <f>'TABLA PREVIOS'!E630</f>
        <v>287</v>
      </c>
      <c r="AI630">
        <f>VLOOKUP(C630,ALUMNOS!A:B,2,FALSE)</f>
        <v>775</v>
      </c>
    </row>
    <row r="631" spans="1:35" x14ac:dyDescent="0.25">
      <c r="A631" t="s">
        <v>285</v>
      </c>
      <c r="B631" t="s">
        <v>128</v>
      </c>
      <c r="C631">
        <v>44296634</v>
      </c>
      <c r="D631" t="s">
        <v>325</v>
      </c>
      <c r="E631" t="s">
        <v>34</v>
      </c>
      <c r="F631" t="s">
        <v>245</v>
      </c>
      <c r="G631" t="s">
        <v>43</v>
      </c>
      <c r="H631">
        <v>2020</v>
      </c>
      <c r="I631" t="s">
        <v>60</v>
      </c>
      <c r="L631" t="s">
        <v>99</v>
      </c>
      <c r="AG631">
        <f t="shared" si="9"/>
        <v>1</v>
      </c>
      <c r="AH631">
        <f>'TABLA PREVIOS'!E631</f>
        <v>286</v>
      </c>
      <c r="AI631">
        <f>VLOOKUP(C631,ALUMNOS!A:B,2,FALSE)</f>
        <v>775</v>
      </c>
    </row>
    <row r="632" spans="1:35" x14ac:dyDescent="0.25">
      <c r="A632" t="s">
        <v>285</v>
      </c>
      <c r="B632" t="s">
        <v>128</v>
      </c>
      <c r="C632">
        <v>44296634</v>
      </c>
      <c r="D632" t="s">
        <v>325</v>
      </c>
      <c r="E632" t="s">
        <v>10</v>
      </c>
      <c r="F632" t="s">
        <v>245</v>
      </c>
      <c r="G632" t="s">
        <v>43</v>
      </c>
      <c r="H632">
        <v>2020</v>
      </c>
      <c r="I632" t="s">
        <v>60</v>
      </c>
      <c r="L632" t="s">
        <v>99</v>
      </c>
      <c r="AG632">
        <f t="shared" si="9"/>
        <v>1</v>
      </c>
      <c r="AH632">
        <f>'TABLA PREVIOS'!E632</f>
        <v>278</v>
      </c>
      <c r="AI632">
        <f>VLOOKUP(C632,ALUMNOS!A:B,2,FALSE)</f>
        <v>775</v>
      </c>
    </row>
    <row r="633" spans="1:35" x14ac:dyDescent="0.25">
      <c r="A633" t="s">
        <v>285</v>
      </c>
      <c r="B633" t="s">
        <v>128</v>
      </c>
      <c r="C633">
        <v>44296634</v>
      </c>
      <c r="D633" t="s">
        <v>325</v>
      </c>
      <c r="E633" t="s">
        <v>41</v>
      </c>
      <c r="F633" t="s">
        <v>245</v>
      </c>
      <c r="G633" t="s">
        <v>43</v>
      </c>
      <c r="H633">
        <v>2020</v>
      </c>
      <c r="I633" t="s">
        <v>60</v>
      </c>
      <c r="L633" t="s">
        <v>99</v>
      </c>
      <c r="AG633">
        <f t="shared" si="9"/>
        <v>1</v>
      </c>
      <c r="AH633">
        <f>'TABLA PREVIOS'!E633</f>
        <v>292</v>
      </c>
      <c r="AI633">
        <f>VLOOKUP(C633,ALUMNOS!A:B,2,FALSE)</f>
        <v>775</v>
      </c>
    </row>
    <row r="634" spans="1:35" x14ac:dyDescent="0.25">
      <c r="A634" t="s">
        <v>285</v>
      </c>
      <c r="B634" t="s">
        <v>128</v>
      </c>
      <c r="C634">
        <v>44296634</v>
      </c>
      <c r="D634" t="s">
        <v>325</v>
      </c>
      <c r="E634" t="s">
        <v>28</v>
      </c>
      <c r="F634" t="s">
        <v>245</v>
      </c>
      <c r="G634" t="s">
        <v>43</v>
      </c>
      <c r="H634">
        <v>2020</v>
      </c>
      <c r="I634" t="s">
        <v>60</v>
      </c>
      <c r="L634" t="s">
        <v>99</v>
      </c>
      <c r="AG634">
        <f t="shared" si="9"/>
        <v>1</v>
      </c>
      <c r="AH634">
        <f>'TABLA PREVIOS'!E634</f>
        <v>291</v>
      </c>
      <c r="AI634">
        <f>VLOOKUP(C634,ALUMNOS!A:B,2,FALSE)</f>
        <v>775</v>
      </c>
    </row>
    <row r="635" spans="1:35" x14ac:dyDescent="0.25">
      <c r="A635" t="s">
        <v>285</v>
      </c>
      <c r="B635" t="s">
        <v>128</v>
      </c>
      <c r="C635">
        <v>44296634</v>
      </c>
      <c r="D635" t="s">
        <v>325</v>
      </c>
      <c r="E635" t="s">
        <v>16</v>
      </c>
      <c r="F635" t="s">
        <v>245</v>
      </c>
      <c r="G635" t="s">
        <v>43</v>
      </c>
      <c r="H635">
        <v>2020</v>
      </c>
      <c r="I635" t="s">
        <v>60</v>
      </c>
      <c r="L635" t="s">
        <v>99</v>
      </c>
      <c r="AG635">
        <f t="shared" si="9"/>
        <v>1</v>
      </c>
      <c r="AH635">
        <f>'TABLA PREVIOS'!E635</f>
        <v>282</v>
      </c>
      <c r="AI635">
        <f>VLOOKUP(C635,ALUMNOS!A:B,2,FALSE)</f>
        <v>775</v>
      </c>
    </row>
    <row r="636" spans="1:35" x14ac:dyDescent="0.25">
      <c r="A636" t="s">
        <v>285</v>
      </c>
      <c r="B636" t="s">
        <v>128</v>
      </c>
      <c r="C636">
        <v>44296634</v>
      </c>
      <c r="D636" t="s">
        <v>325</v>
      </c>
      <c r="E636" t="s">
        <v>11</v>
      </c>
      <c r="F636" t="s">
        <v>245</v>
      </c>
      <c r="G636" t="s">
        <v>43</v>
      </c>
      <c r="H636">
        <v>2020</v>
      </c>
      <c r="I636" t="s">
        <v>60</v>
      </c>
      <c r="L636" t="s">
        <v>99</v>
      </c>
      <c r="AG636">
        <f t="shared" si="9"/>
        <v>1</v>
      </c>
      <c r="AH636">
        <f>'TABLA PREVIOS'!E636</f>
        <v>279</v>
      </c>
      <c r="AI636">
        <f>VLOOKUP(C636,ALUMNOS!A:B,2,FALSE)</f>
        <v>775</v>
      </c>
    </row>
    <row r="637" spans="1:35" x14ac:dyDescent="0.25">
      <c r="A637" t="s">
        <v>285</v>
      </c>
      <c r="B637" t="s">
        <v>128</v>
      </c>
      <c r="C637">
        <v>44296634</v>
      </c>
      <c r="D637" t="s">
        <v>325</v>
      </c>
      <c r="E637" t="s">
        <v>12</v>
      </c>
      <c r="F637" t="s">
        <v>245</v>
      </c>
      <c r="G637" t="s">
        <v>43</v>
      </c>
      <c r="H637">
        <v>2020</v>
      </c>
      <c r="I637" t="s">
        <v>60</v>
      </c>
      <c r="L637" t="s">
        <v>99</v>
      </c>
      <c r="AG637">
        <f t="shared" si="9"/>
        <v>1</v>
      </c>
      <c r="AH637">
        <f>'TABLA PREVIOS'!E637</f>
        <v>280</v>
      </c>
      <c r="AI637">
        <f>VLOOKUP(C637,ALUMNOS!A:B,2,FALSE)</f>
        <v>775</v>
      </c>
    </row>
    <row r="638" spans="1:35" x14ac:dyDescent="0.25">
      <c r="A638" t="s">
        <v>285</v>
      </c>
      <c r="B638" t="s">
        <v>128</v>
      </c>
      <c r="C638">
        <v>44296634</v>
      </c>
      <c r="D638" t="s">
        <v>325</v>
      </c>
      <c r="E638" t="s">
        <v>25</v>
      </c>
      <c r="F638" t="s">
        <v>245</v>
      </c>
      <c r="G638" t="s">
        <v>43</v>
      </c>
      <c r="H638">
        <v>2020</v>
      </c>
      <c r="I638" t="s">
        <v>60</v>
      </c>
      <c r="L638" t="s">
        <v>99</v>
      </c>
      <c r="AG638">
        <f t="shared" si="9"/>
        <v>1</v>
      </c>
      <c r="AH638">
        <f>'TABLA PREVIOS'!E638</f>
        <v>281</v>
      </c>
      <c r="AI638">
        <f>VLOOKUP(C638,ALUMNOS!A:B,2,FALSE)</f>
        <v>775</v>
      </c>
    </row>
    <row r="639" spans="1:35" x14ac:dyDescent="0.25">
      <c r="A639" t="s">
        <v>285</v>
      </c>
      <c r="B639" t="s">
        <v>128</v>
      </c>
      <c r="C639">
        <v>44296634</v>
      </c>
      <c r="D639" t="s">
        <v>325</v>
      </c>
      <c r="E639" t="s">
        <v>29</v>
      </c>
      <c r="F639" t="s">
        <v>245</v>
      </c>
      <c r="G639" t="s">
        <v>43</v>
      </c>
      <c r="H639">
        <v>2020</v>
      </c>
      <c r="I639" t="s">
        <v>60</v>
      </c>
      <c r="L639" t="s">
        <v>99</v>
      </c>
      <c r="AG639">
        <f t="shared" si="9"/>
        <v>1</v>
      </c>
      <c r="AH639">
        <f>'TABLA PREVIOS'!E639</f>
        <v>290</v>
      </c>
      <c r="AI639">
        <f>VLOOKUP(C639,ALUMNOS!A:B,2,FALSE)</f>
        <v>775</v>
      </c>
    </row>
    <row r="640" spans="1:35" x14ac:dyDescent="0.25">
      <c r="A640" t="s">
        <v>326</v>
      </c>
      <c r="B640" t="s">
        <v>96</v>
      </c>
      <c r="C640">
        <v>44938174</v>
      </c>
      <c r="D640" t="s">
        <v>327</v>
      </c>
      <c r="E640" t="s">
        <v>30</v>
      </c>
      <c r="F640" t="s">
        <v>245</v>
      </c>
      <c r="G640" t="s">
        <v>43</v>
      </c>
      <c r="H640">
        <v>2021</v>
      </c>
      <c r="I640" t="s">
        <v>60</v>
      </c>
      <c r="L640" t="s">
        <v>99</v>
      </c>
      <c r="AG640">
        <f t="shared" si="9"/>
        <v>1</v>
      </c>
      <c r="AH640">
        <f>'TABLA PREVIOS'!E640</f>
        <v>285</v>
      </c>
      <c r="AI640">
        <f>VLOOKUP(C640,ALUMNOS!A:B,2,FALSE)</f>
        <v>13</v>
      </c>
    </row>
    <row r="641" spans="1:35" x14ac:dyDescent="0.25">
      <c r="A641" t="s">
        <v>326</v>
      </c>
      <c r="B641" t="s">
        <v>96</v>
      </c>
      <c r="C641">
        <v>44938174</v>
      </c>
      <c r="D641" t="s">
        <v>327</v>
      </c>
      <c r="E641" t="s">
        <v>40</v>
      </c>
      <c r="F641" t="s">
        <v>245</v>
      </c>
      <c r="G641" t="s">
        <v>43</v>
      </c>
      <c r="H641">
        <v>2021</v>
      </c>
      <c r="I641" t="s">
        <v>60</v>
      </c>
      <c r="L641" t="s">
        <v>99</v>
      </c>
      <c r="AG641">
        <f t="shared" si="9"/>
        <v>1</v>
      </c>
      <c r="AH641">
        <f>'TABLA PREVIOS'!E641</f>
        <v>289</v>
      </c>
      <c r="AI641">
        <f>VLOOKUP(C641,ALUMNOS!A:B,2,FALSE)</f>
        <v>13</v>
      </c>
    </row>
    <row r="642" spans="1:35" x14ac:dyDescent="0.25">
      <c r="A642" t="s">
        <v>326</v>
      </c>
      <c r="B642" t="s">
        <v>96</v>
      </c>
      <c r="C642">
        <v>44938174</v>
      </c>
      <c r="D642" t="s">
        <v>327</v>
      </c>
      <c r="E642" t="s">
        <v>38</v>
      </c>
      <c r="F642" t="s">
        <v>245</v>
      </c>
      <c r="G642" t="s">
        <v>43</v>
      </c>
      <c r="H642">
        <v>2021</v>
      </c>
      <c r="I642" t="s">
        <v>60</v>
      </c>
      <c r="L642" t="s">
        <v>99</v>
      </c>
      <c r="AG642">
        <f t="shared" si="9"/>
        <v>1</v>
      </c>
      <c r="AH642">
        <f>'TABLA PREVIOS'!E642</f>
        <v>287</v>
      </c>
      <c r="AI642">
        <f>VLOOKUP(C642,ALUMNOS!A:B,2,FALSE)</f>
        <v>13</v>
      </c>
    </row>
    <row r="643" spans="1:35" x14ac:dyDescent="0.25">
      <c r="A643" t="s">
        <v>326</v>
      </c>
      <c r="B643" t="s">
        <v>96</v>
      </c>
      <c r="C643">
        <v>44938174</v>
      </c>
      <c r="D643" t="s">
        <v>327</v>
      </c>
      <c r="E643" t="s">
        <v>34</v>
      </c>
      <c r="F643" t="s">
        <v>245</v>
      </c>
      <c r="G643" t="s">
        <v>43</v>
      </c>
      <c r="H643">
        <v>2021</v>
      </c>
      <c r="I643" t="s">
        <v>60</v>
      </c>
      <c r="L643" t="s">
        <v>99</v>
      </c>
      <c r="AG643">
        <f t="shared" ref="AG643:AG706" si="10">IF(VALUE(MAX(N643,R643,V643,Z643,AC643,))&gt;=7,VALUE(MAX(N643,R643,V643,Z643,AC643,)),1)</f>
        <v>1</v>
      </c>
      <c r="AH643">
        <f>'TABLA PREVIOS'!E643</f>
        <v>286</v>
      </c>
      <c r="AI643">
        <f>VLOOKUP(C643,ALUMNOS!A:B,2,FALSE)</f>
        <v>13</v>
      </c>
    </row>
    <row r="644" spans="1:35" x14ac:dyDescent="0.25">
      <c r="A644" t="s">
        <v>326</v>
      </c>
      <c r="B644" t="s">
        <v>96</v>
      </c>
      <c r="C644">
        <v>44938174</v>
      </c>
      <c r="D644" t="s">
        <v>327</v>
      </c>
      <c r="E644" t="s">
        <v>39</v>
      </c>
      <c r="F644" t="s">
        <v>245</v>
      </c>
      <c r="G644" t="s">
        <v>43</v>
      </c>
      <c r="H644">
        <v>2021</v>
      </c>
      <c r="I644" t="s">
        <v>60</v>
      </c>
      <c r="L644" t="s">
        <v>99</v>
      </c>
      <c r="AG644">
        <f t="shared" si="10"/>
        <v>1</v>
      </c>
      <c r="AH644">
        <f>'TABLA PREVIOS'!E644</f>
        <v>288</v>
      </c>
      <c r="AI644">
        <f>VLOOKUP(C644,ALUMNOS!A:B,2,FALSE)</f>
        <v>13</v>
      </c>
    </row>
    <row r="645" spans="1:35" x14ac:dyDescent="0.25">
      <c r="A645" t="s">
        <v>326</v>
      </c>
      <c r="B645" t="s">
        <v>96</v>
      </c>
      <c r="C645">
        <v>44938174</v>
      </c>
      <c r="D645" t="s">
        <v>327</v>
      </c>
      <c r="E645" t="s">
        <v>29</v>
      </c>
      <c r="F645" t="s">
        <v>245</v>
      </c>
      <c r="G645" t="s">
        <v>43</v>
      </c>
      <c r="H645">
        <v>2021</v>
      </c>
      <c r="I645" t="s">
        <v>60</v>
      </c>
      <c r="L645" t="s">
        <v>99</v>
      </c>
      <c r="AG645">
        <f t="shared" si="10"/>
        <v>1</v>
      </c>
      <c r="AH645">
        <f>'TABLA PREVIOS'!E645</f>
        <v>290</v>
      </c>
      <c r="AI645">
        <f>VLOOKUP(C645,ALUMNOS!A:B,2,FALSE)</f>
        <v>13</v>
      </c>
    </row>
    <row r="646" spans="1:35" x14ac:dyDescent="0.25">
      <c r="A646" t="s">
        <v>326</v>
      </c>
      <c r="B646" t="s">
        <v>96</v>
      </c>
      <c r="C646">
        <v>44936781</v>
      </c>
      <c r="D646" t="s">
        <v>328</v>
      </c>
      <c r="E646" t="s">
        <v>30</v>
      </c>
      <c r="F646" t="s">
        <v>190</v>
      </c>
      <c r="G646" t="s">
        <v>44</v>
      </c>
      <c r="H646">
        <v>2019</v>
      </c>
      <c r="I646" t="s">
        <v>60</v>
      </c>
      <c r="L646" t="s">
        <v>99</v>
      </c>
      <c r="AG646">
        <f t="shared" si="10"/>
        <v>1</v>
      </c>
      <c r="AH646">
        <f>'TABLA PREVIOS'!E646</f>
        <v>260</v>
      </c>
      <c r="AI646">
        <f>VLOOKUP(C646,ALUMNOS!A:B,2,FALSE)</f>
        <v>25</v>
      </c>
    </row>
    <row r="647" spans="1:35" x14ac:dyDescent="0.25">
      <c r="A647" t="s">
        <v>326</v>
      </c>
      <c r="B647" t="s">
        <v>96</v>
      </c>
      <c r="C647">
        <v>44936781</v>
      </c>
      <c r="D647" t="s">
        <v>328</v>
      </c>
      <c r="E647" t="s">
        <v>29</v>
      </c>
      <c r="F647" t="s">
        <v>190</v>
      </c>
      <c r="G647" t="s">
        <v>44</v>
      </c>
      <c r="H647">
        <v>2019</v>
      </c>
      <c r="I647" t="s">
        <v>60</v>
      </c>
      <c r="L647" t="s">
        <v>99</v>
      </c>
      <c r="AG647">
        <f t="shared" si="10"/>
        <v>1</v>
      </c>
      <c r="AH647">
        <f>'TABLA PREVIOS'!E647</f>
        <v>259</v>
      </c>
      <c r="AI647">
        <f>VLOOKUP(C647,ALUMNOS!A:B,2,FALSE)</f>
        <v>25</v>
      </c>
    </row>
    <row r="648" spans="1:35" x14ac:dyDescent="0.25">
      <c r="A648" t="s">
        <v>326</v>
      </c>
      <c r="B648" t="s">
        <v>96</v>
      </c>
      <c r="C648">
        <v>44936781</v>
      </c>
      <c r="D648" t="s">
        <v>328</v>
      </c>
      <c r="E648" t="s">
        <v>30</v>
      </c>
      <c r="F648" t="s">
        <v>245</v>
      </c>
      <c r="G648" t="s">
        <v>43</v>
      </c>
      <c r="H648">
        <v>2021</v>
      </c>
      <c r="I648" t="s">
        <v>60</v>
      </c>
      <c r="L648" t="s">
        <v>99</v>
      </c>
      <c r="AG648">
        <f t="shared" si="10"/>
        <v>1</v>
      </c>
      <c r="AH648">
        <f>'TABLA PREVIOS'!E648</f>
        <v>285</v>
      </c>
      <c r="AI648">
        <f>VLOOKUP(C648,ALUMNOS!A:B,2,FALSE)</f>
        <v>25</v>
      </c>
    </row>
    <row r="649" spans="1:35" x14ac:dyDescent="0.25">
      <c r="A649" t="s">
        <v>326</v>
      </c>
      <c r="B649" t="s">
        <v>96</v>
      </c>
      <c r="C649">
        <v>44936781</v>
      </c>
      <c r="D649" t="s">
        <v>328</v>
      </c>
      <c r="E649" t="s">
        <v>40</v>
      </c>
      <c r="F649" t="s">
        <v>245</v>
      </c>
      <c r="G649" t="s">
        <v>43</v>
      </c>
      <c r="H649">
        <v>2021</v>
      </c>
      <c r="I649" t="s">
        <v>60</v>
      </c>
      <c r="L649" t="s">
        <v>99</v>
      </c>
      <c r="AG649">
        <f t="shared" si="10"/>
        <v>1</v>
      </c>
      <c r="AH649">
        <f>'TABLA PREVIOS'!E649</f>
        <v>289</v>
      </c>
      <c r="AI649">
        <f>VLOOKUP(C649,ALUMNOS!A:B,2,FALSE)</f>
        <v>25</v>
      </c>
    </row>
    <row r="650" spans="1:35" x14ac:dyDescent="0.25">
      <c r="A650" t="s">
        <v>326</v>
      </c>
      <c r="B650" t="s">
        <v>96</v>
      </c>
      <c r="C650">
        <v>44936781</v>
      </c>
      <c r="D650" t="s">
        <v>328</v>
      </c>
      <c r="E650" t="s">
        <v>37</v>
      </c>
      <c r="F650" t="s">
        <v>245</v>
      </c>
      <c r="G650" t="s">
        <v>43</v>
      </c>
      <c r="H650">
        <v>2021</v>
      </c>
      <c r="I650" t="s">
        <v>60</v>
      </c>
      <c r="L650" t="s">
        <v>99</v>
      </c>
      <c r="AG650">
        <f t="shared" si="10"/>
        <v>1</v>
      </c>
      <c r="AH650">
        <f>'TABLA PREVIOS'!E650</f>
        <v>284</v>
      </c>
      <c r="AI650">
        <f>VLOOKUP(C650,ALUMNOS!A:B,2,FALSE)</f>
        <v>25</v>
      </c>
    </row>
    <row r="651" spans="1:35" x14ac:dyDescent="0.25">
      <c r="A651" t="s">
        <v>326</v>
      </c>
      <c r="B651" t="s">
        <v>96</v>
      </c>
      <c r="C651">
        <v>44936781</v>
      </c>
      <c r="D651" t="s">
        <v>328</v>
      </c>
      <c r="E651" t="s">
        <v>38</v>
      </c>
      <c r="F651" t="s">
        <v>245</v>
      </c>
      <c r="G651" t="s">
        <v>43</v>
      </c>
      <c r="H651">
        <v>2021</v>
      </c>
      <c r="I651" t="s">
        <v>60</v>
      </c>
      <c r="L651" t="s">
        <v>99</v>
      </c>
      <c r="AG651">
        <f t="shared" si="10"/>
        <v>1</v>
      </c>
      <c r="AH651">
        <f>'TABLA PREVIOS'!E651</f>
        <v>287</v>
      </c>
      <c r="AI651">
        <f>VLOOKUP(C651,ALUMNOS!A:B,2,FALSE)</f>
        <v>25</v>
      </c>
    </row>
    <row r="652" spans="1:35" x14ac:dyDescent="0.25">
      <c r="A652" t="s">
        <v>326</v>
      </c>
      <c r="B652" t="s">
        <v>96</v>
      </c>
      <c r="C652">
        <v>44936781</v>
      </c>
      <c r="D652" t="s">
        <v>328</v>
      </c>
      <c r="E652" t="s">
        <v>34</v>
      </c>
      <c r="F652" t="s">
        <v>245</v>
      </c>
      <c r="G652" t="s">
        <v>43</v>
      </c>
      <c r="H652">
        <v>2021</v>
      </c>
      <c r="I652" t="s">
        <v>60</v>
      </c>
      <c r="L652" t="s">
        <v>99</v>
      </c>
      <c r="AG652">
        <f t="shared" si="10"/>
        <v>1</v>
      </c>
      <c r="AH652">
        <f>'TABLA PREVIOS'!E652</f>
        <v>286</v>
      </c>
      <c r="AI652">
        <f>VLOOKUP(C652,ALUMNOS!A:B,2,FALSE)</f>
        <v>25</v>
      </c>
    </row>
    <row r="653" spans="1:35" x14ac:dyDescent="0.25">
      <c r="A653" t="s">
        <v>326</v>
      </c>
      <c r="B653" t="s">
        <v>96</v>
      </c>
      <c r="C653">
        <v>44936781</v>
      </c>
      <c r="D653" t="s">
        <v>328</v>
      </c>
      <c r="E653" t="s">
        <v>41</v>
      </c>
      <c r="F653" t="s">
        <v>245</v>
      </c>
      <c r="G653" t="s">
        <v>43</v>
      </c>
      <c r="H653">
        <v>2021</v>
      </c>
      <c r="I653" t="s">
        <v>60</v>
      </c>
      <c r="L653" t="s">
        <v>99</v>
      </c>
      <c r="AG653">
        <f t="shared" si="10"/>
        <v>1</v>
      </c>
      <c r="AH653">
        <f>'TABLA PREVIOS'!E653</f>
        <v>292</v>
      </c>
      <c r="AI653">
        <f>VLOOKUP(C653,ALUMNOS!A:B,2,FALSE)</f>
        <v>25</v>
      </c>
    </row>
    <row r="654" spans="1:35" x14ac:dyDescent="0.25">
      <c r="A654" t="s">
        <v>326</v>
      </c>
      <c r="B654" t="s">
        <v>96</v>
      </c>
      <c r="C654">
        <v>44936781</v>
      </c>
      <c r="D654" t="s">
        <v>328</v>
      </c>
      <c r="E654" t="s">
        <v>28</v>
      </c>
      <c r="F654" t="s">
        <v>245</v>
      </c>
      <c r="G654" t="s">
        <v>43</v>
      </c>
      <c r="H654">
        <v>2021</v>
      </c>
      <c r="I654" t="s">
        <v>60</v>
      </c>
      <c r="L654" t="s">
        <v>99</v>
      </c>
      <c r="AG654">
        <f t="shared" si="10"/>
        <v>1</v>
      </c>
      <c r="AH654">
        <f>'TABLA PREVIOS'!E654</f>
        <v>291</v>
      </c>
      <c r="AI654">
        <f>VLOOKUP(C654,ALUMNOS!A:B,2,FALSE)</f>
        <v>25</v>
      </c>
    </row>
    <row r="655" spans="1:35" x14ac:dyDescent="0.25">
      <c r="A655" t="s">
        <v>326</v>
      </c>
      <c r="B655" t="s">
        <v>96</v>
      </c>
      <c r="C655">
        <v>44936781</v>
      </c>
      <c r="D655" t="s">
        <v>328</v>
      </c>
      <c r="E655" t="s">
        <v>12</v>
      </c>
      <c r="F655" t="s">
        <v>245</v>
      </c>
      <c r="G655" t="s">
        <v>43</v>
      </c>
      <c r="H655">
        <v>2021</v>
      </c>
      <c r="I655" t="s">
        <v>60</v>
      </c>
      <c r="L655" t="s">
        <v>99</v>
      </c>
      <c r="AG655">
        <f t="shared" si="10"/>
        <v>1</v>
      </c>
      <c r="AH655">
        <f>'TABLA PREVIOS'!E655</f>
        <v>280</v>
      </c>
      <c r="AI655">
        <f>VLOOKUP(C655,ALUMNOS!A:B,2,FALSE)</f>
        <v>25</v>
      </c>
    </row>
    <row r="656" spans="1:35" x14ac:dyDescent="0.25">
      <c r="A656" t="s">
        <v>326</v>
      </c>
      <c r="B656" t="s">
        <v>96</v>
      </c>
      <c r="C656">
        <v>44936781</v>
      </c>
      <c r="D656" t="s">
        <v>328</v>
      </c>
      <c r="E656" t="s">
        <v>25</v>
      </c>
      <c r="F656" t="s">
        <v>245</v>
      </c>
      <c r="G656" t="s">
        <v>43</v>
      </c>
      <c r="H656">
        <v>2021</v>
      </c>
      <c r="I656" t="s">
        <v>60</v>
      </c>
      <c r="L656" t="s">
        <v>99</v>
      </c>
      <c r="AG656">
        <f t="shared" si="10"/>
        <v>1</v>
      </c>
      <c r="AH656">
        <f>'TABLA PREVIOS'!E656</f>
        <v>281</v>
      </c>
      <c r="AI656">
        <f>VLOOKUP(C656,ALUMNOS!A:B,2,FALSE)</f>
        <v>25</v>
      </c>
    </row>
    <row r="657" spans="1:35" x14ac:dyDescent="0.25">
      <c r="A657" t="s">
        <v>326</v>
      </c>
      <c r="B657" t="s">
        <v>96</v>
      </c>
      <c r="C657">
        <v>44936781</v>
      </c>
      <c r="D657" t="s">
        <v>328</v>
      </c>
      <c r="E657" t="s">
        <v>39</v>
      </c>
      <c r="F657" t="s">
        <v>245</v>
      </c>
      <c r="G657" t="s">
        <v>43</v>
      </c>
      <c r="H657">
        <v>2021</v>
      </c>
      <c r="I657" t="s">
        <v>60</v>
      </c>
      <c r="L657" t="s">
        <v>99</v>
      </c>
      <c r="AG657">
        <f t="shared" si="10"/>
        <v>1</v>
      </c>
      <c r="AH657">
        <f>'TABLA PREVIOS'!E657</f>
        <v>288</v>
      </c>
      <c r="AI657">
        <f>VLOOKUP(C657,ALUMNOS!A:B,2,FALSE)</f>
        <v>25</v>
      </c>
    </row>
    <row r="658" spans="1:35" x14ac:dyDescent="0.25">
      <c r="A658" t="s">
        <v>326</v>
      </c>
      <c r="B658" t="s">
        <v>96</v>
      </c>
      <c r="C658">
        <v>44936781</v>
      </c>
      <c r="D658" t="s">
        <v>328</v>
      </c>
      <c r="E658" t="s">
        <v>29</v>
      </c>
      <c r="F658" t="s">
        <v>245</v>
      </c>
      <c r="G658" t="s">
        <v>43</v>
      </c>
      <c r="H658">
        <v>2021</v>
      </c>
      <c r="I658" t="s">
        <v>60</v>
      </c>
      <c r="L658" t="s">
        <v>99</v>
      </c>
      <c r="AG658">
        <f t="shared" si="10"/>
        <v>1</v>
      </c>
      <c r="AH658">
        <f>'TABLA PREVIOS'!E658</f>
        <v>290</v>
      </c>
      <c r="AI658">
        <f>VLOOKUP(C658,ALUMNOS!A:B,2,FALSE)</f>
        <v>25</v>
      </c>
    </row>
    <row r="659" spans="1:35" x14ac:dyDescent="0.25">
      <c r="A659" t="s">
        <v>326</v>
      </c>
      <c r="B659" t="s">
        <v>96</v>
      </c>
      <c r="C659">
        <v>45614539</v>
      </c>
      <c r="D659" t="s">
        <v>329</v>
      </c>
      <c r="E659" t="s">
        <v>12</v>
      </c>
      <c r="F659" t="s">
        <v>220</v>
      </c>
      <c r="G659" t="s">
        <v>43</v>
      </c>
      <c r="H659">
        <v>2020</v>
      </c>
      <c r="I659" t="s">
        <v>60</v>
      </c>
      <c r="L659" t="s">
        <v>99</v>
      </c>
      <c r="M659">
        <v>45405</v>
      </c>
      <c r="N659" t="s">
        <v>50</v>
      </c>
      <c r="O659">
        <v>68</v>
      </c>
      <c r="P659">
        <v>32</v>
      </c>
      <c r="AG659">
        <f t="shared" si="10"/>
        <v>1</v>
      </c>
      <c r="AH659">
        <f>'TABLA PREVIOS'!E659</f>
        <v>265</v>
      </c>
      <c r="AI659">
        <f>VLOOKUP(C659,ALUMNOS!A:B,2,FALSE)</f>
        <v>58</v>
      </c>
    </row>
    <row r="660" spans="1:35" x14ac:dyDescent="0.25">
      <c r="A660" t="s">
        <v>326</v>
      </c>
      <c r="B660" t="s">
        <v>96</v>
      </c>
      <c r="C660">
        <v>45698126</v>
      </c>
      <c r="D660" t="s">
        <v>330</v>
      </c>
      <c r="E660" t="s">
        <v>12</v>
      </c>
      <c r="F660" t="s">
        <v>220</v>
      </c>
      <c r="G660" t="s">
        <v>43</v>
      </c>
      <c r="H660">
        <v>2020</v>
      </c>
      <c r="I660" t="s">
        <v>60</v>
      </c>
      <c r="L660" t="s">
        <v>99</v>
      </c>
      <c r="AG660">
        <f t="shared" si="10"/>
        <v>1</v>
      </c>
      <c r="AH660">
        <f>'TABLA PREVIOS'!E660</f>
        <v>265</v>
      </c>
      <c r="AI660">
        <f>VLOOKUP(C660,ALUMNOS!A:B,2,FALSE)</f>
        <v>169</v>
      </c>
    </row>
    <row r="661" spans="1:35" x14ac:dyDescent="0.25">
      <c r="A661" t="s">
        <v>326</v>
      </c>
      <c r="B661" t="s">
        <v>96</v>
      </c>
      <c r="C661">
        <v>45698126</v>
      </c>
      <c r="D661" t="s">
        <v>330</v>
      </c>
      <c r="E661" t="s">
        <v>33</v>
      </c>
      <c r="F661" t="s">
        <v>220</v>
      </c>
      <c r="G661" t="s">
        <v>43</v>
      </c>
      <c r="H661">
        <v>2020</v>
      </c>
      <c r="I661" t="s">
        <v>60</v>
      </c>
      <c r="L661" t="s">
        <v>99</v>
      </c>
      <c r="AG661">
        <f t="shared" si="10"/>
        <v>1</v>
      </c>
      <c r="AH661">
        <f>'TABLA PREVIOS'!E661</f>
        <v>271</v>
      </c>
      <c r="AI661">
        <f>VLOOKUP(C661,ALUMNOS!A:B,2,FALSE)</f>
        <v>169</v>
      </c>
    </row>
    <row r="662" spans="1:35" x14ac:dyDescent="0.25">
      <c r="A662" t="s">
        <v>326</v>
      </c>
      <c r="B662" t="s">
        <v>96</v>
      </c>
      <c r="C662">
        <v>45698126</v>
      </c>
      <c r="D662" t="s">
        <v>330</v>
      </c>
      <c r="E662" t="s">
        <v>30</v>
      </c>
      <c r="F662" t="s">
        <v>245</v>
      </c>
      <c r="G662" t="s">
        <v>43</v>
      </c>
      <c r="H662">
        <v>2021</v>
      </c>
      <c r="I662" t="s">
        <v>60</v>
      </c>
      <c r="L662" t="s">
        <v>99</v>
      </c>
      <c r="AG662">
        <f t="shared" si="10"/>
        <v>1</v>
      </c>
      <c r="AH662">
        <f>'TABLA PREVIOS'!E662</f>
        <v>285</v>
      </c>
      <c r="AI662">
        <f>VLOOKUP(C662,ALUMNOS!A:B,2,FALSE)</f>
        <v>169</v>
      </c>
    </row>
    <row r="663" spans="1:35" x14ac:dyDescent="0.25">
      <c r="A663" t="s">
        <v>326</v>
      </c>
      <c r="B663" t="s">
        <v>96</v>
      </c>
      <c r="C663">
        <v>45698126</v>
      </c>
      <c r="D663" t="s">
        <v>330</v>
      </c>
      <c r="E663" t="s">
        <v>40</v>
      </c>
      <c r="F663" t="s">
        <v>245</v>
      </c>
      <c r="G663" t="s">
        <v>43</v>
      </c>
      <c r="H663">
        <v>2021</v>
      </c>
      <c r="I663" t="s">
        <v>60</v>
      </c>
      <c r="L663" t="s">
        <v>99</v>
      </c>
      <c r="AG663">
        <f t="shared" si="10"/>
        <v>1</v>
      </c>
      <c r="AH663">
        <f>'TABLA PREVIOS'!E663</f>
        <v>289</v>
      </c>
      <c r="AI663">
        <f>VLOOKUP(C663,ALUMNOS!A:B,2,FALSE)</f>
        <v>169</v>
      </c>
    </row>
    <row r="664" spans="1:35" x14ac:dyDescent="0.25">
      <c r="A664" t="s">
        <v>326</v>
      </c>
      <c r="B664" t="s">
        <v>96</v>
      </c>
      <c r="C664">
        <v>45698126</v>
      </c>
      <c r="D664" t="s">
        <v>330</v>
      </c>
      <c r="E664" t="s">
        <v>37</v>
      </c>
      <c r="F664" t="s">
        <v>245</v>
      </c>
      <c r="G664" t="s">
        <v>43</v>
      </c>
      <c r="H664">
        <v>2021</v>
      </c>
      <c r="I664" t="s">
        <v>60</v>
      </c>
      <c r="L664" t="s">
        <v>99</v>
      </c>
      <c r="AG664">
        <f t="shared" si="10"/>
        <v>1</v>
      </c>
      <c r="AH664">
        <f>'TABLA PREVIOS'!E664</f>
        <v>284</v>
      </c>
      <c r="AI664">
        <f>VLOOKUP(C664,ALUMNOS!A:B,2,FALSE)</f>
        <v>169</v>
      </c>
    </row>
    <row r="665" spans="1:35" x14ac:dyDescent="0.25">
      <c r="A665" t="s">
        <v>326</v>
      </c>
      <c r="B665" t="s">
        <v>96</v>
      </c>
      <c r="C665">
        <v>45698126</v>
      </c>
      <c r="D665" t="s">
        <v>330</v>
      </c>
      <c r="E665" t="s">
        <v>38</v>
      </c>
      <c r="F665" t="s">
        <v>245</v>
      </c>
      <c r="G665" t="s">
        <v>43</v>
      </c>
      <c r="H665">
        <v>2021</v>
      </c>
      <c r="I665" t="s">
        <v>60</v>
      </c>
      <c r="L665" t="s">
        <v>99</v>
      </c>
      <c r="AG665">
        <f t="shared" si="10"/>
        <v>1</v>
      </c>
      <c r="AH665">
        <f>'TABLA PREVIOS'!E665</f>
        <v>287</v>
      </c>
      <c r="AI665">
        <f>VLOOKUP(C665,ALUMNOS!A:B,2,FALSE)</f>
        <v>169</v>
      </c>
    </row>
    <row r="666" spans="1:35" x14ac:dyDescent="0.25">
      <c r="A666" t="s">
        <v>326</v>
      </c>
      <c r="B666" t="s">
        <v>96</v>
      </c>
      <c r="C666">
        <v>45698126</v>
      </c>
      <c r="D666" t="s">
        <v>330</v>
      </c>
      <c r="E666" t="s">
        <v>34</v>
      </c>
      <c r="F666" t="s">
        <v>245</v>
      </c>
      <c r="G666" t="s">
        <v>43</v>
      </c>
      <c r="H666">
        <v>2021</v>
      </c>
      <c r="I666" t="s">
        <v>60</v>
      </c>
      <c r="L666" t="s">
        <v>99</v>
      </c>
      <c r="AG666">
        <f t="shared" si="10"/>
        <v>1</v>
      </c>
      <c r="AH666">
        <f>'TABLA PREVIOS'!E666</f>
        <v>286</v>
      </c>
      <c r="AI666">
        <f>VLOOKUP(C666,ALUMNOS!A:B,2,FALSE)</f>
        <v>169</v>
      </c>
    </row>
    <row r="667" spans="1:35" x14ac:dyDescent="0.25">
      <c r="A667" t="s">
        <v>326</v>
      </c>
      <c r="B667" t="s">
        <v>96</v>
      </c>
      <c r="C667">
        <v>45698126</v>
      </c>
      <c r="D667" t="s">
        <v>330</v>
      </c>
      <c r="E667" t="s">
        <v>41</v>
      </c>
      <c r="F667" t="s">
        <v>245</v>
      </c>
      <c r="G667" t="s">
        <v>43</v>
      </c>
      <c r="H667">
        <v>2021</v>
      </c>
      <c r="I667" t="s">
        <v>60</v>
      </c>
      <c r="L667" t="s">
        <v>99</v>
      </c>
      <c r="AG667">
        <f t="shared" si="10"/>
        <v>1</v>
      </c>
      <c r="AH667">
        <f>'TABLA PREVIOS'!E667</f>
        <v>292</v>
      </c>
      <c r="AI667">
        <f>VLOOKUP(C667,ALUMNOS!A:B,2,FALSE)</f>
        <v>169</v>
      </c>
    </row>
    <row r="668" spans="1:35" x14ac:dyDescent="0.25">
      <c r="A668" t="s">
        <v>326</v>
      </c>
      <c r="B668" t="s">
        <v>96</v>
      </c>
      <c r="C668">
        <v>45698126</v>
      </c>
      <c r="D668" t="s">
        <v>330</v>
      </c>
      <c r="E668" t="s">
        <v>28</v>
      </c>
      <c r="F668" t="s">
        <v>245</v>
      </c>
      <c r="G668" t="s">
        <v>43</v>
      </c>
      <c r="H668">
        <v>2021</v>
      </c>
      <c r="I668" t="s">
        <v>60</v>
      </c>
      <c r="L668" t="s">
        <v>99</v>
      </c>
      <c r="AG668">
        <f t="shared" si="10"/>
        <v>1</v>
      </c>
      <c r="AH668">
        <f>'TABLA PREVIOS'!E668</f>
        <v>291</v>
      </c>
      <c r="AI668">
        <f>VLOOKUP(C668,ALUMNOS!A:B,2,FALSE)</f>
        <v>169</v>
      </c>
    </row>
    <row r="669" spans="1:35" x14ac:dyDescent="0.25">
      <c r="A669" t="s">
        <v>326</v>
      </c>
      <c r="B669" t="s">
        <v>96</v>
      </c>
      <c r="C669">
        <v>45698126</v>
      </c>
      <c r="D669" t="s">
        <v>330</v>
      </c>
      <c r="E669" t="s">
        <v>16</v>
      </c>
      <c r="F669" t="s">
        <v>245</v>
      </c>
      <c r="G669" t="s">
        <v>43</v>
      </c>
      <c r="H669">
        <v>2021</v>
      </c>
      <c r="I669" t="s">
        <v>60</v>
      </c>
      <c r="L669" t="s">
        <v>99</v>
      </c>
      <c r="AG669">
        <f t="shared" si="10"/>
        <v>1</v>
      </c>
      <c r="AH669">
        <f>'TABLA PREVIOS'!E669</f>
        <v>282</v>
      </c>
      <c r="AI669">
        <f>VLOOKUP(C669,ALUMNOS!A:B,2,FALSE)</f>
        <v>169</v>
      </c>
    </row>
    <row r="670" spans="1:35" x14ac:dyDescent="0.25">
      <c r="A670" t="s">
        <v>326</v>
      </c>
      <c r="B670" t="s">
        <v>96</v>
      </c>
      <c r="C670">
        <v>45698126</v>
      </c>
      <c r="D670" t="s">
        <v>330</v>
      </c>
      <c r="E670" t="s">
        <v>11</v>
      </c>
      <c r="F670" t="s">
        <v>245</v>
      </c>
      <c r="G670" t="s">
        <v>43</v>
      </c>
      <c r="H670">
        <v>2021</v>
      </c>
      <c r="I670" t="s">
        <v>60</v>
      </c>
      <c r="L670" t="s">
        <v>99</v>
      </c>
      <c r="AG670">
        <f t="shared" si="10"/>
        <v>1</v>
      </c>
      <c r="AH670">
        <f>'TABLA PREVIOS'!E670</f>
        <v>279</v>
      </c>
      <c r="AI670">
        <f>VLOOKUP(C670,ALUMNOS!A:B,2,FALSE)</f>
        <v>169</v>
      </c>
    </row>
    <row r="671" spans="1:35" x14ac:dyDescent="0.25">
      <c r="A671" t="s">
        <v>326</v>
      </c>
      <c r="B671" t="s">
        <v>96</v>
      </c>
      <c r="C671">
        <v>45698126</v>
      </c>
      <c r="D671" t="s">
        <v>330</v>
      </c>
      <c r="E671" t="s">
        <v>12</v>
      </c>
      <c r="F671" t="s">
        <v>245</v>
      </c>
      <c r="G671" t="s">
        <v>43</v>
      </c>
      <c r="H671">
        <v>2021</v>
      </c>
      <c r="I671" t="s">
        <v>60</v>
      </c>
      <c r="L671" t="s">
        <v>99</v>
      </c>
      <c r="AG671">
        <f t="shared" si="10"/>
        <v>1</v>
      </c>
      <c r="AH671">
        <f>'TABLA PREVIOS'!E671</f>
        <v>280</v>
      </c>
      <c r="AI671">
        <f>VLOOKUP(C671,ALUMNOS!A:B,2,FALSE)</f>
        <v>169</v>
      </c>
    </row>
    <row r="672" spans="1:35" x14ac:dyDescent="0.25">
      <c r="A672" t="s">
        <v>326</v>
      </c>
      <c r="B672" t="s">
        <v>96</v>
      </c>
      <c r="C672">
        <v>45698126</v>
      </c>
      <c r="D672" t="s">
        <v>330</v>
      </c>
      <c r="E672" t="s">
        <v>25</v>
      </c>
      <c r="F672" t="s">
        <v>245</v>
      </c>
      <c r="G672" t="s">
        <v>43</v>
      </c>
      <c r="H672">
        <v>2021</v>
      </c>
      <c r="I672" t="s">
        <v>60</v>
      </c>
      <c r="L672" t="s">
        <v>99</v>
      </c>
      <c r="AG672">
        <f t="shared" si="10"/>
        <v>1</v>
      </c>
      <c r="AH672">
        <f>'TABLA PREVIOS'!E672</f>
        <v>281</v>
      </c>
      <c r="AI672">
        <f>VLOOKUP(C672,ALUMNOS!A:B,2,FALSE)</f>
        <v>169</v>
      </c>
    </row>
    <row r="673" spans="1:35" x14ac:dyDescent="0.25">
      <c r="A673" t="s">
        <v>326</v>
      </c>
      <c r="B673" t="s">
        <v>96</v>
      </c>
      <c r="C673">
        <v>45698126</v>
      </c>
      <c r="D673" t="s">
        <v>330</v>
      </c>
      <c r="E673" t="s">
        <v>39</v>
      </c>
      <c r="F673" t="s">
        <v>245</v>
      </c>
      <c r="G673" t="s">
        <v>43</v>
      </c>
      <c r="H673">
        <v>2021</v>
      </c>
      <c r="I673" t="s">
        <v>60</v>
      </c>
      <c r="L673" t="s">
        <v>99</v>
      </c>
      <c r="AG673">
        <f t="shared" si="10"/>
        <v>1</v>
      </c>
      <c r="AH673">
        <f>'TABLA PREVIOS'!E673</f>
        <v>288</v>
      </c>
      <c r="AI673">
        <f>VLOOKUP(C673,ALUMNOS!A:B,2,FALSE)</f>
        <v>169</v>
      </c>
    </row>
    <row r="674" spans="1:35" x14ac:dyDescent="0.25">
      <c r="A674" t="s">
        <v>326</v>
      </c>
      <c r="B674" t="s">
        <v>96</v>
      </c>
      <c r="C674">
        <v>45698126</v>
      </c>
      <c r="D674" t="s">
        <v>330</v>
      </c>
      <c r="E674" t="s">
        <v>29</v>
      </c>
      <c r="F674" t="s">
        <v>245</v>
      </c>
      <c r="G674" t="s">
        <v>43</v>
      </c>
      <c r="H674">
        <v>2021</v>
      </c>
      <c r="I674" t="s">
        <v>60</v>
      </c>
      <c r="L674" t="s">
        <v>99</v>
      </c>
      <c r="AG674">
        <f t="shared" si="10"/>
        <v>1</v>
      </c>
      <c r="AH674">
        <f>'TABLA PREVIOS'!E674</f>
        <v>290</v>
      </c>
      <c r="AI674">
        <f>VLOOKUP(C674,ALUMNOS!A:B,2,FALSE)</f>
        <v>169</v>
      </c>
    </row>
    <row r="675" spans="1:35" x14ac:dyDescent="0.25">
      <c r="A675" t="s">
        <v>326</v>
      </c>
      <c r="B675" t="s">
        <v>96</v>
      </c>
      <c r="C675">
        <v>45092236</v>
      </c>
      <c r="D675" t="s">
        <v>331</v>
      </c>
      <c r="E675" t="s">
        <v>12</v>
      </c>
      <c r="F675" t="s">
        <v>220</v>
      </c>
      <c r="G675" t="s">
        <v>43</v>
      </c>
      <c r="H675">
        <v>2020</v>
      </c>
      <c r="I675" t="s">
        <v>60</v>
      </c>
      <c r="L675" t="s">
        <v>99</v>
      </c>
      <c r="M675">
        <v>45405</v>
      </c>
      <c r="N675" t="s">
        <v>50</v>
      </c>
      <c r="O675">
        <v>68</v>
      </c>
      <c r="P675">
        <v>32</v>
      </c>
      <c r="AG675">
        <f t="shared" si="10"/>
        <v>1</v>
      </c>
      <c r="AH675">
        <f>'TABLA PREVIOS'!E675</f>
        <v>265</v>
      </c>
      <c r="AI675">
        <f>VLOOKUP(C675,ALUMNOS!A:B,2,FALSE)</f>
        <v>255</v>
      </c>
    </row>
    <row r="676" spans="1:35" x14ac:dyDescent="0.25">
      <c r="A676" t="s">
        <v>326</v>
      </c>
      <c r="B676" t="s">
        <v>96</v>
      </c>
      <c r="C676">
        <v>44237180</v>
      </c>
      <c r="D676" t="s">
        <v>332</v>
      </c>
      <c r="E676" t="s">
        <v>33</v>
      </c>
      <c r="F676" t="s">
        <v>220</v>
      </c>
      <c r="G676" t="s">
        <v>43</v>
      </c>
      <c r="H676">
        <v>2020</v>
      </c>
      <c r="I676" t="s">
        <v>60</v>
      </c>
      <c r="L676" t="s">
        <v>99</v>
      </c>
      <c r="AG676">
        <f t="shared" si="10"/>
        <v>1</v>
      </c>
      <c r="AH676">
        <f>'TABLA PREVIOS'!E676</f>
        <v>271</v>
      </c>
      <c r="AI676">
        <f>VLOOKUP(C676,ALUMNOS!A:B,2,FALSE)</f>
        <v>299</v>
      </c>
    </row>
    <row r="677" spans="1:35" x14ac:dyDescent="0.25">
      <c r="A677" t="s">
        <v>326</v>
      </c>
      <c r="B677" t="s">
        <v>96</v>
      </c>
      <c r="C677">
        <v>44237180</v>
      </c>
      <c r="D677" t="s">
        <v>332</v>
      </c>
      <c r="E677" t="s">
        <v>29</v>
      </c>
      <c r="F677" t="s">
        <v>220</v>
      </c>
      <c r="G677" t="s">
        <v>43</v>
      </c>
      <c r="H677">
        <v>2020</v>
      </c>
      <c r="I677" t="s">
        <v>60</v>
      </c>
      <c r="L677" t="s">
        <v>99</v>
      </c>
      <c r="AG677">
        <f t="shared" si="10"/>
        <v>1</v>
      </c>
      <c r="AH677">
        <f>'TABLA PREVIOS'!E677</f>
        <v>273</v>
      </c>
      <c r="AI677">
        <f>VLOOKUP(C677,ALUMNOS!A:B,2,FALSE)</f>
        <v>299</v>
      </c>
    </row>
    <row r="678" spans="1:35" x14ac:dyDescent="0.25">
      <c r="A678" t="s">
        <v>326</v>
      </c>
      <c r="B678" t="s">
        <v>96</v>
      </c>
      <c r="C678">
        <v>44237180</v>
      </c>
      <c r="D678" t="s">
        <v>332</v>
      </c>
      <c r="E678" t="s">
        <v>30</v>
      </c>
      <c r="F678" t="s">
        <v>245</v>
      </c>
      <c r="G678" t="s">
        <v>43</v>
      </c>
      <c r="H678">
        <v>2021</v>
      </c>
      <c r="I678" t="s">
        <v>60</v>
      </c>
      <c r="L678" t="s">
        <v>99</v>
      </c>
      <c r="AG678">
        <f t="shared" si="10"/>
        <v>1</v>
      </c>
      <c r="AH678">
        <f>'TABLA PREVIOS'!E678</f>
        <v>285</v>
      </c>
      <c r="AI678">
        <f>VLOOKUP(C678,ALUMNOS!A:B,2,FALSE)</f>
        <v>299</v>
      </c>
    </row>
    <row r="679" spans="1:35" x14ac:dyDescent="0.25">
      <c r="A679" t="s">
        <v>326</v>
      </c>
      <c r="B679" t="s">
        <v>96</v>
      </c>
      <c r="C679">
        <v>44237180</v>
      </c>
      <c r="D679" t="s">
        <v>332</v>
      </c>
      <c r="E679" t="s">
        <v>40</v>
      </c>
      <c r="F679" t="s">
        <v>245</v>
      </c>
      <c r="G679" t="s">
        <v>43</v>
      </c>
      <c r="H679">
        <v>2021</v>
      </c>
      <c r="I679" t="s">
        <v>60</v>
      </c>
      <c r="L679" t="s">
        <v>99</v>
      </c>
      <c r="AG679">
        <f t="shared" si="10"/>
        <v>1</v>
      </c>
      <c r="AH679">
        <f>'TABLA PREVIOS'!E679</f>
        <v>289</v>
      </c>
      <c r="AI679">
        <f>VLOOKUP(C679,ALUMNOS!A:B,2,FALSE)</f>
        <v>299</v>
      </c>
    </row>
    <row r="680" spans="1:35" x14ac:dyDescent="0.25">
      <c r="A680" t="s">
        <v>326</v>
      </c>
      <c r="B680" t="s">
        <v>96</v>
      </c>
      <c r="C680">
        <v>44237180</v>
      </c>
      <c r="D680" t="s">
        <v>332</v>
      </c>
      <c r="E680" t="s">
        <v>38</v>
      </c>
      <c r="F680" t="s">
        <v>245</v>
      </c>
      <c r="G680" t="s">
        <v>43</v>
      </c>
      <c r="H680">
        <v>2021</v>
      </c>
      <c r="I680" t="s">
        <v>60</v>
      </c>
      <c r="L680" t="s">
        <v>99</v>
      </c>
      <c r="AG680">
        <f t="shared" si="10"/>
        <v>1</v>
      </c>
      <c r="AH680">
        <f>'TABLA PREVIOS'!E680</f>
        <v>287</v>
      </c>
      <c r="AI680">
        <f>VLOOKUP(C680,ALUMNOS!A:B,2,FALSE)</f>
        <v>299</v>
      </c>
    </row>
    <row r="681" spans="1:35" x14ac:dyDescent="0.25">
      <c r="A681" t="s">
        <v>326</v>
      </c>
      <c r="B681" t="s">
        <v>96</v>
      </c>
      <c r="C681">
        <v>44237180</v>
      </c>
      <c r="D681" t="s">
        <v>332</v>
      </c>
      <c r="E681" t="s">
        <v>34</v>
      </c>
      <c r="F681" t="s">
        <v>245</v>
      </c>
      <c r="G681" t="s">
        <v>43</v>
      </c>
      <c r="H681">
        <v>2021</v>
      </c>
      <c r="I681" t="s">
        <v>60</v>
      </c>
      <c r="L681" t="s">
        <v>99</v>
      </c>
      <c r="AG681">
        <f t="shared" si="10"/>
        <v>1</v>
      </c>
      <c r="AH681">
        <f>'TABLA PREVIOS'!E681</f>
        <v>286</v>
      </c>
      <c r="AI681">
        <f>VLOOKUP(C681,ALUMNOS!A:B,2,FALSE)</f>
        <v>299</v>
      </c>
    </row>
    <row r="682" spans="1:35" x14ac:dyDescent="0.25">
      <c r="A682" t="s">
        <v>326</v>
      </c>
      <c r="B682" t="s">
        <v>96</v>
      </c>
      <c r="C682">
        <v>44237180</v>
      </c>
      <c r="D682" t="s">
        <v>332</v>
      </c>
      <c r="E682" t="s">
        <v>39</v>
      </c>
      <c r="F682" t="s">
        <v>245</v>
      </c>
      <c r="G682" t="s">
        <v>43</v>
      </c>
      <c r="H682">
        <v>2021</v>
      </c>
      <c r="I682" t="s">
        <v>60</v>
      </c>
      <c r="L682" t="s">
        <v>99</v>
      </c>
      <c r="AG682">
        <f t="shared" si="10"/>
        <v>1</v>
      </c>
      <c r="AH682">
        <f>'TABLA PREVIOS'!E682</f>
        <v>288</v>
      </c>
      <c r="AI682">
        <f>VLOOKUP(C682,ALUMNOS!A:B,2,FALSE)</f>
        <v>299</v>
      </c>
    </row>
    <row r="683" spans="1:35" x14ac:dyDescent="0.25">
      <c r="A683" t="s">
        <v>326</v>
      </c>
      <c r="B683" t="s">
        <v>96</v>
      </c>
      <c r="C683">
        <v>44237180</v>
      </c>
      <c r="D683" t="s">
        <v>332</v>
      </c>
      <c r="E683" t="s">
        <v>29</v>
      </c>
      <c r="F683" t="s">
        <v>245</v>
      </c>
      <c r="G683" t="s">
        <v>43</v>
      </c>
      <c r="H683">
        <v>2021</v>
      </c>
      <c r="I683" t="s">
        <v>60</v>
      </c>
      <c r="L683" t="s">
        <v>99</v>
      </c>
      <c r="AG683">
        <f t="shared" si="10"/>
        <v>1</v>
      </c>
      <c r="AH683">
        <f>'TABLA PREVIOS'!E683</f>
        <v>290</v>
      </c>
      <c r="AI683">
        <f>VLOOKUP(C683,ALUMNOS!A:B,2,FALSE)</f>
        <v>299</v>
      </c>
    </row>
    <row r="684" spans="1:35" x14ac:dyDescent="0.25">
      <c r="A684" t="s">
        <v>326</v>
      </c>
      <c r="B684" t="s">
        <v>96</v>
      </c>
      <c r="C684">
        <v>45349594</v>
      </c>
      <c r="D684" t="s">
        <v>333</v>
      </c>
      <c r="E684" t="s">
        <v>12</v>
      </c>
      <c r="F684" t="s">
        <v>190</v>
      </c>
      <c r="G684" t="s">
        <v>43</v>
      </c>
      <c r="H684">
        <v>2019</v>
      </c>
      <c r="I684" t="s">
        <v>60</v>
      </c>
      <c r="L684" t="s">
        <v>99</v>
      </c>
      <c r="AG684">
        <f t="shared" si="10"/>
        <v>1</v>
      </c>
      <c r="AH684">
        <f>'TABLA PREVIOS'!E684</f>
        <v>252</v>
      </c>
      <c r="AI684">
        <f>VLOOKUP(C684,ALUMNOS!A:B,2,FALSE)</f>
        <v>335</v>
      </c>
    </row>
    <row r="685" spans="1:35" x14ac:dyDescent="0.25">
      <c r="A685" t="s">
        <v>326</v>
      </c>
      <c r="B685" t="s">
        <v>96</v>
      </c>
      <c r="C685">
        <v>45349594</v>
      </c>
      <c r="D685" t="s">
        <v>333</v>
      </c>
      <c r="E685" t="s">
        <v>30</v>
      </c>
      <c r="F685" t="s">
        <v>245</v>
      </c>
      <c r="G685" t="s">
        <v>43</v>
      </c>
      <c r="H685">
        <v>2021</v>
      </c>
      <c r="I685" t="s">
        <v>60</v>
      </c>
      <c r="L685" t="s">
        <v>99</v>
      </c>
      <c r="AG685">
        <f t="shared" si="10"/>
        <v>1</v>
      </c>
      <c r="AH685">
        <f>'TABLA PREVIOS'!E685</f>
        <v>285</v>
      </c>
      <c r="AI685">
        <f>VLOOKUP(C685,ALUMNOS!A:B,2,FALSE)</f>
        <v>335</v>
      </c>
    </row>
    <row r="686" spans="1:35" x14ac:dyDescent="0.25">
      <c r="A686" t="s">
        <v>326</v>
      </c>
      <c r="B686" t="s">
        <v>96</v>
      </c>
      <c r="C686">
        <v>45349594</v>
      </c>
      <c r="D686" t="s">
        <v>333</v>
      </c>
      <c r="E686" t="s">
        <v>40</v>
      </c>
      <c r="F686" t="s">
        <v>245</v>
      </c>
      <c r="G686" t="s">
        <v>43</v>
      </c>
      <c r="H686">
        <v>2021</v>
      </c>
      <c r="I686" t="s">
        <v>60</v>
      </c>
      <c r="L686" t="s">
        <v>99</v>
      </c>
      <c r="AG686">
        <f t="shared" si="10"/>
        <v>1</v>
      </c>
      <c r="AH686">
        <f>'TABLA PREVIOS'!E686</f>
        <v>289</v>
      </c>
      <c r="AI686">
        <f>VLOOKUP(C686,ALUMNOS!A:B,2,FALSE)</f>
        <v>335</v>
      </c>
    </row>
    <row r="687" spans="1:35" x14ac:dyDescent="0.25">
      <c r="A687" t="s">
        <v>326</v>
      </c>
      <c r="B687" t="s">
        <v>96</v>
      </c>
      <c r="C687">
        <v>45349594</v>
      </c>
      <c r="D687" t="s">
        <v>333</v>
      </c>
      <c r="E687" t="s">
        <v>38</v>
      </c>
      <c r="F687" t="s">
        <v>245</v>
      </c>
      <c r="G687" t="s">
        <v>43</v>
      </c>
      <c r="H687">
        <v>2021</v>
      </c>
      <c r="I687" t="s">
        <v>60</v>
      </c>
      <c r="L687" t="s">
        <v>99</v>
      </c>
      <c r="AG687">
        <f t="shared" si="10"/>
        <v>1</v>
      </c>
      <c r="AH687">
        <f>'TABLA PREVIOS'!E687</f>
        <v>287</v>
      </c>
      <c r="AI687">
        <f>VLOOKUP(C687,ALUMNOS!A:B,2,FALSE)</f>
        <v>335</v>
      </c>
    </row>
    <row r="688" spans="1:35" x14ac:dyDescent="0.25">
      <c r="A688" t="s">
        <v>326</v>
      </c>
      <c r="B688" t="s">
        <v>96</v>
      </c>
      <c r="C688">
        <v>45349594</v>
      </c>
      <c r="D688" t="s">
        <v>333</v>
      </c>
      <c r="E688" t="s">
        <v>34</v>
      </c>
      <c r="F688" t="s">
        <v>245</v>
      </c>
      <c r="G688" t="s">
        <v>43</v>
      </c>
      <c r="H688">
        <v>2021</v>
      </c>
      <c r="I688" t="s">
        <v>60</v>
      </c>
      <c r="L688" t="s">
        <v>99</v>
      </c>
      <c r="AG688">
        <f t="shared" si="10"/>
        <v>1</v>
      </c>
      <c r="AH688">
        <f>'TABLA PREVIOS'!E688</f>
        <v>286</v>
      </c>
      <c r="AI688">
        <f>VLOOKUP(C688,ALUMNOS!A:B,2,FALSE)</f>
        <v>335</v>
      </c>
    </row>
    <row r="689" spans="1:35" x14ac:dyDescent="0.25">
      <c r="A689" t="s">
        <v>326</v>
      </c>
      <c r="B689" t="s">
        <v>96</v>
      </c>
      <c r="C689">
        <v>45349594</v>
      </c>
      <c r="D689" t="s">
        <v>333</v>
      </c>
      <c r="E689" t="s">
        <v>12</v>
      </c>
      <c r="F689" t="s">
        <v>245</v>
      </c>
      <c r="G689" t="s">
        <v>43</v>
      </c>
      <c r="H689">
        <v>2021</v>
      </c>
      <c r="I689" t="s">
        <v>60</v>
      </c>
      <c r="L689" t="s">
        <v>99</v>
      </c>
      <c r="AG689">
        <f t="shared" si="10"/>
        <v>1</v>
      </c>
      <c r="AH689">
        <f>'TABLA PREVIOS'!E689</f>
        <v>280</v>
      </c>
      <c r="AI689">
        <f>VLOOKUP(C689,ALUMNOS!A:B,2,FALSE)</f>
        <v>335</v>
      </c>
    </row>
    <row r="690" spans="1:35" x14ac:dyDescent="0.25">
      <c r="A690" t="s">
        <v>326</v>
      </c>
      <c r="B690" t="s">
        <v>96</v>
      </c>
      <c r="C690">
        <v>45349594</v>
      </c>
      <c r="D690" t="s">
        <v>333</v>
      </c>
      <c r="E690" t="s">
        <v>39</v>
      </c>
      <c r="F690" t="s">
        <v>245</v>
      </c>
      <c r="G690" t="s">
        <v>43</v>
      </c>
      <c r="H690">
        <v>2021</v>
      </c>
      <c r="I690" t="s">
        <v>60</v>
      </c>
      <c r="L690" t="s">
        <v>99</v>
      </c>
      <c r="AG690">
        <f t="shared" si="10"/>
        <v>1</v>
      </c>
      <c r="AH690">
        <f>'TABLA PREVIOS'!E690</f>
        <v>288</v>
      </c>
      <c r="AI690">
        <f>VLOOKUP(C690,ALUMNOS!A:B,2,FALSE)</f>
        <v>335</v>
      </c>
    </row>
    <row r="691" spans="1:35" x14ac:dyDescent="0.25">
      <c r="A691" t="s">
        <v>326</v>
      </c>
      <c r="B691" t="s">
        <v>96</v>
      </c>
      <c r="C691">
        <v>45349594</v>
      </c>
      <c r="D691" t="s">
        <v>333</v>
      </c>
      <c r="E691" t="s">
        <v>29</v>
      </c>
      <c r="F691" t="s">
        <v>245</v>
      </c>
      <c r="G691" t="s">
        <v>43</v>
      </c>
      <c r="H691">
        <v>2021</v>
      </c>
      <c r="I691" t="s">
        <v>60</v>
      </c>
      <c r="L691" t="s">
        <v>99</v>
      </c>
      <c r="AG691">
        <f t="shared" si="10"/>
        <v>1</v>
      </c>
      <c r="AH691">
        <f>'TABLA PREVIOS'!E691</f>
        <v>290</v>
      </c>
      <c r="AI691">
        <f>VLOOKUP(C691,ALUMNOS!A:B,2,FALSE)</f>
        <v>335</v>
      </c>
    </row>
    <row r="692" spans="1:35" x14ac:dyDescent="0.25">
      <c r="A692" t="s">
        <v>326</v>
      </c>
      <c r="B692" t="s">
        <v>96</v>
      </c>
      <c r="C692">
        <v>45349596</v>
      </c>
      <c r="D692" t="s">
        <v>334</v>
      </c>
      <c r="E692" t="s">
        <v>12</v>
      </c>
      <c r="F692" t="s">
        <v>220</v>
      </c>
      <c r="G692" t="s">
        <v>43</v>
      </c>
      <c r="H692">
        <v>2020</v>
      </c>
      <c r="I692" t="s">
        <v>60</v>
      </c>
      <c r="L692" t="s">
        <v>99</v>
      </c>
      <c r="AG692">
        <f t="shared" si="10"/>
        <v>1</v>
      </c>
      <c r="AH692">
        <f>'TABLA PREVIOS'!E692</f>
        <v>265</v>
      </c>
      <c r="AI692">
        <f>VLOOKUP(C692,ALUMNOS!A:B,2,FALSE)</f>
        <v>344</v>
      </c>
    </row>
    <row r="693" spans="1:35" x14ac:dyDescent="0.25">
      <c r="A693" t="s">
        <v>326</v>
      </c>
      <c r="B693" t="s">
        <v>96</v>
      </c>
      <c r="C693">
        <v>45349596</v>
      </c>
      <c r="D693" t="s">
        <v>334</v>
      </c>
      <c r="E693" t="s">
        <v>29</v>
      </c>
      <c r="F693" t="s">
        <v>220</v>
      </c>
      <c r="G693" t="s">
        <v>43</v>
      </c>
      <c r="H693">
        <v>2020</v>
      </c>
      <c r="I693" t="s">
        <v>60</v>
      </c>
      <c r="L693" t="s">
        <v>99</v>
      </c>
      <c r="AG693">
        <f t="shared" si="10"/>
        <v>1</v>
      </c>
      <c r="AH693">
        <f>'TABLA PREVIOS'!E693</f>
        <v>273</v>
      </c>
      <c r="AI693">
        <f>VLOOKUP(C693,ALUMNOS!A:B,2,FALSE)</f>
        <v>344</v>
      </c>
    </row>
    <row r="694" spans="1:35" x14ac:dyDescent="0.25">
      <c r="A694" t="s">
        <v>326</v>
      </c>
      <c r="B694" t="s">
        <v>96</v>
      </c>
      <c r="C694">
        <v>45349596</v>
      </c>
      <c r="D694" t="s">
        <v>334</v>
      </c>
      <c r="E694" t="s">
        <v>30</v>
      </c>
      <c r="F694" t="s">
        <v>245</v>
      </c>
      <c r="G694" t="s">
        <v>43</v>
      </c>
      <c r="H694">
        <v>2021</v>
      </c>
      <c r="I694" t="s">
        <v>60</v>
      </c>
      <c r="L694" t="s">
        <v>99</v>
      </c>
      <c r="AG694">
        <f t="shared" si="10"/>
        <v>1</v>
      </c>
      <c r="AH694">
        <f>'TABLA PREVIOS'!E694</f>
        <v>285</v>
      </c>
      <c r="AI694">
        <f>VLOOKUP(C694,ALUMNOS!A:B,2,FALSE)</f>
        <v>344</v>
      </c>
    </row>
    <row r="695" spans="1:35" x14ac:dyDescent="0.25">
      <c r="A695" t="s">
        <v>326</v>
      </c>
      <c r="B695" t="s">
        <v>96</v>
      </c>
      <c r="C695">
        <v>45349596</v>
      </c>
      <c r="D695" t="s">
        <v>334</v>
      </c>
      <c r="E695" t="s">
        <v>40</v>
      </c>
      <c r="F695" t="s">
        <v>245</v>
      </c>
      <c r="G695" t="s">
        <v>43</v>
      </c>
      <c r="H695">
        <v>2021</v>
      </c>
      <c r="I695" t="s">
        <v>60</v>
      </c>
      <c r="L695" t="s">
        <v>99</v>
      </c>
      <c r="AG695">
        <f t="shared" si="10"/>
        <v>1</v>
      </c>
      <c r="AH695">
        <f>'TABLA PREVIOS'!E695</f>
        <v>289</v>
      </c>
      <c r="AI695">
        <f>VLOOKUP(C695,ALUMNOS!A:B,2,FALSE)</f>
        <v>344</v>
      </c>
    </row>
    <row r="696" spans="1:35" x14ac:dyDescent="0.25">
      <c r="A696" t="s">
        <v>326</v>
      </c>
      <c r="B696" t="s">
        <v>96</v>
      </c>
      <c r="C696">
        <v>45349596</v>
      </c>
      <c r="D696" t="s">
        <v>334</v>
      </c>
      <c r="E696" t="s">
        <v>38</v>
      </c>
      <c r="F696" t="s">
        <v>245</v>
      </c>
      <c r="G696" t="s">
        <v>43</v>
      </c>
      <c r="H696">
        <v>2021</v>
      </c>
      <c r="I696" t="s">
        <v>60</v>
      </c>
      <c r="L696" t="s">
        <v>99</v>
      </c>
      <c r="AG696">
        <f t="shared" si="10"/>
        <v>1</v>
      </c>
      <c r="AH696">
        <f>'TABLA PREVIOS'!E696</f>
        <v>287</v>
      </c>
      <c r="AI696">
        <f>VLOOKUP(C696,ALUMNOS!A:B,2,FALSE)</f>
        <v>344</v>
      </c>
    </row>
    <row r="697" spans="1:35" x14ac:dyDescent="0.25">
      <c r="A697" t="s">
        <v>326</v>
      </c>
      <c r="B697" t="s">
        <v>96</v>
      </c>
      <c r="C697">
        <v>45349596</v>
      </c>
      <c r="D697" t="s">
        <v>334</v>
      </c>
      <c r="E697" t="s">
        <v>34</v>
      </c>
      <c r="F697" t="s">
        <v>245</v>
      </c>
      <c r="G697" t="s">
        <v>43</v>
      </c>
      <c r="H697">
        <v>2021</v>
      </c>
      <c r="I697" t="s">
        <v>60</v>
      </c>
      <c r="L697" t="s">
        <v>99</v>
      </c>
      <c r="AG697">
        <f t="shared" si="10"/>
        <v>1</v>
      </c>
      <c r="AH697">
        <f>'TABLA PREVIOS'!E697</f>
        <v>286</v>
      </c>
      <c r="AI697">
        <f>VLOOKUP(C697,ALUMNOS!A:B,2,FALSE)</f>
        <v>344</v>
      </c>
    </row>
    <row r="698" spans="1:35" x14ac:dyDescent="0.25">
      <c r="A698" t="s">
        <v>326</v>
      </c>
      <c r="B698" t="s">
        <v>96</v>
      </c>
      <c r="C698">
        <v>45349596</v>
      </c>
      <c r="D698" t="s">
        <v>334</v>
      </c>
      <c r="E698" t="s">
        <v>12</v>
      </c>
      <c r="F698" t="s">
        <v>245</v>
      </c>
      <c r="G698" t="s">
        <v>43</v>
      </c>
      <c r="H698">
        <v>2021</v>
      </c>
      <c r="I698" t="s">
        <v>60</v>
      </c>
      <c r="L698" t="s">
        <v>99</v>
      </c>
      <c r="AG698">
        <f t="shared" si="10"/>
        <v>1</v>
      </c>
      <c r="AH698">
        <f>'TABLA PREVIOS'!E698</f>
        <v>280</v>
      </c>
      <c r="AI698">
        <f>VLOOKUP(C698,ALUMNOS!A:B,2,FALSE)</f>
        <v>344</v>
      </c>
    </row>
    <row r="699" spans="1:35" x14ac:dyDescent="0.25">
      <c r="A699" t="s">
        <v>326</v>
      </c>
      <c r="B699" t="s">
        <v>96</v>
      </c>
      <c r="C699">
        <v>45349596</v>
      </c>
      <c r="D699" t="s">
        <v>334</v>
      </c>
      <c r="E699" t="s">
        <v>39</v>
      </c>
      <c r="F699" t="s">
        <v>245</v>
      </c>
      <c r="G699" t="s">
        <v>43</v>
      </c>
      <c r="H699">
        <v>2021</v>
      </c>
      <c r="I699" t="s">
        <v>60</v>
      </c>
      <c r="L699" t="s">
        <v>99</v>
      </c>
      <c r="AG699">
        <f t="shared" si="10"/>
        <v>1</v>
      </c>
      <c r="AH699">
        <f>'TABLA PREVIOS'!E699</f>
        <v>288</v>
      </c>
      <c r="AI699">
        <f>VLOOKUP(C699,ALUMNOS!A:B,2,FALSE)</f>
        <v>344</v>
      </c>
    </row>
    <row r="700" spans="1:35" x14ac:dyDescent="0.25">
      <c r="A700" t="s">
        <v>326</v>
      </c>
      <c r="B700" t="s">
        <v>96</v>
      </c>
      <c r="C700">
        <v>45349596</v>
      </c>
      <c r="D700" t="s">
        <v>334</v>
      </c>
      <c r="E700" t="s">
        <v>29</v>
      </c>
      <c r="F700" t="s">
        <v>245</v>
      </c>
      <c r="G700" t="s">
        <v>43</v>
      </c>
      <c r="H700">
        <v>2021</v>
      </c>
      <c r="I700" t="s">
        <v>60</v>
      </c>
      <c r="L700" t="s">
        <v>99</v>
      </c>
      <c r="AG700">
        <f t="shared" si="10"/>
        <v>1</v>
      </c>
      <c r="AH700">
        <f>'TABLA PREVIOS'!E700</f>
        <v>290</v>
      </c>
      <c r="AI700">
        <f>VLOOKUP(C700,ALUMNOS!A:B,2,FALSE)</f>
        <v>344</v>
      </c>
    </row>
    <row r="701" spans="1:35" x14ac:dyDescent="0.25">
      <c r="A701" t="s">
        <v>326</v>
      </c>
      <c r="B701" t="s">
        <v>96</v>
      </c>
      <c r="C701">
        <v>45349568</v>
      </c>
      <c r="D701" t="s">
        <v>335</v>
      </c>
      <c r="E701" t="s">
        <v>10</v>
      </c>
      <c r="F701" t="s">
        <v>190</v>
      </c>
      <c r="G701" t="s">
        <v>43</v>
      </c>
      <c r="H701">
        <v>2019</v>
      </c>
      <c r="I701" t="s">
        <v>60</v>
      </c>
      <c r="L701" t="s">
        <v>99</v>
      </c>
      <c r="AG701">
        <f t="shared" si="10"/>
        <v>1</v>
      </c>
      <c r="AH701">
        <f>'TABLA PREVIOS'!E701</f>
        <v>250</v>
      </c>
      <c r="AI701">
        <f>VLOOKUP(C701,ALUMNOS!A:B,2,FALSE)</f>
        <v>555</v>
      </c>
    </row>
    <row r="702" spans="1:35" x14ac:dyDescent="0.25">
      <c r="A702" t="s">
        <v>326</v>
      </c>
      <c r="B702" t="s">
        <v>96</v>
      </c>
      <c r="C702">
        <v>45349568</v>
      </c>
      <c r="D702" t="s">
        <v>335</v>
      </c>
      <c r="E702" t="s">
        <v>12</v>
      </c>
      <c r="F702" t="s">
        <v>220</v>
      </c>
      <c r="G702" t="s">
        <v>43</v>
      </c>
      <c r="H702">
        <v>2020</v>
      </c>
      <c r="I702" t="s">
        <v>60</v>
      </c>
      <c r="L702" t="s">
        <v>99</v>
      </c>
      <c r="AG702">
        <f t="shared" si="10"/>
        <v>1</v>
      </c>
      <c r="AH702">
        <f>'TABLA PREVIOS'!E702</f>
        <v>265</v>
      </c>
      <c r="AI702">
        <f>VLOOKUP(C702,ALUMNOS!A:B,2,FALSE)</f>
        <v>555</v>
      </c>
    </row>
    <row r="703" spans="1:35" x14ac:dyDescent="0.25">
      <c r="A703" t="s">
        <v>326</v>
      </c>
      <c r="B703" t="s">
        <v>96</v>
      </c>
      <c r="C703">
        <v>45349568</v>
      </c>
      <c r="D703" t="s">
        <v>335</v>
      </c>
      <c r="E703" t="s">
        <v>29</v>
      </c>
      <c r="F703" t="s">
        <v>220</v>
      </c>
      <c r="G703" t="s">
        <v>43</v>
      </c>
      <c r="H703">
        <v>2020</v>
      </c>
      <c r="I703" t="s">
        <v>60</v>
      </c>
      <c r="L703" t="s">
        <v>99</v>
      </c>
      <c r="AG703">
        <f t="shared" si="10"/>
        <v>1</v>
      </c>
      <c r="AH703">
        <f>'TABLA PREVIOS'!E703</f>
        <v>273</v>
      </c>
      <c r="AI703">
        <f>VLOOKUP(C703,ALUMNOS!A:B,2,FALSE)</f>
        <v>555</v>
      </c>
    </row>
    <row r="704" spans="1:35" x14ac:dyDescent="0.25">
      <c r="A704" t="s">
        <v>326</v>
      </c>
      <c r="B704" t="s">
        <v>96</v>
      </c>
      <c r="C704">
        <v>45349568</v>
      </c>
      <c r="D704" t="s">
        <v>335</v>
      </c>
      <c r="E704" t="s">
        <v>30</v>
      </c>
      <c r="F704" t="s">
        <v>245</v>
      </c>
      <c r="G704" t="s">
        <v>43</v>
      </c>
      <c r="H704">
        <v>2021</v>
      </c>
      <c r="I704" t="s">
        <v>60</v>
      </c>
      <c r="L704" t="s">
        <v>99</v>
      </c>
      <c r="AG704">
        <f t="shared" si="10"/>
        <v>1</v>
      </c>
      <c r="AH704">
        <f>'TABLA PREVIOS'!E704</f>
        <v>285</v>
      </c>
      <c r="AI704">
        <f>VLOOKUP(C704,ALUMNOS!A:B,2,FALSE)</f>
        <v>555</v>
      </c>
    </row>
    <row r="705" spans="1:35" x14ac:dyDescent="0.25">
      <c r="A705" t="s">
        <v>326</v>
      </c>
      <c r="B705" t="s">
        <v>96</v>
      </c>
      <c r="C705">
        <v>45349568</v>
      </c>
      <c r="D705" t="s">
        <v>335</v>
      </c>
      <c r="E705" t="s">
        <v>40</v>
      </c>
      <c r="F705" t="s">
        <v>245</v>
      </c>
      <c r="G705" t="s">
        <v>43</v>
      </c>
      <c r="H705">
        <v>2021</v>
      </c>
      <c r="I705" t="s">
        <v>60</v>
      </c>
      <c r="L705" t="s">
        <v>99</v>
      </c>
      <c r="AG705">
        <f t="shared" si="10"/>
        <v>1</v>
      </c>
      <c r="AH705">
        <f>'TABLA PREVIOS'!E705</f>
        <v>289</v>
      </c>
      <c r="AI705">
        <f>VLOOKUP(C705,ALUMNOS!A:B,2,FALSE)</f>
        <v>555</v>
      </c>
    </row>
    <row r="706" spans="1:35" x14ac:dyDescent="0.25">
      <c r="A706" t="s">
        <v>326</v>
      </c>
      <c r="B706" t="s">
        <v>96</v>
      </c>
      <c r="C706">
        <v>45349568</v>
      </c>
      <c r="D706" t="s">
        <v>335</v>
      </c>
      <c r="E706" t="s">
        <v>38</v>
      </c>
      <c r="F706" t="s">
        <v>245</v>
      </c>
      <c r="G706" t="s">
        <v>43</v>
      </c>
      <c r="H706">
        <v>2021</v>
      </c>
      <c r="I706" t="s">
        <v>60</v>
      </c>
      <c r="L706" t="s">
        <v>99</v>
      </c>
      <c r="AG706">
        <f t="shared" si="10"/>
        <v>1</v>
      </c>
      <c r="AH706">
        <f>'TABLA PREVIOS'!E706</f>
        <v>287</v>
      </c>
      <c r="AI706">
        <f>VLOOKUP(C706,ALUMNOS!A:B,2,FALSE)</f>
        <v>555</v>
      </c>
    </row>
    <row r="707" spans="1:35" x14ac:dyDescent="0.25">
      <c r="A707" t="s">
        <v>326</v>
      </c>
      <c r="B707" t="s">
        <v>96</v>
      </c>
      <c r="C707">
        <v>45349568</v>
      </c>
      <c r="D707" t="s">
        <v>335</v>
      </c>
      <c r="E707" t="s">
        <v>34</v>
      </c>
      <c r="F707" t="s">
        <v>245</v>
      </c>
      <c r="G707" t="s">
        <v>43</v>
      </c>
      <c r="H707">
        <v>2021</v>
      </c>
      <c r="I707" t="s">
        <v>60</v>
      </c>
      <c r="L707" t="s">
        <v>99</v>
      </c>
      <c r="AG707">
        <f t="shared" ref="AG707:AG770" si="11">IF(VALUE(MAX(N707,R707,V707,Z707,AC707,))&gt;=7,VALUE(MAX(N707,R707,V707,Z707,AC707,)),1)</f>
        <v>1</v>
      </c>
      <c r="AH707">
        <f>'TABLA PREVIOS'!E707</f>
        <v>286</v>
      </c>
      <c r="AI707">
        <f>VLOOKUP(C707,ALUMNOS!A:B,2,FALSE)</f>
        <v>555</v>
      </c>
    </row>
    <row r="708" spans="1:35" x14ac:dyDescent="0.25">
      <c r="A708" t="s">
        <v>326</v>
      </c>
      <c r="B708" t="s">
        <v>96</v>
      </c>
      <c r="C708">
        <v>45349568</v>
      </c>
      <c r="D708" t="s">
        <v>335</v>
      </c>
      <c r="E708" t="s">
        <v>11</v>
      </c>
      <c r="F708" t="s">
        <v>245</v>
      </c>
      <c r="G708" t="s">
        <v>43</v>
      </c>
      <c r="H708">
        <v>2021</v>
      </c>
      <c r="I708" t="s">
        <v>60</v>
      </c>
      <c r="L708" t="s">
        <v>99</v>
      </c>
      <c r="AG708">
        <f t="shared" si="11"/>
        <v>1</v>
      </c>
      <c r="AH708">
        <f>'TABLA PREVIOS'!E708</f>
        <v>279</v>
      </c>
      <c r="AI708">
        <f>VLOOKUP(C708,ALUMNOS!A:B,2,FALSE)</f>
        <v>555</v>
      </c>
    </row>
    <row r="709" spans="1:35" x14ac:dyDescent="0.25">
      <c r="A709" t="s">
        <v>326</v>
      </c>
      <c r="B709" t="s">
        <v>96</v>
      </c>
      <c r="C709">
        <v>45349568</v>
      </c>
      <c r="D709" t="s">
        <v>335</v>
      </c>
      <c r="E709" t="s">
        <v>25</v>
      </c>
      <c r="F709" t="s">
        <v>245</v>
      </c>
      <c r="G709" t="s">
        <v>43</v>
      </c>
      <c r="H709">
        <v>2021</v>
      </c>
      <c r="I709" t="s">
        <v>60</v>
      </c>
      <c r="L709" t="s">
        <v>99</v>
      </c>
      <c r="AG709">
        <f t="shared" si="11"/>
        <v>1</v>
      </c>
      <c r="AH709">
        <f>'TABLA PREVIOS'!E709</f>
        <v>281</v>
      </c>
      <c r="AI709">
        <f>VLOOKUP(C709,ALUMNOS!A:B,2,FALSE)</f>
        <v>555</v>
      </c>
    </row>
    <row r="710" spans="1:35" x14ac:dyDescent="0.25">
      <c r="A710" t="s">
        <v>326</v>
      </c>
      <c r="B710" t="s">
        <v>96</v>
      </c>
      <c r="C710">
        <v>45349568</v>
      </c>
      <c r="D710" t="s">
        <v>335</v>
      </c>
      <c r="E710" t="s">
        <v>39</v>
      </c>
      <c r="F710" t="s">
        <v>245</v>
      </c>
      <c r="G710" t="s">
        <v>43</v>
      </c>
      <c r="H710">
        <v>2021</v>
      </c>
      <c r="I710" t="s">
        <v>60</v>
      </c>
      <c r="L710" t="s">
        <v>99</v>
      </c>
      <c r="AG710">
        <f t="shared" si="11"/>
        <v>1</v>
      </c>
      <c r="AH710">
        <f>'TABLA PREVIOS'!E710</f>
        <v>288</v>
      </c>
      <c r="AI710">
        <f>VLOOKUP(C710,ALUMNOS!A:B,2,FALSE)</f>
        <v>555</v>
      </c>
    </row>
    <row r="711" spans="1:35" x14ac:dyDescent="0.25">
      <c r="A711" t="s">
        <v>326</v>
      </c>
      <c r="B711" t="s">
        <v>96</v>
      </c>
      <c r="C711">
        <v>45349568</v>
      </c>
      <c r="D711" t="s">
        <v>335</v>
      </c>
      <c r="E711" t="s">
        <v>29</v>
      </c>
      <c r="F711" t="s">
        <v>245</v>
      </c>
      <c r="G711" t="s">
        <v>43</v>
      </c>
      <c r="H711">
        <v>2021</v>
      </c>
      <c r="I711" t="s">
        <v>60</v>
      </c>
      <c r="L711" t="s">
        <v>99</v>
      </c>
      <c r="AG711">
        <f t="shared" si="11"/>
        <v>1</v>
      </c>
      <c r="AH711">
        <f>'TABLA PREVIOS'!E711</f>
        <v>290</v>
      </c>
      <c r="AI711">
        <f>VLOOKUP(C711,ALUMNOS!A:B,2,FALSE)</f>
        <v>555</v>
      </c>
    </row>
    <row r="712" spans="1:35" x14ac:dyDescent="0.25">
      <c r="A712" t="s">
        <v>326</v>
      </c>
      <c r="B712" t="s">
        <v>96</v>
      </c>
      <c r="C712">
        <v>45083749</v>
      </c>
      <c r="D712" t="s">
        <v>336</v>
      </c>
      <c r="E712" t="s">
        <v>30</v>
      </c>
      <c r="F712" t="s">
        <v>245</v>
      </c>
      <c r="G712" t="s">
        <v>43</v>
      </c>
      <c r="H712">
        <v>2021</v>
      </c>
      <c r="I712" t="s">
        <v>60</v>
      </c>
      <c r="L712" t="s">
        <v>99</v>
      </c>
      <c r="AG712">
        <f t="shared" si="11"/>
        <v>1</v>
      </c>
      <c r="AH712">
        <f>'TABLA PREVIOS'!E712</f>
        <v>285</v>
      </c>
      <c r="AI712">
        <f>VLOOKUP(C712,ALUMNOS!A:B,2,FALSE)</f>
        <v>574</v>
      </c>
    </row>
    <row r="713" spans="1:35" x14ac:dyDescent="0.25">
      <c r="A713" t="s">
        <v>326</v>
      </c>
      <c r="B713" t="s">
        <v>96</v>
      </c>
      <c r="C713">
        <v>45083749</v>
      </c>
      <c r="D713" t="s">
        <v>336</v>
      </c>
      <c r="E713" t="s">
        <v>40</v>
      </c>
      <c r="F713" t="s">
        <v>245</v>
      </c>
      <c r="G713" t="s">
        <v>43</v>
      </c>
      <c r="H713">
        <v>2021</v>
      </c>
      <c r="I713" t="s">
        <v>60</v>
      </c>
      <c r="L713" t="s">
        <v>99</v>
      </c>
      <c r="AG713">
        <f t="shared" si="11"/>
        <v>1</v>
      </c>
      <c r="AH713">
        <f>'TABLA PREVIOS'!E713</f>
        <v>289</v>
      </c>
      <c r="AI713">
        <f>VLOOKUP(C713,ALUMNOS!A:B,2,FALSE)</f>
        <v>574</v>
      </c>
    </row>
    <row r="714" spans="1:35" x14ac:dyDescent="0.25">
      <c r="A714" t="s">
        <v>326</v>
      </c>
      <c r="B714" t="s">
        <v>96</v>
      </c>
      <c r="C714">
        <v>45083749</v>
      </c>
      <c r="D714" t="s">
        <v>336</v>
      </c>
      <c r="E714" t="s">
        <v>38</v>
      </c>
      <c r="F714" t="s">
        <v>245</v>
      </c>
      <c r="G714" t="s">
        <v>43</v>
      </c>
      <c r="H714">
        <v>2021</v>
      </c>
      <c r="I714" t="s">
        <v>60</v>
      </c>
      <c r="L714" t="s">
        <v>99</v>
      </c>
      <c r="AG714">
        <f t="shared" si="11"/>
        <v>1</v>
      </c>
      <c r="AH714">
        <f>'TABLA PREVIOS'!E714</f>
        <v>287</v>
      </c>
      <c r="AI714">
        <f>VLOOKUP(C714,ALUMNOS!A:B,2,FALSE)</f>
        <v>574</v>
      </c>
    </row>
    <row r="715" spans="1:35" x14ac:dyDescent="0.25">
      <c r="A715" t="s">
        <v>326</v>
      </c>
      <c r="B715" t="s">
        <v>96</v>
      </c>
      <c r="C715">
        <v>45083749</v>
      </c>
      <c r="D715" t="s">
        <v>336</v>
      </c>
      <c r="E715" t="s">
        <v>34</v>
      </c>
      <c r="F715" t="s">
        <v>245</v>
      </c>
      <c r="G715" t="s">
        <v>43</v>
      </c>
      <c r="H715">
        <v>2021</v>
      </c>
      <c r="I715" t="s">
        <v>60</v>
      </c>
      <c r="L715" t="s">
        <v>99</v>
      </c>
      <c r="AG715">
        <f t="shared" si="11"/>
        <v>1</v>
      </c>
      <c r="AH715">
        <f>'TABLA PREVIOS'!E715</f>
        <v>286</v>
      </c>
      <c r="AI715">
        <f>VLOOKUP(C715,ALUMNOS!A:B,2,FALSE)</f>
        <v>574</v>
      </c>
    </row>
    <row r="716" spans="1:35" x14ac:dyDescent="0.25">
      <c r="A716" t="s">
        <v>326</v>
      </c>
      <c r="B716" t="s">
        <v>96</v>
      </c>
      <c r="C716">
        <v>45083749</v>
      </c>
      <c r="D716" t="s">
        <v>336</v>
      </c>
      <c r="E716" t="s">
        <v>39</v>
      </c>
      <c r="F716" t="s">
        <v>245</v>
      </c>
      <c r="G716" t="s">
        <v>43</v>
      </c>
      <c r="H716">
        <v>2021</v>
      </c>
      <c r="I716" t="s">
        <v>60</v>
      </c>
      <c r="L716" t="s">
        <v>99</v>
      </c>
      <c r="AG716">
        <f t="shared" si="11"/>
        <v>1</v>
      </c>
      <c r="AH716">
        <f>'TABLA PREVIOS'!E716</f>
        <v>288</v>
      </c>
      <c r="AI716">
        <f>VLOOKUP(C716,ALUMNOS!A:B,2,FALSE)</f>
        <v>574</v>
      </c>
    </row>
    <row r="717" spans="1:35" x14ac:dyDescent="0.25">
      <c r="A717" t="s">
        <v>326</v>
      </c>
      <c r="B717" t="s">
        <v>96</v>
      </c>
      <c r="C717">
        <v>45083749</v>
      </c>
      <c r="D717" t="s">
        <v>336</v>
      </c>
      <c r="E717" t="s">
        <v>29</v>
      </c>
      <c r="F717" t="s">
        <v>245</v>
      </c>
      <c r="G717" t="s">
        <v>43</v>
      </c>
      <c r="H717">
        <v>2021</v>
      </c>
      <c r="I717" t="s">
        <v>60</v>
      </c>
      <c r="L717" t="s">
        <v>99</v>
      </c>
      <c r="AG717">
        <f t="shared" si="11"/>
        <v>1</v>
      </c>
      <c r="AH717">
        <f>'TABLA PREVIOS'!E717</f>
        <v>290</v>
      </c>
      <c r="AI717">
        <f>VLOOKUP(C717,ALUMNOS!A:B,2,FALSE)</f>
        <v>574</v>
      </c>
    </row>
    <row r="718" spans="1:35" x14ac:dyDescent="0.25">
      <c r="A718" t="s">
        <v>326</v>
      </c>
      <c r="B718" t="s">
        <v>96</v>
      </c>
      <c r="C718">
        <v>45484430</v>
      </c>
      <c r="D718" t="s">
        <v>337</v>
      </c>
      <c r="E718" t="s">
        <v>23</v>
      </c>
      <c r="F718" t="s">
        <v>220</v>
      </c>
      <c r="G718" t="s">
        <v>43</v>
      </c>
      <c r="H718">
        <v>2020</v>
      </c>
      <c r="I718" t="s">
        <v>60</v>
      </c>
      <c r="L718" t="s">
        <v>99</v>
      </c>
      <c r="AG718">
        <f t="shared" si="11"/>
        <v>1</v>
      </c>
      <c r="AH718">
        <f>'TABLA PREVIOS'!E718</f>
        <v>270</v>
      </c>
      <c r="AI718">
        <f>VLOOKUP(C718,ALUMNOS!A:B,2,FALSE)</f>
        <v>776</v>
      </c>
    </row>
    <row r="719" spans="1:35" x14ac:dyDescent="0.25">
      <c r="A719" t="s">
        <v>326</v>
      </c>
      <c r="B719" t="s">
        <v>96</v>
      </c>
      <c r="C719">
        <v>45484430</v>
      </c>
      <c r="D719" t="s">
        <v>337</v>
      </c>
      <c r="E719" t="s">
        <v>29</v>
      </c>
      <c r="F719" t="s">
        <v>220</v>
      </c>
      <c r="G719" t="s">
        <v>43</v>
      </c>
      <c r="H719">
        <v>2020</v>
      </c>
      <c r="I719" t="s">
        <v>60</v>
      </c>
      <c r="L719" t="s">
        <v>99</v>
      </c>
      <c r="AG719">
        <f t="shared" si="11"/>
        <v>1</v>
      </c>
      <c r="AH719">
        <f>'TABLA PREVIOS'!E719</f>
        <v>273</v>
      </c>
      <c r="AI719">
        <f>VLOOKUP(C719,ALUMNOS!A:B,2,FALSE)</f>
        <v>776</v>
      </c>
    </row>
    <row r="720" spans="1:35" x14ac:dyDescent="0.25">
      <c r="A720" t="s">
        <v>326</v>
      </c>
      <c r="B720" t="s">
        <v>96</v>
      </c>
      <c r="C720">
        <v>45484430</v>
      </c>
      <c r="D720" t="s">
        <v>337</v>
      </c>
      <c r="E720" t="s">
        <v>37</v>
      </c>
      <c r="F720" t="s">
        <v>245</v>
      </c>
      <c r="G720" t="s">
        <v>43</v>
      </c>
      <c r="H720">
        <v>2021</v>
      </c>
      <c r="I720" t="s">
        <v>60</v>
      </c>
      <c r="L720" t="s">
        <v>99</v>
      </c>
      <c r="AG720">
        <f t="shared" si="11"/>
        <v>1</v>
      </c>
      <c r="AH720">
        <f>'TABLA PREVIOS'!E720</f>
        <v>284</v>
      </c>
      <c r="AI720">
        <f>VLOOKUP(C720,ALUMNOS!A:B,2,FALSE)</f>
        <v>776</v>
      </c>
    </row>
    <row r="721" spans="1:35" x14ac:dyDescent="0.25">
      <c r="A721" t="s">
        <v>326</v>
      </c>
      <c r="B721" t="s">
        <v>96</v>
      </c>
      <c r="C721">
        <v>45484430</v>
      </c>
      <c r="D721" t="s">
        <v>337</v>
      </c>
      <c r="E721" t="s">
        <v>41</v>
      </c>
      <c r="F721" t="s">
        <v>245</v>
      </c>
      <c r="G721" t="s">
        <v>43</v>
      </c>
      <c r="H721">
        <v>2021</v>
      </c>
      <c r="I721" t="s">
        <v>60</v>
      </c>
      <c r="L721" t="s">
        <v>99</v>
      </c>
      <c r="AG721">
        <f t="shared" si="11"/>
        <v>1</v>
      </c>
      <c r="AH721">
        <f>'TABLA PREVIOS'!E721</f>
        <v>292</v>
      </c>
      <c r="AI721">
        <f>VLOOKUP(C721,ALUMNOS!A:B,2,FALSE)</f>
        <v>776</v>
      </c>
    </row>
    <row r="722" spans="1:35" x14ac:dyDescent="0.25">
      <c r="A722" t="s">
        <v>326</v>
      </c>
      <c r="B722" t="s">
        <v>96</v>
      </c>
      <c r="C722">
        <v>45484430</v>
      </c>
      <c r="D722" t="s">
        <v>337</v>
      </c>
      <c r="E722" t="s">
        <v>11</v>
      </c>
      <c r="F722" t="s">
        <v>245</v>
      </c>
      <c r="G722" t="s">
        <v>43</v>
      </c>
      <c r="H722">
        <v>2021</v>
      </c>
      <c r="I722" t="s">
        <v>60</v>
      </c>
      <c r="L722" t="s">
        <v>99</v>
      </c>
      <c r="AG722">
        <f t="shared" si="11"/>
        <v>1</v>
      </c>
      <c r="AH722">
        <f>'TABLA PREVIOS'!E722</f>
        <v>279</v>
      </c>
      <c r="AI722">
        <f>VLOOKUP(C722,ALUMNOS!A:B,2,FALSE)</f>
        <v>776</v>
      </c>
    </row>
    <row r="723" spans="1:35" x14ac:dyDescent="0.25">
      <c r="A723" t="s">
        <v>326</v>
      </c>
      <c r="B723" t="s">
        <v>96</v>
      </c>
      <c r="C723">
        <v>45484430</v>
      </c>
      <c r="D723" t="s">
        <v>337</v>
      </c>
      <c r="E723" t="s">
        <v>25</v>
      </c>
      <c r="F723" t="s">
        <v>245</v>
      </c>
      <c r="G723" t="s">
        <v>43</v>
      </c>
      <c r="H723">
        <v>2021</v>
      </c>
      <c r="I723" t="s">
        <v>60</v>
      </c>
      <c r="L723" t="s">
        <v>99</v>
      </c>
      <c r="AG723">
        <f t="shared" si="11"/>
        <v>1</v>
      </c>
      <c r="AH723">
        <f>'TABLA PREVIOS'!E723</f>
        <v>281</v>
      </c>
      <c r="AI723">
        <f>VLOOKUP(C723,ALUMNOS!A:B,2,FALSE)</f>
        <v>776</v>
      </c>
    </row>
    <row r="724" spans="1:35" x14ac:dyDescent="0.25">
      <c r="A724" t="s">
        <v>326</v>
      </c>
      <c r="B724" t="s">
        <v>96</v>
      </c>
      <c r="C724">
        <v>45484413</v>
      </c>
      <c r="D724" t="s">
        <v>338</v>
      </c>
      <c r="E724" t="s">
        <v>26</v>
      </c>
      <c r="F724" t="s">
        <v>220</v>
      </c>
      <c r="G724" t="s">
        <v>43</v>
      </c>
      <c r="H724">
        <v>2020</v>
      </c>
      <c r="I724" t="s">
        <v>60</v>
      </c>
      <c r="L724" t="s">
        <v>99</v>
      </c>
      <c r="AG724">
        <f t="shared" si="11"/>
        <v>1</v>
      </c>
      <c r="AH724">
        <f>'TABLA PREVIOS'!E724</f>
        <v>267</v>
      </c>
      <c r="AI724">
        <f>VLOOKUP(C724,ALUMNOS!A:B,2,FALSE)</f>
        <v>779</v>
      </c>
    </row>
    <row r="725" spans="1:35" x14ac:dyDescent="0.25">
      <c r="A725" t="s">
        <v>326</v>
      </c>
      <c r="B725" t="s">
        <v>96</v>
      </c>
      <c r="C725">
        <v>45484413</v>
      </c>
      <c r="D725" t="s">
        <v>338</v>
      </c>
      <c r="E725" t="s">
        <v>29</v>
      </c>
      <c r="F725" t="s">
        <v>220</v>
      </c>
      <c r="G725" t="s">
        <v>43</v>
      </c>
      <c r="H725">
        <v>2020</v>
      </c>
      <c r="I725" t="s">
        <v>60</v>
      </c>
      <c r="L725" t="s">
        <v>99</v>
      </c>
      <c r="AG725">
        <f t="shared" si="11"/>
        <v>1</v>
      </c>
      <c r="AH725">
        <f>'TABLA PREVIOS'!E725</f>
        <v>273</v>
      </c>
      <c r="AI725">
        <f>VLOOKUP(C725,ALUMNOS!A:B,2,FALSE)</f>
        <v>779</v>
      </c>
    </row>
    <row r="726" spans="1:35" x14ac:dyDescent="0.25">
      <c r="A726" t="s">
        <v>326</v>
      </c>
      <c r="B726" t="s">
        <v>96</v>
      </c>
      <c r="C726">
        <v>45484413</v>
      </c>
      <c r="D726" t="s">
        <v>338</v>
      </c>
      <c r="E726" t="s">
        <v>30</v>
      </c>
      <c r="F726" t="s">
        <v>245</v>
      </c>
      <c r="G726" t="s">
        <v>43</v>
      </c>
      <c r="H726">
        <v>2021</v>
      </c>
      <c r="I726" t="s">
        <v>60</v>
      </c>
      <c r="L726" t="s">
        <v>99</v>
      </c>
      <c r="AG726">
        <f t="shared" si="11"/>
        <v>1</v>
      </c>
      <c r="AH726">
        <f>'TABLA PREVIOS'!E726</f>
        <v>285</v>
      </c>
      <c r="AI726">
        <f>VLOOKUP(C726,ALUMNOS!A:B,2,FALSE)</f>
        <v>779</v>
      </c>
    </row>
    <row r="727" spans="1:35" x14ac:dyDescent="0.25">
      <c r="A727" t="s">
        <v>326</v>
      </c>
      <c r="B727" t="s">
        <v>96</v>
      </c>
      <c r="C727">
        <v>45484413</v>
      </c>
      <c r="D727" t="s">
        <v>338</v>
      </c>
      <c r="E727" t="s">
        <v>40</v>
      </c>
      <c r="F727" t="s">
        <v>245</v>
      </c>
      <c r="G727" t="s">
        <v>43</v>
      </c>
      <c r="H727">
        <v>2021</v>
      </c>
      <c r="I727" t="s">
        <v>60</v>
      </c>
      <c r="L727" t="s">
        <v>99</v>
      </c>
      <c r="AG727">
        <f t="shared" si="11"/>
        <v>1</v>
      </c>
      <c r="AH727">
        <f>'TABLA PREVIOS'!E727</f>
        <v>289</v>
      </c>
      <c r="AI727">
        <f>VLOOKUP(C727,ALUMNOS!A:B,2,FALSE)</f>
        <v>779</v>
      </c>
    </row>
    <row r="728" spans="1:35" x14ac:dyDescent="0.25">
      <c r="A728" t="s">
        <v>326</v>
      </c>
      <c r="B728" t="s">
        <v>96</v>
      </c>
      <c r="C728">
        <v>45484413</v>
      </c>
      <c r="D728" t="s">
        <v>338</v>
      </c>
      <c r="E728" t="s">
        <v>38</v>
      </c>
      <c r="F728" t="s">
        <v>245</v>
      </c>
      <c r="G728" t="s">
        <v>43</v>
      </c>
      <c r="H728">
        <v>2021</v>
      </c>
      <c r="I728" t="s">
        <v>60</v>
      </c>
      <c r="L728" t="s">
        <v>99</v>
      </c>
      <c r="AG728">
        <f t="shared" si="11"/>
        <v>1</v>
      </c>
      <c r="AH728">
        <f>'TABLA PREVIOS'!E728</f>
        <v>287</v>
      </c>
      <c r="AI728">
        <f>VLOOKUP(C728,ALUMNOS!A:B,2,FALSE)</f>
        <v>779</v>
      </c>
    </row>
    <row r="729" spans="1:35" x14ac:dyDescent="0.25">
      <c r="A729" t="s">
        <v>326</v>
      </c>
      <c r="B729" t="s">
        <v>96</v>
      </c>
      <c r="C729">
        <v>45484413</v>
      </c>
      <c r="D729" t="s">
        <v>338</v>
      </c>
      <c r="E729" t="s">
        <v>34</v>
      </c>
      <c r="F729" t="s">
        <v>245</v>
      </c>
      <c r="G729" t="s">
        <v>43</v>
      </c>
      <c r="H729">
        <v>2021</v>
      </c>
      <c r="I729" t="s">
        <v>60</v>
      </c>
      <c r="L729" t="s">
        <v>99</v>
      </c>
      <c r="AG729">
        <f t="shared" si="11"/>
        <v>1</v>
      </c>
      <c r="AH729">
        <f>'TABLA PREVIOS'!E729</f>
        <v>286</v>
      </c>
      <c r="AI729">
        <f>VLOOKUP(C729,ALUMNOS!A:B,2,FALSE)</f>
        <v>779</v>
      </c>
    </row>
    <row r="730" spans="1:35" x14ac:dyDescent="0.25">
      <c r="A730" t="s">
        <v>326</v>
      </c>
      <c r="B730" t="s">
        <v>96</v>
      </c>
      <c r="C730">
        <v>45484413</v>
      </c>
      <c r="D730" t="s">
        <v>338</v>
      </c>
      <c r="E730" t="s">
        <v>25</v>
      </c>
      <c r="F730" t="s">
        <v>245</v>
      </c>
      <c r="G730" t="s">
        <v>43</v>
      </c>
      <c r="H730">
        <v>2021</v>
      </c>
      <c r="I730" t="s">
        <v>60</v>
      </c>
      <c r="L730" t="s">
        <v>99</v>
      </c>
      <c r="AG730">
        <f t="shared" si="11"/>
        <v>1</v>
      </c>
      <c r="AH730">
        <f>'TABLA PREVIOS'!E730</f>
        <v>281</v>
      </c>
      <c r="AI730">
        <f>VLOOKUP(C730,ALUMNOS!A:B,2,FALSE)</f>
        <v>779</v>
      </c>
    </row>
    <row r="731" spans="1:35" x14ac:dyDescent="0.25">
      <c r="A731" t="s">
        <v>326</v>
      </c>
      <c r="B731" t="s">
        <v>96</v>
      </c>
      <c r="C731">
        <v>45484413</v>
      </c>
      <c r="D731" t="s">
        <v>338</v>
      </c>
      <c r="E731" t="s">
        <v>39</v>
      </c>
      <c r="F731" t="s">
        <v>245</v>
      </c>
      <c r="G731" t="s">
        <v>43</v>
      </c>
      <c r="H731">
        <v>2021</v>
      </c>
      <c r="I731" t="s">
        <v>60</v>
      </c>
      <c r="L731" t="s">
        <v>99</v>
      </c>
      <c r="AG731">
        <f t="shared" si="11"/>
        <v>1</v>
      </c>
      <c r="AH731">
        <f>'TABLA PREVIOS'!E731</f>
        <v>288</v>
      </c>
      <c r="AI731">
        <f>VLOOKUP(C731,ALUMNOS!A:B,2,FALSE)</f>
        <v>779</v>
      </c>
    </row>
    <row r="732" spans="1:35" x14ac:dyDescent="0.25">
      <c r="A732" t="s">
        <v>326</v>
      </c>
      <c r="B732" t="s">
        <v>96</v>
      </c>
      <c r="C732">
        <v>45484413</v>
      </c>
      <c r="D732" t="s">
        <v>338</v>
      </c>
      <c r="E732" t="s">
        <v>29</v>
      </c>
      <c r="F732" t="s">
        <v>245</v>
      </c>
      <c r="G732" t="s">
        <v>43</v>
      </c>
      <c r="H732">
        <v>2021</v>
      </c>
      <c r="I732" t="s">
        <v>60</v>
      </c>
      <c r="L732" t="s">
        <v>99</v>
      </c>
      <c r="AG732">
        <f t="shared" si="11"/>
        <v>1</v>
      </c>
      <c r="AH732">
        <f>'TABLA PREVIOS'!E732</f>
        <v>290</v>
      </c>
      <c r="AI732">
        <f>VLOOKUP(C732,ALUMNOS!A:B,2,FALSE)</f>
        <v>779</v>
      </c>
    </row>
    <row r="733" spans="1:35" x14ac:dyDescent="0.25">
      <c r="A733" t="s">
        <v>326</v>
      </c>
      <c r="B733" t="s">
        <v>109</v>
      </c>
      <c r="C733">
        <v>45674069</v>
      </c>
      <c r="D733" t="s">
        <v>339</v>
      </c>
      <c r="E733" t="s">
        <v>30</v>
      </c>
      <c r="F733" t="s">
        <v>245</v>
      </c>
      <c r="G733" t="s">
        <v>43</v>
      </c>
      <c r="H733">
        <v>2021</v>
      </c>
      <c r="I733" t="s">
        <v>60</v>
      </c>
      <c r="L733" t="s">
        <v>99</v>
      </c>
      <c r="AG733">
        <f t="shared" si="11"/>
        <v>1</v>
      </c>
      <c r="AH733">
        <f>'TABLA PREVIOS'!E733</f>
        <v>285</v>
      </c>
      <c r="AI733">
        <f>VLOOKUP(C733,ALUMNOS!A:B,2,FALSE)</f>
        <v>179</v>
      </c>
    </row>
    <row r="734" spans="1:35" x14ac:dyDescent="0.25">
      <c r="A734" t="s">
        <v>326</v>
      </c>
      <c r="B734" t="s">
        <v>109</v>
      </c>
      <c r="C734">
        <v>45674069</v>
      </c>
      <c r="D734" t="s">
        <v>339</v>
      </c>
      <c r="E734" t="s">
        <v>40</v>
      </c>
      <c r="F734" t="s">
        <v>245</v>
      </c>
      <c r="G734" t="s">
        <v>43</v>
      </c>
      <c r="H734">
        <v>2021</v>
      </c>
      <c r="I734" t="s">
        <v>60</v>
      </c>
      <c r="L734" t="s">
        <v>99</v>
      </c>
      <c r="AG734">
        <f t="shared" si="11"/>
        <v>1</v>
      </c>
      <c r="AH734">
        <f>'TABLA PREVIOS'!E734</f>
        <v>289</v>
      </c>
      <c r="AI734">
        <f>VLOOKUP(C734,ALUMNOS!A:B,2,FALSE)</f>
        <v>179</v>
      </c>
    </row>
    <row r="735" spans="1:35" x14ac:dyDescent="0.25">
      <c r="A735" t="s">
        <v>326</v>
      </c>
      <c r="B735" t="s">
        <v>109</v>
      </c>
      <c r="C735">
        <v>45674069</v>
      </c>
      <c r="D735" t="s">
        <v>339</v>
      </c>
      <c r="E735" t="s">
        <v>38</v>
      </c>
      <c r="F735" t="s">
        <v>245</v>
      </c>
      <c r="G735" t="s">
        <v>43</v>
      </c>
      <c r="H735">
        <v>2021</v>
      </c>
      <c r="I735" t="s">
        <v>60</v>
      </c>
      <c r="L735" t="s">
        <v>99</v>
      </c>
      <c r="AG735">
        <f t="shared" si="11"/>
        <v>1</v>
      </c>
      <c r="AH735">
        <f>'TABLA PREVIOS'!E735</f>
        <v>287</v>
      </c>
      <c r="AI735">
        <f>VLOOKUP(C735,ALUMNOS!A:B,2,FALSE)</f>
        <v>179</v>
      </c>
    </row>
    <row r="736" spans="1:35" x14ac:dyDescent="0.25">
      <c r="A736" t="s">
        <v>326</v>
      </c>
      <c r="B736" t="s">
        <v>109</v>
      </c>
      <c r="C736">
        <v>45674069</v>
      </c>
      <c r="D736" t="s">
        <v>339</v>
      </c>
      <c r="E736" t="s">
        <v>34</v>
      </c>
      <c r="F736" t="s">
        <v>245</v>
      </c>
      <c r="G736" t="s">
        <v>43</v>
      </c>
      <c r="H736">
        <v>2021</v>
      </c>
      <c r="I736" t="s">
        <v>60</v>
      </c>
      <c r="L736" t="s">
        <v>99</v>
      </c>
      <c r="AG736">
        <f t="shared" si="11"/>
        <v>1</v>
      </c>
      <c r="AH736">
        <f>'TABLA PREVIOS'!E736</f>
        <v>286</v>
      </c>
      <c r="AI736">
        <f>VLOOKUP(C736,ALUMNOS!A:B,2,FALSE)</f>
        <v>179</v>
      </c>
    </row>
    <row r="737" spans="1:35" x14ac:dyDescent="0.25">
      <c r="A737" t="s">
        <v>326</v>
      </c>
      <c r="B737" t="s">
        <v>109</v>
      </c>
      <c r="C737">
        <v>45674069</v>
      </c>
      <c r="D737" t="s">
        <v>339</v>
      </c>
      <c r="E737" t="s">
        <v>39</v>
      </c>
      <c r="F737" t="s">
        <v>245</v>
      </c>
      <c r="G737" t="s">
        <v>43</v>
      </c>
      <c r="H737">
        <v>2021</v>
      </c>
      <c r="I737" t="s">
        <v>60</v>
      </c>
      <c r="L737" t="s">
        <v>99</v>
      </c>
      <c r="AG737">
        <f t="shared" si="11"/>
        <v>1</v>
      </c>
      <c r="AH737">
        <f>'TABLA PREVIOS'!E737</f>
        <v>288</v>
      </c>
      <c r="AI737">
        <f>VLOOKUP(C737,ALUMNOS!A:B,2,FALSE)</f>
        <v>179</v>
      </c>
    </row>
    <row r="738" spans="1:35" x14ac:dyDescent="0.25">
      <c r="A738" t="s">
        <v>326</v>
      </c>
      <c r="B738" t="s">
        <v>109</v>
      </c>
      <c r="C738">
        <v>45674069</v>
      </c>
      <c r="D738" t="s">
        <v>339</v>
      </c>
      <c r="E738" t="s">
        <v>29</v>
      </c>
      <c r="F738" t="s">
        <v>245</v>
      </c>
      <c r="G738" t="s">
        <v>43</v>
      </c>
      <c r="H738">
        <v>2021</v>
      </c>
      <c r="I738" t="s">
        <v>60</v>
      </c>
      <c r="L738" t="s">
        <v>99</v>
      </c>
      <c r="AG738">
        <f t="shared" si="11"/>
        <v>1</v>
      </c>
      <c r="AH738">
        <f>'TABLA PREVIOS'!E738</f>
        <v>290</v>
      </c>
      <c r="AI738">
        <f>VLOOKUP(C738,ALUMNOS!A:B,2,FALSE)</f>
        <v>179</v>
      </c>
    </row>
    <row r="739" spans="1:35" x14ac:dyDescent="0.25">
      <c r="A739" t="s">
        <v>326</v>
      </c>
      <c r="B739" t="s">
        <v>109</v>
      </c>
      <c r="C739">
        <v>45484422</v>
      </c>
      <c r="D739" t="s">
        <v>340</v>
      </c>
      <c r="E739" t="s">
        <v>30</v>
      </c>
      <c r="F739" t="s">
        <v>245</v>
      </c>
      <c r="G739" t="s">
        <v>43</v>
      </c>
      <c r="H739">
        <v>2021</v>
      </c>
      <c r="I739" t="s">
        <v>60</v>
      </c>
      <c r="L739" t="s">
        <v>99</v>
      </c>
      <c r="AG739">
        <f t="shared" si="11"/>
        <v>1</v>
      </c>
      <c r="AH739">
        <f>'TABLA PREVIOS'!E739</f>
        <v>285</v>
      </c>
      <c r="AI739">
        <f>VLOOKUP(C739,ALUMNOS!A:B,2,FALSE)</f>
        <v>258</v>
      </c>
    </row>
    <row r="740" spans="1:35" x14ac:dyDescent="0.25">
      <c r="A740" t="s">
        <v>326</v>
      </c>
      <c r="B740" t="s">
        <v>109</v>
      </c>
      <c r="C740">
        <v>45484422</v>
      </c>
      <c r="D740" t="s">
        <v>340</v>
      </c>
      <c r="E740" t="s">
        <v>40</v>
      </c>
      <c r="F740" t="s">
        <v>245</v>
      </c>
      <c r="G740" t="s">
        <v>43</v>
      </c>
      <c r="H740">
        <v>2021</v>
      </c>
      <c r="I740" t="s">
        <v>60</v>
      </c>
      <c r="L740" t="s">
        <v>99</v>
      </c>
      <c r="AG740">
        <f t="shared" si="11"/>
        <v>1</v>
      </c>
      <c r="AH740">
        <f>'TABLA PREVIOS'!E740</f>
        <v>289</v>
      </c>
      <c r="AI740">
        <f>VLOOKUP(C740,ALUMNOS!A:B,2,FALSE)</f>
        <v>258</v>
      </c>
    </row>
    <row r="741" spans="1:35" x14ac:dyDescent="0.25">
      <c r="A741" t="s">
        <v>326</v>
      </c>
      <c r="B741" t="s">
        <v>109</v>
      </c>
      <c r="C741">
        <v>45484422</v>
      </c>
      <c r="D741" t="s">
        <v>340</v>
      </c>
      <c r="E741" t="s">
        <v>38</v>
      </c>
      <c r="F741" t="s">
        <v>245</v>
      </c>
      <c r="G741" t="s">
        <v>43</v>
      </c>
      <c r="H741">
        <v>2021</v>
      </c>
      <c r="I741" t="s">
        <v>60</v>
      </c>
      <c r="L741" t="s">
        <v>99</v>
      </c>
      <c r="AG741">
        <f t="shared" si="11"/>
        <v>1</v>
      </c>
      <c r="AH741">
        <f>'TABLA PREVIOS'!E741</f>
        <v>287</v>
      </c>
      <c r="AI741">
        <f>VLOOKUP(C741,ALUMNOS!A:B,2,FALSE)</f>
        <v>258</v>
      </c>
    </row>
    <row r="742" spans="1:35" x14ac:dyDescent="0.25">
      <c r="A742" t="s">
        <v>326</v>
      </c>
      <c r="B742" t="s">
        <v>109</v>
      </c>
      <c r="C742">
        <v>45484422</v>
      </c>
      <c r="D742" t="s">
        <v>340</v>
      </c>
      <c r="E742" t="s">
        <v>34</v>
      </c>
      <c r="F742" t="s">
        <v>245</v>
      </c>
      <c r="G742" t="s">
        <v>43</v>
      </c>
      <c r="H742">
        <v>2021</v>
      </c>
      <c r="I742" t="s">
        <v>60</v>
      </c>
      <c r="L742" t="s">
        <v>99</v>
      </c>
      <c r="AG742">
        <f t="shared" si="11"/>
        <v>1</v>
      </c>
      <c r="AH742">
        <f>'TABLA PREVIOS'!E742</f>
        <v>286</v>
      </c>
      <c r="AI742">
        <f>VLOOKUP(C742,ALUMNOS!A:B,2,FALSE)</f>
        <v>258</v>
      </c>
    </row>
    <row r="743" spans="1:35" x14ac:dyDescent="0.25">
      <c r="A743" t="s">
        <v>326</v>
      </c>
      <c r="B743" t="s">
        <v>109</v>
      </c>
      <c r="C743">
        <v>45484422</v>
      </c>
      <c r="D743" t="s">
        <v>340</v>
      </c>
      <c r="E743" t="s">
        <v>39</v>
      </c>
      <c r="F743" t="s">
        <v>245</v>
      </c>
      <c r="G743" t="s">
        <v>43</v>
      </c>
      <c r="H743">
        <v>2021</v>
      </c>
      <c r="I743" t="s">
        <v>60</v>
      </c>
      <c r="L743" t="s">
        <v>99</v>
      </c>
      <c r="AG743">
        <f t="shared" si="11"/>
        <v>1</v>
      </c>
      <c r="AH743">
        <f>'TABLA PREVIOS'!E743</f>
        <v>288</v>
      </c>
      <c r="AI743">
        <f>VLOOKUP(C743,ALUMNOS!A:B,2,FALSE)</f>
        <v>258</v>
      </c>
    </row>
    <row r="744" spans="1:35" x14ac:dyDescent="0.25">
      <c r="A744" t="s">
        <v>326</v>
      </c>
      <c r="B744" t="s">
        <v>109</v>
      </c>
      <c r="C744">
        <v>45484422</v>
      </c>
      <c r="D744" t="s">
        <v>340</v>
      </c>
      <c r="E744" t="s">
        <v>29</v>
      </c>
      <c r="F744" t="s">
        <v>245</v>
      </c>
      <c r="G744" t="s">
        <v>43</v>
      </c>
      <c r="H744">
        <v>2021</v>
      </c>
      <c r="I744" t="s">
        <v>60</v>
      </c>
      <c r="L744" t="s">
        <v>99</v>
      </c>
      <c r="AG744">
        <f t="shared" si="11"/>
        <v>1</v>
      </c>
      <c r="AH744">
        <f>'TABLA PREVIOS'!E744</f>
        <v>290</v>
      </c>
      <c r="AI744">
        <f>VLOOKUP(C744,ALUMNOS!A:B,2,FALSE)</f>
        <v>258</v>
      </c>
    </row>
    <row r="745" spans="1:35" x14ac:dyDescent="0.25">
      <c r="A745" t="s">
        <v>326</v>
      </c>
      <c r="B745" t="s">
        <v>109</v>
      </c>
      <c r="C745">
        <v>45272090</v>
      </c>
      <c r="D745" t="s">
        <v>341</v>
      </c>
      <c r="E745" t="s">
        <v>30</v>
      </c>
      <c r="F745" t="s">
        <v>190</v>
      </c>
      <c r="G745" t="s">
        <v>44</v>
      </c>
      <c r="H745">
        <v>2019</v>
      </c>
      <c r="I745" t="s">
        <v>60</v>
      </c>
      <c r="L745" t="s">
        <v>99</v>
      </c>
      <c r="AG745">
        <f t="shared" si="11"/>
        <v>1</v>
      </c>
      <c r="AH745">
        <f>'TABLA PREVIOS'!E745</f>
        <v>260</v>
      </c>
      <c r="AI745">
        <f>VLOOKUP(C745,ALUMNOS!A:B,2,FALSE)</f>
        <v>261</v>
      </c>
    </row>
    <row r="746" spans="1:35" x14ac:dyDescent="0.25">
      <c r="A746" t="s">
        <v>326</v>
      </c>
      <c r="B746" t="s">
        <v>109</v>
      </c>
      <c r="C746">
        <v>45272090</v>
      </c>
      <c r="D746" t="s">
        <v>341</v>
      </c>
      <c r="E746" t="s">
        <v>30</v>
      </c>
      <c r="F746" t="s">
        <v>220</v>
      </c>
      <c r="G746" t="s">
        <v>43</v>
      </c>
      <c r="H746">
        <v>2020</v>
      </c>
      <c r="I746" t="s">
        <v>60</v>
      </c>
      <c r="L746" t="s">
        <v>99</v>
      </c>
      <c r="AG746">
        <f t="shared" si="11"/>
        <v>1</v>
      </c>
      <c r="AH746">
        <f>'TABLA PREVIOS'!E746</f>
        <v>274</v>
      </c>
      <c r="AI746">
        <f>VLOOKUP(C746,ALUMNOS!A:B,2,FALSE)</f>
        <v>261</v>
      </c>
    </row>
    <row r="747" spans="1:35" x14ac:dyDescent="0.25">
      <c r="A747" t="s">
        <v>326</v>
      </c>
      <c r="B747" t="s">
        <v>109</v>
      </c>
      <c r="C747">
        <v>45272090</v>
      </c>
      <c r="D747" t="s">
        <v>341</v>
      </c>
      <c r="E747" t="s">
        <v>33</v>
      </c>
      <c r="F747" t="s">
        <v>220</v>
      </c>
      <c r="G747" t="s">
        <v>43</v>
      </c>
      <c r="H747">
        <v>2020</v>
      </c>
      <c r="I747" t="s">
        <v>60</v>
      </c>
      <c r="L747" t="s">
        <v>99</v>
      </c>
      <c r="AG747">
        <f t="shared" si="11"/>
        <v>1</v>
      </c>
      <c r="AH747">
        <f>'TABLA PREVIOS'!E747</f>
        <v>271</v>
      </c>
      <c r="AI747">
        <f>VLOOKUP(C747,ALUMNOS!A:B,2,FALSE)</f>
        <v>261</v>
      </c>
    </row>
    <row r="748" spans="1:35" x14ac:dyDescent="0.25">
      <c r="A748" t="s">
        <v>326</v>
      </c>
      <c r="B748" t="s">
        <v>109</v>
      </c>
      <c r="C748">
        <v>45245009</v>
      </c>
      <c r="D748" t="s">
        <v>342</v>
      </c>
      <c r="E748" t="s">
        <v>30</v>
      </c>
      <c r="F748" t="s">
        <v>245</v>
      </c>
      <c r="G748" t="s">
        <v>43</v>
      </c>
      <c r="H748">
        <v>2021</v>
      </c>
      <c r="I748" t="s">
        <v>60</v>
      </c>
      <c r="L748" t="s">
        <v>99</v>
      </c>
      <c r="AG748">
        <f t="shared" si="11"/>
        <v>1</v>
      </c>
      <c r="AH748">
        <f>'TABLA PREVIOS'!E748</f>
        <v>285</v>
      </c>
      <c r="AI748">
        <f>VLOOKUP(C748,ALUMNOS!A:B,2,FALSE)</f>
        <v>331</v>
      </c>
    </row>
    <row r="749" spans="1:35" x14ac:dyDescent="0.25">
      <c r="A749" t="s">
        <v>326</v>
      </c>
      <c r="B749" t="s">
        <v>109</v>
      </c>
      <c r="C749">
        <v>45245009</v>
      </c>
      <c r="D749" t="s">
        <v>342</v>
      </c>
      <c r="E749" t="s">
        <v>40</v>
      </c>
      <c r="F749" t="s">
        <v>245</v>
      </c>
      <c r="G749" t="s">
        <v>43</v>
      </c>
      <c r="H749">
        <v>2021</v>
      </c>
      <c r="I749" t="s">
        <v>60</v>
      </c>
      <c r="L749" t="s">
        <v>99</v>
      </c>
      <c r="AG749">
        <f t="shared" si="11"/>
        <v>1</v>
      </c>
      <c r="AH749">
        <f>'TABLA PREVIOS'!E749</f>
        <v>289</v>
      </c>
      <c r="AI749">
        <f>VLOOKUP(C749,ALUMNOS!A:B,2,FALSE)</f>
        <v>331</v>
      </c>
    </row>
    <row r="750" spans="1:35" x14ac:dyDescent="0.25">
      <c r="A750" t="s">
        <v>326</v>
      </c>
      <c r="B750" t="s">
        <v>109</v>
      </c>
      <c r="C750">
        <v>45245009</v>
      </c>
      <c r="D750" t="s">
        <v>342</v>
      </c>
      <c r="E750" t="s">
        <v>38</v>
      </c>
      <c r="F750" t="s">
        <v>245</v>
      </c>
      <c r="G750" t="s">
        <v>43</v>
      </c>
      <c r="H750">
        <v>2021</v>
      </c>
      <c r="I750" t="s">
        <v>60</v>
      </c>
      <c r="L750" t="s">
        <v>99</v>
      </c>
      <c r="AG750">
        <f t="shared" si="11"/>
        <v>1</v>
      </c>
      <c r="AH750">
        <f>'TABLA PREVIOS'!E750</f>
        <v>287</v>
      </c>
      <c r="AI750">
        <f>VLOOKUP(C750,ALUMNOS!A:B,2,FALSE)</f>
        <v>331</v>
      </c>
    </row>
    <row r="751" spans="1:35" x14ac:dyDescent="0.25">
      <c r="A751" t="s">
        <v>326</v>
      </c>
      <c r="B751" t="s">
        <v>109</v>
      </c>
      <c r="C751">
        <v>45245009</v>
      </c>
      <c r="D751" t="s">
        <v>342</v>
      </c>
      <c r="E751" t="s">
        <v>34</v>
      </c>
      <c r="F751" t="s">
        <v>245</v>
      </c>
      <c r="G751" t="s">
        <v>43</v>
      </c>
      <c r="H751">
        <v>2021</v>
      </c>
      <c r="I751" t="s">
        <v>60</v>
      </c>
      <c r="L751" t="s">
        <v>99</v>
      </c>
      <c r="AG751">
        <f t="shared" si="11"/>
        <v>1</v>
      </c>
      <c r="AH751">
        <f>'TABLA PREVIOS'!E751</f>
        <v>286</v>
      </c>
      <c r="AI751">
        <f>VLOOKUP(C751,ALUMNOS!A:B,2,FALSE)</f>
        <v>331</v>
      </c>
    </row>
    <row r="752" spans="1:35" x14ac:dyDescent="0.25">
      <c r="A752" t="s">
        <v>326</v>
      </c>
      <c r="B752" t="s">
        <v>109</v>
      </c>
      <c r="C752">
        <v>45245009</v>
      </c>
      <c r="D752" t="s">
        <v>342</v>
      </c>
      <c r="E752" t="s">
        <v>39</v>
      </c>
      <c r="F752" t="s">
        <v>245</v>
      </c>
      <c r="G752" t="s">
        <v>43</v>
      </c>
      <c r="H752">
        <v>2021</v>
      </c>
      <c r="I752" t="s">
        <v>60</v>
      </c>
      <c r="L752" t="s">
        <v>99</v>
      </c>
      <c r="AG752">
        <f t="shared" si="11"/>
        <v>1</v>
      </c>
      <c r="AH752">
        <f>'TABLA PREVIOS'!E752</f>
        <v>288</v>
      </c>
      <c r="AI752">
        <f>VLOOKUP(C752,ALUMNOS!A:B,2,FALSE)</f>
        <v>331</v>
      </c>
    </row>
    <row r="753" spans="1:35" x14ac:dyDescent="0.25">
      <c r="A753" t="s">
        <v>326</v>
      </c>
      <c r="B753" t="s">
        <v>109</v>
      </c>
      <c r="C753">
        <v>45245009</v>
      </c>
      <c r="D753" t="s">
        <v>342</v>
      </c>
      <c r="E753" t="s">
        <v>29</v>
      </c>
      <c r="F753" t="s">
        <v>245</v>
      </c>
      <c r="G753" t="s">
        <v>43</v>
      </c>
      <c r="H753">
        <v>2021</v>
      </c>
      <c r="I753" t="s">
        <v>60</v>
      </c>
      <c r="L753" t="s">
        <v>99</v>
      </c>
      <c r="AG753">
        <f t="shared" si="11"/>
        <v>1</v>
      </c>
      <c r="AH753">
        <f>'TABLA PREVIOS'!E753</f>
        <v>290</v>
      </c>
      <c r="AI753">
        <f>VLOOKUP(C753,ALUMNOS!A:B,2,FALSE)</f>
        <v>331</v>
      </c>
    </row>
    <row r="754" spans="1:35" x14ac:dyDescent="0.25">
      <c r="A754" t="s">
        <v>326</v>
      </c>
      <c r="B754" t="s">
        <v>109</v>
      </c>
      <c r="C754">
        <v>44973705</v>
      </c>
      <c r="D754" t="s">
        <v>343</v>
      </c>
      <c r="E754" t="s">
        <v>30</v>
      </c>
      <c r="F754" t="s">
        <v>245</v>
      </c>
      <c r="G754" t="s">
        <v>43</v>
      </c>
      <c r="H754">
        <v>2021</v>
      </c>
      <c r="I754" t="s">
        <v>60</v>
      </c>
      <c r="L754" t="s">
        <v>99</v>
      </c>
      <c r="AG754">
        <f t="shared" si="11"/>
        <v>1</v>
      </c>
      <c r="AH754">
        <f>'TABLA PREVIOS'!E754</f>
        <v>285</v>
      </c>
      <c r="AI754">
        <f>VLOOKUP(C754,ALUMNOS!A:B,2,FALSE)</f>
        <v>434</v>
      </c>
    </row>
    <row r="755" spans="1:35" x14ac:dyDescent="0.25">
      <c r="A755" t="s">
        <v>326</v>
      </c>
      <c r="B755" t="s">
        <v>109</v>
      </c>
      <c r="C755">
        <v>44973705</v>
      </c>
      <c r="D755" t="s">
        <v>343</v>
      </c>
      <c r="E755" t="s">
        <v>40</v>
      </c>
      <c r="F755" t="s">
        <v>245</v>
      </c>
      <c r="G755" t="s">
        <v>43</v>
      </c>
      <c r="H755">
        <v>2021</v>
      </c>
      <c r="I755" t="s">
        <v>60</v>
      </c>
      <c r="L755" t="s">
        <v>99</v>
      </c>
      <c r="AG755">
        <f t="shared" si="11"/>
        <v>1</v>
      </c>
      <c r="AH755">
        <f>'TABLA PREVIOS'!E755</f>
        <v>289</v>
      </c>
      <c r="AI755">
        <f>VLOOKUP(C755,ALUMNOS!A:B,2,FALSE)</f>
        <v>434</v>
      </c>
    </row>
    <row r="756" spans="1:35" x14ac:dyDescent="0.25">
      <c r="A756" t="s">
        <v>326</v>
      </c>
      <c r="B756" t="s">
        <v>109</v>
      </c>
      <c r="C756">
        <v>44973705</v>
      </c>
      <c r="D756" t="s">
        <v>343</v>
      </c>
      <c r="E756" t="s">
        <v>37</v>
      </c>
      <c r="F756" t="s">
        <v>245</v>
      </c>
      <c r="G756" t="s">
        <v>43</v>
      </c>
      <c r="H756">
        <v>2021</v>
      </c>
      <c r="I756" t="s">
        <v>60</v>
      </c>
      <c r="L756" t="s">
        <v>99</v>
      </c>
      <c r="AG756">
        <f t="shared" si="11"/>
        <v>1</v>
      </c>
      <c r="AH756">
        <f>'TABLA PREVIOS'!E756</f>
        <v>284</v>
      </c>
      <c r="AI756">
        <f>VLOOKUP(C756,ALUMNOS!A:B,2,FALSE)</f>
        <v>434</v>
      </c>
    </row>
    <row r="757" spans="1:35" x14ac:dyDescent="0.25">
      <c r="A757" t="s">
        <v>326</v>
      </c>
      <c r="B757" t="s">
        <v>109</v>
      </c>
      <c r="C757">
        <v>44973705</v>
      </c>
      <c r="D757" t="s">
        <v>343</v>
      </c>
      <c r="E757" t="s">
        <v>38</v>
      </c>
      <c r="F757" t="s">
        <v>245</v>
      </c>
      <c r="G757" t="s">
        <v>43</v>
      </c>
      <c r="H757">
        <v>2021</v>
      </c>
      <c r="I757" t="s">
        <v>60</v>
      </c>
      <c r="L757" t="s">
        <v>99</v>
      </c>
      <c r="AG757">
        <f t="shared" si="11"/>
        <v>1</v>
      </c>
      <c r="AH757">
        <f>'TABLA PREVIOS'!E757</f>
        <v>287</v>
      </c>
      <c r="AI757">
        <f>VLOOKUP(C757,ALUMNOS!A:B,2,FALSE)</f>
        <v>434</v>
      </c>
    </row>
    <row r="758" spans="1:35" x14ac:dyDescent="0.25">
      <c r="A758" t="s">
        <v>326</v>
      </c>
      <c r="B758" t="s">
        <v>109</v>
      </c>
      <c r="C758">
        <v>44973705</v>
      </c>
      <c r="D758" t="s">
        <v>343</v>
      </c>
      <c r="E758" t="s">
        <v>34</v>
      </c>
      <c r="F758" t="s">
        <v>245</v>
      </c>
      <c r="G758" t="s">
        <v>43</v>
      </c>
      <c r="H758">
        <v>2021</v>
      </c>
      <c r="I758" t="s">
        <v>60</v>
      </c>
      <c r="L758" t="s">
        <v>99</v>
      </c>
      <c r="AG758">
        <f t="shared" si="11"/>
        <v>1</v>
      </c>
      <c r="AH758">
        <f>'TABLA PREVIOS'!E758</f>
        <v>286</v>
      </c>
      <c r="AI758">
        <f>VLOOKUP(C758,ALUMNOS!A:B,2,FALSE)</f>
        <v>434</v>
      </c>
    </row>
    <row r="759" spans="1:35" x14ac:dyDescent="0.25">
      <c r="A759" t="s">
        <v>326</v>
      </c>
      <c r="B759" t="s">
        <v>109</v>
      </c>
      <c r="C759">
        <v>44973705</v>
      </c>
      <c r="D759" t="s">
        <v>343</v>
      </c>
      <c r="E759" t="s">
        <v>41</v>
      </c>
      <c r="F759" t="s">
        <v>245</v>
      </c>
      <c r="G759" t="s">
        <v>43</v>
      </c>
      <c r="H759">
        <v>2021</v>
      </c>
      <c r="I759" t="s">
        <v>60</v>
      </c>
      <c r="L759" t="s">
        <v>99</v>
      </c>
      <c r="AG759">
        <f t="shared" si="11"/>
        <v>1</v>
      </c>
      <c r="AH759">
        <f>'TABLA PREVIOS'!E759</f>
        <v>292</v>
      </c>
      <c r="AI759">
        <f>VLOOKUP(C759,ALUMNOS!A:B,2,FALSE)</f>
        <v>434</v>
      </c>
    </row>
    <row r="760" spans="1:35" x14ac:dyDescent="0.25">
      <c r="A760" t="s">
        <v>326</v>
      </c>
      <c r="B760" t="s">
        <v>109</v>
      </c>
      <c r="C760">
        <v>44973705</v>
      </c>
      <c r="D760" t="s">
        <v>343</v>
      </c>
      <c r="E760" t="s">
        <v>39</v>
      </c>
      <c r="F760" t="s">
        <v>245</v>
      </c>
      <c r="G760" t="s">
        <v>43</v>
      </c>
      <c r="H760">
        <v>2021</v>
      </c>
      <c r="I760" t="s">
        <v>60</v>
      </c>
      <c r="L760" t="s">
        <v>99</v>
      </c>
      <c r="AG760">
        <f t="shared" si="11"/>
        <v>1</v>
      </c>
      <c r="AH760">
        <f>'TABLA PREVIOS'!E760</f>
        <v>288</v>
      </c>
      <c r="AI760">
        <f>VLOOKUP(C760,ALUMNOS!A:B,2,FALSE)</f>
        <v>434</v>
      </c>
    </row>
    <row r="761" spans="1:35" x14ac:dyDescent="0.25">
      <c r="A761" t="s">
        <v>326</v>
      </c>
      <c r="B761" t="s">
        <v>109</v>
      </c>
      <c r="C761">
        <v>44973705</v>
      </c>
      <c r="D761" t="s">
        <v>343</v>
      </c>
      <c r="E761" t="s">
        <v>29</v>
      </c>
      <c r="F761" t="s">
        <v>245</v>
      </c>
      <c r="G761" t="s">
        <v>43</v>
      </c>
      <c r="H761">
        <v>2021</v>
      </c>
      <c r="I761" t="s">
        <v>60</v>
      </c>
      <c r="L761" t="s">
        <v>99</v>
      </c>
      <c r="AG761">
        <f t="shared" si="11"/>
        <v>1</v>
      </c>
      <c r="AH761">
        <f>'TABLA PREVIOS'!E761</f>
        <v>290</v>
      </c>
      <c r="AI761">
        <f>VLOOKUP(C761,ALUMNOS!A:B,2,FALSE)</f>
        <v>434</v>
      </c>
    </row>
    <row r="762" spans="1:35" x14ac:dyDescent="0.25">
      <c r="A762" t="s">
        <v>326</v>
      </c>
      <c r="B762" t="s">
        <v>109</v>
      </c>
      <c r="C762">
        <v>45235868</v>
      </c>
      <c r="D762" t="s">
        <v>344</v>
      </c>
      <c r="E762" t="s">
        <v>22</v>
      </c>
      <c r="F762" t="s">
        <v>95</v>
      </c>
      <c r="G762" t="s">
        <v>43</v>
      </c>
      <c r="H762">
        <v>2017</v>
      </c>
      <c r="I762" t="s">
        <v>59</v>
      </c>
      <c r="L762" t="s">
        <v>99</v>
      </c>
      <c r="AG762">
        <f t="shared" si="11"/>
        <v>1</v>
      </c>
      <c r="AH762">
        <f>'TABLA PREVIOS'!E762</f>
        <v>233</v>
      </c>
      <c r="AI762">
        <f>VLOOKUP(C762,ALUMNOS!A:B,2,FALSE)</f>
        <v>512</v>
      </c>
    </row>
    <row r="763" spans="1:35" x14ac:dyDescent="0.25">
      <c r="A763" t="s">
        <v>326</v>
      </c>
      <c r="B763" t="s">
        <v>109</v>
      </c>
      <c r="C763">
        <v>45235868</v>
      </c>
      <c r="D763" t="s">
        <v>344</v>
      </c>
      <c r="E763" t="s">
        <v>24</v>
      </c>
      <c r="F763" t="s">
        <v>220</v>
      </c>
      <c r="G763" t="s">
        <v>43</v>
      </c>
      <c r="H763">
        <v>2020</v>
      </c>
      <c r="I763" t="s">
        <v>60</v>
      </c>
      <c r="L763" t="s">
        <v>99</v>
      </c>
      <c r="AG763">
        <f t="shared" si="11"/>
        <v>1</v>
      </c>
      <c r="AH763">
        <f>'TABLA PREVIOS'!E763</f>
        <v>266</v>
      </c>
      <c r="AI763">
        <f>VLOOKUP(C763,ALUMNOS!A:B,2,FALSE)</f>
        <v>512</v>
      </c>
    </row>
    <row r="764" spans="1:35" x14ac:dyDescent="0.25">
      <c r="A764" t="s">
        <v>326</v>
      </c>
      <c r="B764" t="s">
        <v>109</v>
      </c>
      <c r="C764">
        <v>45235868</v>
      </c>
      <c r="D764" t="s">
        <v>344</v>
      </c>
      <c r="E764" t="s">
        <v>30</v>
      </c>
      <c r="F764" t="s">
        <v>245</v>
      </c>
      <c r="G764" t="s">
        <v>43</v>
      </c>
      <c r="H764">
        <v>2021</v>
      </c>
      <c r="I764" t="s">
        <v>60</v>
      </c>
      <c r="L764" t="s">
        <v>99</v>
      </c>
      <c r="AG764">
        <f t="shared" si="11"/>
        <v>1</v>
      </c>
      <c r="AH764">
        <f>'TABLA PREVIOS'!E764</f>
        <v>285</v>
      </c>
      <c r="AI764">
        <f>VLOOKUP(C764,ALUMNOS!A:B,2,FALSE)</f>
        <v>512</v>
      </c>
    </row>
    <row r="765" spans="1:35" x14ac:dyDescent="0.25">
      <c r="A765" t="s">
        <v>326</v>
      </c>
      <c r="B765" t="s">
        <v>109</v>
      </c>
      <c r="C765">
        <v>45235868</v>
      </c>
      <c r="D765" t="s">
        <v>344</v>
      </c>
      <c r="E765" t="s">
        <v>40</v>
      </c>
      <c r="F765" t="s">
        <v>245</v>
      </c>
      <c r="G765" t="s">
        <v>43</v>
      </c>
      <c r="H765">
        <v>2021</v>
      </c>
      <c r="I765" t="s">
        <v>60</v>
      </c>
      <c r="L765" t="s">
        <v>99</v>
      </c>
      <c r="AG765">
        <f t="shared" si="11"/>
        <v>1</v>
      </c>
      <c r="AH765">
        <f>'TABLA PREVIOS'!E765</f>
        <v>289</v>
      </c>
      <c r="AI765">
        <f>VLOOKUP(C765,ALUMNOS!A:B,2,FALSE)</f>
        <v>512</v>
      </c>
    </row>
    <row r="766" spans="1:35" x14ac:dyDescent="0.25">
      <c r="A766" t="s">
        <v>326</v>
      </c>
      <c r="B766" t="s">
        <v>109</v>
      </c>
      <c r="C766">
        <v>45235868</v>
      </c>
      <c r="D766" t="s">
        <v>344</v>
      </c>
      <c r="E766" t="s">
        <v>38</v>
      </c>
      <c r="F766" t="s">
        <v>245</v>
      </c>
      <c r="G766" t="s">
        <v>43</v>
      </c>
      <c r="H766">
        <v>2021</v>
      </c>
      <c r="I766" t="s">
        <v>60</v>
      </c>
      <c r="L766" t="s">
        <v>99</v>
      </c>
      <c r="AG766">
        <f t="shared" si="11"/>
        <v>1</v>
      </c>
      <c r="AH766">
        <f>'TABLA PREVIOS'!E766</f>
        <v>287</v>
      </c>
      <c r="AI766">
        <f>VLOOKUP(C766,ALUMNOS!A:B,2,FALSE)</f>
        <v>512</v>
      </c>
    </row>
    <row r="767" spans="1:35" x14ac:dyDescent="0.25">
      <c r="A767" t="s">
        <v>326</v>
      </c>
      <c r="B767" t="s">
        <v>109</v>
      </c>
      <c r="C767">
        <v>45235868</v>
      </c>
      <c r="D767" t="s">
        <v>344</v>
      </c>
      <c r="E767" t="s">
        <v>34</v>
      </c>
      <c r="F767" t="s">
        <v>245</v>
      </c>
      <c r="G767" t="s">
        <v>43</v>
      </c>
      <c r="H767">
        <v>2021</v>
      </c>
      <c r="I767" t="s">
        <v>60</v>
      </c>
      <c r="L767" t="s">
        <v>99</v>
      </c>
      <c r="AG767">
        <f t="shared" si="11"/>
        <v>1</v>
      </c>
      <c r="AH767">
        <f>'TABLA PREVIOS'!E767</f>
        <v>286</v>
      </c>
      <c r="AI767">
        <f>VLOOKUP(C767,ALUMNOS!A:B,2,FALSE)</f>
        <v>512</v>
      </c>
    </row>
    <row r="768" spans="1:35" x14ac:dyDescent="0.25">
      <c r="A768" t="s">
        <v>326</v>
      </c>
      <c r="B768" t="s">
        <v>109</v>
      </c>
      <c r="C768">
        <v>45235868</v>
      </c>
      <c r="D768" t="s">
        <v>344</v>
      </c>
      <c r="E768" t="s">
        <v>39</v>
      </c>
      <c r="F768" t="s">
        <v>245</v>
      </c>
      <c r="G768" t="s">
        <v>43</v>
      </c>
      <c r="H768">
        <v>2021</v>
      </c>
      <c r="I768" t="s">
        <v>60</v>
      </c>
      <c r="L768" t="s">
        <v>99</v>
      </c>
      <c r="AG768">
        <f t="shared" si="11"/>
        <v>1</v>
      </c>
      <c r="AH768">
        <f>'TABLA PREVIOS'!E768</f>
        <v>288</v>
      </c>
      <c r="AI768">
        <f>VLOOKUP(C768,ALUMNOS!A:B,2,FALSE)</f>
        <v>512</v>
      </c>
    </row>
    <row r="769" spans="1:35" x14ac:dyDescent="0.25">
      <c r="A769" t="s">
        <v>326</v>
      </c>
      <c r="B769" t="s">
        <v>109</v>
      </c>
      <c r="C769">
        <v>45235868</v>
      </c>
      <c r="D769" t="s">
        <v>344</v>
      </c>
      <c r="E769" t="s">
        <v>29</v>
      </c>
      <c r="F769" t="s">
        <v>245</v>
      </c>
      <c r="G769" t="s">
        <v>43</v>
      </c>
      <c r="H769">
        <v>2021</v>
      </c>
      <c r="I769" t="s">
        <v>60</v>
      </c>
      <c r="L769" t="s">
        <v>99</v>
      </c>
      <c r="AG769">
        <f t="shared" si="11"/>
        <v>1</v>
      </c>
      <c r="AH769">
        <f>'TABLA PREVIOS'!E769</f>
        <v>290</v>
      </c>
      <c r="AI769">
        <f>VLOOKUP(C769,ALUMNOS!A:B,2,FALSE)</f>
        <v>512</v>
      </c>
    </row>
    <row r="770" spans="1:35" x14ac:dyDescent="0.25">
      <c r="A770" t="s">
        <v>326</v>
      </c>
      <c r="B770" t="s">
        <v>109</v>
      </c>
      <c r="C770">
        <v>44372158</v>
      </c>
      <c r="D770" t="s">
        <v>345</v>
      </c>
      <c r="E770" t="s">
        <v>30</v>
      </c>
      <c r="F770" t="s">
        <v>190</v>
      </c>
      <c r="G770" t="s">
        <v>44</v>
      </c>
      <c r="H770">
        <v>2019</v>
      </c>
      <c r="I770" t="s">
        <v>60</v>
      </c>
      <c r="L770" t="s">
        <v>99</v>
      </c>
      <c r="AG770">
        <f t="shared" si="11"/>
        <v>1</v>
      </c>
      <c r="AH770">
        <f>'TABLA PREVIOS'!E770</f>
        <v>260</v>
      </c>
      <c r="AI770">
        <f>VLOOKUP(C770,ALUMNOS!A:B,2,FALSE)</f>
        <v>733</v>
      </c>
    </row>
    <row r="771" spans="1:35" x14ac:dyDescent="0.25">
      <c r="A771" t="s">
        <v>326</v>
      </c>
      <c r="B771" t="s">
        <v>109</v>
      </c>
      <c r="C771">
        <v>44372158</v>
      </c>
      <c r="D771" t="s">
        <v>345</v>
      </c>
      <c r="E771" t="s">
        <v>29</v>
      </c>
      <c r="F771" t="s">
        <v>190</v>
      </c>
      <c r="G771" t="s">
        <v>44</v>
      </c>
      <c r="H771">
        <v>2019</v>
      </c>
      <c r="I771" t="s">
        <v>60</v>
      </c>
      <c r="L771" t="s">
        <v>99</v>
      </c>
      <c r="AG771">
        <f t="shared" ref="AG771:AG834" si="12">IF(VALUE(MAX(N771,R771,V771,Z771,AC771,))&gt;=7,VALUE(MAX(N771,R771,V771,Z771,AC771,)),1)</f>
        <v>1</v>
      </c>
      <c r="AH771">
        <f>'TABLA PREVIOS'!E771</f>
        <v>259</v>
      </c>
      <c r="AI771">
        <f>VLOOKUP(C771,ALUMNOS!A:B,2,FALSE)</f>
        <v>733</v>
      </c>
    </row>
    <row r="772" spans="1:35" x14ac:dyDescent="0.25">
      <c r="A772" t="s">
        <v>326</v>
      </c>
      <c r="B772" t="s">
        <v>109</v>
      </c>
      <c r="C772">
        <v>44372158</v>
      </c>
      <c r="D772" t="s">
        <v>345</v>
      </c>
      <c r="E772" t="s">
        <v>30</v>
      </c>
      <c r="F772" t="s">
        <v>220</v>
      </c>
      <c r="G772" t="s">
        <v>44</v>
      </c>
      <c r="H772">
        <v>2020</v>
      </c>
      <c r="I772" t="s">
        <v>60</v>
      </c>
      <c r="L772" t="s">
        <v>99</v>
      </c>
      <c r="AG772">
        <f t="shared" si="12"/>
        <v>1</v>
      </c>
      <c r="AH772">
        <f>'TABLA PREVIOS'!E772</f>
        <v>274</v>
      </c>
      <c r="AI772">
        <f>VLOOKUP(C772,ALUMNOS!A:B,2,FALSE)</f>
        <v>733</v>
      </c>
    </row>
    <row r="773" spans="1:35" x14ac:dyDescent="0.25">
      <c r="A773" t="s">
        <v>326</v>
      </c>
      <c r="B773" t="s">
        <v>109</v>
      </c>
      <c r="C773">
        <v>44372158</v>
      </c>
      <c r="D773" t="s">
        <v>345</v>
      </c>
      <c r="E773" t="s">
        <v>34</v>
      </c>
      <c r="F773" t="s">
        <v>220</v>
      </c>
      <c r="G773" t="s">
        <v>44</v>
      </c>
      <c r="H773">
        <v>2020</v>
      </c>
      <c r="I773" t="s">
        <v>60</v>
      </c>
      <c r="L773" t="s">
        <v>99</v>
      </c>
      <c r="AG773">
        <f t="shared" si="12"/>
        <v>1</v>
      </c>
      <c r="AH773">
        <f>'TABLA PREVIOS'!E773</f>
        <v>275</v>
      </c>
      <c r="AI773">
        <f>VLOOKUP(C773,ALUMNOS!A:B,2,FALSE)</f>
        <v>733</v>
      </c>
    </row>
    <row r="774" spans="1:35" x14ac:dyDescent="0.25">
      <c r="A774" t="s">
        <v>326</v>
      </c>
      <c r="B774" t="s">
        <v>109</v>
      </c>
      <c r="C774">
        <v>44372158</v>
      </c>
      <c r="D774" t="s">
        <v>345</v>
      </c>
      <c r="E774" t="s">
        <v>27</v>
      </c>
      <c r="F774" t="s">
        <v>220</v>
      </c>
      <c r="G774" t="s">
        <v>43</v>
      </c>
      <c r="H774">
        <v>2020</v>
      </c>
      <c r="I774" t="s">
        <v>60</v>
      </c>
      <c r="L774" t="s">
        <v>99</v>
      </c>
      <c r="AG774">
        <f t="shared" si="12"/>
        <v>1</v>
      </c>
      <c r="AH774">
        <f>'TABLA PREVIOS'!E774</f>
        <v>268</v>
      </c>
      <c r="AI774">
        <f>VLOOKUP(C774,ALUMNOS!A:B,2,FALSE)</f>
        <v>733</v>
      </c>
    </row>
    <row r="775" spans="1:35" x14ac:dyDescent="0.25">
      <c r="A775" t="s">
        <v>326</v>
      </c>
      <c r="B775" t="s">
        <v>109</v>
      </c>
      <c r="C775">
        <v>44372158</v>
      </c>
      <c r="D775" t="s">
        <v>345</v>
      </c>
      <c r="E775" t="s">
        <v>29</v>
      </c>
      <c r="F775" t="s">
        <v>220</v>
      </c>
      <c r="G775" t="s">
        <v>44</v>
      </c>
      <c r="H775">
        <v>2020</v>
      </c>
      <c r="I775" t="s">
        <v>60</v>
      </c>
      <c r="L775" t="s">
        <v>99</v>
      </c>
      <c r="AG775">
        <f t="shared" si="12"/>
        <v>1</v>
      </c>
      <c r="AH775">
        <f>'TABLA PREVIOS'!E775</f>
        <v>273</v>
      </c>
      <c r="AI775">
        <f>VLOOKUP(C775,ALUMNOS!A:B,2,FALSE)</f>
        <v>733</v>
      </c>
    </row>
    <row r="776" spans="1:35" x14ac:dyDescent="0.25">
      <c r="A776" t="s">
        <v>326</v>
      </c>
      <c r="B776" t="s">
        <v>109</v>
      </c>
      <c r="C776">
        <v>44372158</v>
      </c>
      <c r="D776" t="s">
        <v>345</v>
      </c>
      <c r="E776" t="s">
        <v>30</v>
      </c>
      <c r="F776" t="s">
        <v>245</v>
      </c>
      <c r="G776" t="s">
        <v>43</v>
      </c>
      <c r="H776">
        <v>2021</v>
      </c>
      <c r="I776" t="s">
        <v>60</v>
      </c>
      <c r="L776" t="s">
        <v>99</v>
      </c>
      <c r="AG776">
        <f t="shared" si="12"/>
        <v>1</v>
      </c>
      <c r="AH776">
        <f>'TABLA PREVIOS'!E776</f>
        <v>285</v>
      </c>
      <c r="AI776">
        <f>VLOOKUP(C776,ALUMNOS!A:B,2,FALSE)</f>
        <v>733</v>
      </c>
    </row>
    <row r="777" spans="1:35" x14ac:dyDescent="0.25">
      <c r="A777" t="s">
        <v>326</v>
      </c>
      <c r="B777" t="s">
        <v>109</v>
      </c>
      <c r="C777">
        <v>44372158</v>
      </c>
      <c r="D777" t="s">
        <v>345</v>
      </c>
      <c r="E777" t="s">
        <v>40</v>
      </c>
      <c r="F777" t="s">
        <v>245</v>
      </c>
      <c r="G777" t="s">
        <v>43</v>
      </c>
      <c r="H777">
        <v>2021</v>
      </c>
      <c r="I777" t="s">
        <v>60</v>
      </c>
      <c r="L777" t="s">
        <v>99</v>
      </c>
      <c r="AG777">
        <f t="shared" si="12"/>
        <v>1</v>
      </c>
      <c r="AH777">
        <f>'TABLA PREVIOS'!E777</f>
        <v>289</v>
      </c>
      <c r="AI777">
        <f>VLOOKUP(C777,ALUMNOS!A:B,2,FALSE)</f>
        <v>733</v>
      </c>
    </row>
    <row r="778" spans="1:35" x14ac:dyDescent="0.25">
      <c r="A778" t="s">
        <v>326</v>
      </c>
      <c r="B778" t="s">
        <v>109</v>
      </c>
      <c r="C778">
        <v>44372158</v>
      </c>
      <c r="D778" t="s">
        <v>345</v>
      </c>
      <c r="E778" t="s">
        <v>37</v>
      </c>
      <c r="F778" t="s">
        <v>245</v>
      </c>
      <c r="G778" t="s">
        <v>43</v>
      </c>
      <c r="H778">
        <v>2021</v>
      </c>
      <c r="I778" t="s">
        <v>60</v>
      </c>
      <c r="L778" t="s">
        <v>99</v>
      </c>
      <c r="AG778">
        <f t="shared" si="12"/>
        <v>1</v>
      </c>
      <c r="AH778">
        <f>'TABLA PREVIOS'!E778</f>
        <v>284</v>
      </c>
      <c r="AI778">
        <f>VLOOKUP(C778,ALUMNOS!A:B,2,FALSE)</f>
        <v>733</v>
      </c>
    </row>
    <row r="779" spans="1:35" x14ac:dyDescent="0.25">
      <c r="A779" t="s">
        <v>326</v>
      </c>
      <c r="B779" t="s">
        <v>109</v>
      </c>
      <c r="C779">
        <v>44372158</v>
      </c>
      <c r="D779" t="s">
        <v>345</v>
      </c>
      <c r="E779" t="s">
        <v>38</v>
      </c>
      <c r="F779" t="s">
        <v>245</v>
      </c>
      <c r="G779" t="s">
        <v>43</v>
      </c>
      <c r="H779">
        <v>2021</v>
      </c>
      <c r="I779" t="s">
        <v>60</v>
      </c>
      <c r="L779" t="s">
        <v>99</v>
      </c>
      <c r="AG779">
        <f t="shared" si="12"/>
        <v>1</v>
      </c>
      <c r="AH779">
        <f>'TABLA PREVIOS'!E779</f>
        <v>287</v>
      </c>
      <c r="AI779">
        <f>VLOOKUP(C779,ALUMNOS!A:B,2,FALSE)</f>
        <v>733</v>
      </c>
    </row>
    <row r="780" spans="1:35" x14ac:dyDescent="0.25">
      <c r="A780" t="s">
        <v>326</v>
      </c>
      <c r="B780" t="s">
        <v>109</v>
      </c>
      <c r="C780">
        <v>44372158</v>
      </c>
      <c r="D780" t="s">
        <v>345</v>
      </c>
      <c r="E780" t="s">
        <v>34</v>
      </c>
      <c r="F780" t="s">
        <v>245</v>
      </c>
      <c r="G780" t="s">
        <v>43</v>
      </c>
      <c r="H780">
        <v>2021</v>
      </c>
      <c r="I780" t="s">
        <v>60</v>
      </c>
      <c r="L780" t="s">
        <v>99</v>
      </c>
      <c r="AG780">
        <f t="shared" si="12"/>
        <v>1</v>
      </c>
      <c r="AH780">
        <f>'TABLA PREVIOS'!E780</f>
        <v>286</v>
      </c>
      <c r="AI780">
        <f>VLOOKUP(C780,ALUMNOS!A:B,2,FALSE)</f>
        <v>733</v>
      </c>
    </row>
    <row r="781" spans="1:35" x14ac:dyDescent="0.25">
      <c r="A781" t="s">
        <v>326</v>
      </c>
      <c r="B781" t="s">
        <v>109</v>
      </c>
      <c r="C781">
        <v>44372158</v>
      </c>
      <c r="D781" t="s">
        <v>345</v>
      </c>
      <c r="E781" t="s">
        <v>41</v>
      </c>
      <c r="F781" t="s">
        <v>245</v>
      </c>
      <c r="G781" t="s">
        <v>43</v>
      </c>
      <c r="H781">
        <v>2021</v>
      </c>
      <c r="I781" t="s">
        <v>60</v>
      </c>
      <c r="L781" t="s">
        <v>99</v>
      </c>
      <c r="AG781">
        <f t="shared" si="12"/>
        <v>1</v>
      </c>
      <c r="AH781">
        <f>'TABLA PREVIOS'!E781</f>
        <v>292</v>
      </c>
      <c r="AI781">
        <f>VLOOKUP(C781,ALUMNOS!A:B,2,FALSE)</f>
        <v>733</v>
      </c>
    </row>
    <row r="782" spans="1:35" x14ac:dyDescent="0.25">
      <c r="A782" t="s">
        <v>326</v>
      </c>
      <c r="B782" t="s">
        <v>109</v>
      </c>
      <c r="C782">
        <v>44372158</v>
      </c>
      <c r="D782" t="s">
        <v>345</v>
      </c>
      <c r="E782" t="s">
        <v>39</v>
      </c>
      <c r="F782" t="s">
        <v>245</v>
      </c>
      <c r="G782" t="s">
        <v>43</v>
      </c>
      <c r="H782">
        <v>2021</v>
      </c>
      <c r="I782" t="s">
        <v>60</v>
      </c>
      <c r="L782" t="s">
        <v>99</v>
      </c>
      <c r="AG782">
        <f t="shared" si="12"/>
        <v>1</v>
      </c>
      <c r="AH782">
        <f>'TABLA PREVIOS'!E782</f>
        <v>288</v>
      </c>
      <c r="AI782">
        <f>VLOOKUP(C782,ALUMNOS!A:B,2,FALSE)</f>
        <v>733</v>
      </c>
    </row>
    <row r="783" spans="1:35" x14ac:dyDescent="0.25">
      <c r="A783" t="s">
        <v>326</v>
      </c>
      <c r="B783" t="s">
        <v>109</v>
      </c>
      <c r="C783">
        <v>44372158</v>
      </c>
      <c r="D783" t="s">
        <v>345</v>
      </c>
      <c r="E783" t="s">
        <v>29</v>
      </c>
      <c r="F783" t="s">
        <v>245</v>
      </c>
      <c r="G783" t="s">
        <v>43</v>
      </c>
      <c r="H783">
        <v>2021</v>
      </c>
      <c r="I783" t="s">
        <v>60</v>
      </c>
      <c r="L783" t="s">
        <v>99</v>
      </c>
      <c r="AG783">
        <f t="shared" si="12"/>
        <v>1</v>
      </c>
      <c r="AH783">
        <f>'TABLA PREVIOS'!E783</f>
        <v>290</v>
      </c>
      <c r="AI783">
        <f>VLOOKUP(C783,ALUMNOS!A:B,2,FALSE)</f>
        <v>733</v>
      </c>
    </row>
    <row r="784" spans="1:35" x14ac:dyDescent="0.25">
      <c r="A784" t="s">
        <v>326</v>
      </c>
      <c r="B784" t="s">
        <v>128</v>
      </c>
      <c r="C784">
        <v>44274429</v>
      </c>
      <c r="D784" t="s">
        <v>346</v>
      </c>
      <c r="E784" t="s">
        <v>27</v>
      </c>
      <c r="F784" t="s">
        <v>143</v>
      </c>
      <c r="G784" t="s">
        <v>43</v>
      </c>
      <c r="H784">
        <v>2018</v>
      </c>
      <c r="I784" t="s">
        <v>59</v>
      </c>
      <c r="L784" t="s">
        <v>99</v>
      </c>
      <c r="AG784">
        <f t="shared" si="12"/>
        <v>1</v>
      </c>
      <c r="AH784">
        <f>'TABLA PREVIOS'!E784</f>
        <v>244</v>
      </c>
      <c r="AI784">
        <f>VLOOKUP(C784,ALUMNOS!A:B,2,FALSE)</f>
        <v>39</v>
      </c>
    </row>
    <row r="785" spans="1:35" x14ac:dyDescent="0.25">
      <c r="A785" t="s">
        <v>326</v>
      </c>
      <c r="B785" t="s">
        <v>128</v>
      </c>
      <c r="C785">
        <v>44274429</v>
      </c>
      <c r="D785" t="s">
        <v>346</v>
      </c>
      <c r="E785" t="s">
        <v>29</v>
      </c>
      <c r="F785" t="s">
        <v>190</v>
      </c>
      <c r="G785" t="s">
        <v>43</v>
      </c>
      <c r="H785">
        <v>2019</v>
      </c>
      <c r="I785" t="s">
        <v>60</v>
      </c>
      <c r="L785" t="s">
        <v>99</v>
      </c>
      <c r="AG785">
        <f t="shared" si="12"/>
        <v>1</v>
      </c>
      <c r="AH785">
        <f>'TABLA PREVIOS'!E785</f>
        <v>259</v>
      </c>
      <c r="AI785">
        <f>VLOOKUP(C785,ALUMNOS!A:B,2,FALSE)</f>
        <v>39</v>
      </c>
    </row>
    <row r="786" spans="1:35" x14ac:dyDescent="0.25">
      <c r="A786" t="s">
        <v>326</v>
      </c>
      <c r="B786" t="s">
        <v>128</v>
      </c>
      <c r="C786">
        <v>44274429</v>
      </c>
      <c r="D786" t="s">
        <v>346</v>
      </c>
      <c r="E786" t="s">
        <v>12</v>
      </c>
      <c r="F786" t="s">
        <v>220</v>
      </c>
      <c r="G786" t="s">
        <v>43</v>
      </c>
      <c r="H786">
        <v>2020</v>
      </c>
      <c r="I786" t="s">
        <v>60</v>
      </c>
      <c r="L786" t="s">
        <v>99</v>
      </c>
      <c r="AG786">
        <f t="shared" si="12"/>
        <v>1</v>
      </c>
      <c r="AH786">
        <f>'TABLA PREVIOS'!E786</f>
        <v>265</v>
      </c>
      <c r="AI786">
        <f>VLOOKUP(C786,ALUMNOS!A:B,2,FALSE)</f>
        <v>39</v>
      </c>
    </row>
    <row r="787" spans="1:35" x14ac:dyDescent="0.25">
      <c r="A787" t="s">
        <v>326</v>
      </c>
      <c r="B787" t="s">
        <v>128</v>
      </c>
      <c r="C787">
        <v>44274429</v>
      </c>
      <c r="D787" t="s">
        <v>346</v>
      </c>
      <c r="E787" t="s">
        <v>30</v>
      </c>
      <c r="F787" t="s">
        <v>245</v>
      </c>
      <c r="G787" t="s">
        <v>43</v>
      </c>
      <c r="H787">
        <v>2021</v>
      </c>
      <c r="I787" t="s">
        <v>60</v>
      </c>
      <c r="L787" t="s">
        <v>99</v>
      </c>
      <c r="AG787">
        <f t="shared" si="12"/>
        <v>1</v>
      </c>
      <c r="AH787">
        <f>'TABLA PREVIOS'!E787</f>
        <v>285</v>
      </c>
      <c r="AI787">
        <f>VLOOKUP(C787,ALUMNOS!A:B,2,FALSE)</f>
        <v>39</v>
      </c>
    </row>
    <row r="788" spans="1:35" x14ac:dyDescent="0.25">
      <c r="A788" t="s">
        <v>326</v>
      </c>
      <c r="B788" t="s">
        <v>128</v>
      </c>
      <c r="C788">
        <v>44274429</v>
      </c>
      <c r="D788" t="s">
        <v>346</v>
      </c>
      <c r="E788" t="s">
        <v>40</v>
      </c>
      <c r="F788" t="s">
        <v>245</v>
      </c>
      <c r="G788" t="s">
        <v>43</v>
      </c>
      <c r="H788">
        <v>2021</v>
      </c>
      <c r="I788" t="s">
        <v>60</v>
      </c>
      <c r="L788" t="s">
        <v>99</v>
      </c>
      <c r="AG788">
        <f t="shared" si="12"/>
        <v>1</v>
      </c>
      <c r="AH788">
        <f>'TABLA PREVIOS'!E788</f>
        <v>289</v>
      </c>
      <c r="AI788">
        <f>VLOOKUP(C788,ALUMNOS!A:B,2,FALSE)</f>
        <v>39</v>
      </c>
    </row>
    <row r="789" spans="1:35" x14ac:dyDescent="0.25">
      <c r="A789" t="s">
        <v>326</v>
      </c>
      <c r="B789" t="s">
        <v>128</v>
      </c>
      <c r="C789">
        <v>44274429</v>
      </c>
      <c r="D789" t="s">
        <v>346</v>
      </c>
      <c r="E789" t="s">
        <v>38</v>
      </c>
      <c r="F789" t="s">
        <v>245</v>
      </c>
      <c r="G789" t="s">
        <v>43</v>
      </c>
      <c r="H789">
        <v>2021</v>
      </c>
      <c r="I789" t="s">
        <v>60</v>
      </c>
      <c r="L789" t="s">
        <v>99</v>
      </c>
      <c r="AG789">
        <f t="shared" si="12"/>
        <v>1</v>
      </c>
      <c r="AH789">
        <f>'TABLA PREVIOS'!E789</f>
        <v>287</v>
      </c>
      <c r="AI789">
        <f>VLOOKUP(C789,ALUMNOS!A:B,2,FALSE)</f>
        <v>39</v>
      </c>
    </row>
    <row r="790" spans="1:35" x14ac:dyDescent="0.25">
      <c r="A790" t="s">
        <v>326</v>
      </c>
      <c r="B790" t="s">
        <v>128</v>
      </c>
      <c r="C790">
        <v>44274429</v>
      </c>
      <c r="D790" t="s">
        <v>346</v>
      </c>
      <c r="E790" t="s">
        <v>34</v>
      </c>
      <c r="F790" t="s">
        <v>245</v>
      </c>
      <c r="G790" t="s">
        <v>43</v>
      </c>
      <c r="H790">
        <v>2021</v>
      </c>
      <c r="I790" t="s">
        <v>60</v>
      </c>
      <c r="L790" t="s">
        <v>99</v>
      </c>
      <c r="AG790">
        <f t="shared" si="12"/>
        <v>1</v>
      </c>
      <c r="AH790">
        <f>'TABLA PREVIOS'!E790</f>
        <v>286</v>
      </c>
      <c r="AI790">
        <f>VLOOKUP(C790,ALUMNOS!A:B,2,FALSE)</f>
        <v>39</v>
      </c>
    </row>
    <row r="791" spans="1:35" x14ac:dyDescent="0.25">
      <c r="A791" t="s">
        <v>326</v>
      </c>
      <c r="B791" t="s">
        <v>128</v>
      </c>
      <c r="C791">
        <v>44274429</v>
      </c>
      <c r="D791" t="s">
        <v>346</v>
      </c>
      <c r="E791" t="s">
        <v>16</v>
      </c>
      <c r="F791" t="s">
        <v>245</v>
      </c>
      <c r="G791" t="s">
        <v>43</v>
      </c>
      <c r="H791">
        <v>2021</v>
      </c>
      <c r="I791" t="s">
        <v>60</v>
      </c>
      <c r="L791" t="s">
        <v>99</v>
      </c>
      <c r="AG791">
        <f t="shared" si="12"/>
        <v>1</v>
      </c>
      <c r="AH791">
        <f>'TABLA PREVIOS'!E791</f>
        <v>282</v>
      </c>
      <c r="AI791">
        <f>VLOOKUP(C791,ALUMNOS!A:B,2,FALSE)</f>
        <v>39</v>
      </c>
    </row>
    <row r="792" spans="1:35" x14ac:dyDescent="0.25">
      <c r="A792" t="s">
        <v>326</v>
      </c>
      <c r="B792" t="s">
        <v>128</v>
      </c>
      <c r="C792">
        <v>44274429</v>
      </c>
      <c r="D792" t="s">
        <v>346</v>
      </c>
      <c r="E792" t="s">
        <v>12</v>
      </c>
      <c r="F792" t="s">
        <v>245</v>
      </c>
      <c r="G792" t="s">
        <v>43</v>
      </c>
      <c r="H792">
        <v>2021</v>
      </c>
      <c r="I792" t="s">
        <v>60</v>
      </c>
      <c r="L792" t="s">
        <v>99</v>
      </c>
      <c r="AG792">
        <f t="shared" si="12"/>
        <v>1</v>
      </c>
      <c r="AH792">
        <f>'TABLA PREVIOS'!E792</f>
        <v>280</v>
      </c>
      <c r="AI792">
        <f>VLOOKUP(C792,ALUMNOS!A:B,2,FALSE)</f>
        <v>39</v>
      </c>
    </row>
    <row r="793" spans="1:35" x14ac:dyDescent="0.25">
      <c r="A793" t="s">
        <v>326</v>
      </c>
      <c r="B793" t="s">
        <v>128</v>
      </c>
      <c r="C793">
        <v>44274429</v>
      </c>
      <c r="D793" t="s">
        <v>346</v>
      </c>
      <c r="E793" t="s">
        <v>39</v>
      </c>
      <c r="F793" t="s">
        <v>245</v>
      </c>
      <c r="G793" t="s">
        <v>43</v>
      </c>
      <c r="H793">
        <v>2021</v>
      </c>
      <c r="I793" t="s">
        <v>60</v>
      </c>
      <c r="L793" t="s">
        <v>99</v>
      </c>
      <c r="AG793">
        <f t="shared" si="12"/>
        <v>1</v>
      </c>
      <c r="AH793">
        <f>'TABLA PREVIOS'!E793</f>
        <v>288</v>
      </c>
      <c r="AI793">
        <f>VLOOKUP(C793,ALUMNOS!A:B,2,FALSE)</f>
        <v>39</v>
      </c>
    </row>
    <row r="794" spans="1:35" x14ac:dyDescent="0.25">
      <c r="A794" t="s">
        <v>326</v>
      </c>
      <c r="B794" t="s">
        <v>128</v>
      </c>
      <c r="C794">
        <v>44274429</v>
      </c>
      <c r="D794" t="s">
        <v>346</v>
      </c>
      <c r="E794" t="s">
        <v>29</v>
      </c>
      <c r="F794" t="s">
        <v>245</v>
      </c>
      <c r="G794" t="s">
        <v>43</v>
      </c>
      <c r="H794">
        <v>2021</v>
      </c>
      <c r="I794" t="s">
        <v>60</v>
      </c>
      <c r="L794" t="s">
        <v>99</v>
      </c>
      <c r="AG794">
        <f t="shared" si="12"/>
        <v>1</v>
      </c>
      <c r="AH794">
        <f>'TABLA PREVIOS'!E794</f>
        <v>290</v>
      </c>
      <c r="AI794">
        <f>VLOOKUP(C794,ALUMNOS!A:B,2,FALSE)</f>
        <v>39</v>
      </c>
    </row>
    <row r="795" spans="1:35" x14ac:dyDescent="0.25">
      <c r="A795" t="s">
        <v>326</v>
      </c>
      <c r="B795" t="s">
        <v>128</v>
      </c>
      <c r="C795">
        <v>45591905</v>
      </c>
      <c r="D795" t="s">
        <v>347</v>
      </c>
      <c r="E795" t="s">
        <v>12</v>
      </c>
      <c r="F795" t="s">
        <v>220</v>
      </c>
      <c r="G795" t="s">
        <v>43</v>
      </c>
      <c r="H795">
        <v>2020</v>
      </c>
      <c r="I795" t="s">
        <v>60</v>
      </c>
      <c r="L795" t="s">
        <v>99</v>
      </c>
      <c r="AG795">
        <f t="shared" si="12"/>
        <v>1</v>
      </c>
      <c r="AH795">
        <f>'TABLA PREVIOS'!E795</f>
        <v>265</v>
      </c>
      <c r="AI795">
        <f>VLOOKUP(C795,ALUMNOS!A:B,2,FALSE)</f>
        <v>102</v>
      </c>
    </row>
    <row r="796" spans="1:35" x14ac:dyDescent="0.25">
      <c r="A796" t="s">
        <v>326</v>
      </c>
      <c r="B796" t="s">
        <v>128</v>
      </c>
      <c r="C796">
        <v>45591905</v>
      </c>
      <c r="D796" t="s">
        <v>347</v>
      </c>
      <c r="E796" t="s">
        <v>16</v>
      </c>
      <c r="F796" t="s">
        <v>245</v>
      </c>
      <c r="G796" t="s">
        <v>43</v>
      </c>
      <c r="H796">
        <v>2021</v>
      </c>
      <c r="I796" t="s">
        <v>60</v>
      </c>
      <c r="L796" t="s">
        <v>99</v>
      </c>
      <c r="AG796">
        <f t="shared" si="12"/>
        <v>1</v>
      </c>
      <c r="AH796">
        <f>'TABLA PREVIOS'!E796</f>
        <v>282</v>
      </c>
      <c r="AI796">
        <f>VLOOKUP(C796,ALUMNOS!A:B,2,FALSE)</f>
        <v>102</v>
      </c>
    </row>
    <row r="797" spans="1:35" x14ac:dyDescent="0.25">
      <c r="A797" t="s">
        <v>326</v>
      </c>
      <c r="B797" t="s">
        <v>128</v>
      </c>
      <c r="C797">
        <v>45403864</v>
      </c>
      <c r="D797" t="s">
        <v>348</v>
      </c>
      <c r="E797" t="s">
        <v>30</v>
      </c>
      <c r="F797" t="s">
        <v>245</v>
      </c>
      <c r="G797" t="s">
        <v>43</v>
      </c>
      <c r="H797">
        <v>2021</v>
      </c>
      <c r="I797" t="s">
        <v>60</v>
      </c>
      <c r="L797" t="s">
        <v>99</v>
      </c>
      <c r="M797">
        <v>45411</v>
      </c>
      <c r="N797" t="s">
        <v>50</v>
      </c>
      <c r="O797">
        <v>68</v>
      </c>
      <c r="P797">
        <v>49</v>
      </c>
      <c r="AG797">
        <f t="shared" si="12"/>
        <v>1</v>
      </c>
      <c r="AH797">
        <f>'TABLA PREVIOS'!E797</f>
        <v>285</v>
      </c>
      <c r="AI797">
        <f>VLOOKUP(C797,ALUMNOS!A:B,2,FALSE)</f>
        <v>142</v>
      </c>
    </row>
    <row r="798" spans="1:35" x14ac:dyDescent="0.25">
      <c r="A798" t="s">
        <v>326</v>
      </c>
      <c r="B798" t="s">
        <v>128</v>
      </c>
      <c r="C798">
        <v>45403864</v>
      </c>
      <c r="D798" t="s">
        <v>348</v>
      </c>
      <c r="E798" t="s">
        <v>40</v>
      </c>
      <c r="F798" t="s">
        <v>245</v>
      </c>
      <c r="G798" t="s">
        <v>43</v>
      </c>
      <c r="H798">
        <v>2021</v>
      </c>
      <c r="I798" t="s">
        <v>60</v>
      </c>
      <c r="L798" t="s">
        <v>99</v>
      </c>
      <c r="M798">
        <v>45411</v>
      </c>
      <c r="N798" t="s">
        <v>50</v>
      </c>
      <c r="O798">
        <v>68</v>
      </c>
      <c r="P798">
        <v>50</v>
      </c>
      <c r="AG798">
        <f t="shared" si="12"/>
        <v>1</v>
      </c>
      <c r="AH798">
        <f>'TABLA PREVIOS'!E798</f>
        <v>289</v>
      </c>
      <c r="AI798">
        <f>VLOOKUP(C798,ALUMNOS!A:B,2,FALSE)</f>
        <v>142</v>
      </c>
    </row>
    <row r="799" spans="1:35" x14ac:dyDescent="0.25">
      <c r="A799" t="s">
        <v>326</v>
      </c>
      <c r="B799" t="s">
        <v>128</v>
      </c>
      <c r="C799">
        <v>45403864</v>
      </c>
      <c r="D799" t="s">
        <v>348</v>
      </c>
      <c r="E799" t="s">
        <v>38</v>
      </c>
      <c r="F799" t="s">
        <v>245</v>
      </c>
      <c r="G799" t="s">
        <v>43</v>
      </c>
      <c r="H799">
        <v>2021</v>
      </c>
      <c r="I799" t="s">
        <v>60</v>
      </c>
      <c r="L799" t="s">
        <v>99</v>
      </c>
      <c r="M799">
        <v>45411</v>
      </c>
      <c r="N799" t="s">
        <v>50</v>
      </c>
      <c r="O799">
        <v>68</v>
      </c>
      <c r="P799">
        <v>46</v>
      </c>
      <c r="AG799">
        <f t="shared" si="12"/>
        <v>1</v>
      </c>
      <c r="AH799">
        <f>'TABLA PREVIOS'!E799</f>
        <v>287</v>
      </c>
      <c r="AI799">
        <f>VLOOKUP(C799,ALUMNOS!A:B,2,FALSE)</f>
        <v>142</v>
      </c>
    </row>
    <row r="800" spans="1:35" x14ac:dyDescent="0.25">
      <c r="A800" t="s">
        <v>326</v>
      </c>
      <c r="B800" t="s">
        <v>128</v>
      </c>
      <c r="C800">
        <v>45403864</v>
      </c>
      <c r="D800" t="s">
        <v>348</v>
      </c>
      <c r="E800" t="s">
        <v>34</v>
      </c>
      <c r="F800" t="s">
        <v>245</v>
      </c>
      <c r="G800" t="s">
        <v>43</v>
      </c>
      <c r="H800">
        <v>2021</v>
      </c>
      <c r="I800" t="s">
        <v>60</v>
      </c>
      <c r="L800" t="s">
        <v>99</v>
      </c>
      <c r="M800">
        <v>45411</v>
      </c>
      <c r="N800" t="s">
        <v>50</v>
      </c>
      <c r="O800">
        <v>68</v>
      </c>
      <c r="P800">
        <v>48</v>
      </c>
      <c r="AG800">
        <f t="shared" si="12"/>
        <v>1</v>
      </c>
      <c r="AH800">
        <f>'TABLA PREVIOS'!E800</f>
        <v>286</v>
      </c>
      <c r="AI800">
        <f>VLOOKUP(C800,ALUMNOS!A:B,2,FALSE)</f>
        <v>142</v>
      </c>
    </row>
    <row r="801" spans="1:35" x14ac:dyDescent="0.25">
      <c r="A801" t="s">
        <v>326</v>
      </c>
      <c r="B801" t="s">
        <v>128</v>
      </c>
      <c r="C801">
        <v>45403864</v>
      </c>
      <c r="D801" t="s">
        <v>348</v>
      </c>
      <c r="E801" t="s">
        <v>11</v>
      </c>
      <c r="F801" t="s">
        <v>245</v>
      </c>
      <c r="G801" t="s">
        <v>43</v>
      </c>
      <c r="H801">
        <v>2021</v>
      </c>
      <c r="I801" t="s">
        <v>60</v>
      </c>
      <c r="L801" t="s">
        <v>99</v>
      </c>
      <c r="M801">
        <v>45411</v>
      </c>
      <c r="N801" t="s">
        <v>50</v>
      </c>
      <c r="O801">
        <v>68</v>
      </c>
      <c r="P801">
        <v>41</v>
      </c>
      <c r="AG801">
        <f t="shared" si="12"/>
        <v>1</v>
      </c>
      <c r="AH801">
        <f>'TABLA PREVIOS'!E801</f>
        <v>279</v>
      </c>
      <c r="AI801">
        <f>VLOOKUP(C801,ALUMNOS!A:B,2,FALSE)</f>
        <v>142</v>
      </c>
    </row>
    <row r="802" spans="1:35" x14ac:dyDescent="0.25">
      <c r="A802" t="s">
        <v>326</v>
      </c>
      <c r="B802" t="s">
        <v>128</v>
      </c>
      <c r="C802">
        <v>45403864</v>
      </c>
      <c r="D802" t="s">
        <v>348</v>
      </c>
      <c r="E802" t="s">
        <v>39</v>
      </c>
      <c r="F802" t="s">
        <v>245</v>
      </c>
      <c r="G802" t="s">
        <v>43</v>
      </c>
      <c r="H802">
        <v>2021</v>
      </c>
      <c r="I802" t="s">
        <v>60</v>
      </c>
      <c r="L802" t="s">
        <v>99</v>
      </c>
      <c r="M802">
        <v>45411</v>
      </c>
      <c r="N802" t="s">
        <v>50</v>
      </c>
      <c r="O802">
        <v>68</v>
      </c>
      <c r="P802">
        <v>47</v>
      </c>
      <c r="AG802">
        <f t="shared" si="12"/>
        <v>1</v>
      </c>
      <c r="AH802">
        <f>'TABLA PREVIOS'!E802</f>
        <v>288</v>
      </c>
      <c r="AI802">
        <f>VLOOKUP(C802,ALUMNOS!A:B,2,FALSE)</f>
        <v>142</v>
      </c>
    </row>
    <row r="803" spans="1:35" x14ac:dyDescent="0.25">
      <c r="A803" t="s">
        <v>326</v>
      </c>
      <c r="B803" t="s">
        <v>128</v>
      </c>
      <c r="C803">
        <v>45403864</v>
      </c>
      <c r="D803" t="s">
        <v>348</v>
      </c>
      <c r="E803" t="s">
        <v>29</v>
      </c>
      <c r="F803" t="s">
        <v>245</v>
      </c>
      <c r="G803" t="s">
        <v>43</v>
      </c>
      <c r="H803">
        <v>2021</v>
      </c>
      <c r="I803" t="s">
        <v>60</v>
      </c>
      <c r="L803" t="s">
        <v>99</v>
      </c>
      <c r="M803">
        <v>45411</v>
      </c>
      <c r="N803" t="s">
        <v>50</v>
      </c>
      <c r="O803">
        <v>68</v>
      </c>
      <c r="P803">
        <v>51</v>
      </c>
      <c r="AG803">
        <f t="shared" si="12"/>
        <v>1</v>
      </c>
      <c r="AH803">
        <f>'TABLA PREVIOS'!E803</f>
        <v>290</v>
      </c>
      <c r="AI803">
        <f>VLOOKUP(C803,ALUMNOS!A:B,2,FALSE)</f>
        <v>142</v>
      </c>
    </row>
    <row r="804" spans="1:35" x14ac:dyDescent="0.25">
      <c r="A804" t="s">
        <v>326</v>
      </c>
      <c r="B804" t="s">
        <v>128</v>
      </c>
      <c r="C804">
        <v>44975703</v>
      </c>
      <c r="D804" t="s">
        <v>349</v>
      </c>
      <c r="E804" t="s">
        <v>37</v>
      </c>
      <c r="F804" t="s">
        <v>245</v>
      </c>
      <c r="G804" t="s">
        <v>43</v>
      </c>
      <c r="H804">
        <v>2021</v>
      </c>
      <c r="I804" t="s">
        <v>60</v>
      </c>
      <c r="L804" t="s">
        <v>99</v>
      </c>
      <c r="AG804">
        <f t="shared" si="12"/>
        <v>1</v>
      </c>
      <c r="AH804">
        <f>'TABLA PREVIOS'!E804</f>
        <v>284</v>
      </c>
      <c r="AI804">
        <f>VLOOKUP(C804,ALUMNOS!A:B,2,FALSE)</f>
        <v>225</v>
      </c>
    </row>
    <row r="805" spans="1:35" x14ac:dyDescent="0.25">
      <c r="A805" t="s">
        <v>326</v>
      </c>
      <c r="B805" t="s">
        <v>128</v>
      </c>
      <c r="C805">
        <v>44975703</v>
      </c>
      <c r="D805" t="s">
        <v>349</v>
      </c>
      <c r="E805" t="s">
        <v>41</v>
      </c>
      <c r="F805" t="s">
        <v>245</v>
      </c>
      <c r="G805" t="s">
        <v>43</v>
      </c>
      <c r="H805">
        <v>2021</v>
      </c>
      <c r="I805" t="s">
        <v>60</v>
      </c>
      <c r="L805" t="s">
        <v>99</v>
      </c>
      <c r="AG805">
        <f t="shared" si="12"/>
        <v>1</v>
      </c>
      <c r="AH805">
        <f>'TABLA PREVIOS'!E805</f>
        <v>292</v>
      </c>
      <c r="AI805">
        <f>VLOOKUP(C805,ALUMNOS!A:B,2,FALSE)</f>
        <v>225</v>
      </c>
    </row>
    <row r="806" spans="1:35" x14ac:dyDescent="0.25">
      <c r="A806" t="s">
        <v>326</v>
      </c>
      <c r="B806" t="s">
        <v>128</v>
      </c>
      <c r="C806">
        <v>44975703</v>
      </c>
      <c r="D806" t="s">
        <v>349</v>
      </c>
      <c r="E806" t="s">
        <v>11</v>
      </c>
      <c r="F806" t="s">
        <v>245</v>
      </c>
      <c r="G806" t="s">
        <v>43</v>
      </c>
      <c r="H806">
        <v>2021</v>
      </c>
      <c r="I806" t="s">
        <v>60</v>
      </c>
      <c r="L806" t="s">
        <v>99</v>
      </c>
      <c r="AG806">
        <f t="shared" si="12"/>
        <v>1</v>
      </c>
      <c r="AH806">
        <f>'TABLA PREVIOS'!E806</f>
        <v>279</v>
      </c>
      <c r="AI806">
        <f>VLOOKUP(C806,ALUMNOS!A:B,2,FALSE)</f>
        <v>225</v>
      </c>
    </row>
    <row r="807" spans="1:35" x14ac:dyDescent="0.25">
      <c r="A807" t="s">
        <v>326</v>
      </c>
      <c r="B807" t="s">
        <v>128</v>
      </c>
      <c r="C807">
        <v>45349587</v>
      </c>
      <c r="D807" t="s">
        <v>350</v>
      </c>
      <c r="E807" t="s">
        <v>12</v>
      </c>
      <c r="F807" t="s">
        <v>143</v>
      </c>
      <c r="G807" t="s">
        <v>43</v>
      </c>
      <c r="H807">
        <v>2018</v>
      </c>
      <c r="I807" t="s">
        <v>59</v>
      </c>
      <c r="L807" t="s">
        <v>99</v>
      </c>
      <c r="AG807">
        <f t="shared" si="12"/>
        <v>1</v>
      </c>
      <c r="AH807">
        <f>'TABLA PREVIOS'!E807</f>
        <v>240</v>
      </c>
      <c r="AI807">
        <f>VLOOKUP(C807,ALUMNOS!A:B,2,FALSE)</f>
        <v>228</v>
      </c>
    </row>
    <row r="808" spans="1:35" x14ac:dyDescent="0.25">
      <c r="A808" t="s">
        <v>326</v>
      </c>
      <c r="B808" t="s">
        <v>128</v>
      </c>
      <c r="C808">
        <v>45349587</v>
      </c>
      <c r="D808" t="s">
        <v>350</v>
      </c>
      <c r="E808" t="s">
        <v>16</v>
      </c>
      <c r="F808" t="s">
        <v>245</v>
      </c>
      <c r="G808" t="s">
        <v>43</v>
      </c>
      <c r="H808">
        <v>2021</v>
      </c>
      <c r="I808" t="s">
        <v>60</v>
      </c>
      <c r="L808" t="s">
        <v>99</v>
      </c>
      <c r="AG808">
        <f t="shared" si="12"/>
        <v>1</v>
      </c>
      <c r="AH808">
        <f>'TABLA PREVIOS'!E808</f>
        <v>282</v>
      </c>
      <c r="AI808">
        <f>VLOOKUP(C808,ALUMNOS!A:B,2,FALSE)</f>
        <v>228</v>
      </c>
    </row>
    <row r="809" spans="1:35" x14ac:dyDescent="0.25">
      <c r="A809" t="s">
        <v>326</v>
      </c>
      <c r="B809" t="s">
        <v>128</v>
      </c>
      <c r="C809">
        <v>45349587</v>
      </c>
      <c r="D809" t="s">
        <v>350</v>
      </c>
      <c r="E809" t="s">
        <v>12</v>
      </c>
      <c r="F809" t="s">
        <v>245</v>
      </c>
      <c r="G809" t="s">
        <v>43</v>
      </c>
      <c r="H809">
        <v>2021</v>
      </c>
      <c r="I809" t="s">
        <v>60</v>
      </c>
      <c r="L809" t="s">
        <v>99</v>
      </c>
      <c r="AG809">
        <f t="shared" si="12"/>
        <v>1</v>
      </c>
      <c r="AH809">
        <f>'TABLA PREVIOS'!E809</f>
        <v>280</v>
      </c>
      <c r="AI809">
        <f>VLOOKUP(C809,ALUMNOS!A:B,2,FALSE)</f>
        <v>228</v>
      </c>
    </row>
    <row r="810" spans="1:35" x14ac:dyDescent="0.25">
      <c r="A810" t="s">
        <v>326</v>
      </c>
      <c r="B810" t="s">
        <v>128</v>
      </c>
      <c r="C810">
        <v>45484418</v>
      </c>
      <c r="D810" t="s">
        <v>351</v>
      </c>
      <c r="E810" t="s">
        <v>12</v>
      </c>
      <c r="F810" t="s">
        <v>220</v>
      </c>
      <c r="G810" t="s">
        <v>43</v>
      </c>
      <c r="H810">
        <v>2020</v>
      </c>
      <c r="I810" t="s">
        <v>60</v>
      </c>
      <c r="L810" t="s">
        <v>99</v>
      </c>
      <c r="AG810">
        <f t="shared" si="12"/>
        <v>1</v>
      </c>
      <c r="AH810">
        <f>'TABLA PREVIOS'!E810</f>
        <v>265</v>
      </c>
      <c r="AI810">
        <f>VLOOKUP(C810,ALUMNOS!A:B,2,FALSE)</f>
        <v>703</v>
      </c>
    </row>
    <row r="811" spans="1:35" x14ac:dyDescent="0.25">
      <c r="A811" t="s">
        <v>326</v>
      </c>
      <c r="B811" t="s">
        <v>128</v>
      </c>
      <c r="C811">
        <v>43992124</v>
      </c>
      <c r="D811" t="s">
        <v>352</v>
      </c>
      <c r="E811" t="s">
        <v>16</v>
      </c>
      <c r="F811" t="s">
        <v>143</v>
      </c>
      <c r="G811" t="s">
        <v>43</v>
      </c>
      <c r="H811">
        <v>2018</v>
      </c>
      <c r="I811" t="s">
        <v>59</v>
      </c>
      <c r="L811" t="s">
        <v>99</v>
      </c>
      <c r="AG811">
        <f t="shared" si="12"/>
        <v>1</v>
      </c>
      <c r="AH811">
        <f>'TABLA PREVIOS'!E811</f>
        <v>245</v>
      </c>
      <c r="AI811">
        <f>VLOOKUP(C811,ALUMNOS!A:B,2,FALSE)</f>
        <v>755</v>
      </c>
    </row>
    <row r="812" spans="1:35" x14ac:dyDescent="0.25">
      <c r="A812" t="s">
        <v>326</v>
      </c>
      <c r="B812" t="s">
        <v>128</v>
      </c>
      <c r="C812">
        <v>43992124</v>
      </c>
      <c r="D812" t="s">
        <v>352</v>
      </c>
      <c r="E812" t="s">
        <v>16</v>
      </c>
      <c r="F812" t="s">
        <v>190</v>
      </c>
      <c r="G812" t="s">
        <v>43</v>
      </c>
      <c r="H812">
        <v>2019</v>
      </c>
      <c r="I812" t="s">
        <v>60</v>
      </c>
      <c r="L812" t="s">
        <v>99</v>
      </c>
      <c r="AG812">
        <f t="shared" si="12"/>
        <v>1</v>
      </c>
      <c r="AH812">
        <f>'TABLA PREVIOS'!E812</f>
        <v>256</v>
      </c>
      <c r="AI812">
        <f>VLOOKUP(C812,ALUMNOS!A:B,2,FALSE)</f>
        <v>755</v>
      </c>
    </row>
    <row r="813" spans="1:35" x14ac:dyDescent="0.25">
      <c r="A813" t="s">
        <v>326</v>
      </c>
      <c r="B813" t="s">
        <v>128</v>
      </c>
      <c r="C813">
        <v>43992124</v>
      </c>
      <c r="D813" t="s">
        <v>352</v>
      </c>
      <c r="E813" t="s">
        <v>29</v>
      </c>
      <c r="F813" t="s">
        <v>190</v>
      </c>
      <c r="G813" t="s">
        <v>43</v>
      </c>
      <c r="H813">
        <v>2019</v>
      </c>
      <c r="I813" t="s">
        <v>60</v>
      </c>
      <c r="L813" t="s">
        <v>99</v>
      </c>
      <c r="AG813">
        <f t="shared" si="12"/>
        <v>1</v>
      </c>
      <c r="AH813">
        <f>'TABLA PREVIOS'!E813</f>
        <v>259</v>
      </c>
      <c r="AI813">
        <f>VLOOKUP(C813,ALUMNOS!A:B,2,FALSE)</f>
        <v>755</v>
      </c>
    </row>
    <row r="814" spans="1:35" x14ac:dyDescent="0.25">
      <c r="A814" t="s">
        <v>326</v>
      </c>
      <c r="B814" t="s">
        <v>128</v>
      </c>
      <c r="C814">
        <v>43992124</v>
      </c>
      <c r="D814" t="s">
        <v>352</v>
      </c>
      <c r="E814" t="s">
        <v>30</v>
      </c>
      <c r="F814" t="s">
        <v>245</v>
      </c>
      <c r="G814" t="s">
        <v>43</v>
      </c>
      <c r="H814">
        <v>2019</v>
      </c>
      <c r="I814" t="s">
        <v>60</v>
      </c>
      <c r="L814" t="s">
        <v>99</v>
      </c>
      <c r="AG814">
        <f t="shared" si="12"/>
        <v>1</v>
      </c>
      <c r="AH814">
        <f>'TABLA PREVIOS'!E814</f>
        <v>285</v>
      </c>
      <c r="AI814">
        <f>VLOOKUP(C814,ALUMNOS!A:B,2,FALSE)</f>
        <v>755</v>
      </c>
    </row>
    <row r="815" spans="1:35" x14ac:dyDescent="0.25">
      <c r="A815" t="s">
        <v>326</v>
      </c>
      <c r="B815" t="s">
        <v>128</v>
      </c>
      <c r="C815">
        <v>43992124</v>
      </c>
      <c r="D815" t="s">
        <v>352</v>
      </c>
      <c r="E815" t="s">
        <v>40</v>
      </c>
      <c r="F815" t="s">
        <v>245</v>
      </c>
      <c r="G815" t="s">
        <v>43</v>
      </c>
      <c r="H815">
        <v>2019</v>
      </c>
      <c r="I815" t="s">
        <v>60</v>
      </c>
      <c r="L815" t="s">
        <v>99</v>
      </c>
      <c r="AG815">
        <f t="shared" si="12"/>
        <v>1</v>
      </c>
      <c r="AH815">
        <f>'TABLA PREVIOS'!E815</f>
        <v>289</v>
      </c>
      <c r="AI815">
        <f>VLOOKUP(C815,ALUMNOS!A:B,2,FALSE)</f>
        <v>755</v>
      </c>
    </row>
    <row r="816" spans="1:35" x14ac:dyDescent="0.25">
      <c r="A816" t="s">
        <v>326</v>
      </c>
      <c r="B816" t="s">
        <v>128</v>
      </c>
      <c r="C816">
        <v>43992124</v>
      </c>
      <c r="D816" t="s">
        <v>352</v>
      </c>
      <c r="E816" t="s">
        <v>37</v>
      </c>
      <c r="F816" t="s">
        <v>245</v>
      </c>
      <c r="G816" t="s">
        <v>43</v>
      </c>
      <c r="H816">
        <v>2019</v>
      </c>
      <c r="I816" t="s">
        <v>60</v>
      </c>
      <c r="L816" t="s">
        <v>99</v>
      </c>
      <c r="AG816">
        <f t="shared" si="12"/>
        <v>1</v>
      </c>
      <c r="AH816">
        <f>'TABLA PREVIOS'!E816</f>
        <v>284</v>
      </c>
      <c r="AI816">
        <f>VLOOKUP(C816,ALUMNOS!A:B,2,FALSE)</f>
        <v>755</v>
      </c>
    </row>
    <row r="817" spans="1:35" x14ac:dyDescent="0.25">
      <c r="A817" t="s">
        <v>326</v>
      </c>
      <c r="B817" t="s">
        <v>128</v>
      </c>
      <c r="C817">
        <v>43992124</v>
      </c>
      <c r="D817" t="s">
        <v>352</v>
      </c>
      <c r="E817" t="s">
        <v>38</v>
      </c>
      <c r="F817" t="s">
        <v>245</v>
      </c>
      <c r="G817" t="s">
        <v>43</v>
      </c>
      <c r="H817">
        <v>2019</v>
      </c>
      <c r="I817" t="s">
        <v>60</v>
      </c>
      <c r="L817" t="s">
        <v>99</v>
      </c>
      <c r="AG817">
        <f t="shared" si="12"/>
        <v>1</v>
      </c>
      <c r="AH817">
        <f>'TABLA PREVIOS'!E817</f>
        <v>287</v>
      </c>
      <c r="AI817">
        <f>VLOOKUP(C817,ALUMNOS!A:B,2,FALSE)</f>
        <v>755</v>
      </c>
    </row>
    <row r="818" spans="1:35" x14ac:dyDescent="0.25">
      <c r="A818" t="s">
        <v>326</v>
      </c>
      <c r="B818" t="s">
        <v>128</v>
      </c>
      <c r="C818">
        <v>43992124</v>
      </c>
      <c r="D818" t="s">
        <v>352</v>
      </c>
      <c r="E818" t="s">
        <v>34</v>
      </c>
      <c r="F818" t="s">
        <v>245</v>
      </c>
      <c r="G818" t="s">
        <v>43</v>
      </c>
      <c r="H818">
        <v>2019</v>
      </c>
      <c r="I818" t="s">
        <v>60</v>
      </c>
      <c r="L818" t="s">
        <v>99</v>
      </c>
      <c r="AG818">
        <f t="shared" si="12"/>
        <v>1</v>
      </c>
      <c r="AH818">
        <f>'TABLA PREVIOS'!E818</f>
        <v>286</v>
      </c>
      <c r="AI818">
        <f>VLOOKUP(C818,ALUMNOS!A:B,2,FALSE)</f>
        <v>755</v>
      </c>
    </row>
    <row r="819" spans="1:35" x14ac:dyDescent="0.25">
      <c r="A819" t="s">
        <v>326</v>
      </c>
      <c r="B819" t="s">
        <v>128</v>
      </c>
      <c r="C819">
        <v>43992124</v>
      </c>
      <c r="D819" t="s">
        <v>352</v>
      </c>
      <c r="E819" t="s">
        <v>41</v>
      </c>
      <c r="F819" t="s">
        <v>245</v>
      </c>
      <c r="G819" t="s">
        <v>43</v>
      </c>
      <c r="H819">
        <v>2019</v>
      </c>
      <c r="I819" t="s">
        <v>60</v>
      </c>
      <c r="L819" t="s">
        <v>99</v>
      </c>
      <c r="AG819">
        <f t="shared" si="12"/>
        <v>1</v>
      </c>
      <c r="AH819">
        <f>'TABLA PREVIOS'!E819</f>
        <v>292</v>
      </c>
      <c r="AI819">
        <f>VLOOKUP(C819,ALUMNOS!A:B,2,FALSE)</f>
        <v>755</v>
      </c>
    </row>
    <row r="820" spans="1:35" x14ac:dyDescent="0.25">
      <c r="A820" t="s">
        <v>326</v>
      </c>
      <c r="B820" t="s">
        <v>128</v>
      </c>
      <c r="C820">
        <v>43992124</v>
      </c>
      <c r="D820" t="s">
        <v>352</v>
      </c>
      <c r="E820" t="s">
        <v>16</v>
      </c>
      <c r="F820" t="s">
        <v>245</v>
      </c>
      <c r="G820" t="s">
        <v>43</v>
      </c>
      <c r="H820">
        <v>2019</v>
      </c>
      <c r="I820" t="s">
        <v>60</v>
      </c>
      <c r="L820" t="s">
        <v>99</v>
      </c>
      <c r="AG820">
        <f t="shared" si="12"/>
        <v>1</v>
      </c>
      <c r="AH820">
        <f>'TABLA PREVIOS'!E820</f>
        <v>282</v>
      </c>
      <c r="AI820">
        <f>VLOOKUP(C820,ALUMNOS!A:B,2,FALSE)</f>
        <v>755</v>
      </c>
    </row>
    <row r="821" spans="1:35" x14ac:dyDescent="0.25">
      <c r="A821" t="s">
        <v>326</v>
      </c>
      <c r="B821" t="s">
        <v>128</v>
      </c>
      <c r="C821">
        <v>43992124</v>
      </c>
      <c r="D821" t="s">
        <v>352</v>
      </c>
      <c r="E821" t="s">
        <v>12</v>
      </c>
      <c r="F821" t="s">
        <v>245</v>
      </c>
      <c r="G821" t="s">
        <v>43</v>
      </c>
      <c r="H821">
        <v>2019</v>
      </c>
      <c r="I821" t="s">
        <v>60</v>
      </c>
      <c r="L821" t="s">
        <v>99</v>
      </c>
      <c r="AG821">
        <f t="shared" si="12"/>
        <v>1</v>
      </c>
      <c r="AH821">
        <f>'TABLA PREVIOS'!E821</f>
        <v>280</v>
      </c>
      <c r="AI821">
        <f>VLOOKUP(C821,ALUMNOS!A:B,2,FALSE)</f>
        <v>755</v>
      </c>
    </row>
    <row r="822" spans="1:35" x14ac:dyDescent="0.25">
      <c r="A822" t="s">
        <v>326</v>
      </c>
      <c r="B822" t="s">
        <v>128</v>
      </c>
      <c r="C822">
        <v>43992124</v>
      </c>
      <c r="D822" t="s">
        <v>352</v>
      </c>
      <c r="E822" t="s">
        <v>39</v>
      </c>
      <c r="F822" t="s">
        <v>245</v>
      </c>
      <c r="G822" t="s">
        <v>43</v>
      </c>
      <c r="H822">
        <v>2019</v>
      </c>
      <c r="I822" t="s">
        <v>60</v>
      </c>
      <c r="L822" t="s">
        <v>99</v>
      </c>
      <c r="AG822">
        <f t="shared" si="12"/>
        <v>1</v>
      </c>
      <c r="AH822">
        <f>'TABLA PREVIOS'!E822</f>
        <v>288</v>
      </c>
      <c r="AI822">
        <f>VLOOKUP(C822,ALUMNOS!A:B,2,FALSE)</f>
        <v>755</v>
      </c>
    </row>
    <row r="823" spans="1:35" x14ac:dyDescent="0.25">
      <c r="A823" t="s">
        <v>326</v>
      </c>
      <c r="B823" t="s">
        <v>128</v>
      </c>
      <c r="C823">
        <v>43992124</v>
      </c>
      <c r="D823" t="s">
        <v>352</v>
      </c>
      <c r="E823" t="s">
        <v>29</v>
      </c>
      <c r="F823" t="s">
        <v>245</v>
      </c>
      <c r="G823" t="s">
        <v>43</v>
      </c>
      <c r="H823">
        <v>2019</v>
      </c>
      <c r="I823" t="s">
        <v>60</v>
      </c>
      <c r="L823" t="s">
        <v>99</v>
      </c>
      <c r="AG823">
        <f t="shared" si="12"/>
        <v>1</v>
      </c>
      <c r="AH823">
        <f>'TABLA PREVIOS'!E823</f>
        <v>290</v>
      </c>
      <c r="AI823">
        <f>VLOOKUP(C823,ALUMNOS!A:B,2,FALSE)</f>
        <v>755</v>
      </c>
    </row>
    <row r="824" spans="1:35" x14ac:dyDescent="0.25">
      <c r="A824" t="s">
        <v>353</v>
      </c>
      <c r="C824">
        <v>46037365</v>
      </c>
      <c r="D824" t="s">
        <v>354</v>
      </c>
      <c r="E824" t="s">
        <v>34</v>
      </c>
      <c r="F824" t="s">
        <v>245</v>
      </c>
      <c r="G824" t="s">
        <v>43</v>
      </c>
      <c r="H824">
        <v>2022</v>
      </c>
      <c r="I824" t="s">
        <v>60</v>
      </c>
      <c r="L824" t="s">
        <v>99</v>
      </c>
      <c r="AG824">
        <f t="shared" si="12"/>
        <v>1</v>
      </c>
      <c r="AH824">
        <f>'TABLA PREVIOS'!E824</f>
        <v>286</v>
      </c>
      <c r="AI824">
        <f>VLOOKUP(C824,ALUMNOS!A:B,2,FALSE)</f>
        <v>37</v>
      </c>
    </row>
    <row r="825" spans="1:35" x14ac:dyDescent="0.25">
      <c r="A825" t="s">
        <v>353</v>
      </c>
      <c r="C825">
        <v>46037365</v>
      </c>
      <c r="D825" t="s">
        <v>354</v>
      </c>
      <c r="E825" t="s">
        <v>41</v>
      </c>
      <c r="F825" t="s">
        <v>245</v>
      </c>
      <c r="G825" t="s">
        <v>43</v>
      </c>
      <c r="H825">
        <v>2022</v>
      </c>
      <c r="I825" t="s">
        <v>60</v>
      </c>
      <c r="L825" t="s">
        <v>99</v>
      </c>
      <c r="AG825">
        <f t="shared" si="12"/>
        <v>1</v>
      </c>
      <c r="AH825">
        <f>'TABLA PREVIOS'!E825</f>
        <v>292</v>
      </c>
      <c r="AI825">
        <f>VLOOKUP(C825,ALUMNOS!A:B,2,FALSE)</f>
        <v>37</v>
      </c>
    </row>
    <row r="826" spans="1:35" x14ac:dyDescent="0.25">
      <c r="A826" t="s">
        <v>353</v>
      </c>
      <c r="C826">
        <v>46037365</v>
      </c>
      <c r="D826" t="s">
        <v>354</v>
      </c>
      <c r="E826" t="s">
        <v>39</v>
      </c>
      <c r="F826" t="s">
        <v>245</v>
      </c>
      <c r="G826" t="s">
        <v>43</v>
      </c>
      <c r="H826">
        <v>2022</v>
      </c>
      <c r="I826" t="s">
        <v>60</v>
      </c>
      <c r="L826" t="s">
        <v>99</v>
      </c>
      <c r="AG826">
        <f t="shared" si="12"/>
        <v>1</v>
      </c>
      <c r="AH826">
        <f>'TABLA PREVIOS'!E826</f>
        <v>288</v>
      </c>
      <c r="AI826">
        <f>VLOOKUP(C826,ALUMNOS!A:B,2,FALSE)</f>
        <v>37</v>
      </c>
    </row>
    <row r="827" spans="1:35" x14ac:dyDescent="0.25">
      <c r="A827" t="s">
        <v>353</v>
      </c>
      <c r="C827">
        <v>46037365</v>
      </c>
      <c r="D827" t="s">
        <v>354</v>
      </c>
      <c r="E827" t="s">
        <v>29</v>
      </c>
      <c r="F827" t="s">
        <v>245</v>
      </c>
      <c r="G827" t="s">
        <v>43</v>
      </c>
      <c r="H827">
        <v>2022</v>
      </c>
      <c r="I827" t="s">
        <v>60</v>
      </c>
      <c r="L827" t="s">
        <v>99</v>
      </c>
      <c r="AG827">
        <f t="shared" si="12"/>
        <v>1</v>
      </c>
      <c r="AH827">
        <f>'TABLA PREVIOS'!E827</f>
        <v>290</v>
      </c>
      <c r="AI827">
        <f>VLOOKUP(C827,ALUMNOS!A:B,2,FALSE)</f>
        <v>37</v>
      </c>
    </row>
    <row r="828" spans="1:35" x14ac:dyDescent="0.25">
      <c r="A828" t="s">
        <v>353</v>
      </c>
      <c r="C828">
        <v>45698136</v>
      </c>
      <c r="D828" t="s">
        <v>355</v>
      </c>
      <c r="E828" t="s">
        <v>11</v>
      </c>
      <c r="F828" t="s">
        <v>95</v>
      </c>
      <c r="G828" t="s">
        <v>43</v>
      </c>
      <c r="H828">
        <v>2018</v>
      </c>
      <c r="I828" t="s">
        <v>59</v>
      </c>
      <c r="L828" t="s">
        <v>99</v>
      </c>
      <c r="AG828">
        <f t="shared" si="12"/>
        <v>1</v>
      </c>
      <c r="AH828">
        <f>'TABLA PREVIOS'!E828</f>
        <v>229</v>
      </c>
      <c r="AI828">
        <f>VLOOKUP(C828,ALUMNOS!A:B,2,FALSE)</f>
        <v>82</v>
      </c>
    </row>
    <row r="829" spans="1:35" x14ac:dyDescent="0.25">
      <c r="A829" t="s">
        <v>353</v>
      </c>
      <c r="C829">
        <v>45698136</v>
      </c>
      <c r="D829" t="s">
        <v>355</v>
      </c>
      <c r="E829" t="s">
        <v>30</v>
      </c>
      <c r="F829" t="s">
        <v>220</v>
      </c>
      <c r="G829" t="s">
        <v>43</v>
      </c>
      <c r="H829">
        <v>2021</v>
      </c>
      <c r="I829" t="s">
        <v>60</v>
      </c>
      <c r="K829" t="s">
        <v>356</v>
      </c>
      <c r="L829" t="s">
        <v>99</v>
      </c>
      <c r="AG829">
        <f t="shared" si="12"/>
        <v>1</v>
      </c>
      <c r="AH829">
        <f>'TABLA PREVIOS'!E829</f>
        <v>274</v>
      </c>
      <c r="AI829">
        <f>VLOOKUP(C829,ALUMNOS!A:B,2,FALSE)</f>
        <v>82</v>
      </c>
    </row>
    <row r="830" spans="1:35" x14ac:dyDescent="0.25">
      <c r="A830" t="s">
        <v>353</v>
      </c>
      <c r="C830">
        <v>45698136</v>
      </c>
      <c r="D830" t="s">
        <v>355</v>
      </c>
      <c r="E830" t="s">
        <v>32</v>
      </c>
      <c r="F830" t="s">
        <v>220</v>
      </c>
      <c r="G830" t="s">
        <v>43</v>
      </c>
      <c r="H830">
        <v>2021</v>
      </c>
      <c r="I830" t="s">
        <v>60</v>
      </c>
      <c r="K830" t="s">
        <v>356</v>
      </c>
      <c r="L830" t="s">
        <v>99</v>
      </c>
      <c r="AG830">
        <f t="shared" si="12"/>
        <v>1</v>
      </c>
      <c r="AH830">
        <f>'TABLA PREVIOS'!E830</f>
        <v>277</v>
      </c>
      <c r="AI830">
        <f>VLOOKUP(C830,ALUMNOS!A:B,2,FALSE)</f>
        <v>82</v>
      </c>
    </row>
    <row r="831" spans="1:35" x14ac:dyDescent="0.25">
      <c r="A831" t="s">
        <v>353</v>
      </c>
      <c r="C831">
        <v>45698136</v>
      </c>
      <c r="D831" t="s">
        <v>355</v>
      </c>
      <c r="E831" t="s">
        <v>35</v>
      </c>
      <c r="F831" t="s">
        <v>220</v>
      </c>
      <c r="G831" t="s">
        <v>43</v>
      </c>
      <c r="H831">
        <v>2021</v>
      </c>
      <c r="I831" t="s">
        <v>60</v>
      </c>
      <c r="K831" t="s">
        <v>356</v>
      </c>
      <c r="L831" t="s">
        <v>99</v>
      </c>
      <c r="AG831">
        <f t="shared" si="12"/>
        <v>1</v>
      </c>
      <c r="AH831">
        <f>'TABLA PREVIOS'!E831</f>
        <v>276</v>
      </c>
      <c r="AI831">
        <f>VLOOKUP(C831,ALUMNOS!A:B,2,FALSE)</f>
        <v>82</v>
      </c>
    </row>
    <row r="832" spans="1:35" x14ac:dyDescent="0.25">
      <c r="A832" t="s">
        <v>353</v>
      </c>
      <c r="C832">
        <v>45698136</v>
      </c>
      <c r="D832" t="s">
        <v>355</v>
      </c>
      <c r="E832" t="s">
        <v>34</v>
      </c>
      <c r="F832" t="s">
        <v>220</v>
      </c>
      <c r="G832" t="s">
        <v>43</v>
      </c>
      <c r="H832">
        <v>2021</v>
      </c>
      <c r="I832" t="s">
        <v>60</v>
      </c>
      <c r="K832" t="s">
        <v>356</v>
      </c>
      <c r="L832" t="s">
        <v>99</v>
      </c>
      <c r="AG832">
        <f t="shared" si="12"/>
        <v>1</v>
      </c>
      <c r="AH832">
        <f>'TABLA PREVIOS'!E832</f>
        <v>275</v>
      </c>
      <c r="AI832">
        <f>VLOOKUP(C832,ALUMNOS!A:B,2,FALSE)</f>
        <v>82</v>
      </c>
    </row>
    <row r="833" spans="1:35" x14ac:dyDescent="0.25">
      <c r="A833" t="s">
        <v>353</v>
      </c>
      <c r="C833">
        <v>45698136</v>
      </c>
      <c r="D833" t="s">
        <v>355</v>
      </c>
      <c r="E833" t="s">
        <v>11</v>
      </c>
      <c r="F833" t="s">
        <v>220</v>
      </c>
      <c r="G833" t="s">
        <v>43</v>
      </c>
      <c r="H833">
        <v>2021</v>
      </c>
      <c r="I833" t="s">
        <v>60</v>
      </c>
      <c r="L833" t="s">
        <v>99</v>
      </c>
      <c r="AG833">
        <f t="shared" si="12"/>
        <v>1</v>
      </c>
      <c r="AH833">
        <f>'TABLA PREVIOS'!E833</f>
        <v>264</v>
      </c>
      <c r="AI833">
        <f>VLOOKUP(C833,ALUMNOS!A:B,2,FALSE)</f>
        <v>82</v>
      </c>
    </row>
    <row r="834" spans="1:35" x14ac:dyDescent="0.25">
      <c r="A834" t="s">
        <v>353</v>
      </c>
      <c r="C834">
        <v>45698136</v>
      </c>
      <c r="D834" t="s">
        <v>355</v>
      </c>
      <c r="E834" t="s">
        <v>29</v>
      </c>
      <c r="F834" t="s">
        <v>220</v>
      </c>
      <c r="G834" t="s">
        <v>43</v>
      </c>
      <c r="H834">
        <v>2021</v>
      </c>
      <c r="I834" t="s">
        <v>60</v>
      </c>
      <c r="K834" t="s">
        <v>356</v>
      </c>
      <c r="L834" t="s">
        <v>99</v>
      </c>
      <c r="AG834">
        <f t="shared" si="12"/>
        <v>1</v>
      </c>
      <c r="AH834">
        <f>'TABLA PREVIOS'!E834</f>
        <v>273</v>
      </c>
      <c r="AI834">
        <f>VLOOKUP(C834,ALUMNOS!A:B,2,FALSE)</f>
        <v>82</v>
      </c>
    </row>
    <row r="835" spans="1:35" x14ac:dyDescent="0.25">
      <c r="A835" t="s">
        <v>353</v>
      </c>
      <c r="C835">
        <v>45698136</v>
      </c>
      <c r="D835" t="s">
        <v>355</v>
      </c>
      <c r="E835" t="s">
        <v>38</v>
      </c>
      <c r="F835" t="s">
        <v>245</v>
      </c>
      <c r="G835" t="s">
        <v>43</v>
      </c>
      <c r="H835">
        <v>2022</v>
      </c>
      <c r="I835" t="s">
        <v>60</v>
      </c>
      <c r="L835" t="s">
        <v>99</v>
      </c>
      <c r="AG835">
        <f t="shared" ref="AG835:AG898" si="13">IF(VALUE(MAX(N835,R835,V835,Z835,AC835,))&gt;=7,VALUE(MAX(N835,R835,V835,Z835,AC835,)),1)</f>
        <v>1</v>
      </c>
      <c r="AH835">
        <f>'TABLA PREVIOS'!E835</f>
        <v>287</v>
      </c>
      <c r="AI835">
        <f>VLOOKUP(C835,ALUMNOS!A:B,2,FALSE)</f>
        <v>82</v>
      </c>
    </row>
    <row r="836" spans="1:35" x14ac:dyDescent="0.25">
      <c r="A836" t="s">
        <v>353</v>
      </c>
      <c r="C836">
        <v>45698136</v>
      </c>
      <c r="D836" t="s">
        <v>355</v>
      </c>
      <c r="E836" t="s">
        <v>34</v>
      </c>
      <c r="F836" t="s">
        <v>245</v>
      </c>
      <c r="G836" t="s">
        <v>43</v>
      </c>
      <c r="H836">
        <v>2022</v>
      </c>
      <c r="I836" t="s">
        <v>60</v>
      </c>
      <c r="L836" t="s">
        <v>99</v>
      </c>
      <c r="AG836">
        <f t="shared" si="13"/>
        <v>1</v>
      </c>
      <c r="AH836">
        <f>'TABLA PREVIOS'!E836</f>
        <v>286</v>
      </c>
      <c r="AI836">
        <f>VLOOKUP(C836,ALUMNOS!A:B,2,FALSE)</f>
        <v>82</v>
      </c>
    </row>
    <row r="837" spans="1:35" x14ac:dyDescent="0.25">
      <c r="A837" t="s">
        <v>353</v>
      </c>
      <c r="C837">
        <v>45698136</v>
      </c>
      <c r="D837" t="s">
        <v>355</v>
      </c>
      <c r="E837" t="s">
        <v>10</v>
      </c>
      <c r="F837" t="s">
        <v>245</v>
      </c>
      <c r="G837" t="s">
        <v>43</v>
      </c>
      <c r="H837">
        <v>2022</v>
      </c>
      <c r="I837" t="s">
        <v>60</v>
      </c>
      <c r="L837" t="s">
        <v>99</v>
      </c>
      <c r="AG837">
        <f t="shared" si="13"/>
        <v>1</v>
      </c>
      <c r="AH837">
        <f>'TABLA PREVIOS'!E837</f>
        <v>278</v>
      </c>
      <c r="AI837">
        <f>VLOOKUP(C837,ALUMNOS!A:B,2,FALSE)</f>
        <v>82</v>
      </c>
    </row>
    <row r="838" spans="1:35" x14ac:dyDescent="0.25">
      <c r="A838" t="s">
        <v>353</v>
      </c>
      <c r="C838">
        <v>45698136</v>
      </c>
      <c r="D838" t="s">
        <v>355</v>
      </c>
      <c r="E838" t="s">
        <v>41</v>
      </c>
      <c r="F838" t="s">
        <v>245</v>
      </c>
      <c r="G838" t="s">
        <v>43</v>
      </c>
      <c r="H838">
        <v>2022</v>
      </c>
      <c r="I838" t="s">
        <v>60</v>
      </c>
      <c r="L838" t="s">
        <v>99</v>
      </c>
      <c r="AG838">
        <f t="shared" si="13"/>
        <v>1</v>
      </c>
      <c r="AH838">
        <f>'TABLA PREVIOS'!E838</f>
        <v>292</v>
      </c>
      <c r="AI838">
        <f>VLOOKUP(C838,ALUMNOS!A:B,2,FALSE)</f>
        <v>82</v>
      </c>
    </row>
    <row r="839" spans="1:35" x14ac:dyDescent="0.25">
      <c r="A839" t="s">
        <v>353</v>
      </c>
      <c r="C839">
        <v>45698136</v>
      </c>
      <c r="D839" t="s">
        <v>355</v>
      </c>
      <c r="E839" t="s">
        <v>28</v>
      </c>
      <c r="F839" t="s">
        <v>245</v>
      </c>
      <c r="G839" t="s">
        <v>43</v>
      </c>
      <c r="H839">
        <v>2022</v>
      </c>
      <c r="I839" t="s">
        <v>60</v>
      </c>
      <c r="L839" t="s">
        <v>99</v>
      </c>
      <c r="AG839">
        <f t="shared" si="13"/>
        <v>1</v>
      </c>
      <c r="AH839">
        <f>'TABLA PREVIOS'!E839</f>
        <v>291</v>
      </c>
      <c r="AI839">
        <f>VLOOKUP(C839,ALUMNOS!A:B,2,FALSE)</f>
        <v>82</v>
      </c>
    </row>
    <row r="840" spans="1:35" x14ac:dyDescent="0.25">
      <c r="A840" t="s">
        <v>353</v>
      </c>
      <c r="C840">
        <v>45698136</v>
      </c>
      <c r="D840" t="s">
        <v>355</v>
      </c>
      <c r="E840" t="s">
        <v>16</v>
      </c>
      <c r="F840" t="s">
        <v>245</v>
      </c>
      <c r="G840" t="s">
        <v>43</v>
      </c>
      <c r="H840">
        <v>2022</v>
      </c>
      <c r="I840" t="s">
        <v>60</v>
      </c>
      <c r="L840" t="s">
        <v>99</v>
      </c>
      <c r="AG840">
        <f t="shared" si="13"/>
        <v>1</v>
      </c>
      <c r="AH840">
        <f>'TABLA PREVIOS'!E840</f>
        <v>282</v>
      </c>
      <c r="AI840">
        <f>VLOOKUP(C840,ALUMNOS!A:B,2,FALSE)</f>
        <v>82</v>
      </c>
    </row>
    <row r="841" spans="1:35" x14ac:dyDescent="0.25">
      <c r="A841" t="s">
        <v>353</v>
      </c>
      <c r="C841">
        <v>45698136</v>
      </c>
      <c r="D841" t="s">
        <v>355</v>
      </c>
      <c r="E841" t="s">
        <v>12</v>
      </c>
      <c r="F841" t="s">
        <v>245</v>
      </c>
      <c r="G841" t="s">
        <v>43</v>
      </c>
      <c r="H841">
        <v>2022</v>
      </c>
      <c r="I841" t="s">
        <v>60</v>
      </c>
      <c r="L841" t="s">
        <v>99</v>
      </c>
      <c r="AG841">
        <f t="shared" si="13"/>
        <v>1</v>
      </c>
      <c r="AH841">
        <f>'TABLA PREVIOS'!E841</f>
        <v>280</v>
      </c>
      <c r="AI841">
        <f>VLOOKUP(C841,ALUMNOS!A:B,2,FALSE)</f>
        <v>82</v>
      </c>
    </row>
    <row r="842" spans="1:35" x14ac:dyDescent="0.25">
      <c r="A842" t="s">
        <v>353</v>
      </c>
      <c r="C842">
        <v>45698136</v>
      </c>
      <c r="D842" t="s">
        <v>355</v>
      </c>
      <c r="E842" t="s">
        <v>39</v>
      </c>
      <c r="F842" t="s">
        <v>245</v>
      </c>
      <c r="G842" t="s">
        <v>43</v>
      </c>
      <c r="H842">
        <v>2022</v>
      </c>
      <c r="I842" t="s">
        <v>60</v>
      </c>
      <c r="L842" t="s">
        <v>99</v>
      </c>
      <c r="AG842">
        <f t="shared" si="13"/>
        <v>1</v>
      </c>
      <c r="AH842">
        <f>'TABLA PREVIOS'!E842</f>
        <v>288</v>
      </c>
      <c r="AI842">
        <f>VLOOKUP(C842,ALUMNOS!A:B,2,FALSE)</f>
        <v>82</v>
      </c>
    </row>
    <row r="843" spans="1:35" x14ac:dyDescent="0.25">
      <c r="A843" t="s">
        <v>353</v>
      </c>
      <c r="C843">
        <v>45698136</v>
      </c>
      <c r="D843" t="s">
        <v>355</v>
      </c>
      <c r="E843" t="s">
        <v>29</v>
      </c>
      <c r="F843" t="s">
        <v>245</v>
      </c>
      <c r="G843" t="s">
        <v>43</v>
      </c>
      <c r="H843">
        <v>2022</v>
      </c>
      <c r="I843" t="s">
        <v>60</v>
      </c>
      <c r="L843" t="s">
        <v>99</v>
      </c>
      <c r="AG843">
        <f t="shared" si="13"/>
        <v>1</v>
      </c>
      <c r="AH843">
        <f>'TABLA PREVIOS'!E843</f>
        <v>290</v>
      </c>
      <c r="AI843">
        <f>VLOOKUP(C843,ALUMNOS!A:B,2,FALSE)</f>
        <v>82</v>
      </c>
    </row>
    <row r="844" spans="1:35" x14ac:dyDescent="0.25">
      <c r="A844" t="s">
        <v>353</v>
      </c>
      <c r="C844">
        <v>46035103</v>
      </c>
      <c r="D844" t="s">
        <v>357</v>
      </c>
      <c r="E844" t="s">
        <v>26</v>
      </c>
      <c r="F844" t="s">
        <v>143</v>
      </c>
      <c r="G844" t="s">
        <v>43</v>
      </c>
      <c r="H844">
        <v>2019</v>
      </c>
      <c r="I844" t="s">
        <v>59</v>
      </c>
      <c r="K844" t="s">
        <v>358</v>
      </c>
      <c r="L844" t="s">
        <v>99</v>
      </c>
      <c r="AG844">
        <f t="shared" si="13"/>
        <v>1</v>
      </c>
      <c r="AH844">
        <f>'TABLA PREVIOS'!E844</f>
        <v>243</v>
      </c>
      <c r="AI844">
        <f>VLOOKUP(C844,ALUMNOS!A:B,2,FALSE)</f>
        <v>90</v>
      </c>
    </row>
    <row r="845" spans="1:35" x14ac:dyDescent="0.25">
      <c r="A845" t="s">
        <v>353</v>
      </c>
      <c r="C845">
        <v>46035103</v>
      </c>
      <c r="D845" t="s">
        <v>357</v>
      </c>
      <c r="E845" t="s">
        <v>16</v>
      </c>
      <c r="F845" t="s">
        <v>143</v>
      </c>
      <c r="G845" t="s">
        <v>43</v>
      </c>
      <c r="H845">
        <v>2019</v>
      </c>
      <c r="I845" t="s">
        <v>59</v>
      </c>
      <c r="L845" t="s">
        <v>99</v>
      </c>
      <c r="AG845">
        <f t="shared" si="13"/>
        <v>1</v>
      </c>
      <c r="AH845">
        <f>'TABLA PREVIOS'!E845</f>
        <v>245</v>
      </c>
      <c r="AI845">
        <f>VLOOKUP(C845,ALUMNOS!A:B,2,FALSE)</f>
        <v>90</v>
      </c>
    </row>
    <row r="846" spans="1:35" x14ac:dyDescent="0.25">
      <c r="A846" t="s">
        <v>353</v>
      </c>
      <c r="C846">
        <v>46035103</v>
      </c>
      <c r="D846" t="s">
        <v>357</v>
      </c>
      <c r="E846" t="s">
        <v>12</v>
      </c>
      <c r="F846" t="s">
        <v>143</v>
      </c>
      <c r="G846" t="s">
        <v>43</v>
      </c>
      <c r="H846">
        <v>2019</v>
      </c>
      <c r="I846" t="s">
        <v>59</v>
      </c>
      <c r="L846" t="s">
        <v>99</v>
      </c>
      <c r="AG846">
        <f t="shared" si="13"/>
        <v>1</v>
      </c>
      <c r="AH846">
        <f>'TABLA PREVIOS'!E846</f>
        <v>240</v>
      </c>
      <c r="AI846">
        <f>VLOOKUP(C846,ALUMNOS!A:B,2,FALSE)</f>
        <v>90</v>
      </c>
    </row>
    <row r="847" spans="1:35" x14ac:dyDescent="0.25">
      <c r="A847" t="s">
        <v>353</v>
      </c>
      <c r="C847">
        <v>46035103</v>
      </c>
      <c r="D847" t="s">
        <v>357</v>
      </c>
      <c r="E847" t="s">
        <v>37</v>
      </c>
      <c r="F847" t="s">
        <v>245</v>
      </c>
      <c r="G847" t="s">
        <v>43</v>
      </c>
      <c r="H847">
        <v>2022</v>
      </c>
      <c r="I847" t="s">
        <v>60</v>
      </c>
      <c r="L847" t="s">
        <v>99</v>
      </c>
      <c r="AG847">
        <f t="shared" si="13"/>
        <v>1</v>
      </c>
      <c r="AH847">
        <f>'TABLA PREVIOS'!E847</f>
        <v>284</v>
      </c>
      <c r="AI847">
        <f>VLOOKUP(C847,ALUMNOS!A:B,2,FALSE)</f>
        <v>90</v>
      </c>
    </row>
    <row r="848" spans="1:35" x14ac:dyDescent="0.25">
      <c r="A848" t="s">
        <v>353</v>
      </c>
      <c r="C848">
        <v>46035103</v>
      </c>
      <c r="D848" t="s">
        <v>357</v>
      </c>
      <c r="E848" t="s">
        <v>38</v>
      </c>
      <c r="F848" t="s">
        <v>245</v>
      </c>
      <c r="G848" t="s">
        <v>43</v>
      </c>
      <c r="H848">
        <v>2022</v>
      </c>
      <c r="I848" t="s">
        <v>60</v>
      </c>
      <c r="L848" t="s">
        <v>99</v>
      </c>
      <c r="AG848">
        <f t="shared" si="13"/>
        <v>1</v>
      </c>
      <c r="AH848">
        <f>'TABLA PREVIOS'!E848</f>
        <v>287</v>
      </c>
      <c r="AI848">
        <f>VLOOKUP(C848,ALUMNOS!A:B,2,FALSE)</f>
        <v>90</v>
      </c>
    </row>
    <row r="849" spans="1:35" x14ac:dyDescent="0.25">
      <c r="A849" t="s">
        <v>353</v>
      </c>
      <c r="C849">
        <v>46035103</v>
      </c>
      <c r="D849" t="s">
        <v>357</v>
      </c>
      <c r="E849" t="s">
        <v>34</v>
      </c>
      <c r="F849" t="s">
        <v>245</v>
      </c>
      <c r="G849" t="s">
        <v>43</v>
      </c>
      <c r="H849">
        <v>2022</v>
      </c>
      <c r="I849" t="s">
        <v>60</v>
      </c>
      <c r="L849" t="s">
        <v>99</v>
      </c>
      <c r="AG849">
        <f t="shared" si="13"/>
        <v>1</v>
      </c>
      <c r="AH849">
        <f>'TABLA PREVIOS'!E849</f>
        <v>286</v>
      </c>
      <c r="AI849">
        <f>VLOOKUP(C849,ALUMNOS!A:B,2,FALSE)</f>
        <v>90</v>
      </c>
    </row>
    <row r="850" spans="1:35" x14ac:dyDescent="0.25">
      <c r="A850" t="s">
        <v>353</v>
      </c>
      <c r="C850">
        <v>46035103</v>
      </c>
      <c r="D850" t="s">
        <v>357</v>
      </c>
      <c r="E850" t="s">
        <v>41</v>
      </c>
      <c r="F850" t="s">
        <v>245</v>
      </c>
      <c r="G850" t="s">
        <v>43</v>
      </c>
      <c r="H850">
        <v>2022</v>
      </c>
      <c r="I850" t="s">
        <v>60</v>
      </c>
      <c r="L850" t="s">
        <v>99</v>
      </c>
      <c r="AG850">
        <f t="shared" si="13"/>
        <v>1</v>
      </c>
      <c r="AH850">
        <f>'TABLA PREVIOS'!E850</f>
        <v>292</v>
      </c>
      <c r="AI850">
        <f>VLOOKUP(C850,ALUMNOS!A:B,2,FALSE)</f>
        <v>90</v>
      </c>
    </row>
    <row r="851" spans="1:35" x14ac:dyDescent="0.25">
      <c r="A851" t="s">
        <v>353</v>
      </c>
      <c r="C851">
        <v>46035103</v>
      </c>
      <c r="D851" t="s">
        <v>357</v>
      </c>
      <c r="E851" t="s">
        <v>11</v>
      </c>
      <c r="F851" t="s">
        <v>245</v>
      </c>
      <c r="G851" t="s">
        <v>43</v>
      </c>
      <c r="H851">
        <v>2022</v>
      </c>
      <c r="I851" t="s">
        <v>60</v>
      </c>
      <c r="L851" t="s">
        <v>99</v>
      </c>
      <c r="AG851">
        <f t="shared" si="13"/>
        <v>1</v>
      </c>
      <c r="AH851">
        <f>'TABLA PREVIOS'!E851</f>
        <v>279</v>
      </c>
      <c r="AI851">
        <f>VLOOKUP(C851,ALUMNOS!A:B,2,FALSE)</f>
        <v>90</v>
      </c>
    </row>
    <row r="852" spans="1:35" x14ac:dyDescent="0.25">
      <c r="A852" t="s">
        <v>353</v>
      </c>
      <c r="C852">
        <v>46035103</v>
      </c>
      <c r="D852" t="s">
        <v>357</v>
      </c>
      <c r="E852" t="s">
        <v>25</v>
      </c>
      <c r="F852" t="s">
        <v>245</v>
      </c>
      <c r="G852" t="s">
        <v>43</v>
      </c>
      <c r="H852">
        <v>2022</v>
      </c>
      <c r="I852" t="s">
        <v>60</v>
      </c>
      <c r="L852" t="s">
        <v>99</v>
      </c>
      <c r="AG852">
        <f t="shared" si="13"/>
        <v>1</v>
      </c>
      <c r="AH852">
        <f>'TABLA PREVIOS'!E852</f>
        <v>281</v>
      </c>
      <c r="AI852">
        <f>VLOOKUP(C852,ALUMNOS!A:B,2,FALSE)</f>
        <v>90</v>
      </c>
    </row>
    <row r="853" spans="1:35" x14ac:dyDescent="0.25">
      <c r="A853" t="s">
        <v>353</v>
      </c>
      <c r="C853">
        <v>46035103</v>
      </c>
      <c r="D853" t="s">
        <v>357</v>
      </c>
      <c r="E853" t="s">
        <v>39</v>
      </c>
      <c r="F853" t="s">
        <v>245</v>
      </c>
      <c r="G853" t="s">
        <v>43</v>
      </c>
      <c r="H853">
        <v>2022</v>
      </c>
      <c r="I853" t="s">
        <v>60</v>
      </c>
      <c r="L853" t="s">
        <v>99</v>
      </c>
      <c r="AG853">
        <f t="shared" si="13"/>
        <v>1</v>
      </c>
      <c r="AH853">
        <f>'TABLA PREVIOS'!E853</f>
        <v>288</v>
      </c>
      <c r="AI853">
        <f>VLOOKUP(C853,ALUMNOS!A:B,2,FALSE)</f>
        <v>90</v>
      </c>
    </row>
    <row r="854" spans="1:35" x14ac:dyDescent="0.25">
      <c r="A854" t="s">
        <v>353</v>
      </c>
      <c r="C854">
        <v>46035103</v>
      </c>
      <c r="D854" t="s">
        <v>357</v>
      </c>
      <c r="E854" t="s">
        <v>29</v>
      </c>
      <c r="F854" t="s">
        <v>245</v>
      </c>
      <c r="G854" t="s">
        <v>43</v>
      </c>
      <c r="H854">
        <v>2022</v>
      </c>
      <c r="I854" t="s">
        <v>60</v>
      </c>
      <c r="L854" t="s">
        <v>99</v>
      </c>
      <c r="AG854">
        <f t="shared" si="13"/>
        <v>1</v>
      </c>
      <c r="AH854">
        <f>'TABLA PREVIOS'!E854</f>
        <v>290</v>
      </c>
      <c r="AI854">
        <f>VLOOKUP(C854,ALUMNOS!A:B,2,FALSE)</f>
        <v>90</v>
      </c>
    </row>
    <row r="855" spans="1:35" x14ac:dyDescent="0.25">
      <c r="A855" t="s">
        <v>353</v>
      </c>
      <c r="C855">
        <v>45868257</v>
      </c>
      <c r="D855" t="s">
        <v>359</v>
      </c>
      <c r="E855" t="s">
        <v>30</v>
      </c>
      <c r="F855" t="s">
        <v>220</v>
      </c>
      <c r="G855" t="s">
        <v>43</v>
      </c>
      <c r="H855">
        <v>2021</v>
      </c>
      <c r="I855" t="s">
        <v>60</v>
      </c>
      <c r="L855" t="s">
        <v>99</v>
      </c>
      <c r="AG855">
        <f t="shared" si="13"/>
        <v>1</v>
      </c>
      <c r="AH855">
        <f>'TABLA PREVIOS'!E855</f>
        <v>274</v>
      </c>
      <c r="AI855">
        <f>VLOOKUP(C855,ALUMNOS!A:B,2,FALSE)</f>
        <v>128</v>
      </c>
    </row>
    <row r="856" spans="1:35" x14ac:dyDescent="0.25">
      <c r="A856" t="s">
        <v>353</v>
      </c>
      <c r="C856">
        <v>45868257</v>
      </c>
      <c r="D856" t="s">
        <v>359</v>
      </c>
      <c r="E856" t="s">
        <v>32</v>
      </c>
      <c r="F856" t="s">
        <v>220</v>
      </c>
      <c r="G856" t="s">
        <v>43</v>
      </c>
      <c r="H856">
        <v>2021</v>
      </c>
      <c r="I856" t="s">
        <v>60</v>
      </c>
      <c r="L856" t="s">
        <v>99</v>
      </c>
      <c r="AG856">
        <f t="shared" si="13"/>
        <v>1</v>
      </c>
      <c r="AH856">
        <f>'TABLA PREVIOS'!E856</f>
        <v>277</v>
      </c>
      <c r="AI856">
        <f>VLOOKUP(C856,ALUMNOS!A:B,2,FALSE)</f>
        <v>128</v>
      </c>
    </row>
    <row r="857" spans="1:35" x14ac:dyDescent="0.25">
      <c r="A857" t="s">
        <v>353</v>
      </c>
      <c r="C857">
        <v>45868257</v>
      </c>
      <c r="D857" t="s">
        <v>359</v>
      </c>
      <c r="E857" t="s">
        <v>35</v>
      </c>
      <c r="F857" t="s">
        <v>220</v>
      </c>
      <c r="G857" t="s">
        <v>43</v>
      </c>
      <c r="H857">
        <v>2021</v>
      </c>
      <c r="I857" t="s">
        <v>60</v>
      </c>
      <c r="L857" t="s">
        <v>99</v>
      </c>
      <c r="AG857">
        <f t="shared" si="13"/>
        <v>1</v>
      </c>
      <c r="AH857">
        <f>'TABLA PREVIOS'!E857</f>
        <v>276</v>
      </c>
      <c r="AI857">
        <f>VLOOKUP(C857,ALUMNOS!A:B,2,FALSE)</f>
        <v>128</v>
      </c>
    </row>
    <row r="858" spans="1:35" x14ac:dyDescent="0.25">
      <c r="A858" t="s">
        <v>353</v>
      </c>
      <c r="C858">
        <v>45868257</v>
      </c>
      <c r="D858" t="s">
        <v>359</v>
      </c>
      <c r="E858" t="s">
        <v>34</v>
      </c>
      <c r="F858" t="s">
        <v>220</v>
      </c>
      <c r="G858" t="s">
        <v>43</v>
      </c>
      <c r="H858">
        <v>2021</v>
      </c>
      <c r="I858" t="s">
        <v>60</v>
      </c>
      <c r="L858" t="s">
        <v>99</v>
      </c>
      <c r="AG858">
        <f t="shared" si="13"/>
        <v>1</v>
      </c>
      <c r="AH858">
        <f>'TABLA PREVIOS'!E858</f>
        <v>275</v>
      </c>
      <c r="AI858">
        <f>VLOOKUP(C858,ALUMNOS!A:B,2,FALSE)</f>
        <v>128</v>
      </c>
    </row>
    <row r="859" spans="1:35" x14ac:dyDescent="0.25">
      <c r="A859" t="s">
        <v>353</v>
      </c>
      <c r="C859">
        <v>45868257</v>
      </c>
      <c r="D859" t="s">
        <v>359</v>
      </c>
      <c r="E859" t="s">
        <v>29</v>
      </c>
      <c r="F859" t="s">
        <v>220</v>
      </c>
      <c r="G859" t="s">
        <v>43</v>
      </c>
      <c r="H859">
        <v>2021</v>
      </c>
      <c r="I859" t="s">
        <v>60</v>
      </c>
      <c r="L859" t="s">
        <v>99</v>
      </c>
      <c r="AG859">
        <f t="shared" si="13"/>
        <v>1</v>
      </c>
      <c r="AH859">
        <f>'TABLA PREVIOS'!E859</f>
        <v>273</v>
      </c>
      <c r="AI859">
        <f>VLOOKUP(C859,ALUMNOS!A:B,2,FALSE)</f>
        <v>128</v>
      </c>
    </row>
    <row r="860" spans="1:35" x14ac:dyDescent="0.25">
      <c r="A860" t="s">
        <v>353</v>
      </c>
      <c r="C860">
        <v>45868257</v>
      </c>
      <c r="D860" t="s">
        <v>359</v>
      </c>
      <c r="E860" t="s">
        <v>40</v>
      </c>
      <c r="F860" t="s">
        <v>245</v>
      </c>
      <c r="G860" t="s">
        <v>43</v>
      </c>
      <c r="H860">
        <v>2022</v>
      </c>
      <c r="I860" t="s">
        <v>60</v>
      </c>
      <c r="L860" t="s">
        <v>99</v>
      </c>
      <c r="AG860">
        <f t="shared" si="13"/>
        <v>1</v>
      </c>
      <c r="AH860">
        <f>'TABLA PREVIOS'!E860</f>
        <v>289</v>
      </c>
      <c r="AI860">
        <f>VLOOKUP(C860,ALUMNOS!A:B,2,FALSE)</f>
        <v>128</v>
      </c>
    </row>
    <row r="861" spans="1:35" x14ac:dyDescent="0.25">
      <c r="A861" t="s">
        <v>353</v>
      </c>
      <c r="C861">
        <v>45868257</v>
      </c>
      <c r="D861" t="s">
        <v>359</v>
      </c>
      <c r="E861" t="s">
        <v>41</v>
      </c>
      <c r="F861" t="s">
        <v>245</v>
      </c>
      <c r="G861" t="s">
        <v>43</v>
      </c>
      <c r="H861">
        <v>2022</v>
      </c>
      <c r="I861" t="s">
        <v>60</v>
      </c>
      <c r="L861" t="s">
        <v>99</v>
      </c>
      <c r="AG861">
        <f t="shared" si="13"/>
        <v>1</v>
      </c>
      <c r="AH861">
        <f>'TABLA PREVIOS'!E861</f>
        <v>292</v>
      </c>
      <c r="AI861">
        <f>VLOOKUP(C861,ALUMNOS!A:B,2,FALSE)</f>
        <v>128</v>
      </c>
    </row>
    <row r="862" spans="1:35" x14ac:dyDescent="0.25">
      <c r="A862" t="s">
        <v>353</v>
      </c>
      <c r="C862">
        <v>45868257</v>
      </c>
      <c r="D862" t="s">
        <v>359</v>
      </c>
      <c r="E862" t="s">
        <v>28</v>
      </c>
      <c r="F862" t="s">
        <v>245</v>
      </c>
      <c r="G862" t="s">
        <v>43</v>
      </c>
      <c r="H862">
        <v>2022</v>
      </c>
      <c r="I862" t="s">
        <v>60</v>
      </c>
      <c r="L862" t="s">
        <v>99</v>
      </c>
      <c r="AG862">
        <f t="shared" si="13"/>
        <v>1</v>
      </c>
      <c r="AH862">
        <f>'TABLA PREVIOS'!E862</f>
        <v>291</v>
      </c>
      <c r="AI862">
        <f>VLOOKUP(C862,ALUMNOS!A:B,2,FALSE)</f>
        <v>128</v>
      </c>
    </row>
    <row r="863" spans="1:35" x14ac:dyDescent="0.25">
      <c r="A863" t="s">
        <v>353</v>
      </c>
      <c r="C863">
        <v>45722960</v>
      </c>
      <c r="D863" t="s">
        <v>360</v>
      </c>
      <c r="E863" t="s">
        <v>27</v>
      </c>
      <c r="F863" t="s">
        <v>143</v>
      </c>
      <c r="G863" t="s">
        <v>43</v>
      </c>
      <c r="H863">
        <v>2019</v>
      </c>
      <c r="I863" t="s">
        <v>59</v>
      </c>
      <c r="K863" t="s">
        <v>4</v>
      </c>
      <c r="L863" t="s">
        <v>99</v>
      </c>
      <c r="AG863">
        <f t="shared" si="13"/>
        <v>1</v>
      </c>
      <c r="AH863">
        <f>'TABLA PREVIOS'!E863</f>
        <v>244</v>
      </c>
      <c r="AI863">
        <f>VLOOKUP(C863,ALUMNOS!A:B,2,FALSE)</f>
        <v>130</v>
      </c>
    </row>
    <row r="864" spans="1:35" x14ac:dyDescent="0.25">
      <c r="A864" t="s">
        <v>353</v>
      </c>
      <c r="C864">
        <v>45722960</v>
      </c>
      <c r="D864" t="s">
        <v>360</v>
      </c>
      <c r="E864" t="s">
        <v>12</v>
      </c>
      <c r="F864" t="s">
        <v>190</v>
      </c>
      <c r="G864" t="s">
        <v>43</v>
      </c>
      <c r="H864">
        <v>2020</v>
      </c>
      <c r="I864" t="s">
        <v>60</v>
      </c>
      <c r="L864" t="s">
        <v>99</v>
      </c>
      <c r="AG864">
        <f t="shared" si="13"/>
        <v>1</v>
      </c>
      <c r="AH864">
        <f>'TABLA PREVIOS'!E864</f>
        <v>252</v>
      </c>
      <c r="AI864">
        <f>VLOOKUP(C864,ALUMNOS!A:B,2,FALSE)</f>
        <v>130</v>
      </c>
    </row>
    <row r="865" spans="1:35" x14ac:dyDescent="0.25">
      <c r="A865" t="s">
        <v>353</v>
      </c>
      <c r="C865">
        <v>45722960</v>
      </c>
      <c r="D865" t="s">
        <v>360</v>
      </c>
      <c r="E865" t="s">
        <v>12</v>
      </c>
      <c r="F865" t="s">
        <v>220</v>
      </c>
      <c r="G865" t="s">
        <v>43</v>
      </c>
      <c r="H865">
        <v>2021</v>
      </c>
      <c r="I865" t="s">
        <v>60</v>
      </c>
      <c r="L865" t="s">
        <v>99</v>
      </c>
      <c r="AG865">
        <f t="shared" si="13"/>
        <v>1</v>
      </c>
      <c r="AH865">
        <f>'TABLA PREVIOS'!E865</f>
        <v>265</v>
      </c>
      <c r="AI865">
        <f>VLOOKUP(C865,ALUMNOS!A:B,2,FALSE)</f>
        <v>130</v>
      </c>
    </row>
    <row r="866" spans="1:35" x14ac:dyDescent="0.25">
      <c r="A866" t="s">
        <v>353</v>
      </c>
      <c r="C866">
        <v>45722960</v>
      </c>
      <c r="D866" t="s">
        <v>360</v>
      </c>
      <c r="E866" t="s">
        <v>30</v>
      </c>
      <c r="F866" t="s">
        <v>245</v>
      </c>
      <c r="G866" t="s">
        <v>43</v>
      </c>
      <c r="H866">
        <v>2022</v>
      </c>
      <c r="I866" t="s">
        <v>60</v>
      </c>
      <c r="L866" t="s">
        <v>99</v>
      </c>
      <c r="AG866">
        <f t="shared" si="13"/>
        <v>1</v>
      </c>
      <c r="AH866">
        <f>'TABLA PREVIOS'!E866</f>
        <v>285</v>
      </c>
      <c r="AI866">
        <f>VLOOKUP(C866,ALUMNOS!A:B,2,FALSE)</f>
        <v>130</v>
      </c>
    </row>
    <row r="867" spans="1:35" x14ac:dyDescent="0.25">
      <c r="A867" t="s">
        <v>353</v>
      </c>
      <c r="C867">
        <v>45722960</v>
      </c>
      <c r="D867" t="s">
        <v>360</v>
      </c>
      <c r="E867" t="s">
        <v>37</v>
      </c>
      <c r="F867" t="s">
        <v>245</v>
      </c>
      <c r="G867" t="s">
        <v>43</v>
      </c>
      <c r="H867">
        <v>2022</v>
      </c>
      <c r="I867" t="s">
        <v>60</v>
      </c>
      <c r="L867" t="s">
        <v>99</v>
      </c>
      <c r="AG867">
        <f t="shared" si="13"/>
        <v>1</v>
      </c>
      <c r="AH867">
        <f>'TABLA PREVIOS'!E867</f>
        <v>284</v>
      </c>
      <c r="AI867">
        <f>VLOOKUP(C867,ALUMNOS!A:B,2,FALSE)</f>
        <v>130</v>
      </c>
    </row>
    <row r="868" spans="1:35" x14ac:dyDescent="0.25">
      <c r="A868" t="s">
        <v>353</v>
      </c>
      <c r="C868">
        <v>45722960</v>
      </c>
      <c r="D868" t="s">
        <v>360</v>
      </c>
      <c r="E868" t="s">
        <v>38</v>
      </c>
      <c r="F868" t="s">
        <v>245</v>
      </c>
      <c r="G868" t="s">
        <v>43</v>
      </c>
      <c r="H868">
        <v>2022</v>
      </c>
      <c r="I868" t="s">
        <v>60</v>
      </c>
      <c r="L868" t="s">
        <v>99</v>
      </c>
      <c r="AG868">
        <f t="shared" si="13"/>
        <v>1</v>
      </c>
      <c r="AH868">
        <f>'TABLA PREVIOS'!E868</f>
        <v>287</v>
      </c>
      <c r="AI868">
        <f>VLOOKUP(C868,ALUMNOS!A:B,2,FALSE)</f>
        <v>130</v>
      </c>
    </row>
    <row r="869" spans="1:35" x14ac:dyDescent="0.25">
      <c r="A869" t="s">
        <v>353</v>
      </c>
      <c r="C869">
        <v>45722960</v>
      </c>
      <c r="D869" t="s">
        <v>360</v>
      </c>
      <c r="E869" t="s">
        <v>34</v>
      </c>
      <c r="F869" t="s">
        <v>245</v>
      </c>
      <c r="G869" t="s">
        <v>43</v>
      </c>
      <c r="H869">
        <v>2022</v>
      </c>
      <c r="I869" t="s">
        <v>60</v>
      </c>
      <c r="L869" t="s">
        <v>99</v>
      </c>
      <c r="AG869">
        <f t="shared" si="13"/>
        <v>1</v>
      </c>
      <c r="AH869">
        <f>'TABLA PREVIOS'!E869</f>
        <v>286</v>
      </c>
      <c r="AI869">
        <f>VLOOKUP(C869,ALUMNOS!A:B,2,FALSE)</f>
        <v>130</v>
      </c>
    </row>
    <row r="870" spans="1:35" x14ac:dyDescent="0.25">
      <c r="A870" t="s">
        <v>353</v>
      </c>
      <c r="C870">
        <v>45722960</v>
      </c>
      <c r="D870" t="s">
        <v>360</v>
      </c>
      <c r="E870" t="s">
        <v>36</v>
      </c>
      <c r="F870" t="s">
        <v>245</v>
      </c>
      <c r="G870" t="s">
        <v>43</v>
      </c>
      <c r="H870">
        <v>2022</v>
      </c>
      <c r="I870" t="s">
        <v>60</v>
      </c>
      <c r="L870" t="s">
        <v>99</v>
      </c>
      <c r="AG870">
        <f t="shared" si="13"/>
        <v>1</v>
      </c>
      <c r="AH870">
        <f>'TABLA PREVIOS'!E870</f>
        <v>283</v>
      </c>
      <c r="AI870">
        <f>VLOOKUP(C870,ALUMNOS!A:B,2,FALSE)</f>
        <v>130</v>
      </c>
    </row>
    <row r="871" spans="1:35" x14ac:dyDescent="0.25">
      <c r="A871" t="s">
        <v>353</v>
      </c>
      <c r="C871">
        <v>45722960</v>
      </c>
      <c r="D871" t="s">
        <v>360</v>
      </c>
      <c r="E871" t="s">
        <v>10</v>
      </c>
      <c r="F871" t="s">
        <v>245</v>
      </c>
      <c r="G871" t="s">
        <v>43</v>
      </c>
      <c r="H871">
        <v>2022</v>
      </c>
      <c r="I871" t="s">
        <v>60</v>
      </c>
      <c r="L871" t="s">
        <v>99</v>
      </c>
      <c r="AG871">
        <f t="shared" si="13"/>
        <v>1</v>
      </c>
      <c r="AH871">
        <f>'TABLA PREVIOS'!E871</f>
        <v>278</v>
      </c>
      <c r="AI871">
        <f>VLOOKUP(C871,ALUMNOS!A:B,2,FALSE)</f>
        <v>130</v>
      </c>
    </row>
    <row r="872" spans="1:35" x14ac:dyDescent="0.25">
      <c r="A872" t="s">
        <v>353</v>
      </c>
      <c r="C872">
        <v>45722960</v>
      </c>
      <c r="D872" t="s">
        <v>360</v>
      </c>
      <c r="E872" t="s">
        <v>41</v>
      </c>
      <c r="F872" t="s">
        <v>245</v>
      </c>
      <c r="G872" t="s">
        <v>43</v>
      </c>
      <c r="H872">
        <v>2022</v>
      </c>
      <c r="I872" t="s">
        <v>60</v>
      </c>
      <c r="L872" t="s">
        <v>99</v>
      </c>
      <c r="AG872">
        <f t="shared" si="13"/>
        <v>1</v>
      </c>
      <c r="AH872">
        <f>'TABLA PREVIOS'!E872</f>
        <v>292</v>
      </c>
      <c r="AI872">
        <f>VLOOKUP(C872,ALUMNOS!A:B,2,FALSE)</f>
        <v>130</v>
      </c>
    </row>
    <row r="873" spans="1:35" x14ac:dyDescent="0.25">
      <c r="A873" t="s">
        <v>353</v>
      </c>
      <c r="C873">
        <v>45722960</v>
      </c>
      <c r="D873" t="s">
        <v>360</v>
      </c>
      <c r="E873" t="s">
        <v>28</v>
      </c>
      <c r="F873" t="s">
        <v>245</v>
      </c>
      <c r="G873" t="s">
        <v>43</v>
      </c>
      <c r="H873">
        <v>2022</v>
      </c>
      <c r="I873" t="s">
        <v>60</v>
      </c>
      <c r="L873" t="s">
        <v>99</v>
      </c>
      <c r="AG873">
        <f t="shared" si="13"/>
        <v>1</v>
      </c>
      <c r="AH873">
        <f>'TABLA PREVIOS'!E873</f>
        <v>291</v>
      </c>
      <c r="AI873">
        <f>VLOOKUP(C873,ALUMNOS!A:B,2,FALSE)</f>
        <v>130</v>
      </c>
    </row>
    <row r="874" spans="1:35" x14ac:dyDescent="0.25">
      <c r="A874" t="s">
        <v>353</v>
      </c>
      <c r="C874">
        <v>45722960</v>
      </c>
      <c r="D874" t="s">
        <v>360</v>
      </c>
      <c r="E874" t="s">
        <v>16</v>
      </c>
      <c r="F874" t="s">
        <v>245</v>
      </c>
      <c r="G874" t="s">
        <v>43</v>
      </c>
      <c r="H874">
        <v>2022</v>
      </c>
      <c r="I874" t="s">
        <v>60</v>
      </c>
      <c r="L874" t="s">
        <v>99</v>
      </c>
      <c r="AG874">
        <f t="shared" si="13"/>
        <v>1</v>
      </c>
      <c r="AH874">
        <f>'TABLA PREVIOS'!E874</f>
        <v>282</v>
      </c>
      <c r="AI874">
        <f>VLOOKUP(C874,ALUMNOS!A:B,2,FALSE)</f>
        <v>130</v>
      </c>
    </row>
    <row r="875" spans="1:35" x14ac:dyDescent="0.25">
      <c r="A875" t="s">
        <v>353</v>
      </c>
      <c r="C875">
        <v>45722960</v>
      </c>
      <c r="D875" t="s">
        <v>360</v>
      </c>
      <c r="E875" t="s">
        <v>11</v>
      </c>
      <c r="F875" t="s">
        <v>245</v>
      </c>
      <c r="G875" t="s">
        <v>43</v>
      </c>
      <c r="H875">
        <v>2022</v>
      </c>
      <c r="I875" t="s">
        <v>60</v>
      </c>
      <c r="L875" t="s">
        <v>99</v>
      </c>
      <c r="AG875">
        <f t="shared" si="13"/>
        <v>1</v>
      </c>
      <c r="AH875">
        <f>'TABLA PREVIOS'!E875</f>
        <v>279</v>
      </c>
      <c r="AI875">
        <f>VLOOKUP(C875,ALUMNOS!A:B,2,FALSE)</f>
        <v>130</v>
      </c>
    </row>
    <row r="876" spans="1:35" x14ac:dyDescent="0.25">
      <c r="A876" t="s">
        <v>353</v>
      </c>
      <c r="C876">
        <v>45722960</v>
      </c>
      <c r="D876" t="s">
        <v>360</v>
      </c>
      <c r="E876" t="s">
        <v>12</v>
      </c>
      <c r="F876" t="s">
        <v>245</v>
      </c>
      <c r="G876" t="s">
        <v>43</v>
      </c>
      <c r="H876">
        <v>2022</v>
      </c>
      <c r="I876" t="s">
        <v>60</v>
      </c>
      <c r="L876" t="s">
        <v>99</v>
      </c>
      <c r="AG876">
        <f t="shared" si="13"/>
        <v>1</v>
      </c>
      <c r="AH876">
        <f>'TABLA PREVIOS'!E876</f>
        <v>280</v>
      </c>
      <c r="AI876">
        <f>VLOOKUP(C876,ALUMNOS!A:B,2,FALSE)</f>
        <v>130</v>
      </c>
    </row>
    <row r="877" spans="1:35" x14ac:dyDescent="0.25">
      <c r="A877" t="s">
        <v>353</v>
      </c>
      <c r="C877">
        <v>45722960</v>
      </c>
      <c r="D877" t="s">
        <v>360</v>
      </c>
      <c r="E877" t="s">
        <v>25</v>
      </c>
      <c r="F877" t="s">
        <v>245</v>
      </c>
      <c r="G877" t="s">
        <v>43</v>
      </c>
      <c r="H877">
        <v>2022</v>
      </c>
      <c r="I877" t="s">
        <v>60</v>
      </c>
      <c r="L877" t="s">
        <v>99</v>
      </c>
      <c r="AG877">
        <f t="shared" si="13"/>
        <v>1</v>
      </c>
      <c r="AH877">
        <f>'TABLA PREVIOS'!E877</f>
        <v>281</v>
      </c>
      <c r="AI877">
        <f>VLOOKUP(C877,ALUMNOS!A:B,2,FALSE)</f>
        <v>130</v>
      </c>
    </row>
    <row r="878" spans="1:35" x14ac:dyDescent="0.25">
      <c r="A878" t="s">
        <v>353</v>
      </c>
      <c r="C878">
        <v>45722960</v>
      </c>
      <c r="D878" t="s">
        <v>360</v>
      </c>
      <c r="E878" t="s">
        <v>39</v>
      </c>
      <c r="F878" t="s">
        <v>245</v>
      </c>
      <c r="G878" t="s">
        <v>43</v>
      </c>
      <c r="H878">
        <v>2022</v>
      </c>
      <c r="I878" t="s">
        <v>60</v>
      </c>
      <c r="L878" t="s">
        <v>99</v>
      </c>
      <c r="AG878">
        <f t="shared" si="13"/>
        <v>1</v>
      </c>
      <c r="AH878">
        <f>'TABLA PREVIOS'!E878</f>
        <v>288</v>
      </c>
      <c r="AI878">
        <f>VLOOKUP(C878,ALUMNOS!A:B,2,FALSE)</f>
        <v>130</v>
      </c>
    </row>
    <row r="879" spans="1:35" x14ac:dyDescent="0.25">
      <c r="A879" t="s">
        <v>353</v>
      </c>
      <c r="C879">
        <v>45722960</v>
      </c>
      <c r="D879" t="s">
        <v>360</v>
      </c>
      <c r="E879" t="s">
        <v>29</v>
      </c>
      <c r="F879" t="s">
        <v>245</v>
      </c>
      <c r="G879" t="s">
        <v>43</v>
      </c>
      <c r="H879">
        <v>2022</v>
      </c>
      <c r="I879" t="s">
        <v>60</v>
      </c>
      <c r="L879" t="s">
        <v>99</v>
      </c>
      <c r="AG879">
        <f t="shared" si="13"/>
        <v>1</v>
      </c>
      <c r="AH879">
        <f>'TABLA PREVIOS'!E879</f>
        <v>290</v>
      </c>
      <c r="AI879">
        <f>VLOOKUP(C879,ALUMNOS!A:B,2,FALSE)</f>
        <v>130</v>
      </c>
    </row>
    <row r="880" spans="1:35" x14ac:dyDescent="0.25">
      <c r="A880" t="s">
        <v>353</v>
      </c>
      <c r="C880">
        <v>46035178</v>
      </c>
      <c r="D880" t="s">
        <v>361</v>
      </c>
      <c r="E880" t="s">
        <v>11</v>
      </c>
      <c r="F880" t="s">
        <v>190</v>
      </c>
      <c r="G880" t="s">
        <v>43</v>
      </c>
      <c r="H880">
        <v>2020</v>
      </c>
      <c r="I880" t="s">
        <v>60</v>
      </c>
      <c r="L880" t="s">
        <v>99</v>
      </c>
      <c r="AG880">
        <f t="shared" si="13"/>
        <v>1</v>
      </c>
      <c r="AH880">
        <f>'TABLA PREVIOS'!E880</f>
        <v>251</v>
      </c>
      <c r="AI880">
        <f>VLOOKUP(C880,ALUMNOS!A:B,2,FALSE)</f>
        <v>144</v>
      </c>
    </row>
    <row r="881" spans="1:35" x14ac:dyDescent="0.25">
      <c r="A881" t="s">
        <v>353</v>
      </c>
      <c r="C881">
        <v>46342180</v>
      </c>
      <c r="D881" t="s">
        <v>362</v>
      </c>
      <c r="E881" t="s">
        <v>12</v>
      </c>
      <c r="F881" t="s">
        <v>220</v>
      </c>
      <c r="G881" t="s">
        <v>43</v>
      </c>
      <c r="H881">
        <v>2021</v>
      </c>
      <c r="I881" t="s">
        <v>60</v>
      </c>
      <c r="J881" t="s">
        <v>363</v>
      </c>
      <c r="L881" t="s">
        <v>99</v>
      </c>
      <c r="AG881">
        <f t="shared" si="13"/>
        <v>1</v>
      </c>
      <c r="AH881">
        <f>'TABLA PREVIOS'!E881</f>
        <v>265</v>
      </c>
      <c r="AI881">
        <f>VLOOKUP(C881,ALUMNOS!A:B,2,FALSE)</f>
        <v>229</v>
      </c>
    </row>
    <row r="882" spans="1:35" x14ac:dyDescent="0.25">
      <c r="A882" t="s">
        <v>353</v>
      </c>
      <c r="C882">
        <v>46342180</v>
      </c>
      <c r="D882" t="s">
        <v>362</v>
      </c>
      <c r="E882" t="s">
        <v>29</v>
      </c>
      <c r="F882" t="s">
        <v>220</v>
      </c>
      <c r="G882" t="s">
        <v>43</v>
      </c>
      <c r="H882">
        <v>2021</v>
      </c>
      <c r="I882" t="s">
        <v>60</v>
      </c>
      <c r="J882" t="s">
        <v>363</v>
      </c>
      <c r="L882" t="s">
        <v>99</v>
      </c>
      <c r="AG882">
        <f t="shared" si="13"/>
        <v>1</v>
      </c>
      <c r="AH882">
        <f>'TABLA PREVIOS'!E882</f>
        <v>273</v>
      </c>
      <c r="AI882">
        <f>VLOOKUP(C882,ALUMNOS!A:B,2,FALSE)</f>
        <v>229</v>
      </c>
    </row>
    <row r="883" spans="1:35" x14ac:dyDescent="0.25">
      <c r="A883" t="s">
        <v>353</v>
      </c>
      <c r="C883">
        <v>46342180</v>
      </c>
      <c r="D883" t="s">
        <v>362</v>
      </c>
      <c r="E883" t="s">
        <v>37</v>
      </c>
      <c r="F883" t="s">
        <v>245</v>
      </c>
      <c r="G883" t="s">
        <v>43</v>
      </c>
      <c r="H883">
        <v>2022</v>
      </c>
      <c r="I883" t="s">
        <v>60</v>
      </c>
      <c r="L883" t="s">
        <v>99</v>
      </c>
      <c r="AG883">
        <f t="shared" si="13"/>
        <v>1</v>
      </c>
      <c r="AH883">
        <f>'TABLA PREVIOS'!E883</f>
        <v>284</v>
      </c>
      <c r="AI883">
        <f>VLOOKUP(C883,ALUMNOS!A:B,2,FALSE)</f>
        <v>229</v>
      </c>
    </row>
    <row r="884" spans="1:35" x14ac:dyDescent="0.25">
      <c r="A884" t="s">
        <v>353</v>
      </c>
      <c r="C884">
        <v>46342180</v>
      </c>
      <c r="D884" t="s">
        <v>362</v>
      </c>
      <c r="E884" t="s">
        <v>34</v>
      </c>
      <c r="F884" t="s">
        <v>245</v>
      </c>
      <c r="G884" t="s">
        <v>43</v>
      </c>
      <c r="H884">
        <v>2022</v>
      </c>
      <c r="I884" t="s">
        <v>60</v>
      </c>
      <c r="L884" t="s">
        <v>99</v>
      </c>
      <c r="AG884">
        <f t="shared" si="13"/>
        <v>1</v>
      </c>
      <c r="AH884">
        <f>'TABLA PREVIOS'!E884</f>
        <v>286</v>
      </c>
      <c r="AI884">
        <f>VLOOKUP(C884,ALUMNOS!A:B,2,FALSE)</f>
        <v>229</v>
      </c>
    </row>
    <row r="885" spans="1:35" x14ac:dyDescent="0.25">
      <c r="A885" t="s">
        <v>353</v>
      </c>
      <c r="C885">
        <v>46342180</v>
      </c>
      <c r="D885" t="s">
        <v>362</v>
      </c>
      <c r="E885" t="s">
        <v>41</v>
      </c>
      <c r="F885" t="s">
        <v>245</v>
      </c>
      <c r="G885" t="s">
        <v>43</v>
      </c>
      <c r="H885">
        <v>2022</v>
      </c>
      <c r="I885" t="s">
        <v>60</v>
      </c>
      <c r="L885" t="s">
        <v>99</v>
      </c>
      <c r="AG885">
        <f t="shared" si="13"/>
        <v>1</v>
      </c>
      <c r="AH885">
        <f>'TABLA PREVIOS'!E885</f>
        <v>292</v>
      </c>
      <c r="AI885">
        <f>VLOOKUP(C885,ALUMNOS!A:B,2,FALSE)</f>
        <v>229</v>
      </c>
    </row>
    <row r="886" spans="1:35" x14ac:dyDescent="0.25">
      <c r="A886" t="s">
        <v>353</v>
      </c>
      <c r="C886">
        <v>46342180</v>
      </c>
      <c r="D886" t="s">
        <v>362</v>
      </c>
      <c r="E886" t="s">
        <v>12</v>
      </c>
      <c r="F886" t="s">
        <v>245</v>
      </c>
      <c r="G886" t="s">
        <v>43</v>
      </c>
      <c r="H886">
        <v>2022</v>
      </c>
      <c r="I886" t="s">
        <v>60</v>
      </c>
      <c r="L886" t="s">
        <v>99</v>
      </c>
      <c r="AG886">
        <f t="shared" si="13"/>
        <v>1</v>
      </c>
      <c r="AH886">
        <f>'TABLA PREVIOS'!E886</f>
        <v>280</v>
      </c>
      <c r="AI886">
        <f>VLOOKUP(C886,ALUMNOS!A:B,2,FALSE)</f>
        <v>229</v>
      </c>
    </row>
    <row r="887" spans="1:35" x14ac:dyDescent="0.25">
      <c r="A887" t="s">
        <v>353</v>
      </c>
      <c r="C887">
        <v>46342180</v>
      </c>
      <c r="D887" t="s">
        <v>362</v>
      </c>
      <c r="E887" t="s">
        <v>39</v>
      </c>
      <c r="F887" t="s">
        <v>245</v>
      </c>
      <c r="G887" t="s">
        <v>43</v>
      </c>
      <c r="H887">
        <v>2022</v>
      </c>
      <c r="I887" t="s">
        <v>60</v>
      </c>
      <c r="L887" t="s">
        <v>99</v>
      </c>
      <c r="AG887">
        <f t="shared" si="13"/>
        <v>1</v>
      </c>
      <c r="AH887">
        <f>'TABLA PREVIOS'!E887</f>
        <v>288</v>
      </c>
      <c r="AI887">
        <f>VLOOKUP(C887,ALUMNOS!A:B,2,FALSE)</f>
        <v>229</v>
      </c>
    </row>
    <row r="888" spans="1:35" x14ac:dyDescent="0.25">
      <c r="A888" t="s">
        <v>353</v>
      </c>
      <c r="C888">
        <v>46342180</v>
      </c>
      <c r="D888" t="s">
        <v>362</v>
      </c>
      <c r="E888" t="s">
        <v>29</v>
      </c>
      <c r="F888" t="s">
        <v>245</v>
      </c>
      <c r="G888" t="s">
        <v>43</v>
      </c>
      <c r="H888">
        <v>2022</v>
      </c>
      <c r="I888" t="s">
        <v>60</v>
      </c>
      <c r="L888" t="s">
        <v>99</v>
      </c>
      <c r="AG888">
        <f t="shared" si="13"/>
        <v>1</v>
      </c>
      <c r="AH888">
        <f>'TABLA PREVIOS'!E888</f>
        <v>290</v>
      </c>
      <c r="AI888">
        <f>VLOOKUP(C888,ALUMNOS!A:B,2,FALSE)</f>
        <v>229</v>
      </c>
    </row>
    <row r="889" spans="1:35" x14ac:dyDescent="0.25">
      <c r="A889" t="s">
        <v>353</v>
      </c>
      <c r="C889">
        <v>46035118</v>
      </c>
      <c r="D889" t="s">
        <v>364</v>
      </c>
      <c r="E889" t="s">
        <v>31</v>
      </c>
      <c r="F889" t="s">
        <v>190</v>
      </c>
      <c r="G889" t="s">
        <v>43</v>
      </c>
      <c r="H889">
        <v>2020</v>
      </c>
      <c r="I889" t="s">
        <v>60</v>
      </c>
      <c r="L889" t="s">
        <v>99</v>
      </c>
      <c r="AG889">
        <f t="shared" si="13"/>
        <v>1</v>
      </c>
      <c r="AH889">
        <f>'TABLA PREVIOS'!E889</f>
        <v>261</v>
      </c>
      <c r="AI889">
        <f>VLOOKUP(C889,ALUMNOS!A:B,2,FALSE)</f>
        <v>274</v>
      </c>
    </row>
    <row r="890" spans="1:35" x14ac:dyDescent="0.25">
      <c r="A890" t="s">
        <v>353</v>
      </c>
      <c r="C890">
        <v>46035118</v>
      </c>
      <c r="D890" t="s">
        <v>364</v>
      </c>
      <c r="E890" t="s">
        <v>29</v>
      </c>
      <c r="F890" t="s">
        <v>190</v>
      </c>
      <c r="G890" t="s">
        <v>43</v>
      </c>
      <c r="H890">
        <v>2020</v>
      </c>
      <c r="I890" t="s">
        <v>60</v>
      </c>
      <c r="K890" t="s">
        <v>365</v>
      </c>
      <c r="L890" t="s">
        <v>99</v>
      </c>
      <c r="AG890">
        <f t="shared" si="13"/>
        <v>1</v>
      </c>
      <c r="AH890">
        <f>'TABLA PREVIOS'!E890</f>
        <v>259</v>
      </c>
      <c r="AI890">
        <f>VLOOKUP(C890,ALUMNOS!A:B,2,FALSE)</f>
        <v>274</v>
      </c>
    </row>
    <row r="891" spans="1:35" x14ac:dyDescent="0.25">
      <c r="A891" t="s">
        <v>353</v>
      </c>
      <c r="C891">
        <v>46035118</v>
      </c>
      <c r="D891" t="s">
        <v>364</v>
      </c>
      <c r="E891" t="s">
        <v>12</v>
      </c>
      <c r="F891" t="s">
        <v>220</v>
      </c>
      <c r="G891" t="s">
        <v>43</v>
      </c>
      <c r="H891">
        <v>2021</v>
      </c>
      <c r="I891" t="s">
        <v>60</v>
      </c>
      <c r="L891" t="s">
        <v>99</v>
      </c>
      <c r="AG891">
        <f t="shared" si="13"/>
        <v>1</v>
      </c>
      <c r="AH891">
        <f>'TABLA PREVIOS'!E891</f>
        <v>265</v>
      </c>
      <c r="AI891">
        <f>VLOOKUP(C891,ALUMNOS!A:B,2,FALSE)</f>
        <v>274</v>
      </c>
    </row>
    <row r="892" spans="1:35" x14ac:dyDescent="0.25">
      <c r="A892" t="s">
        <v>353</v>
      </c>
      <c r="C892">
        <v>46035118</v>
      </c>
      <c r="D892" t="s">
        <v>364</v>
      </c>
      <c r="E892" t="s">
        <v>16</v>
      </c>
      <c r="F892" t="s">
        <v>245</v>
      </c>
      <c r="G892" t="s">
        <v>43</v>
      </c>
      <c r="H892">
        <v>2022</v>
      </c>
      <c r="I892" t="s">
        <v>60</v>
      </c>
      <c r="L892" t="s">
        <v>99</v>
      </c>
      <c r="AG892">
        <f t="shared" si="13"/>
        <v>1</v>
      </c>
      <c r="AH892">
        <f>'TABLA PREVIOS'!E892</f>
        <v>282</v>
      </c>
      <c r="AI892">
        <f>VLOOKUP(C892,ALUMNOS!A:B,2,FALSE)</f>
        <v>274</v>
      </c>
    </row>
    <row r="893" spans="1:35" x14ac:dyDescent="0.25">
      <c r="A893" t="s">
        <v>353</v>
      </c>
      <c r="C893">
        <v>46035108</v>
      </c>
      <c r="D893" t="s">
        <v>366</v>
      </c>
      <c r="E893" t="s">
        <v>16</v>
      </c>
      <c r="F893" t="s">
        <v>220</v>
      </c>
      <c r="G893" t="s">
        <v>43</v>
      </c>
      <c r="H893">
        <v>2021</v>
      </c>
      <c r="I893" t="s">
        <v>60</v>
      </c>
      <c r="L893" t="s">
        <v>99</v>
      </c>
      <c r="AG893">
        <f t="shared" si="13"/>
        <v>1</v>
      </c>
      <c r="AH893">
        <f>'TABLA PREVIOS'!E893</f>
        <v>269</v>
      </c>
      <c r="AI893">
        <f>VLOOKUP(C893,ALUMNOS!A:B,2,FALSE)</f>
        <v>394</v>
      </c>
    </row>
    <row r="894" spans="1:35" x14ac:dyDescent="0.25">
      <c r="A894" t="s">
        <v>353</v>
      </c>
      <c r="C894">
        <v>46035108</v>
      </c>
      <c r="D894" t="s">
        <v>366</v>
      </c>
      <c r="E894" t="s">
        <v>12</v>
      </c>
      <c r="F894" t="s">
        <v>220</v>
      </c>
      <c r="G894" t="s">
        <v>43</v>
      </c>
      <c r="H894">
        <v>2021</v>
      </c>
      <c r="I894" t="s">
        <v>60</v>
      </c>
      <c r="L894" t="s">
        <v>99</v>
      </c>
      <c r="AG894">
        <f t="shared" si="13"/>
        <v>1</v>
      </c>
      <c r="AH894">
        <f>'TABLA PREVIOS'!E894</f>
        <v>265</v>
      </c>
      <c r="AI894">
        <f>VLOOKUP(C894,ALUMNOS!A:B,2,FALSE)</f>
        <v>394</v>
      </c>
    </row>
    <row r="895" spans="1:35" x14ac:dyDescent="0.25">
      <c r="A895" t="s">
        <v>353</v>
      </c>
      <c r="C895">
        <v>46035108</v>
      </c>
      <c r="D895" t="s">
        <v>366</v>
      </c>
      <c r="E895" t="s">
        <v>16</v>
      </c>
      <c r="F895" t="s">
        <v>245</v>
      </c>
      <c r="G895" t="s">
        <v>43</v>
      </c>
      <c r="H895">
        <v>2022</v>
      </c>
      <c r="I895" t="s">
        <v>60</v>
      </c>
      <c r="L895" t="s">
        <v>99</v>
      </c>
      <c r="AG895">
        <f t="shared" si="13"/>
        <v>1</v>
      </c>
      <c r="AH895">
        <f>'TABLA PREVIOS'!E895</f>
        <v>282</v>
      </c>
      <c r="AI895">
        <f>VLOOKUP(C895,ALUMNOS!A:B,2,FALSE)</f>
        <v>394</v>
      </c>
    </row>
    <row r="896" spans="1:35" x14ac:dyDescent="0.25">
      <c r="A896" t="s">
        <v>353</v>
      </c>
      <c r="C896">
        <v>46035108</v>
      </c>
      <c r="D896" t="s">
        <v>366</v>
      </c>
      <c r="E896" t="s">
        <v>29</v>
      </c>
      <c r="F896" t="s">
        <v>245</v>
      </c>
      <c r="G896" t="s">
        <v>43</v>
      </c>
      <c r="H896">
        <v>2022</v>
      </c>
      <c r="I896" t="s">
        <v>60</v>
      </c>
      <c r="L896" t="s">
        <v>99</v>
      </c>
      <c r="AG896">
        <f t="shared" si="13"/>
        <v>1</v>
      </c>
      <c r="AH896">
        <f>'TABLA PREVIOS'!E896</f>
        <v>290</v>
      </c>
      <c r="AI896">
        <f>VLOOKUP(C896,ALUMNOS!A:B,2,FALSE)</f>
        <v>394</v>
      </c>
    </row>
    <row r="897" spans="1:35" x14ac:dyDescent="0.25">
      <c r="A897" t="s">
        <v>353</v>
      </c>
      <c r="C897">
        <v>46435175</v>
      </c>
      <c r="D897" t="s">
        <v>367</v>
      </c>
      <c r="E897" t="s">
        <v>29</v>
      </c>
      <c r="F897" t="s">
        <v>190</v>
      </c>
      <c r="G897" t="s">
        <v>43</v>
      </c>
      <c r="H897">
        <v>2020</v>
      </c>
      <c r="I897" t="s">
        <v>60</v>
      </c>
      <c r="L897" t="s">
        <v>99</v>
      </c>
      <c r="AG897">
        <f t="shared" si="13"/>
        <v>1</v>
      </c>
      <c r="AH897">
        <f>'TABLA PREVIOS'!E897</f>
        <v>259</v>
      </c>
      <c r="AI897">
        <f>VLOOKUP(C897,ALUMNOS!A:B,2,FALSE)</f>
        <v>417</v>
      </c>
    </row>
    <row r="898" spans="1:35" x14ac:dyDescent="0.25">
      <c r="A898" t="s">
        <v>353</v>
      </c>
      <c r="C898">
        <v>46435175</v>
      </c>
      <c r="D898" t="s">
        <v>367</v>
      </c>
      <c r="E898" t="s">
        <v>30</v>
      </c>
      <c r="F898" t="s">
        <v>220</v>
      </c>
      <c r="G898" t="s">
        <v>43</v>
      </c>
      <c r="H898">
        <v>2021</v>
      </c>
      <c r="I898" t="s">
        <v>60</v>
      </c>
      <c r="L898" t="s">
        <v>99</v>
      </c>
      <c r="AG898">
        <f t="shared" si="13"/>
        <v>1</v>
      </c>
      <c r="AH898">
        <f>'TABLA PREVIOS'!E898</f>
        <v>274</v>
      </c>
      <c r="AI898">
        <f>VLOOKUP(C898,ALUMNOS!A:B,2,FALSE)</f>
        <v>417</v>
      </c>
    </row>
    <row r="899" spans="1:35" x14ac:dyDescent="0.25">
      <c r="A899" t="s">
        <v>353</v>
      </c>
      <c r="C899">
        <v>46435175</v>
      </c>
      <c r="D899" t="s">
        <v>367</v>
      </c>
      <c r="E899" t="s">
        <v>32</v>
      </c>
      <c r="F899" t="s">
        <v>220</v>
      </c>
      <c r="G899" t="s">
        <v>43</v>
      </c>
      <c r="H899">
        <v>2021</v>
      </c>
      <c r="I899" t="s">
        <v>60</v>
      </c>
      <c r="L899" t="s">
        <v>99</v>
      </c>
      <c r="AG899">
        <f t="shared" ref="AG899:AG962" si="14">IF(VALUE(MAX(N899,R899,V899,Z899,AC899,))&gt;=7,VALUE(MAX(N899,R899,V899,Z899,AC899,)),1)</f>
        <v>1</v>
      </c>
      <c r="AH899">
        <f>'TABLA PREVIOS'!E899</f>
        <v>277</v>
      </c>
      <c r="AI899">
        <f>VLOOKUP(C899,ALUMNOS!A:B,2,FALSE)</f>
        <v>417</v>
      </c>
    </row>
    <row r="900" spans="1:35" x14ac:dyDescent="0.25">
      <c r="A900" t="s">
        <v>353</v>
      </c>
      <c r="C900">
        <v>46435175</v>
      </c>
      <c r="D900" t="s">
        <v>367</v>
      </c>
      <c r="E900" t="s">
        <v>35</v>
      </c>
      <c r="F900" t="s">
        <v>220</v>
      </c>
      <c r="G900" t="s">
        <v>43</v>
      </c>
      <c r="H900">
        <v>2021</v>
      </c>
      <c r="I900" t="s">
        <v>60</v>
      </c>
      <c r="L900" t="s">
        <v>99</v>
      </c>
      <c r="AG900">
        <f t="shared" si="14"/>
        <v>1</v>
      </c>
      <c r="AH900">
        <f>'TABLA PREVIOS'!E900</f>
        <v>276</v>
      </c>
      <c r="AI900">
        <f>VLOOKUP(C900,ALUMNOS!A:B,2,FALSE)</f>
        <v>417</v>
      </c>
    </row>
    <row r="901" spans="1:35" x14ac:dyDescent="0.25">
      <c r="A901" t="s">
        <v>353</v>
      </c>
      <c r="C901">
        <v>46435175</v>
      </c>
      <c r="D901" t="s">
        <v>367</v>
      </c>
      <c r="E901" t="s">
        <v>34</v>
      </c>
      <c r="F901" t="s">
        <v>220</v>
      </c>
      <c r="G901" t="s">
        <v>43</v>
      </c>
      <c r="H901">
        <v>2021</v>
      </c>
      <c r="I901" t="s">
        <v>60</v>
      </c>
      <c r="L901" t="s">
        <v>99</v>
      </c>
      <c r="AG901">
        <f t="shared" si="14"/>
        <v>1</v>
      </c>
      <c r="AH901">
        <f>'TABLA PREVIOS'!E901</f>
        <v>275</v>
      </c>
      <c r="AI901">
        <f>VLOOKUP(C901,ALUMNOS!A:B,2,FALSE)</f>
        <v>417</v>
      </c>
    </row>
    <row r="902" spans="1:35" x14ac:dyDescent="0.25">
      <c r="A902" t="s">
        <v>353</v>
      </c>
      <c r="C902">
        <v>46435175</v>
      </c>
      <c r="D902" t="s">
        <v>367</v>
      </c>
      <c r="E902" t="s">
        <v>29</v>
      </c>
      <c r="F902" t="s">
        <v>220</v>
      </c>
      <c r="G902" t="s">
        <v>43</v>
      </c>
      <c r="H902">
        <v>2021</v>
      </c>
      <c r="I902" t="s">
        <v>60</v>
      </c>
      <c r="L902" t="s">
        <v>99</v>
      </c>
      <c r="AG902">
        <f t="shared" si="14"/>
        <v>1</v>
      </c>
      <c r="AH902">
        <f>'TABLA PREVIOS'!E902</f>
        <v>273</v>
      </c>
      <c r="AI902">
        <f>VLOOKUP(C902,ALUMNOS!A:B,2,FALSE)</f>
        <v>417</v>
      </c>
    </row>
    <row r="903" spans="1:35" x14ac:dyDescent="0.25">
      <c r="A903" t="s">
        <v>353</v>
      </c>
      <c r="C903">
        <v>46435175</v>
      </c>
      <c r="D903" t="s">
        <v>367</v>
      </c>
      <c r="E903" t="s">
        <v>30</v>
      </c>
      <c r="F903" t="s">
        <v>245</v>
      </c>
      <c r="G903" t="s">
        <v>43</v>
      </c>
      <c r="H903">
        <v>2022</v>
      </c>
      <c r="I903" t="s">
        <v>60</v>
      </c>
      <c r="L903" t="s">
        <v>99</v>
      </c>
      <c r="AG903">
        <f t="shared" si="14"/>
        <v>1</v>
      </c>
      <c r="AH903">
        <f>'TABLA PREVIOS'!E903</f>
        <v>285</v>
      </c>
      <c r="AI903">
        <f>VLOOKUP(C903,ALUMNOS!A:B,2,FALSE)</f>
        <v>417</v>
      </c>
    </row>
    <row r="904" spans="1:35" x14ac:dyDescent="0.25">
      <c r="A904" t="s">
        <v>353</v>
      </c>
      <c r="C904">
        <v>46435175</v>
      </c>
      <c r="D904" t="s">
        <v>367</v>
      </c>
      <c r="E904" t="s">
        <v>37</v>
      </c>
      <c r="F904" t="s">
        <v>245</v>
      </c>
      <c r="G904" t="s">
        <v>43</v>
      </c>
      <c r="H904">
        <v>2022</v>
      </c>
      <c r="I904" t="s">
        <v>60</v>
      </c>
      <c r="L904" t="s">
        <v>99</v>
      </c>
      <c r="AG904">
        <f t="shared" si="14"/>
        <v>1</v>
      </c>
      <c r="AH904">
        <f>'TABLA PREVIOS'!E904</f>
        <v>284</v>
      </c>
      <c r="AI904">
        <f>VLOOKUP(C904,ALUMNOS!A:B,2,FALSE)</f>
        <v>417</v>
      </c>
    </row>
    <row r="905" spans="1:35" x14ac:dyDescent="0.25">
      <c r="A905" t="s">
        <v>353</v>
      </c>
      <c r="C905">
        <v>46435175</v>
      </c>
      <c r="D905" t="s">
        <v>367</v>
      </c>
      <c r="E905" t="s">
        <v>38</v>
      </c>
      <c r="F905" t="s">
        <v>245</v>
      </c>
      <c r="G905" t="s">
        <v>43</v>
      </c>
      <c r="H905">
        <v>2022</v>
      </c>
      <c r="I905" t="s">
        <v>60</v>
      </c>
      <c r="L905" t="s">
        <v>99</v>
      </c>
      <c r="AG905">
        <f t="shared" si="14"/>
        <v>1</v>
      </c>
      <c r="AH905">
        <f>'TABLA PREVIOS'!E905</f>
        <v>287</v>
      </c>
      <c r="AI905">
        <f>VLOOKUP(C905,ALUMNOS!A:B,2,FALSE)</f>
        <v>417</v>
      </c>
    </row>
    <row r="906" spans="1:35" x14ac:dyDescent="0.25">
      <c r="A906" t="s">
        <v>353</v>
      </c>
      <c r="C906">
        <v>46435175</v>
      </c>
      <c r="D906" t="s">
        <v>367</v>
      </c>
      <c r="E906" t="s">
        <v>34</v>
      </c>
      <c r="F906" t="s">
        <v>245</v>
      </c>
      <c r="G906" t="s">
        <v>43</v>
      </c>
      <c r="H906">
        <v>2022</v>
      </c>
      <c r="I906" t="s">
        <v>60</v>
      </c>
      <c r="L906" t="s">
        <v>99</v>
      </c>
      <c r="AG906">
        <f t="shared" si="14"/>
        <v>1</v>
      </c>
      <c r="AH906">
        <f>'TABLA PREVIOS'!E906</f>
        <v>286</v>
      </c>
      <c r="AI906">
        <f>VLOOKUP(C906,ALUMNOS!A:B,2,FALSE)</f>
        <v>417</v>
      </c>
    </row>
    <row r="907" spans="1:35" x14ac:dyDescent="0.25">
      <c r="A907" t="s">
        <v>353</v>
      </c>
      <c r="C907">
        <v>46435175</v>
      </c>
      <c r="D907" t="s">
        <v>367</v>
      </c>
      <c r="E907" t="s">
        <v>41</v>
      </c>
      <c r="F907" t="s">
        <v>245</v>
      </c>
      <c r="G907" t="s">
        <v>43</v>
      </c>
      <c r="H907">
        <v>2022</v>
      </c>
      <c r="I907" t="s">
        <v>60</v>
      </c>
      <c r="L907" t="s">
        <v>99</v>
      </c>
      <c r="AG907">
        <f t="shared" si="14"/>
        <v>1</v>
      </c>
      <c r="AH907">
        <f>'TABLA PREVIOS'!E907</f>
        <v>292</v>
      </c>
      <c r="AI907">
        <f>VLOOKUP(C907,ALUMNOS!A:B,2,FALSE)</f>
        <v>417</v>
      </c>
    </row>
    <row r="908" spans="1:35" x14ac:dyDescent="0.25">
      <c r="A908" t="s">
        <v>353</v>
      </c>
      <c r="C908">
        <v>46435175</v>
      </c>
      <c r="D908" t="s">
        <v>367</v>
      </c>
      <c r="E908" t="s">
        <v>28</v>
      </c>
      <c r="F908" t="s">
        <v>245</v>
      </c>
      <c r="G908" t="s">
        <v>43</v>
      </c>
      <c r="H908">
        <v>2022</v>
      </c>
      <c r="I908" t="s">
        <v>60</v>
      </c>
      <c r="L908" t="s">
        <v>99</v>
      </c>
      <c r="AG908">
        <f t="shared" si="14"/>
        <v>1</v>
      </c>
      <c r="AH908">
        <f>'TABLA PREVIOS'!E908</f>
        <v>291</v>
      </c>
      <c r="AI908">
        <f>VLOOKUP(C908,ALUMNOS!A:B,2,FALSE)</f>
        <v>417</v>
      </c>
    </row>
    <row r="909" spans="1:35" x14ac:dyDescent="0.25">
      <c r="A909" t="s">
        <v>353</v>
      </c>
      <c r="C909">
        <v>46435175</v>
      </c>
      <c r="D909" t="s">
        <v>367</v>
      </c>
      <c r="E909" t="s">
        <v>16</v>
      </c>
      <c r="F909" t="s">
        <v>245</v>
      </c>
      <c r="G909" t="s">
        <v>43</v>
      </c>
      <c r="H909">
        <v>2022</v>
      </c>
      <c r="I909" t="s">
        <v>60</v>
      </c>
      <c r="L909" t="s">
        <v>99</v>
      </c>
      <c r="AG909">
        <f t="shared" si="14"/>
        <v>1</v>
      </c>
      <c r="AH909">
        <f>'TABLA PREVIOS'!E909</f>
        <v>282</v>
      </c>
      <c r="AI909">
        <f>VLOOKUP(C909,ALUMNOS!A:B,2,FALSE)</f>
        <v>417</v>
      </c>
    </row>
    <row r="910" spans="1:35" x14ac:dyDescent="0.25">
      <c r="A910" t="s">
        <v>353</v>
      </c>
      <c r="C910">
        <v>46435175</v>
      </c>
      <c r="D910" t="s">
        <v>367</v>
      </c>
      <c r="E910" t="s">
        <v>11</v>
      </c>
      <c r="F910" t="s">
        <v>245</v>
      </c>
      <c r="G910" t="s">
        <v>43</v>
      </c>
      <c r="H910">
        <v>2022</v>
      </c>
      <c r="I910" t="s">
        <v>60</v>
      </c>
      <c r="L910" t="s">
        <v>99</v>
      </c>
      <c r="AG910">
        <f t="shared" si="14"/>
        <v>1</v>
      </c>
      <c r="AH910">
        <f>'TABLA PREVIOS'!E910</f>
        <v>279</v>
      </c>
      <c r="AI910">
        <f>VLOOKUP(C910,ALUMNOS!A:B,2,FALSE)</f>
        <v>417</v>
      </c>
    </row>
    <row r="911" spans="1:35" x14ac:dyDescent="0.25">
      <c r="A911" t="s">
        <v>353</v>
      </c>
      <c r="C911">
        <v>46435175</v>
      </c>
      <c r="D911" t="s">
        <v>367</v>
      </c>
      <c r="E911" t="s">
        <v>12</v>
      </c>
      <c r="F911" t="s">
        <v>245</v>
      </c>
      <c r="G911" t="s">
        <v>43</v>
      </c>
      <c r="H911">
        <v>2022</v>
      </c>
      <c r="I911" t="s">
        <v>60</v>
      </c>
      <c r="L911" t="s">
        <v>99</v>
      </c>
      <c r="AG911">
        <f t="shared" si="14"/>
        <v>1</v>
      </c>
      <c r="AH911">
        <f>'TABLA PREVIOS'!E911</f>
        <v>280</v>
      </c>
      <c r="AI911">
        <f>VLOOKUP(C911,ALUMNOS!A:B,2,FALSE)</f>
        <v>417</v>
      </c>
    </row>
    <row r="912" spans="1:35" x14ac:dyDescent="0.25">
      <c r="A912" t="s">
        <v>353</v>
      </c>
      <c r="C912">
        <v>46435175</v>
      </c>
      <c r="D912" t="s">
        <v>367</v>
      </c>
      <c r="E912" t="s">
        <v>25</v>
      </c>
      <c r="F912" t="s">
        <v>245</v>
      </c>
      <c r="G912" t="s">
        <v>43</v>
      </c>
      <c r="H912">
        <v>2022</v>
      </c>
      <c r="I912" t="s">
        <v>60</v>
      </c>
      <c r="L912" t="s">
        <v>99</v>
      </c>
      <c r="AG912">
        <f t="shared" si="14"/>
        <v>1</v>
      </c>
      <c r="AH912">
        <f>'TABLA PREVIOS'!E912</f>
        <v>281</v>
      </c>
      <c r="AI912">
        <f>VLOOKUP(C912,ALUMNOS!A:B,2,FALSE)</f>
        <v>417</v>
      </c>
    </row>
    <row r="913" spans="1:35" x14ac:dyDescent="0.25">
      <c r="A913" t="s">
        <v>353</v>
      </c>
      <c r="C913">
        <v>46435175</v>
      </c>
      <c r="D913" t="s">
        <v>367</v>
      </c>
      <c r="E913" t="s">
        <v>39</v>
      </c>
      <c r="F913" t="s">
        <v>245</v>
      </c>
      <c r="G913" t="s">
        <v>43</v>
      </c>
      <c r="H913">
        <v>2022</v>
      </c>
      <c r="I913" t="s">
        <v>60</v>
      </c>
      <c r="L913" t="s">
        <v>99</v>
      </c>
      <c r="AG913">
        <f t="shared" si="14"/>
        <v>1</v>
      </c>
      <c r="AH913">
        <f>'TABLA PREVIOS'!E913</f>
        <v>288</v>
      </c>
      <c r="AI913">
        <f>VLOOKUP(C913,ALUMNOS!A:B,2,FALSE)</f>
        <v>417</v>
      </c>
    </row>
    <row r="914" spans="1:35" x14ac:dyDescent="0.25">
      <c r="A914" t="s">
        <v>353</v>
      </c>
      <c r="C914">
        <v>46435175</v>
      </c>
      <c r="D914" t="s">
        <v>367</v>
      </c>
      <c r="E914" t="s">
        <v>29</v>
      </c>
      <c r="F914" t="s">
        <v>245</v>
      </c>
      <c r="G914" t="s">
        <v>43</v>
      </c>
      <c r="H914">
        <v>2022</v>
      </c>
      <c r="I914" t="s">
        <v>60</v>
      </c>
      <c r="L914" t="s">
        <v>99</v>
      </c>
      <c r="AG914">
        <f t="shared" si="14"/>
        <v>1</v>
      </c>
      <c r="AH914">
        <f>'TABLA PREVIOS'!E914</f>
        <v>290</v>
      </c>
      <c r="AI914">
        <f>VLOOKUP(C914,ALUMNOS!A:B,2,FALSE)</f>
        <v>417</v>
      </c>
    </row>
    <row r="915" spans="1:35" x14ac:dyDescent="0.25">
      <c r="A915" t="s">
        <v>353</v>
      </c>
      <c r="C915">
        <v>46035117</v>
      </c>
      <c r="D915" t="s">
        <v>368</v>
      </c>
      <c r="E915" t="s">
        <v>23</v>
      </c>
      <c r="F915" t="s">
        <v>143</v>
      </c>
      <c r="G915" t="s">
        <v>43</v>
      </c>
      <c r="H915">
        <v>2019</v>
      </c>
      <c r="I915" t="s">
        <v>59</v>
      </c>
      <c r="L915" t="s">
        <v>99</v>
      </c>
      <c r="AG915">
        <f t="shared" si="14"/>
        <v>1</v>
      </c>
      <c r="AH915">
        <f>'TABLA PREVIOS'!E915</f>
        <v>247</v>
      </c>
      <c r="AI915">
        <f>VLOOKUP(C915,ALUMNOS!A:B,2,FALSE)</f>
        <v>428</v>
      </c>
    </row>
    <row r="916" spans="1:35" x14ac:dyDescent="0.25">
      <c r="A916" t="s">
        <v>353</v>
      </c>
      <c r="C916">
        <v>46035117</v>
      </c>
      <c r="D916" t="s">
        <v>368</v>
      </c>
      <c r="E916" t="s">
        <v>16</v>
      </c>
      <c r="F916" t="s">
        <v>143</v>
      </c>
      <c r="G916" t="s">
        <v>43</v>
      </c>
      <c r="H916">
        <v>2019</v>
      </c>
      <c r="I916" t="s">
        <v>59</v>
      </c>
      <c r="K916" t="s">
        <v>260</v>
      </c>
      <c r="L916" t="s">
        <v>99</v>
      </c>
      <c r="AG916">
        <f t="shared" si="14"/>
        <v>1</v>
      </c>
      <c r="AH916">
        <f>'TABLA PREVIOS'!E916</f>
        <v>245</v>
      </c>
      <c r="AI916">
        <f>VLOOKUP(C916,ALUMNOS!A:B,2,FALSE)</f>
        <v>428</v>
      </c>
    </row>
    <row r="917" spans="1:35" x14ac:dyDescent="0.25">
      <c r="A917" t="s">
        <v>353</v>
      </c>
      <c r="C917">
        <v>46035117</v>
      </c>
      <c r="D917" t="s">
        <v>368</v>
      </c>
      <c r="E917" t="s">
        <v>30</v>
      </c>
      <c r="F917" t="s">
        <v>220</v>
      </c>
      <c r="G917" t="s">
        <v>43</v>
      </c>
      <c r="H917">
        <v>2021</v>
      </c>
      <c r="I917" t="s">
        <v>60</v>
      </c>
      <c r="L917" t="s">
        <v>99</v>
      </c>
      <c r="AG917">
        <f t="shared" si="14"/>
        <v>1</v>
      </c>
      <c r="AH917">
        <f>'TABLA PREVIOS'!E917</f>
        <v>274</v>
      </c>
      <c r="AI917">
        <f>VLOOKUP(C917,ALUMNOS!A:B,2,FALSE)</f>
        <v>428</v>
      </c>
    </row>
    <row r="918" spans="1:35" x14ac:dyDescent="0.25">
      <c r="A918" t="s">
        <v>353</v>
      </c>
      <c r="C918">
        <v>46035117</v>
      </c>
      <c r="D918" t="s">
        <v>368</v>
      </c>
      <c r="E918" t="s">
        <v>32</v>
      </c>
      <c r="F918" t="s">
        <v>220</v>
      </c>
      <c r="G918" t="s">
        <v>43</v>
      </c>
      <c r="H918">
        <v>2021</v>
      </c>
      <c r="I918" t="s">
        <v>60</v>
      </c>
      <c r="L918" t="s">
        <v>99</v>
      </c>
      <c r="AG918">
        <f t="shared" si="14"/>
        <v>1</v>
      </c>
      <c r="AH918">
        <f>'TABLA PREVIOS'!E918</f>
        <v>277</v>
      </c>
      <c r="AI918">
        <f>VLOOKUP(C918,ALUMNOS!A:B,2,FALSE)</f>
        <v>428</v>
      </c>
    </row>
    <row r="919" spans="1:35" x14ac:dyDescent="0.25">
      <c r="A919" t="s">
        <v>353</v>
      </c>
      <c r="C919">
        <v>46035117</v>
      </c>
      <c r="D919" t="s">
        <v>368</v>
      </c>
      <c r="E919" t="s">
        <v>35</v>
      </c>
      <c r="F919" t="s">
        <v>220</v>
      </c>
      <c r="G919" t="s">
        <v>43</v>
      </c>
      <c r="H919">
        <v>2021</v>
      </c>
      <c r="I919" t="s">
        <v>60</v>
      </c>
      <c r="L919" t="s">
        <v>99</v>
      </c>
      <c r="AG919">
        <f t="shared" si="14"/>
        <v>1</v>
      </c>
      <c r="AH919">
        <f>'TABLA PREVIOS'!E919</f>
        <v>276</v>
      </c>
      <c r="AI919">
        <f>VLOOKUP(C919,ALUMNOS!A:B,2,FALSE)</f>
        <v>428</v>
      </c>
    </row>
    <row r="920" spans="1:35" x14ac:dyDescent="0.25">
      <c r="A920" t="s">
        <v>353</v>
      </c>
      <c r="C920">
        <v>46035117</v>
      </c>
      <c r="D920" t="s">
        <v>368</v>
      </c>
      <c r="E920" t="s">
        <v>34</v>
      </c>
      <c r="F920" t="s">
        <v>220</v>
      </c>
      <c r="G920" t="s">
        <v>43</v>
      </c>
      <c r="H920">
        <v>2021</v>
      </c>
      <c r="I920" t="s">
        <v>60</v>
      </c>
      <c r="L920" t="s">
        <v>99</v>
      </c>
      <c r="AG920">
        <f t="shared" si="14"/>
        <v>1</v>
      </c>
      <c r="AH920">
        <f>'TABLA PREVIOS'!E920</f>
        <v>275</v>
      </c>
      <c r="AI920">
        <f>VLOOKUP(C920,ALUMNOS!A:B,2,FALSE)</f>
        <v>428</v>
      </c>
    </row>
    <row r="921" spans="1:35" x14ac:dyDescent="0.25">
      <c r="A921" t="s">
        <v>353</v>
      </c>
      <c r="C921">
        <v>46035117</v>
      </c>
      <c r="D921" t="s">
        <v>368</v>
      </c>
      <c r="E921" t="s">
        <v>29</v>
      </c>
      <c r="F921" t="s">
        <v>220</v>
      </c>
      <c r="G921" t="s">
        <v>43</v>
      </c>
      <c r="H921">
        <v>2021</v>
      </c>
      <c r="I921" t="s">
        <v>60</v>
      </c>
      <c r="L921" t="s">
        <v>99</v>
      </c>
      <c r="AG921">
        <f t="shared" si="14"/>
        <v>1</v>
      </c>
      <c r="AH921">
        <f>'TABLA PREVIOS'!E921</f>
        <v>273</v>
      </c>
      <c r="AI921">
        <f>VLOOKUP(C921,ALUMNOS!A:B,2,FALSE)</f>
        <v>428</v>
      </c>
    </row>
    <row r="922" spans="1:35" x14ac:dyDescent="0.25">
      <c r="A922" t="s">
        <v>353</v>
      </c>
      <c r="C922">
        <v>46035117</v>
      </c>
      <c r="D922" t="s">
        <v>368</v>
      </c>
      <c r="E922" t="s">
        <v>12</v>
      </c>
      <c r="F922" t="s">
        <v>245</v>
      </c>
      <c r="G922" t="s">
        <v>43</v>
      </c>
      <c r="H922">
        <v>2022</v>
      </c>
      <c r="I922" t="s">
        <v>60</v>
      </c>
      <c r="L922" t="s">
        <v>99</v>
      </c>
      <c r="AG922">
        <f t="shared" si="14"/>
        <v>1</v>
      </c>
      <c r="AH922">
        <f>'TABLA PREVIOS'!E922</f>
        <v>280</v>
      </c>
      <c r="AI922">
        <f>VLOOKUP(C922,ALUMNOS!A:B,2,FALSE)</f>
        <v>428</v>
      </c>
    </row>
    <row r="923" spans="1:35" x14ac:dyDescent="0.25">
      <c r="A923" t="s">
        <v>353</v>
      </c>
      <c r="C923">
        <v>46035190</v>
      </c>
      <c r="D923" t="s">
        <v>369</v>
      </c>
      <c r="E923" t="s">
        <v>30</v>
      </c>
      <c r="F923" t="s">
        <v>190</v>
      </c>
      <c r="G923" t="s">
        <v>44</v>
      </c>
      <c r="H923">
        <v>2021</v>
      </c>
      <c r="I923" t="s">
        <v>60</v>
      </c>
      <c r="J923" t="s">
        <v>370</v>
      </c>
      <c r="L923" t="s">
        <v>107</v>
      </c>
      <c r="M923">
        <v>45411</v>
      </c>
      <c r="N923">
        <v>7</v>
      </c>
      <c r="O923">
        <v>58</v>
      </c>
      <c r="P923">
        <v>197</v>
      </c>
      <c r="AG923">
        <f t="shared" si="14"/>
        <v>7</v>
      </c>
      <c r="AH923">
        <f>'TABLA PREVIOS'!E923</f>
        <v>260</v>
      </c>
      <c r="AI923">
        <f>VLOOKUP(C923,ALUMNOS!A:B,2,FALSE)</f>
        <v>495</v>
      </c>
    </row>
    <row r="924" spans="1:35" x14ac:dyDescent="0.25">
      <c r="A924" t="s">
        <v>353</v>
      </c>
      <c r="C924">
        <v>46035190</v>
      </c>
      <c r="D924" t="s">
        <v>369</v>
      </c>
      <c r="E924" t="s">
        <v>29</v>
      </c>
      <c r="F924" t="s">
        <v>245</v>
      </c>
      <c r="G924" t="s">
        <v>43</v>
      </c>
      <c r="H924">
        <v>2022</v>
      </c>
      <c r="I924" t="s">
        <v>60</v>
      </c>
      <c r="L924" t="s">
        <v>99</v>
      </c>
      <c r="AG924">
        <f t="shared" si="14"/>
        <v>1</v>
      </c>
      <c r="AH924">
        <f>'TABLA PREVIOS'!E924</f>
        <v>290</v>
      </c>
      <c r="AI924">
        <f>VLOOKUP(C924,ALUMNOS!A:B,2,FALSE)</f>
        <v>495</v>
      </c>
    </row>
    <row r="925" spans="1:35" x14ac:dyDescent="0.25">
      <c r="A925" t="s">
        <v>353</v>
      </c>
      <c r="C925">
        <v>45085581</v>
      </c>
      <c r="D925" t="s">
        <v>371</v>
      </c>
      <c r="E925" t="s">
        <v>27</v>
      </c>
      <c r="F925" t="s">
        <v>190</v>
      </c>
      <c r="G925" t="s">
        <v>43</v>
      </c>
      <c r="H925">
        <v>2020</v>
      </c>
      <c r="I925" t="s">
        <v>60</v>
      </c>
      <c r="J925" t="s">
        <v>372</v>
      </c>
      <c r="L925" t="s">
        <v>99</v>
      </c>
      <c r="AG925">
        <f t="shared" si="14"/>
        <v>1</v>
      </c>
      <c r="AH925">
        <f>'TABLA PREVIOS'!E925</f>
        <v>255</v>
      </c>
      <c r="AI925">
        <f>VLOOKUP(C925,ALUMNOS!A:B,2,FALSE)</f>
        <v>525</v>
      </c>
    </row>
    <row r="926" spans="1:35" x14ac:dyDescent="0.25">
      <c r="A926" t="s">
        <v>353</v>
      </c>
      <c r="C926">
        <v>45085581</v>
      </c>
      <c r="D926" t="s">
        <v>371</v>
      </c>
      <c r="E926" t="s">
        <v>30</v>
      </c>
      <c r="F926" t="s">
        <v>220</v>
      </c>
      <c r="G926" t="s">
        <v>43</v>
      </c>
      <c r="H926">
        <v>2021</v>
      </c>
      <c r="I926" t="s">
        <v>60</v>
      </c>
      <c r="J926" t="s">
        <v>372</v>
      </c>
      <c r="L926" t="s">
        <v>99</v>
      </c>
      <c r="AG926">
        <f t="shared" si="14"/>
        <v>1</v>
      </c>
      <c r="AH926">
        <f>'TABLA PREVIOS'!E926</f>
        <v>274</v>
      </c>
      <c r="AI926">
        <f>VLOOKUP(C926,ALUMNOS!A:B,2,FALSE)</f>
        <v>525</v>
      </c>
    </row>
    <row r="927" spans="1:35" x14ac:dyDescent="0.25">
      <c r="A927" t="s">
        <v>353</v>
      </c>
      <c r="C927">
        <v>45085581</v>
      </c>
      <c r="D927" t="s">
        <v>371</v>
      </c>
      <c r="E927" t="s">
        <v>32</v>
      </c>
      <c r="F927" t="s">
        <v>220</v>
      </c>
      <c r="G927" t="s">
        <v>43</v>
      </c>
      <c r="H927">
        <v>2021</v>
      </c>
      <c r="I927" t="s">
        <v>60</v>
      </c>
      <c r="J927" t="s">
        <v>372</v>
      </c>
      <c r="L927" t="s">
        <v>99</v>
      </c>
      <c r="AG927">
        <f t="shared" si="14"/>
        <v>1</v>
      </c>
      <c r="AH927">
        <f>'TABLA PREVIOS'!E927</f>
        <v>277</v>
      </c>
      <c r="AI927">
        <f>VLOOKUP(C927,ALUMNOS!A:B,2,FALSE)</f>
        <v>525</v>
      </c>
    </row>
    <row r="928" spans="1:35" x14ac:dyDescent="0.25">
      <c r="A928" t="s">
        <v>353</v>
      </c>
      <c r="C928">
        <v>45085581</v>
      </c>
      <c r="D928" t="s">
        <v>371</v>
      </c>
      <c r="E928" t="s">
        <v>35</v>
      </c>
      <c r="F928" t="s">
        <v>220</v>
      </c>
      <c r="G928" t="s">
        <v>43</v>
      </c>
      <c r="H928">
        <v>2021</v>
      </c>
      <c r="I928" t="s">
        <v>60</v>
      </c>
      <c r="J928" t="s">
        <v>372</v>
      </c>
      <c r="L928" t="s">
        <v>99</v>
      </c>
      <c r="AG928">
        <f t="shared" si="14"/>
        <v>1</v>
      </c>
      <c r="AH928">
        <f>'TABLA PREVIOS'!E928</f>
        <v>276</v>
      </c>
      <c r="AI928">
        <f>VLOOKUP(C928,ALUMNOS!A:B,2,FALSE)</f>
        <v>525</v>
      </c>
    </row>
    <row r="929" spans="1:35" x14ac:dyDescent="0.25">
      <c r="A929" t="s">
        <v>353</v>
      </c>
      <c r="C929">
        <v>45085581</v>
      </c>
      <c r="D929" t="s">
        <v>371</v>
      </c>
      <c r="E929" t="s">
        <v>34</v>
      </c>
      <c r="F929" t="s">
        <v>220</v>
      </c>
      <c r="G929" t="s">
        <v>43</v>
      </c>
      <c r="H929">
        <v>2021</v>
      </c>
      <c r="I929" t="s">
        <v>60</v>
      </c>
      <c r="J929" t="s">
        <v>372</v>
      </c>
      <c r="L929" t="s">
        <v>99</v>
      </c>
      <c r="AG929">
        <f t="shared" si="14"/>
        <v>1</v>
      </c>
      <c r="AH929">
        <f>'TABLA PREVIOS'!E929</f>
        <v>275</v>
      </c>
      <c r="AI929">
        <f>VLOOKUP(C929,ALUMNOS!A:B,2,FALSE)</f>
        <v>525</v>
      </c>
    </row>
    <row r="930" spans="1:35" x14ac:dyDescent="0.25">
      <c r="A930" t="s">
        <v>353</v>
      </c>
      <c r="C930">
        <v>45085581</v>
      </c>
      <c r="D930" t="s">
        <v>371</v>
      </c>
      <c r="E930" t="s">
        <v>29</v>
      </c>
      <c r="F930" t="s">
        <v>220</v>
      </c>
      <c r="G930" t="s">
        <v>43</v>
      </c>
      <c r="H930">
        <v>2021</v>
      </c>
      <c r="I930" t="s">
        <v>60</v>
      </c>
      <c r="J930" t="s">
        <v>372</v>
      </c>
      <c r="L930" t="s">
        <v>99</v>
      </c>
      <c r="AG930">
        <f t="shared" si="14"/>
        <v>1</v>
      </c>
      <c r="AH930">
        <f>'TABLA PREVIOS'!E930</f>
        <v>273</v>
      </c>
      <c r="AI930">
        <f>VLOOKUP(C930,ALUMNOS!A:B,2,FALSE)</f>
        <v>525</v>
      </c>
    </row>
    <row r="931" spans="1:35" x14ac:dyDescent="0.25">
      <c r="A931" t="s">
        <v>353</v>
      </c>
      <c r="C931">
        <v>45085581</v>
      </c>
      <c r="D931" t="s">
        <v>371</v>
      </c>
      <c r="E931" t="s">
        <v>34</v>
      </c>
      <c r="F931" t="s">
        <v>245</v>
      </c>
      <c r="G931" t="s">
        <v>43</v>
      </c>
      <c r="H931">
        <v>2022</v>
      </c>
      <c r="I931" t="s">
        <v>60</v>
      </c>
      <c r="L931" t="s">
        <v>99</v>
      </c>
      <c r="AG931">
        <f t="shared" si="14"/>
        <v>1</v>
      </c>
      <c r="AH931">
        <f>'TABLA PREVIOS'!E931</f>
        <v>286</v>
      </c>
      <c r="AI931">
        <f>VLOOKUP(C931,ALUMNOS!A:B,2,FALSE)</f>
        <v>525</v>
      </c>
    </row>
    <row r="932" spans="1:35" x14ac:dyDescent="0.25">
      <c r="A932" t="s">
        <v>353</v>
      </c>
      <c r="C932">
        <v>45085581</v>
      </c>
      <c r="D932" t="s">
        <v>371</v>
      </c>
      <c r="E932" t="s">
        <v>10</v>
      </c>
      <c r="F932" t="s">
        <v>245</v>
      </c>
      <c r="G932" t="s">
        <v>43</v>
      </c>
      <c r="H932">
        <v>2022</v>
      </c>
      <c r="I932" t="s">
        <v>60</v>
      </c>
      <c r="L932" t="s">
        <v>99</v>
      </c>
      <c r="AG932">
        <f t="shared" si="14"/>
        <v>1</v>
      </c>
      <c r="AH932">
        <f>'TABLA PREVIOS'!E932</f>
        <v>278</v>
      </c>
      <c r="AI932">
        <f>VLOOKUP(C932,ALUMNOS!A:B,2,FALSE)</f>
        <v>525</v>
      </c>
    </row>
    <row r="933" spans="1:35" x14ac:dyDescent="0.25">
      <c r="A933" t="s">
        <v>353</v>
      </c>
      <c r="C933">
        <v>45085581</v>
      </c>
      <c r="D933" t="s">
        <v>371</v>
      </c>
      <c r="E933" t="s">
        <v>41</v>
      </c>
      <c r="F933" t="s">
        <v>245</v>
      </c>
      <c r="G933" t="s">
        <v>43</v>
      </c>
      <c r="H933">
        <v>2022</v>
      </c>
      <c r="I933" t="s">
        <v>60</v>
      </c>
      <c r="L933" t="s">
        <v>99</v>
      </c>
      <c r="AG933">
        <f t="shared" si="14"/>
        <v>1</v>
      </c>
      <c r="AH933">
        <f>'TABLA PREVIOS'!E933</f>
        <v>292</v>
      </c>
      <c r="AI933">
        <f>VLOOKUP(C933,ALUMNOS!A:B,2,FALSE)</f>
        <v>525</v>
      </c>
    </row>
    <row r="934" spans="1:35" x14ac:dyDescent="0.25">
      <c r="A934" t="s">
        <v>353</v>
      </c>
      <c r="C934">
        <v>45085581</v>
      </c>
      <c r="D934" t="s">
        <v>371</v>
      </c>
      <c r="E934" t="s">
        <v>29</v>
      </c>
      <c r="F934" t="s">
        <v>245</v>
      </c>
      <c r="G934" t="s">
        <v>43</v>
      </c>
      <c r="H934">
        <v>2022</v>
      </c>
      <c r="I934" t="s">
        <v>60</v>
      </c>
      <c r="L934" t="s">
        <v>99</v>
      </c>
      <c r="AG934">
        <f t="shared" si="14"/>
        <v>1</v>
      </c>
      <c r="AH934">
        <f>'TABLA PREVIOS'!E934</f>
        <v>290</v>
      </c>
      <c r="AI934">
        <f>VLOOKUP(C934,ALUMNOS!A:B,2,FALSE)</f>
        <v>525</v>
      </c>
    </row>
    <row r="935" spans="1:35" x14ac:dyDescent="0.25">
      <c r="A935" t="s">
        <v>353</v>
      </c>
      <c r="C935">
        <v>45698135</v>
      </c>
      <c r="D935" t="s">
        <v>373</v>
      </c>
      <c r="E935" t="s">
        <v>16</v>
      </c>
      <c r="F935" t="s">
        <v>245</v>
      </c>
      <c r="G935" t="s">
        <v>43</v>
      </c>
      <c r="H935">
        <v>2022</v>
      </c>
      <c r="I935" t="s">
        <v>60</v>
      </c>
      <c r="L935" t="s">
        <v>99</v>
      </c>
      <c r="AG935">
        <f t="shared" si="14"/>
        <v>1</v>
      </c>
      <c r="AH935">
        <f>'TABLA PREVIOS'!E935</f>
        <v>282</v>
      </c>
      <c r="AI935">
        <f>VLOOKUP(C935,ALUMNOS!A:B,2,FALSE)</f>
        <v>526</v>
      </c>
    </row>
    <row r="936" spans="1:35" x14ac:dyDescent="0.25">
      <c r="A936" t="s">
        <v>353</v>
      </c>
      <c r="C936">
        <v>45520806</v>
      </c>
      <c r="D936" t="s">
        <v>374</v>
      </c>
      <c r="E936" t="s">
        <v>34</v>
      </c>
      <c r="F936" t="s">
        <v>245</v>
      </c>
      <c r="G936" t="s">
        <v>43</v>
      </c>
      <c r="H936">
        <v>2022</v>
      </c>
      <c r="I936" t="s">
        <v>60</v>
      </c>
      <c r="L936" t="s">
        <v>99</v>
      </c>
      <c r="AG936">
        <f t="shared" si="14"/>
        <v>1</v>
      </c>
      <c r="AH936">
        <f>'TABLA PREVIOS'!E936</f>
        <v>286</v>
      </c>
      <c r="AI936">
        <f>VLOOKUP(C936,ALUMNOS!A:B,2,FALSE)</f>
        <v>541</v>
      </c>
    </row>
    <row r="937" spans="1:35" x14ac:dyDescent="0.25">
      <c r="A937" t="s">
        <v>353</v>
      </c>
      <c r="C937">
        <v>46035180</v>
      </c>
      <c r="D937" t="s">
        <v>375</v>
      </c>
      <c r="E937" t="s">
        <v>34</v>
      </c>
      <c r="F937" t="s">
        <v>245</v>
      </c>
      <c r="G937" t="s">
        <v>43</v>
      </c>
      <c r="H937">
        <v>2022</v>
      </c>
      <c r="I937" t="s">
        <v>60</v>
      </c>
      <c r="L937" t="s">
        <v>99</v>
      </c>
      <c r="AG937">
        <f t="shared" si="14"/>
        <v>1</v>
      </c>
      <c r="AH937">
        <f>'TABLA PREVIOS'!E937</f>
        <v>286</v>
      </c>
      <c r="AI937">
        <f>VLOOKUP(C937,ALUMNOS!A:B,2,FALSE)</f>
        <v>551</v>
      </c>
    </row>
    <row r="938" spans="1:35" x14ac:dyDescent="0.25">
      <c r="A938" t="s">
        <v>353</v>
      </c>
      <c r="C938">
        <v>46035180</v>
      </c>
      <c r="D938" t="s">
        <v>375</v>
      </c>
      <c r="E938" t="s">
        <v>11</v>
      </c>
      <c r="F938" t="s">
        <v>245</v>
      </c>
      <c r="G938" t="s">
        <v>43</v>
      </c>
      <c r="H938">
        <v>2022</v>
      </c>
      <c r="I938" t="s">
        <v>60</v>
      </c>
      <c r="L938" t="s">
        <v>99</v>
      </c>
      <c r="AG938">
        <f t="shared" si="14"/>
        <v>1</v>
      </c>
      <c r="AH938">
        <f>'TABLA PREVIOS'!E938</f>
        <v>279</v>
      </c>
      <c r="AI938">
        <f>VLOOKUP(C938,ALUMNOS!A:B,2,FALSE)</f>
        <v>551</v>
      </c>
    </row>
    <row r="939" spans="1:35" x14ac:dyDescent="0.25">
      <c r="A939" t="s">
        <v>353</v>
      </c>
      <c r="C939">
        <v>46035180</v>
      </c>
      <c r="D939" t="s">
        <v>375</v>
      </c>
      <c r="E939" t="s">
        <v>12</v>
      </c>
      <c r="F939" t="s">
        <v>245</v>
      </c>
      <c r="G939" t="s">
        <v>43</v>
      </c>
      <c r="H939">
        <v>2022</v>
      </c>
      <c r="I939" t="s">
        <v>60</v>
      </c>
      <c r="L939" t="s">
        <v>99</v>
      </c>
      <c r="AG939">
        <f t="shared" si="14"/>
        <v>1</v>
      </c>
      <c r="AH939">
        <f>'TABLA PREVIOS'!E939</f>
        <v>280</v>
      </c>
      <c r="AI939">
        <f>VLOOKUP(C939,ALUMNOS!A:B,2,FALSE)</f>
        <v>551</v>
      </c>
    </row>
    <row r="940" spans="1:35" x14ac:dyDescent="0.25">
      <c r="A940" t="s">
        <v>353</v>
      </c>
      <c r="C940">
        <v>46035180</v>
      </c>
      <c r="D940" t="s">
        <v>375</v>
      </c>
      <c r="E940" t="s">
        <v>29</v>
      </c>
      <c r="F940" t="s">
        <v>245</v>
      </c>
      <c r="G940" t="s">
        <v>43</v>
      </c>
      <c r="H940">
        <v>2022</v>
      </c>
      <c r="I940" t="s">
        <v>60</v>
      </c>
      <c r="L940" t="s">
        <v>99</v>
      </c>
      <c r="AG940">
        <f t="shared" si="14"/>
        <v>1</v>
      </c>
      <c r="AH940">
        <f>'TABLA PREVIOS'!E940</f>
        <v>290</v>
      </c>
      <c r="AI940">
        <f>VLOOKUP(C940,ALUMNOS!A:B,2,FALSE)</f>
        <v>551</v>
      </c>
    </row>
    <row r="941" spans="1:35" x14ac:dyDescent="0.25">
      <c r="A941" t="s">
        <v>353</v>
      </c>
      <c r="C941">
        <v>46507486</v>
      </c>
      <c r="D941" t="s">
        <v>376</v>
      </c>
      <c r="E941" t="s">
        <v>27</v>
      </c>
      <c r="F941" t="s">
        <v>143</v>
      </c>
      <c r="G941" t="s">
        <v>43</v>
      </c>
      <c r="H941">
        <v>2019</v>
      </c>
      <c r="I941" t="s">
        <v>59</v>
      </c>
      <c r="K941" t="s">
        <v>4</v>
      </c>
      <c r="L941" t="s">
        <v>99</v>
      </c>
      <c r="AG941">
        <f t="shared" si="14"/>
        <v>1</v>
      </c>
      <c r="AH941">
        <f>'TABLA PREVIOS'!E941</f>
        <v>244</v>
      </c>
      <c r="AI941">
        <f>VLOOKUP(C941,ALUMNOS!A:B,2,FALSE)</f>
        <v>575</v>
      </c>
    </row>
    <row r="942" spans="1:35" x14ac:dyDescent="0.25">
      <c r="A942" t="s">
        <v>353</v>
      </c>
      <c r="C942">
        <v>46507486</v>
      </c>
      <c r="D942" t="s">
        <v>376</v>
      </c>
      <c r="E942" t="s">
        <v>17</v>
      </c>
      <c r="F942" t="s">
        <v>190</v>
      </c>
      <c r="G942" t="s">
        <v>43</v>
      </c>
      <c r="H942">
        <v>2020</v>
      </c>
      <c r="I942" t="s">
        <v>60</v>
      </c>
      <c r="L942" t="s">
        <v>99</v>
      </c>
      <c r="AG942">
        <f t="shared" si="14"/>
        <v>1</v>
      </c>
      <c r="AH942">
        <f>'TABLA PREVIOS'!E942</f>
        <v>257</v>
      </c>
      <c r="AI942">
        <f>VLOOKUP(C942,ALUMNOS!A:B,2,FALSE)</f>
        <v>575</v>
      </c>
    </row>
    <row r="943" spans="1:35" x14ac:dyDescent="0.25">
      <c r="A943" t="s">
        <v>353</v>
      </c>
      <c r="C943">
        <v>46507486</v>
      </c>
      <c r="D943" t="s">
        <v>376</v>
      </c>
      <c r="E943" t="s">
        <v>12</v>
      </c>
      <c r="F943" t="s">
        <v>220</v>
      </c>
      <c r="G943" t="s">
        <v>43</v>
      </c>
      <c r="H943">
        <v>2021</v>
      </c>
      <c r="I943" t="s">
        <v>60</v>
      </c>
      <c r="L943" t="s">
        <v>99</v>
      </c>
      <c r="AG943">
        <f t="shared" si="14"/>
        <v>1</v>
      </c>
      <c r="AH943">
        <f>'TABLA PREVIOS'!E943</f>
        <v>265</v>
      </c>
      <c r="AI943">
        <f>VLOOKUP(C943,ALUMNOS!A:B,2,FALSE)</f>
        <v>575</v>
      </c>
    </row>
    <row r="944" spans="1:35" x14ac:dyDescent="0.25">
      <c r="A944" t="s">
        <v>353</v>
      </c>
      <c r="C944">
        <v>46507486</v>
      </c>
      <c r="D944" t="s">
        <v>376</v>
      </c>
      <c r="E944" t="s">
        <v>34</v>
      </c>
      <c r="F944" t="s">
        <v>245</v>
      </c>
      <c r="G944" t="s">
        <v>43</v>
      </c>
      <c r="H944">
        <v>2022</v>
      </c>
      <c r="I944" t="s">
        <v>60</v>
      </c>
      <c r="L944" t="s">
        <v>99</v>
      </c>
      <c r="AG944">
        <f t="shared" si="14"/>
        <v>1</v>
      </c>
      <c r="AH944">
        <f>'TABLA PREVIOS'!E944</f>
        <v>286</v>
      </c>
      <c r="AI944">
        <f>VLOOKUP(C944,ALUMNOS!A:B,2,FALSE)</f>
        <v>575</v>
      </c>
    </row>
    <row r="945" spans="1:35" x14ac:dyDescent="0.25">
      <c r="A945" t="s">
        <v>353</v>
      </c>
      <c r="C945">
        <v>46507486</v>
      </c>
      <c r="D945" t="s">
        <v>376</v>
      </c>
      <c r="E945" t="s">
        <v>41</v>
      </c>
      <c r="F945" t="s">
        <v>245</v>
      </c>
      <c r="G945" t="s">
        <v>43</v>
      </c>
      <c r="H945">
        <v>2022</v>
      </c>
      <c r="I945" t="s">
        <v>60</v>
      </c>
      <c r="L945" t="s">
        <v>99</v>
      </c>
      <c r="AG945">
        <f t="shared" si="14"/>
        <v>1</v>
      </c>
      <c r="AH945">
        <f>'TABLA PREVIOS'!E945</f>
        <v>292</v>
      </c>
      <c r="AI945">
        <f>VLOOKUP(C945,ALUMNOS!A:B,2,FALSE)</f>
        <v>575</v>
      </c>
    </row>
    <row r="946" spans="1:35" x14ac:dyDescent="0.25">
      <c r="A946" t="s">
        <v>353</v>
      </c>
      <c r="C946">
        <v>46507486</v>
      </c>
      <c r="D946" t="s">
        <v>376</v>
      </c>
      <c r="E946" t="s">
        <v>16</v>
      </c>
      <c r="F946" t="s">
        <v>245</v>
      </c>
      <c r="G946" t="s">
        <v>43</v>
      </c>
      <c r="H946">
        <v>2022</v>
      </c>
      <c r="I946" t="s">
        <v>60</v>
      </c>
      <c r="L946" t="s">
        <v>99</v>
      </c>
      <c r="AG946">
        <f t="shared" si="14"/>
        <v>1</v>
      </c>
      <c r="AH946">
        <f>'TABLA PREVIOS'!E946</f>
        <v>282</v>
      </c>
      <c r="AI946">
        <f>VLOOKUP(C946,ALUMNOS!A:B,2,FALSE)</f>
        <v>575</v>
      </c>
    </row>
    <row r="947" spans="1:35" x14ac:dyDescent="0.25">
      <c r="A947" t="s">
        <v>353</v>
      </c>
      <c r="C947">
        <v>46507486</v>
      </c>
      <c r="D947" t="s">
        <v>376</v>
      </c>
      <c r="E947" t="s">
        <v>11</v>
      </c>
      <c r="F947" t="s">
        <v>245</v>
      </c>
      <c r="G947" t="s">
        <v>43</v>
      </c>
      <c r="H947">
        <v>2022</v>
      </c>
      <c r="I947" t="s">
        <v>60</v>
      </c>
      <c r="L947" t="s">
        <v>99</v>
      </c>
      <c r="AG947">
        <f t="shared" si="14"/>
        <v>1</v>
      </c>
      <c r="AH947">
        <f>'TABLA PREVIOS'!E947</f>
        <v>279</v>
      </c>
      <c r="AI947">
        <f>VLOOKUP(C947,ALUMNOS!A:B,2,FALSE)</f>
        <v>575</v>
      </c>
    </row>
    <row r="948" spans="1:35" x14ac:dyDescent="0.25">
      <c r="A948" t="s">
        <v>353</v>
      </c>
      <c r="C948">
        <v>46507486</v>
      </c>
      <c r="D948" t="s">
        <v>376</v>
      </c>
      <c r="E948" t="s">
        <v>12</v>
      </c>
      <c r="F948" t="s">
        <v>245</v>
      </c>
      <c r="G948" t="s">
        <v>43</v>
      </c>
      <c r="H948">
        <v>2022</v>
      </c>
      <c r="I948" t="s">
        <v>60</v>
      </c>
      <c r="L948" t="s">
        <v>99</v>
      </c>
      <c r="AG948">
        <f t="shared" si="14"/>
        <v>1</v>
      </c>
      <c r="AH948">
        <f>'TABLA PREVIOS'!E948</f>
        <v>280</v>
      </c>
      <c r="AI948">
        <f>VLOOKUP(C948,ALUMNOS!A:B,2,FALSE)</f>
        <v>575</v>
      </c>
    </row>
    <row r="949" spans="1:35" x14ac:dyDescent="0.25">
      <c r="A949" t="s">
        <v>353</v>
      </c>
      <c r="C949">
        <v>46507486</v>
      </c>
      <c r="D949" t="s">
        <v>376</v>
      </c>
      <c r="E949" t="s">
        <v>39</v>
      </c>
      <c r="F949" t="s">
        <v>245</v>
      </c>
      <c r="G949" t="s">
        <v>43</v>
      </c>
      <c r="H949">
        <v>2022</v>
      </c>
      <c r="I949" t="s">
        <v>60</v>
      </c>
      <c r="L949" t="s">
        <v>99</v>
      </c>
      <c r="AG949">
        <f t="shared" si="14"/>
        <v>1</v>
      </c>
      <c r="AH949">
        <f>'TABLA PREVIOS'!E949</f>
        <v>288</v>
      </c>
      <c r="AI949">
        <f>VLOOKUP(C949,ALUMNOS!A:B,2,FALSE)</f>
        <v>575</v>
      </c>
    </row>
    <row r="950" spans="1:35" x14ac:dyDescent="0.25">
      <c r="A950" t="s">
        <v>353</v>
      </c>
      <c r="C950">
        <v>46507486</v>
      </c>
      <c r="D950" t="s">
        <v>376</v>
      </c>
      <c r="E950" t="s">
        <v>29</v>
      </c>
      <c r="F950" t="s">
        <v>245</v>
      </c>
      <c r="G950" t="s">
        <v>43</v>
      </c>
      <c r="H950">
        <v>2022</v>
      </c>
      <c r="I950" t="s">
        <v>60</v>
      </c>
      <c r="L950" t="s">
        <v>99</v>
      </c>
      <c r="AG950">
        <f t="shared" si="14"/>
        <v>1</v>
      </c>
      <c r="AH950">
        <f>'TABLA PREVIOS'!E950</f>
        <v>290</v>
      </c>
      <c r="AI950">
        <f>VLOOKUP(C950,ALUMNOS!A:B,2,FALSE)</f>
        <v>575</v>
      </c>
    </row>
    <row r="951" spans="1:35" x14ac:dyDescent="0.25">
      <c r="A951" t="s">
        <v>353</v>
      </c>
      <c r="C951">
        <v>46037429</v>
      </c>
      <c r="D951" t="s">
        <v>377</v>
      </c>
      <c r="E951" t="s">
        <v>12</v>
      </c>
      <c r="F951" t="s">
        <v>143</v>
      </c>
      <c r="G951" t="s">
        <v>43</v>
      </c>
      <c r="H951">
        <v>2019</v>
      </c>
      <c r="I951" t="s">
        <v>59</v>
      </c>
      <c r="L951" t="s">
        <v>99</v>
      </c>
      <c r="AG951">
        <f t="shared" si="14"/>
        <v>1</v>
      </c>
      <c r="AH951">
        <f>'TABLA PREVIOS'!E951</f>
        <v>240</v>
      </c>
      <c r="AI951">
        <f>VLOOKUP(C951,ALUMNOS!A:B,2,FALSE)</f>
        <v>580</v>
      </c>
    </row>
    <row r="952" spans="1:35" x14ac:dyDescent="0.25">
      <c r="A952" t="s">
        <v>353</v>
      </c>
      <c r="C952">
        <v>46037429</v>
      </c>
      <c r="D952" t="s">
        <v>377</v>
      </c>
      <c r="E952" t="s">
        <v>12</v>
      </c>
      <c r="F952" t="s">
        <v>190</v>
      </c>
      <c r="G952" t="s">
        <v>43</v>
      </c>
      <c r="H952">
        <v>2020</v>
      </c>
      <c r="I952" t="s">
        <v>60</v>
      </c>
      <c r="L952" t="s">
        <v>99</v>
      </c>
      <c r="AG952">
        <f t="shared" si="14"/>
        <v>1</v>
      </c>
      <c r="AH952">
        <f>'TABLA PREVIOS'!E952</f>
        <v>252</v>
      </c>
      <c r="AI952">
        <f>VLOOKUP(C952,ALUMNOS!A:B,2,FALSE)</f>
        <v>580</v>
      </c>
    </row>
    <row r="953" spans="1:35" x14ac:dyDescent="0.25">
      <c r="A953" t="s">
        <v>353</v>
      </c>
      <c r="C953">
        <v>46037429</v>
      </c>
      <c r="D953" t="s">
        <v>377</v>
      </c>
      <c r="E953" t="s">
        <v>30</v>
      </c>
      <c r="F953" t="s">
        <v>220</v>
      </c>
      <c r="G953" t="s">
        <v>43</v>
      </c>
      <c r="H953">
        <v>2021</v>
      </c>
      <c r="I953" t="s">
        <v>60</v>
      </c>
      <c r="K953" t="s">
        <v>356</v>
      </c>
      <c r="L953" t="s">
        <v>99</v>
      </c>
      <c r="AG953">
        <f t="shared" si="14"/>
        <v>1</v>
      </c>
      <c r="AH953">
        <f>'TABLA PREVIOS'!E953</f>
        <v>274</v>
      </c>
      <c r="AI953">
        <f>VLOOKUP(C953,ALUMNOS!A:B,2,FALSE)</f>
        <v>580</v>
      </c>
    </row>
    <row r="954" spans="1:35" x14ac:dyDescent="0.25">
      <c r="A954" t="s">
        <v>353</v>
      </c>
      <c r="C954">
        <v>46037429</v>
      </c>
      <c r="D954" t="s">
        <v>377</v>
      </c>
      <c r="E954" t="s">
        <v>32</v>
      </c>
      <c r="F954" t="s">
        <v>220</v>
      </c>
      <c r="G954" t="s">
        <v>43</v>
      </c>
      <c r="H954">
        <v>2021</v>
      </c>
      <c r="I954" t="s">
        <v>60</v>
      </c>
      <c r="K954" t="s">
        <v>356</v>
      </c>
      <c r="L954" t="s">
        <v>99</v>
      </c>
      <c r="AG954">
        <f t="shared" si="14"/>
        <v>1</v>
      </c>
      <c r="AH954">
        <f>'TABLA PREVIOS'!E954</f>
        <v>277</v>
      </c>
      <c r="AI954">
        <f>VLOOKUP(C954,ALUMNOS!A:B,2,FALSE)</f>
        <v>580</v>
      </c>
    </row>
    <row r="955" spans="1:35" x14ac:dyDescent="0.25">
      <c r="A955" t="s">
        <v>353</v>
      </c>
      <c r="C955">
        <v>46037429</v>
      </c>
      <c r="D955" t="s">
        <v>377</v>
      </c>
      <c r="E955" t="s">
        <v>35</v>
      </c>
      <c r="F955" t="s">
        <v>220</v>
      </c>
      <c r="G955" t="s">
        <v>43</v>
      </c>
      <c r="H955">
        <v>2021</v>
      </c>
      <c r="I955" t="s">
        <v>60</v>
      </c>
      <c r="K955" t="s">
        <v>356</v>
      </c>
      <c r="L955" t="s">
        <v>99</v>
      </c>
      <c r="AG955">
        <f t="shared" si="14"/>
        <v>1</v>
      </c>
      <c r="AH955">
        <f>'TABLA PREVIOS'!E955</f>
        <v>276</v>
      </c>
      <c r="AI955">
        <f>VLOOKUP(C955,ALUMNOS!A:B,2,FALSE)</f>
        <v>580</v>
      </c>
    </row>
    <row r="956" spans="1:35" x14ac:dyDescent="0.25">
      <c r="A956" t="s">
        <v>353</v>
      </c>
      <c r="C956">
        <v>46037429</v>
      </c>
      <c r="D956" t="s">
        <v>377</v>
      </c>
      <c r="E956" t="s">
        <v>34</v>
      </c>
      <c r="F956" t="s">
        <v>220</v>
      </c>
      <c r="G956" t="s">
        <v>43</v>
      </c>
      <c r="H956">
        <v>2021</v>
      </c>
      <c r="I956" t="s">
        <v>60</v>
      </c>
      <c r="K956" t="s">
        <v>356</v>
      </c>
      <c r="L956" t="s">
        <v>99</v>
      </c>
      <c r="AG956">
        <f t="shared" si="14"/>
        <v>1</v>
      </c>
      <c r="AH956">
        <f>'TABLA PREVIOS'!E956</f>
        <v>275</v>
      </c>
      <c r="AI956">
        <f>VLOOKUP(C956,ALUMNOS!A:B,2,FALSE)</f>
        <v>580</v>
      </c>
    </row>
    <row r="957" spans="1:35" x14ac:dyDescent="0.25">
      <c r="A957" t="s">
        <v>353</v>
      </c>
      <c r="C957">
        <v>46037429</v>
      </c>
      <c r="D957" t="s">
        <v>377</v>
      </c>
      <c r="E957" t="s">
        <v>29</v>
      </c>
      <c r="F957" t="s">
        <v>220</v>
      </c>
      <c r="G957" t="s">
        <v>43</v>
      </c>
      <c r="H957">
        <v>2021</v>
      </c>
      <c r="I957" t="s">
        <v>60</v>
      </c>
      <c r="K957" t="s">
        <v>356</v>
      </c>
      <c r="L957" t="s">
        <v>99</v>
      </c>
      <c r="AG957">
        <f t="shared" si="14"/>
        <v>1</v>
      </c>
      <c r="AH957">
        <f>'TABLA PREVIOS'!E957</f>
        <v>273</v>
      </c>
      <c r="AI957">
        <f>VLOOKUP(C957,ALUMNOS!A:B,2,FALSE)</f>
        <v>580</v>
      </c>
    </row>
    <row r="958" spans="1:35" x14ac:dyDescent="0.25">
      <c r="A958" t="s">
        <v>353</v>
      </c>
      <c r="C958">
        <v>46037429</v>
      </c>
      <c r="D958" t="s">
        <v>377</v>
      </c>
      <c r="E958" t="s">
        <v>34</v>
      </c>
      <c r="F958" t="s">
        <v>245</v>
      </c>
      <c r="G958" t="s">
        <v>43</v>
      </c>
      <c r="H958">
        <v>2022</v>
      </c>
      <c r="I958" t="s">
        <v>60</v>
      </c>
      <c r="L958" t="s">
        <v>99</v>
      </c>
      <c r="Q958">
        <v>45475</v>
      </c>
      <c r="R958">
        <v>3</v>
      </c>
      <c r="S958">
        <v>68</v>
      </c>
      <c r="T958">
        <v>83</v>
      </c>
      <c r="AG958">
        <f t="shared" si="14"/>
        <v>1</v>
      </c>
      <c r="AH958">
        <f>'TABLA PREVIOS'!E958</f>
        <v>286</v>
      </c>
      <c r="AI958">
        <f>VLOOKUP(C958,ALUMNOS!A:B,2,FALSE)</f>
        <v>580</v>
      </c>
    </row>
    <row r="959" spans="1:35" x14ac:dyDescent="0.25">
      <c r="A959" t="s">
        <v>353</v>
      </c>
      <c r="C959">
        <v>46037429</v>
      </c>
      <c r="D959" t="s">
        <v>377</v>
      </c>
      <c r="E959" t="s">
        <v>41</v>
      </c>
      <c r="F959" t="s">
        <v>245</v>
      </c>
      <c r="G959" t="s">
        <v>43</v>
      </c>
      <c r="H959">
        <v>2022</v>
      </c>
      <c r="I959" t="s">
        <v>60</v>
      </c>
      <c r="L959" t="s">
        <v>99</v>
      </c>
      <c r="Q959">
        <v>45474</v>
      </c>
      <c r="R959" t="s">
        <v>50</v>
      </c>
      <c r="S959">
        <v>68</v>
      </c>
      <c r="T959">
        <v>66</v>
      </c>
      <c r="AG959">
        <f t="shared" si="14"/>
        <v>1</v>
      </c>
      <c r="AH959">
        <f>'TABLA PREVIOS'!E959</f>
        <v>292</v>
      </c>
      <c r="AI959">
        <f>VLOOKUP(C959,ALUMNOS!A:B,2,FALSE)</f>
        <v>580</v>
      </c>
    </row>
    <row r="960" spans="1:35" x14ac:dyDescent="0.25">
      <c r="A960" t="s">
        <v>353</v>
      </c>
      <c r="C960">
        <v>46037429</v>
      </c>
      <c r="D960" t="s">
        <v>377</v>
      </c>
      <c r="E960" t="s">
        <v>28</v>
      </c>
      <c r="F960" t="s">
        <v>245</v>
      </c>
      <c r="G960" t="s">
        <v>43</v>
      </c>
      <c r="H960">
        <v>2022</v>
      </c>
      <c r="I960" t="s">
        <v>60</v>
      </c>
      <c r="L960" t="s">
        <v>107</v>
      </c>
      <c r="Q960">
        <v>45474</v>
      </c>
      <c r="R960">
        <v>7</v>
      </c>
      <c r="S960">
        <v>68</v>
      </c>
      <c r="T960">
        <v>55</v>
      </c>
      <c r="AG960">
        <f t="shared" si="14"/>
        <v>7</v>
      </c>
      <c r="AH960">
        <f>'TABLA PREVIOS'!E960</f>
        <v>291</v>
      </c>
      <c r="AI960">
        <f>VLOOKUP(C960,ALUMNOS!A:B,2,FALSE)</f>
        <v>580</v>
      </c>
    </row>
    <row r="961" spans="1:35" x14ac:dyDescent="0.25">
      <c r="A961" t="s">
        <v>353</v>
      </c>
      <c r="C961">
        <v>46037429</v>
      </c>
      <c r="D961" t="s">
        <v>377</v>
      </c>
      <c r="E961" t="s">
        <v>16</v>
      </c>
      <c r="F961" t="s">
        <v>245</v>
      </c>
      <c r="G961" t="s">
        <v>43</v>
      </c>
      <c r="H961">
        <v>2022</v>
      </c>
      <c r="I961" t="s">
        <v>60</v>
      </c>
      <c r="L961" t="s">
        <v>99</v>
      </c>
      <c r="AG961">
        <f t="shared" si="14"/>
        <v>1</v>
      </c>
      <c r="AH961">
        <f>'TABLA PREVIOS'!E961</f>
        <v>282</v>
      </c>
      <c r="AI961">
        <f>VLOOKUP(C961,ALUMNOS!A:B,2,FALSE)</f>
        <v>580</v>
      </c>
    </row>
    <row r="962" spans="1:35" x14ac:dyDescent="0.25">
      <c r="A962" t="s">
        <v>353</v>
      </c>
      <c r="C962">
        <v>46037429</v>
      </c>
      <c r="D962" t="s">
        <v>377</v>
      </c>
      <c r="E962" t="s">
        <v>12</v>
      </c>
      <c r="F962" t="s">
        <v>245</v>
      </c>
      <c r="G962" t="s">
        <v>43</v>
      </c>
      <c r="H962">
        <v>2022</v>
      </c>
      <c r="I962" t="s">
        <v>60</v>
      </c>
      <c r="L962" t="s">
        <v>99</v>
      </c>
      <c r="AG962">
        <f t="shared" si="14"/>
        <v>1</v>
      </c>
      <c r="AH962">
        <f>'TABLA PREVIOS'!E962</f>
        <v>280</v>
      </c>
      <c r="AI962">
        <f>VLOOKUP(C962,ALUMNOS!A:B,2,FALSE)</f>
        <v>580</v>
      </c>
    </row>
    <row r="963" spans="1:35" x14ac:dyDescent="0.25">
      <c r="A963" t="s">
        <v>353</v>
      </c>
      <c r="C963">
        <v>46037429</v>
      </c>
      <c r="D963" t="s">
        <v>377</v>
      </c>
      <c r="E963" t="s">
        <v>29</v>
      </c>
      <c r="F963" t="s">
        <v>245</v>
      </c>
      <c r="G963" t="s">
        <v>43</v>
      </c>
      <c r="H963">
        <v>2022</v>
      </c>
      <c r="I963" t="s">
        <v>60</v>
      </c>
      <c r="L963" t="s">
        <v>99</v>
      </c>
      <c r="AG963">
        <f t="shared" ref="AG963:AG1026" si="15">IF(VALUE(MAX(N963,R963,V963,Z963,AC963,))&gt;=7,VALUE(MAX(N963,R963,V963,Z963,AC963,)),1)</f>
        <v>1</v>
      </c>
      <c r="AH963">
        <f>'TABLA PREVIOS'!E963</f>
        <v>290</v>
      </c>
      <c r="AI963">
        <f>VLOOKUP(C963,ALUMNOS!A:B,2,FALSE)</f>
        <v>580</v>
      </c>
    </row>
    <row r="964" spans="1:35" x14ac:dyDescent="0.25">
      <c r="A964" t="s">
        <v>353</v>
      </c>
      <c r="C964">
        <v>45154730</v>
      </c>
      <c r="D964" t="s">
        <v>378</v>
      </c>
      <c r="E964" t="s">
        <v>29</v>
      </c>
      <c r="F964" t="s">
        <v>190</v>
      </c>
      <c r="G964" t="s">
        <v>44</v>
      </c>
      <c r="H964">
        <v>2021</v>
      </c>
      <c r="I964" t="s">
        <v>60</v>
      </c>
      <c r="L964" t="s">
        <v>99</v>
      </c>
      <c r="AG964">
        <f t="shared" si="15"/>
        <v>1</v>
      </c>
      <c r="AH964">
        <f>'TABLA PREVIOS'!E964</f>
        <v>259</v>
      </c>
      <c r="AI964">
        <f>VLOOKUP(C964,ALUMNOS!A:B,2,FALSE)</f>
        <v>582</v>
      </c>
    </row>
    <row r="965" spans="1:35" x14ac:dyDescent="0.25">
      <c r="A965" t="s">
        <v>353</v>
      </c>
      <c r="C965">
        <v>45154730</v>
      </c>
      <c r="D965" t="s">
        <v>378</v>
      </c>
      <c r="E965" t="s">
        <v>30</v>
      </c>
      <c r="F965" t="s">
        <v>220</v>
      </c>
      <c r="G965" t="s">
        <v>44</v>
      </c>
      <c r="H965">
        <v>2021</v>
      </c>
      <c r="I965" t="s">
        <v>60</v>
      </c>
      <c r="L965" t="s">
        <v>99</v>
      </c>
      <c r="AG965">
        <f t="shared" si="15"/>
        <v>1</v>
      </c>
      <c r="AH965">
        <f>'TABLA PREVIOS'!E965</f>
        <v>274</v>
      </c>
      <c r="AI965">
        <f>VLOOKUP(C965,ALUMNOS!A:B,2,FALSE)</f>
        <v>582</v>
      </c>
    </row>
    <row r="966" spans="1:35" x14ac:dyDescent="0.25">
      <c r="A966" t="s">
        <v>353</v>
      </c>
      <c r="C966">
        <v>45154730</v>
      </c>
      <c r="D966" t="s">
        <v>378</v>
      </c>
      <c r="E966" t="s">
        <v>34</v>
      </c>
      <c r="F966" t="s">
        <v>220</v>
      </c>
      <c r="G966" t="s">
        <v>44</v>
      </c>
      <c r="H966">
        <v>2021</v>
      </c>
      <c r="I966" t="s">
        <v>60</v>
      </c>
      <c r="L966" t="s">
        <v>99</v>
      </c>
      <c r="AG966">
        <f t="shared" si="15"/>
        <v>1</v>
      </c>
      <c r="AH966">
        <f>'TABLA PREVIOS'!E966</f>
        <v>275</v>
      </c>
      <c r="AI966">
        <f>VLOOKUP(C966,ALUMNOS!A:B,2,FALSE)</f>
        <v>582</v>
      </c>
    </row>
    <row r="967" spans="1:35" x14ac:dyDescent="0.25">
      <c r="A967" t="s">
        <v>353</v>
      </c>
      <c r="C967">
        <v>45154730</v>
      </c>
      <c r="D967" t="s">
        <v>378</v>
      </c>
      <c r="E967" t="s">
        <v>29</v>
      </c>
      <c r="F967" t="s">
        <v>220</v>
      </c>
      <c r="G967" t="s">
        <v>44</v>
      </c>
      <c r="H967">
        <v>2021</v>
      </c>
      <c r="I967" t="s">
        <v>60</v>
      </c>
      <c r="L967" t="s">
        <v>99</v>
      </c>
      <c r="AG967">
        <f t="shared" si="15"/>
        <v>1</v>
      </c>
      <c r="AH967">
        <f>'TABLA PREVIOS'!E967</f>
        <v>273</v>
      </c>
      <c r="AI967">
        <f>VLOOKUP(C967,ALUMNOS!A:B,2,FALSE)</f>
        <v>582</v>
      </c>
    </row>
    <row r="968" spans="1:35" x14ac:dyDescent="0.25">
      <c r="A968" t="s">
        <v>353</v>
      </c>
      <c r="C968">
        <v>45154730</v>
      </c>
      <c r="D968" t="s">
        <v>378</v>
      </c>
      <c r="E968" t="s">
        <v>34</v>
      </c>
      <c r="F968" t="s">
        <v>245</v>
      </c>
      <c r="G968" t="s">
        <v>43</v>
      </c>
      <c r="H968">
        <v>2022</v>
      </c>
      <c r="I968" t="s">
        <v>60</v>
      </c>
      <c r="L968" t="s">
        <v>99</v>
      </c>
      <c r="AG968">
        <f t="shared" si="15"/>
        <v>1</v>
      </c>
      <c r="AH968">
        <f>'TABLA PREVIOS'!E968</f>
        <v>286</v>
      </c>
      <c r="AI968">
        <f>VLOOKUP(C968,ALUMNOS!A:B,2,FALSE)</f>
        <v>582</v>
      </c>
    </row>
    <row r="969" spans="1:35" x14ac:dyDescent="0.25">
      <c r="A969" t="s">
        <v>353</v>
      </c>
      <c r="C969">
        <v>45154730</v>
      </c>
      <c r="D969" t="s">
        <v>378</v>
      </c>
      <c r="E969" t="s">
        <v>28</v>
      </c>
      <c r="F969" t="s">
        <v>245</v>
      </c>
      <c r="G969" t="s">
        <v>43</v>
      </c>
      <c r="H969">
        <v>2022</v>
      </c>
      <c r="I969" t="s">
        <v>60</v>
      </c>
      <c r="L969" t="s">
        <v>99</v>
      </c>
      <c r="AG969">
        <f t="shared" si="15"/>
        <v>1</v>
      </c>
      <c r="AH969">
        <f>'TABLA PREVIOS'!E969</f>
        <v>291</v>
      </c>
      <c r="AI969">
        <f>VLOOKUP(C969,ALUMNOS!A:B,2,FALSE)</f>
        <v>582</v>
      </c>
    </row>
    <row r="970" spans="1:35" x14ac:dyDescent="0.25">
      <c r="A970" t="s">
        <v>353</v>
      </c>
      <c r="C970">
        <v>45154730</v>
      </c>
      <c r="D970" t="s">
        <v>378</v>
      </c>
      <c r="E970" t="s">
        <v>12</v>
      </c>
      <c r="F970" t="s">
        <v>245</v>
      </c>
      <c r="G970" t="s">
        <v>43</v>
      </c>
      <c r="H970">
        <v>2022</v>
      </c>
      <c r="I970" t="s">
        <v>60</v>
      </c>
      <c r="L970" t="s">
        <v>99</v>
      </c>
      <c r="AG970">
        <f t="shared" si="15"/>
        <v>1</v>
      </c>
      <c r="AH970">
        <f>'TABLA PREVIOS'!E970</f>
        <v>280</v>
      </c>
      <c r="AI970">
        <f>VLOOKUP(C970,ALUMNOS!A:B,2,FALSE)</f>
        <v>582</v>
      </c>
    </row>
    <row r="971" spans="1:35" x14ac:dyDescent="0.25">
      <c r="A971" t="s">
        <v>353</v>
      </c>
      <c r="C971">
        <v>45154730</v>
      </c>
      <c r="D971" t="s">
        <v>378</v>
      </c>
      <c r="E971" t="s">
        <v>29</v>
      </c>
      <c r="F971" t="s">
        <v>245</v>
      </c>
      <c r="G971" t="s">
        <v>43</v>
      </c>
      <c r="H971">
        <v>2022</v>
      </c>
      <c r="I971" t="s">
        <v>60</v>
      </c>
      <c r="L971" t="s">
        <v>99</v>
      </c>
      <c r="AG971">
        <f t="shared" si="15"/>
        <v>1</v>
      </c>
      <c r="AH971">
        <f>'TABLA PREVIOS'!E971</f>
        <v>290</v>
      </c>
      <c r="AI971">
        <f>VLOOKUP(C971,ALUMNOS!A:B,2,FALSE)</f>
        <v>582</v>
      </c>
    </row>
    <row r="972" spans="1:35" x14ac:dyDescent="0.25">
      <c r="A972" t="s">
        <v>353</v>
      </c>
      <c r="C972">
        <v>46275539</v>
      </c>
      <c r="D972" t="s">
        <v>379</v>
      </c>
      <c r="E972" t="s">
        <v>32</v>
      </c>
      <c r="F972" t="s">
        <v>220</v>
      </c>
      <c r="G972" t="s">
        <v>43</v>
      </c>
      <c r="H972">
        <v>2021</v>
      </c>
      <c r="I972" t="s">
        <v>60</v>
      </c>
      <c r="L972" t="s">
        <v>99</v>
      </c>
      <c r="AG972">
        <f t="shared" si="15"/>
        <v>1</v>
      </c>
      <c r="AH972">
        <f>'TABLA PREVIOS'!E972</f>
        <v>277</v>
      </c>
      <c r="AI972">
        <f>VLOOKUP(C972,ALUMNOS!A:B,2,FALSE)</f>
        <v>593</v>
      </c>
    </row>
    <row r="973" spans="1:35" x14ac:dyDescent="0.25">
      <c r="A973" t="s">
        <v>353</v>
      </c>
      <c r="C973">
        <v>46275539</v>
      </c>
      <c r="D973" t="s">
        <v>379</v>
      </c>
      <c r="E973" t="s">
        <v>34</v>
      </c>
      <c r="F973" t="s">
        <v>220</v>
      </c>
      <c r="G973" t="s">
        <v>43</v>
      </c>
      <c r="H973">
        <v>2021</v>
      </c>
      <c r="I973" t="s">
        <v>60</v>
      </c>
      <c r="L973" t="s">
        <v>99</v>
      </c>
      <c r="AG973">
        <f t="shared" si="15"/>
        <v>1</v>
      </c>
      <c r="AH973">
        <f>'TABLA PREVIOS'!E973</f>
        <v>275</v>
      </c>
      <c r="AI973">
        <f>VLOOKUP(C973,ALUMNOS!A:B,2,FALSE)</f>
        <v>593</v>
      </c>
    </row>
    <row r="974" spans="1:35" x14ac:dyDescent="0.25">
      <c r="A974" t="s">
        <v>353</v>
      </c>
      <c r="C974">
        <v>45696578</v>
      </c>
      <c r="D974" t="s">
        <v>380</v>
      </c>
      <c r="E974" t="s">
        <v>11</v>
      </c>
      <c r="F974" t="s">
        <v>95</v>
      </c>
      <c r="G974" t="s">
        <v>43</v>
      </c>
      <c r="H974">
        <v>2018</v>
      </c>
      <c r="I974" t="s">
        <v>59</v>
      </c>
      <c r="L974" t="s">
        <v>99</v>
      </c>
      <c r="AG974">
        <f t="shared" si="15"/>
        <v>1</v>
      </c>
      <c r="AH974">
        <f>'TABLA PREVIOS'!E974</f>
        <v>229</v>
      </c>
      <c r="AI974">
        <f>VLOOKUP(C974,ALUMNOS!A:B,2,FALSE)</f>
        <v>603</v>
      </c>
    </row>
    <row r="975" spans="1:35" x14ac:dyDescent="0.25">
      <c r="A975" t="s">
        <v>353</v>
      </c>
      <c r="C975">
        <v>45696578</v>
      </c>
      <c r="D975" t="s">
        <v>380</v>
      </c>
      <c r="E975" t="s">
        <v>12</v>
      </c>
      <c r="F975" t="s">
        <v>143</v>
      </c>
      <c r="G975" t="s">
        <v>43</v>
      </c>
      <c r="H975">
        <v>2019</v>
      </c>
      <c r="I975" t="s">
        <v>59</v>
      </c>
      <c r="L975" t="s">
        <v>99</v>
      </c>
      <c r="AG975">
        <f t="shared" si="15"/>
        <v>1</v>
      </c>
      <c r="AH975">
        <f>'TABLA PREVIOS'!E975</f>
        <v>240</v>
      </c>
      <c r="AI975">
        <f>VLOOKUP(C975,ALUMNOS!A:B,2,FALSE)</f>
        <v>603</v>
      </c>
    </row>
    <row r="976" spans="1:35" x14ac:dyDescent="0.25">
      <c r="A976" t="s">
        <v>353</v>
      </c>
      <c r="C976">
        <v>45696578</v>
      </c>
      <c r="D976" t="s">
        <v>380</v>
      </c>
      <c r="E976" t="s">
        <v>30</v>
      </c>
      <c r="F976" t="s">
        <v>220</v>
      </c>
      <c r="G976" t="s">
        <v>43</v>
      </c>
      <c r="H976">
        <v>2021</v>
      </c>
      <c r="I976" t="s">
        <v>60</v>
      </c>
      <c r="K976" t="s">
        <v>356</v>
      </c>
      <c r="L976" t="s">
        <v>99</v>
      </c>
      <c r="AG976">
        <f t="shared" si="15"/>
        <v>1</v>
      </c>
      <c r="AH976">
        <f>'TABLA PREVIOS'!E976</f>
        <v>274</v>
      </c>
      <c r="AI976">
        <f>VLOOKUP(C976,ALUMNOS!A:B,2,FALSE)</f>
        <v>603</v>
      </c>
    </row>
    <row r="977" spans="1:35" x14ac:dyDescent="0.25">
      <c r="A977" t="s">
        <v>353</v>
      </c>
      <c r="C977">
        <v>45696578</v>
      </c>
      <c r="D977" t="s">
        <v>380</v>
      </c>
      <c r="E977" t="s">
        <v>32</v>
      </c>
      <c r="F977" t="s">
        <v>220</v>
      </c>
      <c r="G977" t="s">
        <v>43</v>
      </c>
      <c r="H977">
        <v>2021</v>
      </c>
      <c r="I977" t="s">
        <v>60</v>
      </c>
      <c r="K977" t="s">
        <v>356</v>
      </c>
      <c r="L977" t="s">
        <v>99</v>
      </c>
      <c r="AG977">
        <f t="shared" si="15"/>
        <v>1</v>
      </c>
      <c r="AH977">
        <f>'TABLA PREVIOS'!E977</f>
        <v>277</v>
      </c>
      <c r="AI977">
        <f>VLOOKUP(C977,ALUMNOS!A:B,2,FALSE)</f>
        <v>603</v>
      </c>
    </row>
    <row r="978" spans="1:35" x14ac:dyDescent="0.25">
      <c r="A978" t="s">
        <v>353</v>
      </c>
      <c r="C978">
        <v>45696578</v>
      </c>
      <c r="D978" t="s">
        <v>380</v>
      </c>
      <c r="E978" t="s">
        <v>35</v>
      </c>
      <c r="F978" t="s">
        <v>220</v>
      </c>
      <c r="G978" t="s">
        <v>43</v>
      </c>
      <c r="H978">
        <v>2021</v>
      </c>
      <c r="I978" t="s">
        <v>60</v>
      </c>
      <c r="K978" t="s">
        <v>356</v>
      </c>
      <c r="L978" t="s">
        <v>99</v>
      </c>
      <c r="AG978">
        <f t="shared" si="15"/>
        <v>1</v>
      </c>
      <c r="AH978">
        <f>'TABLA PREVIOS'!E978</f>
        <v>276</v>
      </c>
      <c r="AI978">
        <f>VLOOKUP(C978,ALUMNOS!A:B,2,FALSE)</f>
        <v>603</v>
      </c>
    </row>
    <row r="979" spans="1:35" x14ac:dyDescent="0.25">
      <c r="A979" t="s">
        <v>353</v>
      </c>
      <c r="C979">
        <v>45696578</v>
      </c>
      <c r="D979" t="s">
        <v>380</v>
      </c>
      <c r="E979" t="s">
        <v>34</v>
      </c>
      <c r="F979" t="s">
        <v>220</v>
      </c>
      <c r="G979" t="s">
        <v>43</v>
      </c>
      <c r="H979">
        <v>2021</v>
      </c>
      <c r="I979" t="s">
        <v>60</v>
      </c>
      <c r="K979" t="s">
        <v>356</v>
      </c>
      <c r="L979" t="s">
        <v>99</v>
      </c>
      <c r="AG979">
        <f t="shared" si="15"/>
        <v>1</v>
      </c>
      <c r="AH979">
        <f>'TABLA PREVIOS'!E979</f>
        <v>275</v>
      </c>
      <c r="AI979">
        <f>VLOOKUP(C979,ALUMNOS!A:B,2,FALSE)</f>
        <v>603</v>
      </c>
    </row>
    <row r="980" spans="1:35" x14ac:dyDescent="0.25">
      <c r="A980" t="s">
        <v>353</v>
      </c>
      <c r="C980">
        <v>45696578</v>
      </c>
      <c r="D980" t="s">
        <v>380</v>
      </c>
      <c r="E980" t="s">
        <v>29</v>
      </c>
      <c r="F980" t="s">
        <v>220</v>
      </c>
      <c r="G980" t="s">
        <v>43</v>
      </c>
      <c r="H980">
        <v>2021</v>
      </c>
      <c r="I980" t="s">
        <v>60</v>
      </c>
      <c r="K980" t="s">
        <v>356</v>
      </c>
      <c r="L980" t="s">
        <v>99</v>
      </c>
      <c r="AG980">
        <f t="shared" si="15"/>
        <v>1</v>
      </c>
      <c r="AH980">
        <f>'TABLA PREVIOS'!E980</f>
        <v>273</v>
      </c>
      <c r="AI980">
        <f>VLOOKUP(C980,ALUMNOS!A:B,2,FALSE)</f>
        <v>603</v>
      </c>
    </row>
    <row r="981" spans="1:35" x14ac:dyDescent="0.25">
      <c r="A981" t="s">
        <v>353</v>
      </c>
      <c r="C981">
        <v>45696578</v>
      </c>
      <c r="D981" t="s">
        <v>380</v>
      </c>
      <c r="E981" t="s">
        <v>34</v>
      </c>
      <c r="F981" t="s">
        <v>245</v>
      </c>
      <c r="G981" t="s">
        <v>43</v>
      </c>
      <c r="H981">
        <v>2022</v>
      </c>
      <c r="I981" t="s">
        <v>60</v>
      </c>
      <c r="L981" t="s">
        <v>99</v>
      </c>
      <c r="AG981">
        <f t="shared" si="15"/>
        <v>1</v>
      </c>
      <c r="AH981">
        <f>'TABLA PREVIOS'!E981</f>
        <v>286</v>
      </c>
      <c r="AI981">
        <f>VLOOKUP(C981,ALUMNOS!A:B,2,FALSE)</f>
        <v>603</v>
      </c>
    </row>
    <row r="982" spans="1:35" x14ac:dyDescent="0.25">
      <c r="A982" t="s">
        <v>353</v>
      </c>
      <c r="C982">
        <v>45696578</v>
      </c>
      <c r="D982" t="s">
        <v>380</v>
      </c>
      <c r="E982" t="s">
        <v>28</v>
      </c>
      <c r="F982" t="s">
        <v>245</v>
      </c>
      <c r="G982" t="s">
        <v>43</v>
      </c>
      <c r="H982">
        <v>2022</v>
      </c>
      <c r="I982" t="s">
        <v>60</v>
      </c>
      <c r="L982" t="s">
        <v>99</v>
      </c>
      <c r="AG982">
        <f t="shared" si="15"/>
        <v>1</v>
      </c>
      <c r="AH982">
        <f>'TABLA PREVIOS'!E982</f>
        <v>291</v>
      </c>
      <c r="AI982">
        <f>VLOOKUP(C982,ALUMNOS!A:B,2,FALSE)</f>
        <v>603</v>
      </c>
    </row>
    <row r="983" spans="1:35" x14ac:dyDescent="0.25">
      <c r="A983" t="s">
        <v>353</v>
      </c>
      <c r="C983">
        <v>45696578</v>
      </c>
      <c r="D983" t="s">
        <v>380</v>
      </c>
      <c r="E983" t="s">
        <v>12</v>
      </c>
      <c r="F983" t="s">
        <v>245</v>
      </c>
      <c r="G983" t="s">
        <v>43</v>
      </c>
      <c r="H983">
        <v>2022</v>
      </c>
      <c r="I983" t="s">
        <v>60</v>
      </c>
      <c r="L983" t="s">
        <v>99</v>
      </c>
      <c r="AG983">
        <f t="shared" si="15"/>
        <v>1</v>
      </c>
      <c r="AH983">
        <f>'TABLA PREVIOS'!E983</f>
        <v>280</v>
      </c>
      <c r="AI983">
        <f>VLOOKUP(C983,ALUMNOS!A:B,2,FALSE)</f>
        <v>603</v>
      </c>
    </row>
    <row r="984" spans="1:35" x14ac:dyDescent="0.25">
      <c r="A984" t="s">
        <v>353</v>
      </c>
      <c r="C984">
        <v>45696578</v>
      </c>
      <c r="D984" t="s">
        <v>380</v>
      </c>
      <c r="E984" t="s">
        <v>39</v>
      </c>
      <c r="F984" t="s">
        <v>245</v>
      </c>
      <c r="G984" t="s">
        <v>43</v>
      </c>
      <c r="H984">
        <v>2022</v>
      </c>
      <c r="I984" t="s">
        <v>60</v>
      </c>
      <c r="L984" t="s">
        <v>99</v>
      </c>
      <c r="AG984">
        <f t="shared" si="15"/>
        <v>1</v>
      </c>
      <c r="AH984">
        <f>'TABLA PREVIOS'!E984</f>
        <v>288</v>
      </c>
      <c r="AI984">
        <f>VLOOKUP(C984,ALUMNOS!A:B,2,FALSE)</f>
        <v>603</v>
      </c>
    </row>
    <row r="985" spans="1:35" x14ac:dyDescent="0.25">
      <c r="A985" t="s">
        <v>353</v>
      </c>
      <c r="C985">
        <v>45696578</v>
      </c>
      <c r="D985" t="s">
        <v>380</v>
      </c>
      <c r="E985" t="s">
        <v>29</v>
      </c>
      <c r="F985" t="s">
        <v>245</v>
      </c>
      <c r="G985" t="s">
        <v>43</v>
      </c>
      <c r="H985">
        <v>2022</v>
      </c>
      <c r="I985" t="s">
        <v>60</v>
      </c>
      <c r="L985" t="s">
        <v>99</v>
      </c>
      <c r="AG985">
        <f t="shared" si="15"/>
        <v>1</v>
      </c>
      <c r="AH985">
        <f>'TABLA PREVIOS'!E985</f>
        <v>290</v>
      </c>
      <c r="AI985">
        <f>VLOOKUP(C985,ALUMNOS!A:B,2,FALSE)</f>
        <v>603</v>
      </c>
    </row>
    <row r="986" spans="1:35" x14ac:dyDescent="0.25">
      <c r="A986" t="s">
        <v>353</v>
      </c>
      <c r="C986">
        <v>45349579</v>
      </c>
      <c r="D986" t="s">
        <v>381</v>
      </c>
      <c r="E986" t="s">
        <v>30</v>
      </c>
      <c r="F986" t="s">
        <v>220</v>
      </c>
      <c r="G986" t="s">
        <v>43</v>
      </c>
      <c r="H986">
        <v>2021</v>
      </c>
      <c r="I986" t="s">
        <v>60</v>
      </c>
      <c r="L986" t="s">
        <v>99</v>
      </c>
      <c r="AG986">
        <f t="shared" si="15"/>
        <v>1</v>
      </c>
      <c r="AH986">
        <f>'TABLA PREVIOS'!E986</f>
        <v>274</v>
      </c>
      <c r="AI986">
        <f>VLOOKUP(C986,ALUMNOS!A:B,2,FALSE)</f>
        <v>632</v>
      </c>
    </row>
    <row r="987" spans="1:35" x14ac:dyDescent="0.25">
      <c r="A987" t="s">
        <v>353</v>
      </c>
      <c r="C987">
        <v>45349579</v>
      </c>
      <c r="D987" t="s">
        <v>381</v>
      </c>
      <c r="E987" t="s">
        <v>32</v>
      </c>
      <c r="F987" t="s">
        <v>220</v>
      </c>
      <c r="G987" t="s">
        <v>43</v>
      </c>
      <c r="H987">
        <v>2021</v>
      </c>
      <c r="I987" t="s">
        <v>60</v>
      </c>
      <c r="L987" t="s">
        <v>99</v>
      </c>
      <c r="AG987">
        <f t="shared" si="15"/>
        <v>1</v>
      </c>
      <c r="AH987">
        <f>'TABLA PREVIOS'!E987</f>
        <v>277</v>
      </c>
      <c r="AI987">
        <f>VLOOKUP(C987,ALUMNOS!A:B,2,FALSE)</f>
        <v>632</v>
      </c>
    </row>
    <row r="988" spans="1:35" x14ac:dyDescent="0.25">
      <c r="A988" t="s">
        <v>353</v>
      </c>
      <c r="C988">
        <v>45349579</v>
      </c>
      <c r="D988" t="s">
        <v>381</v>
      </c>
      <c r="E988" t="s">
        <v>35</v>
      </c>
      <c r="F988" t="s">
        <v>220</v>
      </c>
      <c r="G988" t="s">
        <v>43</v>
      </c>
      <c r="H988">
        <v>2021</v>
      </c>
      <c r="I988" t="s">
        <v>60</v>
      </c>
      <c r="L988" t="s">
        <v>99</v>
      </c>
      <c r="AG988">
        <f t="shared" si="15"/>
        <v>1</v>
      </c>
      <c r="AH988">
        <f>'TABLA PREVIOS'!E988</f>
        <v>276</v>
      </c>
      <c r="AI988">
        <f>VLOOKUP(C988,ALUMNOS!A:B,2,FALSE)</f>
        <v>632</v>
      </c>
    </row>
    <row r="989" spans="1:35" x14ac:dyDescent="0.25">
      <c r="A989" t="s">
        <v>353</v>
      </c>
      <c r="C989">
        <v>45349579</v>
      </c>
      <c r="D989" t="s">
        <v>381</v>
      </c>
      <c r="E989" t="s">
        <v>34</v>
      </c>
      <c r="F989" t="s">
        <v>220</v>
      </c>
      <c r="G989" t="s">
        <v>43</v>
      </c>
      <c r="H989">
        <v>2021</v>
      </c>
      <c r="I989" t="s">
        <v>60</v>
      </c>
      <c r="L989" t="s">
        <v>99</v>
      </c>
      <c r="AG989">
        <f t="shared" si="15"/>
        <v>1</v>
      </c>
      <c r="AH989">
        <f>'TABLA PREVIOS'!E989</f>
        <v>275</v>
      </c>
      <c r="AI989">
        <f>VLOOKUP(C989,ALUMNOS!A:B,2,FALSE)</f>
        <v>632</v>
      </c>
    </row>
    <row r="990" spans="1:35" x14ac:dyDescent="0.25">
      <c r="A990" t="s">
        <v>353</v>
      </c>
      <c r="C990">
        <v>45349579</v>
      </c>
      <c r="D990" t="s">
        <v>381</v>
      </c>
      <c r="E990" t="s">
        <v>11</v>
      </c>
      <c r="F990" t="s">
        <v>220</v>
      </c>
      <c r="G990" t="s">
        <v>43</v>
      </c>
      <c r="H990">
        <v>2021</v>
      </c>
      <c r="I990" t="s">
        <v>60</v>
      </c>
      <c r="L990" t="s">
        <v>99</v>
      </c>
      <c r="AG990">
        <f t="shared" si="15"/>
        <v>1</v>
      </c>
      <c r="AH990">
        <f>'TABLA PREVIOS'!E990</f>
        <v>264</v>
      </c>
      <c r="AI990">
        <f>VLOOKUP(C990,ALUMNOS!A:B,2,FALSE)</f>
        <v>632</v>
      </c>
    </row>
    <row r="991" spans="1:35" x14ac:dyDescent="0.25">
      <c r="A991" t="s">
        <v>353</v>
      </c>
      <c r="C991">
        <v>45349579</v>
      </c>
      <c r="D991" t="s">
        <v>381</v>
      </c>
      <c r="E991" t="s">
        <v>12</v>
      </c>
      <c r="F991" t="s">
        <v>220</v>
      </c>
      <c r="G991" t="s">
        <v>43</v>
      </c>
      <c r="H991">
        <v>2021</v>
      </c>
      <c r="I991" t="s">
        <v>60</v>
      </c>
      <c r="L991" t="s">
        <v>99</v>
      </c>
      <c r="AG991">
        <f t="shared" si="15"/>
        <v>1</v>
      </c>
      <c r="AH991">
        <f>'TABLA PREVIOS'!E991</f>
        <v>265</v>
      </c>
      <c r="AI991">
        <f>VLOOKUP(C991,ALUMNOS!A:B,2,FALSE)</f>
        <v>632</v>
      </c>
    </row>
    <row r="992" spans="1:35" x14ac:dyDescent="0.25">
      <c r="A992" t="s">
        <v>353</v>
      </c>
      <c r="C992">
        <v>45349579</v>
      </c>
      <c r="D992" t="s">
        <v>381</v>
      </c>
      <c r="E992" t="s">
        <v>29</v>
      </c>
      <c r="F992" t="s">
        <v>220</v>
      </c>
      <c r="G992" t="s">
        <v>43</v>
      </c>
      <c r="H992">
        <v>2021</v>
      </c>
      <c r="I992" t="s">
        <v>60</v>
      </c>
      <c r="L992" t="s">
        <v>99</v>
      </c>
      <c r="AG992">
        <f t="shared" si="15"/>
        <v>1</v>
      </c>
      <c r="AH992">
        <f>'TABLA PREVIOS'!E992</f>
        <v>273</v>
      </c>
      <c r="AI992">
        <f>VLOOKUP(C992,ALUMNOS!A:B,2,FALSE)</f>
        <v>632</v>
      </c>
    </row>
    <row r="993" spans="1:35" x14ac:dyDescent="0.25">
      <c r="A993" t="s">
        <v>353</v>
      </c>
      <c r="C993">
        <v>45349579</v>
      </c>
      <c r="D993" t="s">
        <v>381</v>
      </c>
      <c r="E993" t="s">
        <v>37</v>
      </c>
      <c r="F993" t="s">
        <v>245</v>
      </c>
      <c r="G993" t="s">
        <v>43</v>
      </c>
      <c r="H993">
        <v>2022</v>
      </c>
      <c r="I993" t="s">
        <v>60</v>
      </c>
      <c r="L993" t="s">
        <v>99</v>
      </c>
      <c r="AG993">
        <f t="shared" si="15"/>
        <v>1</v>
      </c>
      <c r="AH993">
        <f>'TABLA PREVIOS'!E993</f>
        <v>284</v>
      </c>
      <c r="AI993">
        <f>VLOOKUP(C993,ALUMNOS!A:B,2,FALSE)</f>
        <v>632</v>
      </c>
    </row>
    <row r="994" spans="1:35" x14ac:dyDescent="0.25">
      <c r="A994" t="s">
        <v>353</v>
      </c>
      <c r="C994">
        <v>45349579</v>
      </c>
      <c r="D994" t="s">
        <v>381</v>
      </c>
      <c r="E994" t="s">
        <v>34</v>
      </c>
      <c r="F994" t="s">
        <v>245</v>
      </c>
      <c r="G994" t="s">
        <v>43</v>
      </c>
      <c r="H994">
        <v>2022</v>
      </c>
      <c r="I994" t="s">
        <v>60</v>
      </c>
      <c r="L994" t="s">
        <v>99</v>
      </c>
      <c r="AG994">
        <f t="shared" si="15"/>
        <v>1</v>
      </c>
      <c r="AH994">
        <f>'TABLA PREVIOS'!E994</f>
        <v>286</v>
      </c>
      <c r="AI994">
        <f>VLOOKUP(C994,ALUMNOS!A:B,2,FALSE)</f>
        <v>632</v>
      </c>
    </row>
    <row r="995" spans="1:35" x14ac:dyDescent="0.25">
      <c r="A995" t="s">
        <v>353</v>
      </c>
      <c r="C995">
        <v>45349579</v>
      </c>
      <c r="D995" t="s">
        <v>381</v>
      </c>
      <c r="E995" t="s">
        <v>10</v>
      </c>
      <c r="F995" t="s">
        <v>245</v>
      </c>
      <c r="G995" t="s">
        <v>43</v>
      </c>
      <c r="H995">
        <v>2022</v>
      </c>
      <c r="I995" t="s">
        <v>60</v>
      </c>
      <c r="L995" t="s">
        <v>99</v>
      </c>
      <c r="AG995">
        <f t="shared" si="15"/>
        <v>1</v>
      </c>
      <c r="AH995">
        <f>'TABLA PREVIOS'!E995</f>
        <v>278</v>
      </c>
      <c r="AI995">
        <f>VLOOKUP(C995,ALUMNOS!A:B,2,FALSE)</f>
        <v>632</v>
      </c>
    </row>
    <row r="996" spans="1:35" x14ac:dyDescent="0.25">
      <c r="A996" t="s">
        <v>353</v>
      </c>
      <c r="C996">
        <v>45349579</v>
      </c>
      <c r="D996" t="s">
        <v>381</v>
      </c>
      <c r="E996" t="s">
        <v>28</v>
      </c>
      <c r="F996" t="s">
        <v>245</v>
      </c>
      <c r="G996" t="s">
        <v>43</v>
      </c>
      <c r="H996">
        <v>2022</v>
      </c>
      <c r="I996" t="s">
        <v>60</v>
      </c>
      <c r="L996" t="s">
        <v>99</v>
      </c>
      <c r="AG996">
        <f t="shared" si="15"/>
        <v>1</v>
      </c>
      <c r="AH996">
        <f>'TABLA PREVIOS'!E996</f>
        <v>291</v>
      </c>
      <c r="AI996">
        <f>VLOOKUP(C996,ALUMNOS!A:B,2,FALSE)</f>
        <v>632</v>
      </c>
    </row>
    <row r="997" spans="1:35" x14ac:dyDescent="0.25">
      <c r="A997" t="s">
        <v>353</v>
      </c>
      <c r="C997">
        <v>45349579</v>
      </c>
      <c r="D997" t="s">
        <v>381</v>
      </c>
      <c r="E997" t="s">
        <v>11</v>
      </c>
      <c r="F997" t="s">
        <v>245</v>
      </c>
      <c r="G997" t="s">
        <v>43</v>
      </c>
      <c r="H997">
        <v>2022</v>
      </c>
      <c r="I997" t="s">
        <v>60</v>
      </c>
      <c r="L997" t="s">
        <v>99</v>
      </c>
      <c r="AG997">
        <f t="shared" si="15"/>
        <v>1</v>
      </c>
      <c r="AH997">
        <f>'TABLA PREVIOS'!E997</f>
        <v>279</v>
      </c>
      <c r="AI997">
        <f>VLOOKUP(C997,ALUMNOS!A:B,2,FALSE)</f>
        <v>632</v>
      </c>
    </row>
    <row r="998" spans="1:35" x14ac:dyDescent="0.25">
      <c r="A998" t="s">
        <v>353</v>
      </c>
      <c r="C998">
        <v>45349579</v>
      </c>
      <c r="D998" t="s">
        <v>381</v>
      </c>
      <c r="E998" t="s">
        <v>12</v>
      </c>
      <c r="F998" t="s">
        <v>245</v>
      </c>
      <c r="G998" t="s">
        <v>43</v>
      </c>
      <c r="H998">
        <v>2022</v>
      </c>
      <c r="I998" t="s">
        <v>60</v>
      </c>
      <c r="L998" t="s">
        <v>99</v>
      </c>
      <c r="AG998">
        <f t="shared" si="15"/>
        <v>1</v>
      </c>
      <c r="AH998">
        <f>'TABLA PREVIOS'!E998</f>
        <v>280</v>
      </c>
      <c r="AI998">
        <f>VLOOKUP(C998,ALUMNOS!A:B,2,FALSE)</f>
        <v>632</v>
      </c>
    </row>
    <row r="999" spans="1:35" x14ac:dyDescent="0.25">
      <c r="A999" t="s">
        <v>353</v>
      </c>
      <c r="C999">
        <v>45349579</v>
      </c>
      <c r="D999" t="s">
        <v>381</v>
      </c>
      <c r="E999" t="s">
        <v>25</v>
      </c>
      <c r="F999" t="s">
        <v>245</v>
      </c>
      <c r="G999" t="s">
        <v>43</v>
      </c>
      <c r="H999">
        <v>2022</v>
      </c>
      <c r="I999" t="s">
        <v>60</v>
      </c>
      <c r="L999" t="s">
        <v>99</v>
      </c>
      <c r="AG999">
        <f t="shared" si="15"/>
        <v>1</v>
      </c>
      <c r="AH999">
        <f>'TABLA PREVIOS'!E999</f>
        <v>281</v>
      </c>
      <c r="AI999">
        <f>VLOOKUP(C999,ALUMNOS!A:B,2,FALSE)</f>
        <v>632</v>
      </c>
    </row>
    <row r="1000" spans="1:35" x14ac:dyDescent="0.25">
      <c r="A1000" t="s">
        <v>353</v>
      </c>
      <c r="C1000">
        <v>45349579</v>
      </c>
      <c r="D1000" t="s">
        <v>381</v>
      </c>
      <c r="E1000" t="s">
        <v>39</v>
      </c>
      <c r="F1000" t="s">
        <v>245</v>
      </c>
      <c r="G1000" t="s">
        <v>43</v>
      </c>
      <c r="H1000">
        <v>2022</v>
      </c>
      <c r="I1000" t="s">
        <v>60</v>
      </c>
      <c r="L1000" t="s">
        <v>99</v>
      </c>
      <c r="AG1000">
        <f t="shared" si="15"/>
        <v>1</v>
      </c>
      <c r="AH1000">
        <f>'TABLA PREVIOS'!E1000</f>
        <v>288</v>
      </c>
      <c r="AI1000">
        <f>VLOOKUP(C1000,ALUMNOS!A:B,2,FALSE)</f>
        <v>632</v>
      </c>
    </row>
    <row r="1001" spans="1:35" x14ac:dyDescent="0.25">
      <c r="A1001" t="s">
        <v>353</v>
      </c>
      <c r="C1001">
        <v>45349579</v>
      </c>
      <c r="D1001" t="s">
        <v>381</v>
      </c>
      <c r="E1001" t="s">
        <v>29</v>
      </c>
      <c r="F1001" t="s">
        <v>245</v>
      </c>
      <c r="G1001" t="s">
        <v>43</v>
      </c>
      <c r="H1001">
        <v>2022</v>
      </c>
      <c r="I1001" t="s">
        <v>60</v>
      </c>
      <c r="L1001" t="s">
        <v>99</v>
      </c>
      <c r="AG1001">
        <f t="shared" si="15"/>
        <v>1</v>
      </c>
      <c r="AH1001">
        <f>'TABLA PREVIOS'!E1001</f>
        <v>290</v>
      </c>
      <c r="AI1001">
        <f>VLOOKUP(C1001,ALUMNOS!A:B,2,FALSE)</f>
        <v>632</v>
      </c>
    </row>
    <row r="1002" spans="1:35" x14ac:dyDescent="0.25">
      <c r="A1002" t="s">
        <v>353</v>
      </c>
      <c r="C1002">
        <v>45561753</v>
      </c>
      <c r="D1002" t="s">
        <v>382</v>
      </c>
      <c r="E1002" t="s">
        <v>34</v>
      </c>
      <c r="F1002" t="s">
        <v>245</v>
      </c>
      <c r="G1002" t="s">
        <v>43</v>
      </c>
      <c r="H1002">
        <v>2022</v>
      </c>
      <c r="I1002" t="s">
        <v>60</v>
      </c>
      <c r="L1002" t="s">
        <v>99</v>
      </c>
      <c r="AG1002">
        <f t="shared" si="15"/>
        <v>1</v>
      </c>
      <c r="AH1002">
        <f>'TABLA PREVIOS'!E1002</f>
        <v>286</v>
      </c>
      <c r="AI1002">
        <f>VLOOKUP(C1002,ALUMNOS!A:B,2,FALSE)</f>
        <v>648</v>
      </c>
    </row>
    <row r="1003" spans="1:35" x14ac:dyDescent="0.25">
      <c r="A1003" t="s">
        <v>353</v>
      </c>
      <c r="C1003">
        <v>45561753</v>
      </c>
      <c r="D1003" t="s">
        <v>382</v>
      </c>
      <c r="E1003" t="s">
        <v>41</v>
      </c>
      <c r="F1003" t="s">
        <v>245</v>
      </c>
      <c r="G1003" t="s">
        <v>43</v>
      </c>
      <c r="H1003">
        <v>2022</v>
      </c>
      <c r="I1003" t="s">
        <v>60</v>
      </c>
      <c r="L1003" t="s">
        <v>99</v>
      </c>
      <c r="AG1003">
        <f t="shared" si="15"/>
        <v>1</v>
      </c>
      <c r="AH1003">
        <f>'TABLA PREVIOS'!E1003</f>
        <v>292</v>
      </c>
      <c r="AI1003">
        <f>VLOOKUP(C1003,ALUMNOS!A:B,2,FALSE)</f>
        <v>648</v>
      </c>
    </row>
    <row r="1004" spans="1:35" x14ac:dyDescent="0.25">
      <c r="A1004" t="s">
        <v>353</v>
      </c>
      <c r="C1004">
        <v>45561753</v>
      </c>
      <c r="D1004" t="s">
        <v>382</v>
      </c>
      <c r="E1004" t="s">
        <v>16</v>
      </c>
      <c r="F1004" t="s">
        <v>245</v>
      </c>
      <c r="G1004" t="s">
        <v>43</v>
      </c>
      <c r="H1004">
        <v>2022</v>
      </c>
      <c r="I1004" t="s">
        <v>60</v>
      </c>
      <c r="L1004" t="s">
        <v>99</v>
      </c>
      <c r="AG1004">
        <f t="shared" si="15"/>
        <v>1</v>
      </c>
      <c r="AH1004">
        <f>'TABLA PREVIOS'!E1004</f>
        <v>282</v>
      </c>
      <c r="AI1004">
        <f>VLOOKUP(C1004,ALUMNOS!A:B,2,FALSE)</f>
        <v>648</v>
      </c>
    </row>
    <row r="1005" spans="1:35" x14ac:dyDescent="0.25">
      <c r="A1005" t="s">
        <v>353</v>
      </c>
      <c r="C1005">
        <v>45561753</v>
      </c>
      <c r="D1005" t="s">
        <v>382</v>
      </c>
      <c r="E1005" t="s">
        <v>11</v>
      </c>
      <c r="F1005" t="s">
        <v>245</v>
      </c>
      <c r="G1005" t="s">
        <v>43</v>
      </c>
      <c r="H1005">
        <v>2022</v>
      </c>
      <c r="I1005" t="s">
        <v>60</v>
      </c>
      <c r="L1005" t="s">
        <v>99</v>
      </c>
      <c r="AG1005">
        <f t="shared" si="15"/>
        <v>1</v>
      </c>
      <c r="AH1005">
        <f>'TABLA PREVIOS'!E1005</f>
        <v>279</v>
      </c>
      <c r="AI1005">
        <f>VLOOKUP(C1005,ALUMNOS!A:B,2,FALSE)</f>
        <v>648</v>
      </c>
    </row>
    <row r="1006" spans="1:35" x14ac:dyDescent="0.25">
      <c r="A1006" t="s">
        <v>353</v>
      </c>
      <c r="C1006">
        <v>45561753</v>
      </c>
      <c r="D1006" t="s">
        <v>382</v>
      </c>
      <c r="E1006" t="s">
        <v>12</v>
      </c>
      <c r="F1006" t="s">
        <v>245</v>
      </c>
      <c r="G1006" t="s">
        <v>43</v>
      </c>
      <c r="H1006">
        <v>2022</v>
      </c>
      <c r="I1006" t="s">
        <v>60</v>
      </c>
      <c r="L1006" t="s">
        <v>99</v>
      </c>
      <c r="AG1006">
        <f t="shared" si="15"/>
        <v>1</v>
      </c>
      <c r="AH1006">
        <f>'TABLA PREVIOS'!E1006</f>
        <v>280</v>
      </c>
      <c r="AI1006">
        <f>VLOOKUP(C1006,ALUMNOS!A:B,2,FALSE)</f>
        <v>648</v>
      </c>
    </row>
    <row r="1007" spans="1:35" x14ac:dyDescent="0.25">
      <c r="A1007" t="s">
        <v>353</v>
      </c>
      <c r="C1007">
        <v>45561753</v>
      </c>
      <c r="D1007" t="s">
        <v>382</v>
      </c>
      <c r="E1007" t="s">
        <v>25</v>
      </c>
      <c r="F1007" t="s">
        <v>245</v>
      </c>
      <c r="G1007" t="s">
        <v>43</v>
      </c>
      <c r="H1007">
        <v>2022</v>
      </c>
      <c r="I1007" t="s">
        <v>60</v>
      </c>
      <c r="L1007" t="s">
        <v>99</v>
      </c>
      <c r="AG1007">
        <f t="shared" si="15"/>
        <v>1</v>
      </c>
      <c r="AH1007">
        <f>'TABLA PREVIOS'!E1007</f>
        <v>281</v>
      </c>
      <c r="AI1007">
        <f>VLOOKUP(C1007,ALUMNOS!A:B,2,FALSE)</f>
        <v>648</v>
      </c>
    </row>
    <row r="1008" spans="1:35" x14ac:dyDescent="0.25">
      <c r="A1008" t="s">
        <v>353</v>
      </c>
      <c r="C1008">
        <v>45561753</v>
      </c>
      <c r="D1008" t="s">
        <v>382</v>
      </c>
      <c r="E1008" t="s">
        <v>39</v>
      </c>
      <c r="F1008" t="s">
        <v>245</v>
      </c>
      <c r="G1008" t="s">
        <v>43</v>
      </c>
      <c r="H1008">
        <v>2022</v>
      </c>
      <c r="I1008" t="s">
        <v>60</v>
      </c>
      <c r="L1008" t="s">
        <v>99</v>
      </c>
      <c r="AG1008">
        <f t="shared" si="15"/>
        <v>1</v>
      </c>
      <c r="AH1008">
        <f>'TABLA PREVIOS'!E1008</f>
        <v>288</v>
      </c>
      <c r="AI1008">
        <f>VLOOKUP(C1008,ALUMNOS!A:B,2,FALSE)</f>
        <v>648</v>
      </c>
    </row>
    <row r="1009" spans="1:35" x14ac:dyDescent="0.25">
      <c r="A1009" t="s">
        <v>353</v>
      </c>
      <c r="C1009">
        <v>45561753</v>
      </c>
      <c r="D1009" t="s">
        <v>382</v>
      </c>
      <c r="E1009" t="s">
        <v>29</v>
      </c>
      <c r="F1009" t="s">
        <v>245</v>
      </c>
      <c r="G1009" t="s">
        <v>43</v>
      </c>
      <c r="H1009">
        <v>2022</v>
      </c>
      <c r="I1009" t="s">
        <v>60</v>
      </c>
      <c r="L1009" t="s">
        <v>99</v>
      </c>
      <c r="AG1009">
        <f t="shared" si="15"/>
        <v>1</v>
      </c>
      <c r="AH1009">
        <f>'TABLA PREVIOS'!E1009</f>
        <v>290</v>
      </c>
      <c r="AI1009">
        <f>VLOOKUP(C1009,ALUMNOS!A:B,2,FALSE)</f>
        <v>648</v>
      </c>
    </row>
    <row r="1010" spans="1:35" x14ac:dyDescent="0.25">
      <c r="A1010" t="s">
        <v>353</v>
      </c>
      <c r="C1010">
        <v>45092222</v>
      </c>
      <c r="D1010" t="s">
        <v>383</v>
      </c>
      <c r="E1010" t="s">
        <v>30</v>
      </c>
      <c r="F1010" t="s">
        <v>220</v>
      </c>
      <c r="G1010" t="s">
        <v>43</v>
      </c>
      <c r="H1010">
        <v>2021</v>
      </c>
      <c r="I1010" t="s">
        <v>60</v>
      </c>
      <c r="K1010" t="s">
        <v>356</v>
      </c>
      <c r="L1010" t="s">
        <v>99</v>
      </c>
      <c r="AG1010">
        <f t="shared" si="15"/>
        <v>1</v>
      </c>
      <c r="AH1010">
        <f>'TABLA PREVIOS'!E1010</f>
        <v>274</v>
      </c>
      <c r="AI1010">
        <f>VLOOKUP(C1010,ALUMNOS!A:B,2,FALSE)</f>
        <v>651</v>
      </c>
    </row>
    <row r="1011" spans="1:35" x14ac:dyDescent="0.25">
      <c r="A1011" t="s">
        <v>353</v>
      </c>
      <c r="C1011">
        <v>45092222</v>
      </c>
      <c r="D1011" t="s">
        <v>383</v>
      </c>
      <c r="E1011" t="s">
        <v>32</v>
      </c>
      <c r="F1011" t="s">
        <v>220</v>
      </c>
      <c r="G1011" t="s">
        <v>43</v>
      </c>
      <c r="H1011">
        <v>2021</v>
      </c>
      <c r="I1011" t="s">
        <v>60</v>
      </c>
      <c r="K1011" t="s">
        <v>356</v>
      </c>
      <c r="L1011" t="s">
        <v>99</v>
      </c>
      <c r="AG1011">
        <f t="shared" si="15"/>
        <v>1</v>
      </c>
      <c r="AH1011">
        <f>'TABLA PREVIOS'!E1011</f>
        <v>277</v>
      </c>
      <c r="AI1011">
        <f>VLOOKUP(C1011,ALUMNOS!A:B,2,FALSE)</f>
        <v>651</v>
      </c>
    </row>
    <row r="1012" spans="1:35" x14ac:dyDescent="0.25">
      <c r="A1012" t="s">
        <v>353</v>
      </c>
      <c r="C1012">
        <v>45092222</v>
      </c>
      <c r="D1012" t="s">
        <v>383</v>
      </c>
      <c r="E1012" t="s">
        <v>35</v>
      </c>
      <c r="F1012" t="s">
        <v>220</v>
      </c>
      <c r="G1012" t="s">
        <v>43</v>
      </c>
      <c r="H1012">
        <v>2021</v>
      </c>
      <c r="I1012" t="s">
        <v>60</v>
      </c>
      <c r="K1012" t="s">
        <v>356</v>
      </c>
      <c r="L1012" t="s">
        <v>99</v>
      </c>
      <c r="AG1012">
        <f t="shared" si="15"/>
        <v>1</v>
      </c>
      <c r="AH1012">
        <f>'TABLA PREVIOS'!E1012</f>
        <v>276</v>
      </c>
      <c r="AI1012">
        <f>VLOOKUP(C1012,ALUMNOS!A:B,2,FALSE)</f>
        <v>651</v>
      </c>
    </row>
    <row r="1013" spans="1:35" x14ac:dyDescent="0.25">
      <c r="A1013" t="s">
        <v>353</v>
      </c>
      <c r="C1013">
        <v>45092222</v>
      </c>
      <c r="D1013" t="s">
        <v>383</v>
      </c>
      <c r="E1013" t="s">
        <v>34</v>
      </c>
      <c r="F1013" t="s">
        <v>220</v>
      </c>
      <c r="G1013" t="s">
        <v>43</v>
      </c>
      <c r="H1013">
        <v>2021</v>
      </c>
      <c r="I1013" t="s">
        <v>60</v>
      </c>
      <c r="K1013" t="s">
        <v>356</v>
      </c>
      <c r="L1013" t="s">
        <v>99</v>
      </c>
      <c r="AG1013">
        <f t="shared" si="15"/>
        <v>1</v>
      </c>
      <c r="AH1013">
        <f>'TABLA PREVIOS'!E1013</f>
        <v>275</v>
      </c>
      <c r="AI1013">
        <f>VLOOKUP(C1013,ALUMNOS!A:B,2,FALSE)</f>
        <v>651</v>
      </c>
    </row>
    <row r="1014" spans="1:35" x14ac:dyDescent="0.25">
      <c r="A1014" t="s">
        <v>353</v>
      </c>
      <c r="C1014">
        <v>45092222</v>
      </c>
      <c r="D1014" t="s">
        <v>383</v>
      </c>
      <c r="E1014" t="s">
        <v>26</v>
      </c>
      <c r="F1014" t="s">
        <v>220</v>
      </c>
      <c r="G1014" t="s">
        <v>43</v>
      </c>
      <c r="H1014">
        <v>2021</v>
      </c>
      <c r="I1014" t="s">
        <v>60</v>
      </c>
      <c r="L1014" t="s">
        <v>99</v>
      </c>
      <c r="AG1014">
        <f t="shared" si="15"/>
        <v>1</v>
      </c>
      <c r="AH1014">
        <f>'TABLA PREVIOS'!E1014</f>
        <v>267</v>
      </c>
      <c r="AI1014">
        <f>VLOOKUP(C1014,ALUMNOS!A:B,2,FALSE)</f>
        <v>651</v>
      </c>
    </row>
    <row r="1015" spans="1:35" x14ac:dyDescent="0.25">
      <c r="A1015" t="s">
        <v>353</v>
      </c>
      <c r="C1015">
        <v>45092222</v>
      </c>
      <c r="D1015" t="s">
        <v>383</v>
      </c>
      <c r="E1015" t="s">
        <v>27</v>
      </c>
      <c r="F1015" t="s">
        <v>220</v>
      </c>
      <c r="G1015" t="s">
        <v>43</v>
      </c>
      <c r="H1015">
        <v>2021</v>
      </c>
      <c r="I1015" t="s">
        <v>60</v>
      </c>
      <c r="L1015" t="s">
        <v>99</v>
      </c>
      <c r="AG1015">
        <f t="shared" si="15"/>
        <v>1</v>
      </c>
      <c r="AH1015">
        <f>'TABLA PREVIOS'!E1015</f>
        <v>268</v>
      </c>
      <c r="AI1015">
        <f>VLOOKUP(C1015,ALUMNOS!A:B,2,FALSE)</f>
        <v>651</v>
      </c>
    </row>
    <row r="1016" spans="1:35" x14ac:dyDescent="0.25">
      <c r="A1016" t="s">
        <v>353</v>
      </c>
      <c r="C1016">
        <v>45092222</v>
      </c>
      <c r="D1016" t="s">
        <v>383</v>
      </c>
      <c r="E1016" t="s">
        <v>12</v>
      </c>
      <c r="F1016" t="s">
        <v>220</v>
      </c>
      <c r="G1016" t="s">
        <v>43</v>
      </c>
      <c r="H1016">
        <v>2021</v>
      </c>
      <c r="I1016" t="s">
        <v>60</v>
      </c>
      <c r="L1016" t="s">
        <v>99</v>
      </c>
      <c r="AG1016">
        <f t="shared" si="15"/>
        <v>1</v>
      </c>
      <c r="AH1016">
        <f>'TABLA PREVIOS'!E1016</f>
        <v>265</v>
      </c>
      <c r="AI1016">
        <f>VLOOKUP(C1016,ALUMNOS!A:B,2,FALSE)</f>
        <v>651</v>
      </c>
    </row>
    <row r="1017" spans="1:35" x14ac:dyDescent="0.25">
      <c r="A1017" t="s">
        <v>353</v>
      </c>
      <c r="C1017">
        <v>45092222</v>
      </c>
      <c r="D1017" t="s">
        <v>383</v>
      </c>
      <c r="E1017" t="s">
        <v>33</v>
      </c>
      <c r="F1017" t="s">
        <v>220</v>
      </c>
      <c r="G1017" t="s">
        <v>43</v>
      </c>
      <c r="H1017">
        <v>2021</v>
      </c>
      <c r="I1017" t="s">
        <v>60</v>
      </c>
      <c r="L1017" t="s">
        <v>99</v>
      </c>
      <c r="AG1017">
        <f t="shared" si="15"/>
        <v>1</v>
      </c>
      <c r="AH1017">
        <f>'TABLA PREVIOS'!E1017</f>
        <v>271</v>
      </c>
      <c r="AI1017">
        <f>VLOOKUP(C1017,ALUMNOS!A:B,2,FALSE)</f>
        <v>651</v>
      </c>
    </row>
    <row r="1018" spans="1:35" x14ac:dyDescent="0.25">
      <c r="A1018" t="s">
        <v>353</v>
      </c>
      <c r="C1018">
        <v>45092222</v>
      </c>
      <c r="D1018" t="s">
        <v>383</v>
      </c>
      <c r="E1018" t="s">
        <v>29</v>
      </c>
      <c r="F1018" t="s">
        <v>220</v>
      </c>
      <c r="G1018" t="s">
        <v>43</v>
      </c>
      <c r="H1018">
        <v>2021</v>
      </c>
      <c r="I1018" t="s">
        <v>60</v>
      </c>
      <c r="K1018" t="s">
        <v>356</v>
      </c>
      <c r="L1018" t="s">
        <v>99</v>
      </c>
      <c r="AG1018">
        <f t="shared" si="15"/>
        <v>1</v>
      </c>
      <c r="AH1018">
        <f>'TABLA PREVIOS'!E1018</f>
        <v>273</v>
      </c>
      <c r="AI1018">
        <f>VLOOKUP(C1018,ALUMNOS!A:B,2,FALSE)</f>
        <v>651</v>
      </c>
    </row>
    <row r="1019" spans="1:35" x14ac:dyDescent="0.25">
      <c r="A1019" t="s">
        <v>353</v>
      </c>
      <c r="C1019">
        <v>45092222</v>
      </c>
      <c r="D1019" t="s">
        <v>383</v>
      </c>
      <c r="E1019" t="s">
        <v>30</v>
      </c>
      <c r="F1019" t="s">
        <v>245</v>
      </c>
      <c r="G1019" t="s">
        <v>43</v>
      </c>
      <c r="H1019">
        <v>2022</v>
      </c>
      <c r="I1019" t="s">
        <v>60</v>
      </c>
      <c r="L1019" t="s">
        <v>99</v>
      </c>
      <c r="AG1019">
        <f t="shared" si="15"/>
        <v>1</v>
      </c>
      <c r="AH1019">
        <f>'TABLA PREVIOS'!E1019</f>
        <v>285</v>
      </c>
      <c r="AI1019">
        <f>VLOOKUP(C1019,ALUMNOS!A:B,2,FALSE)</f>
        <v>651</v>
      </c>
    </row>
    <row r="1020" spans="1:35" x14ac:dyDescent="0.25">
      <c r="A1020" t="s">
        <v>353</v>
      </c>
      <c r="C1020">
        <v>45092222</v>
      </c>
      <c r="D1020" t="s">
        <v>383</v>
      </c>
      <c r="E1020" t="s">
        <v>38</v>
      </c>
      <c r="F1020" t="s">
        <v>245</v>
      </c>
      <c r="G1020" t="s">
        <v>43</v>
      </c>
      <c r="H1020">
        <v>2022</v>
      </c>
      <c r="I1020" t="s">
        <v>60</v>
      </c>
      <c r="L1020" t="s">
        <v>99</v>
      </c>
      <c r="AG1020">
        <f t="shared" si="15"/>
        <v>1</v>
      </c>
      <c r="AH1020">
        <f>'TABLA PREVIOS'!E1020</f>
        <v>287</v>
      </c>
      <c r="AI1020">
        <f>VLOOKUP(C1020,ALUMNOS!A:B,2,FALSE)</f>
        <v>651</v>
      </c>
    </row>
    <row r="1021" spans="1:35" x14ac:dyDescent="0.25">
      <c r="A1021" t="s">
        <v>353</v>
      </c>
      <c r="C1021">
        <v>45092222</v>
      </c>
      <c r="D1021" t="s">
        <v>383</v>
      </c>
      <c r="E1021" t="s">
        <v>34</v>
      </c>
      <c r="F1021" t="s">
        <v>245</v>
      </c>
      <c r="G1021" t="s">
        <v>43</v>
      </c>
      <c r="H1021">
        <v>2022</v>
      </c>
      <c r="I1021" t="s">
        <v>60</v>
      </c>
      <c r="L1021" t="s">
        <v>99</v>
      </c>
      <c r="AG1021">
        <f t="shared" si="15"/>
        <v>1</v>
      </c>
      <c r="AH1021">
        <f>'TABLA PREVIOS'!E1021</f>
        <v>286</v>
      </c>
      <c r="AI1021">
        <f>VLOOKUP(C1021,ALUMNOS!A:B,2,FALSE)</f>
        <v>651</v>
      </c>
    </row>
    <row r="1022" spans="1:35" x14ac:dyDescent="0.25">
      <c r="A1022" t="s">
        <v>353</v>
      </c>
      <c r="C1022">
        <v>45092222</v>
      </c>
      <c r="D1022" t="s">
        <v>383</v>
      </c>
      <c r="E1022" t="s">
        <v>10</v>
      </c>
      <c r="F1022" t="s">
        <v>245</v>
      </c>
      <c r="G1022" t="s">
        <v>43</v>
      </c>
      <c r="H1022">
        <v>2022</v>
      </c>
      <c r="I1022" t="s">
        <v>60</v>
      </c>
      <c r="L1022" t="s">
        <v>99</v>
      </c>
      <c r="AG1022">
        <f t="shared" si="15"/>
        <v>1</v>
      </c>
      <c r="AH1022">
        <f>'TABLA PREVIOS'!E1022</f>
        <v>278</v>
      </c>
      <c r="AI1022">
        <f>VLOOKUP(C1022,ALUMNOS!A:B,2,FALSE)</f>
        <v>651</v>
      </c>
    </row>
    <row r="1023" spans="1:35" x14ac:dyDescent="0.25">
      <c r="A1023" t="s">
        <v>353</v>
      </c>
      <c r="C1023">
        <v>45092222</v>
      </c>
      <c r="D1023" t="s">
        <v>383</v>
      </c>
      <c r="E1023" t="s">
        <v>28</v>
      </c>
      <c r="F1023" t="s">
        <v>245</v>
      </c>
      <c r="G1023" t="s">
        <v>43</v>
      </c>
      <c r="H1023">
        <v>2022</v>
      </c>
      <c r="I1023" t="s">
        <v>60</v>
      </c>
      <c r="L1023" t="s">
        <v>99</v>
      </c>
      <c r="AG1023">
        <f t="shared" si="15"/>
        <v>1</v>
      </c>
      <c r="AH1023">
        <f>'TABLA PREVIOS'!E1023</f>
        <v>291</v>
      </c>
      <c r="AI1023">
        <f>VLOOKUP(C1023,ALUMNOS!A:B,2,FALSE)</f>
        <v>651</v>
      </c>
    </row>
    <row r="1024" spans="1:35" x14ac:dyDescent="0.25">
      <c r="A1024" t="s">
        <v>353</v>
      </c>
      <c r="C1024">
        <v>45092222</v>
      </c>
      <c r="D1024" t="s">
        <v>383</v>
      </c>
      <c r="E1024" t="s">
        <v>11</v>
      </c>
      <c r="F1024" t="s">
        <v>245</v>
      </c>
      <c r="G1024" t="s">
        <v>43</v>
      </c>
      <c r="H1024">
        <v>2022</v>
      </c>
      <c r="I1024" t="s">
        <v>60</v>
      </c>
      <c r="L1024" t="s">
        <v>99</v>
      </c>
      <c r="AG1024">
        <f t="shared" si="15"/>
        <v>1</v>
      </c>
      <c r="AH1024">
        <f>'TABLA PREVIOS'!E1024</f>
        <v>279</v>
      </c>
      <c r="AI1024">
        <f>VLOOKUP(C1024,ALUMNOS!A:B,2,FALSE)</f>
        <v>651</v>
      </c>
    </row>
    <row r="1025" spans="1:35" x14ac:dyDescent="0.25">
      <c r="A1025" t="s">
        <v>353</v>
      </c>
      <c r="C1025">
        <v>45092222</v>
      </c>
      <c r="D1025" t="s">
        <v>383</v>
      </c>
      <c r="E1025" t="s">
        <v>12</v>
      </c>
      <c r="F1025" t="s">
        <v>245</v>
      </c>
      <c r="G1025" t="s">
        <v>43</v>
      </c>
      <c r="H1025">
        <v>2022</v>
      </c>
      <c r="I1025" t="s">
        <v>60</v>
      </c>
      <c r="L1025" t="s">
        <v>99</v>
      </c>
      <c r="AG1025">
        <f t="shared" si="15"/>
        <v>1</v>
      </c>
      <c r="AH1025">
        <f>'TABLA PREVIOS'!E1025</f>
        <v>280</v>
      </c>
      <c r="AI1025">
        <f>VLOOKUP(C1025,ALUMNOS!A:B,2,FALSE)</f>
        <v>651</v>
      </c>
    </row>
    <row r="1026" spans="1:35" x14ac:dyDescent="0.25">
      <c r="A1026" t="s">
        <v>353</v>
      </c>
      <c r="C1026">
        <v>45092222</v>
      </c>
      <c r="D1026" t="s">
        <v>383</v>
      </c>
      <c r="E1026" t="s">
        <v>25</v>
      </c>
      <c r="F1026" t="s">
        <v>245</v>
      </c>
      <c r="G1026" t="s">
        <v>43</v>
      </c>
      <c r="H1026">
        <v>2022</v>
      </c>
      <c r="I1026" t="s">
        <v>60</v>
      </c>
      <c r="L1026" t="s">
        <v>99</v>
      </c>
      <c r="AG1026">
        <f t="shared" si="15"/>
        <v>1</v>
      </c>
      <c r="AH1026">
        <f>'TABLA PREVIOS'!E1026</f>
        <v>281</v>
      </c>
      <c r="AI1026">
        <f>VLOOKUP(C1026,ALUMNOS!A:B,2,FALSE)</f>
        <v>651</v>
      </c>
    </row>
    <row r="1027" spans="1:35" x14ac:dyDescent="0.25">
      <c r="A1027" t="s">
        <v>353</v>
      </c>
      <c r="C1027">
        <v>45092222</v>
      </c>
      <c r="D1027" t="s">
        <v>383</v>
      </c>
      <c r="E1027" t="s">
        <v>39</v>
      </c>
      <c r="F1027" t="s">
        <v>245</v>
      </c>
      <c r="G1027" t="s">
        <v>43</v>
      </c>
      <c r="H1027">
        <v>2022</v>
      </c>
      <c r="I1027" t="s">
        <v>60</v>
      </c>
      <c r="L1027" t="s">
        <v>99</v>
      </c>
      <c r="AG1027">
        <f t="shared" ref="AG1027:AG1090" si="16">IF(VALUE(MAX(N1027,R1027,V1027,Z1027,AC1027,))&gt;=7,VALUE(MAX(N1027,R1027,V1027,Z1027,AC1027,)),1)</f>
        <v>1</v>
      </c>
      <c r="AH1027">
        <f>'TABLA PREVIOS'!E1027</f>
        <v>288</v>
      </c>
      <c r="AI1027">
        <f>VLOOKUP(C1027,ALUMNOS!A:B,2,FALSE)</f>
        <v>651</v>
      </c>
    </row>
    <row r="1028" spans="1:35" x14ac:dyDescent="0.25">
      <c r="A1028" t="s">
        <v>353</v>
      </c>
      <c r="C1028">
        <v>45092222</v>
      </c>
      <c r="D1028" t="s">
        <v>383</v>
      </c>
      <c r="E1028" t="s">
        <v>29</v>
      </c>
      <c r="F1028" t="s">
        <v>245</v>
      </c>
      <c r="G1028" t="s">
        <v>43</v>
      </c>
      <c r="H1028">
        <v>2022</v>
      </c>
      <c r="I1028" t="s">
        <v>60</v>
      </c>
      <c r="L1028" t="s">
        <v>99</v>
      </c>
      <c r="AG1028">
        <f t="shared" si="16"/>
        <v>1</v>
      </c>
      <c r="AH1028">
        <f>'TABLA PREVIOS'!E1028</f>
        <v>290</v>
      </c>
      <c r="AI1028">
        <f>VLOOKUP(C1028,ALUMNOS!A:B,2,FALSE)</f>
        <v>651</v>
      </c>
    </row>
    <row r="1029" spans="1:35" x14ac:dyDescent="0.25">
      <c r="A1029" t="s">
        <v>353</v>
      </c>
      <c r="C1029">
        <v>46002906</v>
      </c>
      <c r="D1029" t="s">
        <v>384</v>
      </c>
      <c r="E1029" t="s">
        <v>30</v>
      </c>
      <c r="F1029" t="s">
        <v>190</v>
      </c>
      <c r="G1029" t="s">
        <v>43</v>
      </c>
      <c r="H1029">
        <v>2020</v>
      </c>
      <c r="I1029" t="s">
        <v>60</v>
      </c>
      <c r="L1029" t="s">
        <v>99</v>
      </c>
      <c r="AG1029">
        <f t="shared" si="16"/>
        <v>1</v>
      </c>
      <c r="AH1029">
        <f>'TABLA PREVIOS'!E1029</f>
        <v>260</v>
      </c>
      <c r="AI1029">
        <f>VLOOKUP(C1029,ALUMNOS!A:B,2,FALSE)</f>
        <v>765</v>
      </c>
    </row>
    <row r="1030" spans="1:35" x14ac:dyDescent="0.25">
      <c r="A1030" t="s">
        <v>353</v>
      </c>
      <c r="C1030">
        <v>46524776</v>
      </c>
      <c r="D1030" t="s">
        <v>385</v>
      </c>
      <c r="E1030" t="s">
        <v>12</v>
      </c>
      <c r="F1030" t="s">
        <v>245</v>
      </c>
      <c r="G1030" t="s">
        <v>43</v>
      </c>
      <c r="H1030">
        <v>2022</v>
      </c>
      <c r="I1030" t="s">
        <v>60</v>
      </c>
      <c r="L1030" t="s">
        <v>107</v>
      </c>
      <c r="Q1030">
        <v>45474</v>
      </c>
      <c r="R1030">
        <v>7</v>
      </c>
      <c r="S1030">
        <v>68</v>
      </c>
      <c r="T1030">
        <v>65</v>
      </c>
      <c r="AG1030">
        <f t="shared" si="16"/>
        <v>7</v>
      </c>
      <c r="AH1030">
        <f>'TABLA PREVIOS'!E1030</f>
        <v>280</v>
      </c>
      <c r="AI1030">
        <f>VLOOKUP(C1030,ALUMNOS!A:B,2,FALSE)</f>
        <v>768</v>
      </c>
    </row>
    <row r="1031" spans="1:35" x14ac:dyDescent="0.25">
      <c r="A1031" t="s">
        <v>386</v>
      </c>
      <c r="B1031" t="s">
        <v>96</v>
      </c>
      <c r="C1031">
        <v>46509028</v>
      </c>
      <c r="D1031" t="s">
        <v>387</v>
      </c>
      <c r="E1031" t="s">
        <v>11</v>
      </c>
      <c r="F1031" t="s">
        <v>143</v>
      </c>
      <c r="G1031" t="s">
        <v>43</v>
      </c>
      <c r="H1031">
        <v>2020</v>
      </c>
      <c r="I1031" t="s">
        <v>59</v>
      </c>
      <c r="L1031" t="s">
        <v>99</v>
      </c>
      <c r="M1031">
        <v>45411</v>
      </c>
      <c r="N1031" t="s">
        <v>50</v>
      </c>
      <c r="O1031">
        <v>68</v>
      </c>
      <c r="P1031">
        <v>39</v>
      </c>
      <c r="Q1031">
        <v>45475</v>
      </c>
      <c r="R1031">
        <v>4</v>
      </c>
      <c r="S1031">
        <v>68</v>
      </c>
      <c r="T1031">
        <v>75</v>
      </c>
      <c r="AG1031">
        <f t="shared" si="16"/>
        <v>1</v>
      </c>
      <c r="AH1031">
        <f>'TABLA PREVIOS'!E1031</f>
        <v>239</v>
      </c>
      <c r="AI1031">
        <f>VLOOKUP(C1031,ALUMNOS!A:B,2,FALSE)</f>
        <v>66</v>
      </c>
    </row>
    <row r="1032" spans="1:35" x14ac:dyDescent="0.25">
      <c r="A1032" t="s">
        <v>386</v>
      </c>
      <c r="B1032" t="s">
        <v>96</v>
      </c>
      <c r="C1032">
        <v>46509068</v>
      </c>
      <c r="D1032" t="s">
        <v>388</v>
      </c>
      <c r="E1032" t="s">
        <v>11</v>
      </c>
      <c r="F1032" t="s">
        <v>190</v>
      </c>
      <c r="G1032" t="s">
        <v>43</v>
      </c>
      <c r="H1032">
        <v>2021</v>
      </c>
      <c r="I1032" t="s">
        <v>60</v>
      </c>
      <c r="L1032" t="s">
        <v>99</v>
      </c>
      <c r="AG1032">
        <f t="shared" si="16"/>
        <v>1</v>
      </c>
      <c r="AH1032">
        <f>'TABLA PREVIOS'!E1032</f>
        <v>251</v>
      </c>
      <c r="AI1032">
        <f>VLOOKUP(C1032,ALUMNOS!A:B,2,FALSE)</f>
        <v>358</v>
      </c>
    </row>
    <row r="1033" spans="1:35" x14ac:dyDescent="0.25">
      <c r="A1033" t="s">
        <v>386</v>
      </c>
      <c r="B1033" t="s">
        <v>96</v>
      </c>
      <c r="C1033">
        <v>46509068</v>
      </c>
      <c r="D1033" t="s">
        <v>388</v>
      </c>
      <c r="E1033" t="s">
        <v>34</v>
      </c>
      <c r="F1033" t="s">
        <v>220</v>
      </c>
      <c r="G1033" t="s">
        <v>43</v>
      </c>
      <c r="H1033">
        <v>2022</v>
      </c>
      <c r="I1033" t="s">
        <v>60</v>
      </c>
      <c r="L1033" t="s">
        <v>99</v>
      </c>
      <c r="AG1033">
        <f t="shared" si="16"/>
        <v>1</v>
      </c>
      <c r="AH1033">
        <f>'TABLA PREVIOS'!E1033</f>
        <v>275</v>
      </c>
      <c r="AI1033">
        <f>VLOOKUP(C1033,ALUMNOS!A:B,2,FALSE)</f>
        <v>358</v>
      </c>
    </row>
    <row r="1034" spans="1:35" x14ac:dyDescent="0.25">
      <c r="A1034" t="s">
        <v>386</v>
      </c>
      <c r="B1034" t="s">
        <v>96</v>
      </c>
      <c r="C1034">
        <v>46509068</v>
      </c>
      <c r="D1034" t="s">
        <v>388</v>
      </c>
      <c r="E1034" t="s">
        <v>33</v>
      </c>
      <c r="F1034" t="s">
        <v>220</v>
      </c>
      <c r="G1034" t="s">
        <v>43</v>
      </c>
      <c r="H1034">
        <v>2022</v>
      </c>
      <c r="I1034" t="s">
        <v>60</v>
      </c>
      <c r="L1034" t="s">
        <v>99</v>
      </c>
      <c r="AG1034">
        <f t="shared" si="16"/>
        <v>1</v>
      </c>
      <c r="AH1034">
        <f>'TABLA PREVIOS'!E1034</f>
        <v>271</v>
      </c>
      <c r="AI1034">
        <f>VLOOKUP(C1034,ALUMNOS!A:B,2,FALSE)</f>
        <v>358</v>
      </c>
    </row>
    <row r="1035" spans="1:35" x14ac:dyDescent="0.25">
      <c r="A1035" t="s">
        <v>386</v>
      </c>
      <c r="B1035" t="s">
        <v>96</v>
      </c>
      <c r="C1035">
        <v>46509068</v>
      </c>
      <c r="D1035" t="s">
        <v>388</v>
      </c>
      <c r="E1035" t="s">
        <v>34</v>
      </c>
      <c r="F1035" t="s">
        <v>245</v>
      </c>
      <c r="G1035" t="s">
        <v>43</v>
      </c>
      <c r="H1035">
        <v>2023</v>
      </c>
      <c r="I1035" t="s">
        <v>60</v>
      </c>
      <c r="L1035" t="s">
        <v>99</v>
      </c>
      <c r="AG1035">
        <f t="shared" si="16"/>
        <v>1</v>
      </c>
      <c r="AH1035">
        <f>'TABLA PREVIOS'!E1035</f>
        <v>286</v>
      </c>
      <c r="AI1035">
        <f>VLOOKUP(C1035,ALUMNOS!A:B,2,FALSE)</f>
        <v>358</v>
      </c>
    </row>
    <row r="1036" spans="1:35" x14ac:dyDescent="0.25">
      <c r="A1036" t="s">
        <v>386</v>
      </c>
      <c r="B1036" t="s">
        <v>96</v>
      </c>
      <c r="C1036">
        <v>46509068</v>
      </c>
      <c r="D1036" t="s">
        <v>388</v>
      </c>
      <c r="E1036" t="s">
        <v>11</v>
      </c>
      <c r="F1036" t="s">
        <v>245</v>
      </c>
      <c r="G1036" t="s">
        <v>43</v>
      </c>
      <c r="H1036">
        <v>2023</v>
      </c>
      <c r="I1036" t="s">
        <v>60</v>
      </c>
      <c r="L1036" t="s">
        <v>99</v>
      </c>
      <c r="AG1036">
        <f t="shared" si="16"/>
        <v>1</v>
      </c>
      <c r="AH1036">
        <f>'TABLA PREVIOS'!E1036</f>
        <v>279</v>
      </c>
      <c r="AI1036">
        <f>VLOOKUP(C1036,ALUMNOS!A:B,2,FALSE)</f>
        <v>358</v>
      </c>
    </row>
    <row r="1037" spans="1:35" x14ac:dyDescent="0.25">
      <c r="A1037" t="s">
        <v>386</v>
      </c>
      <c r="B1037" t="s">
        <v>96</v>
      </c>
      <c r="C1037">
        <v>46509068</v>
      </c>
      <c r="D1037" t="s">
        <v>388</v>
      </c>
      <c r="E1037" t="s">
        <v>12</v>
      </c>
      <c r="F1037" t="s">
        <v>245</v>
      </c>
      <c r="G1037" t="s">
        <v>43</v>
      </c>
      <c r="H1037">
        <v>2023</v>
      </c>
      <c r="I1037" t="s">
        <v>60</v>
      </c>
      <c r="L1037" t="s">
        <v>99</v>
      </c>
      <c r="AG1037">
        <f t="shared" si="16"/>
        <v>1</v>
      </c>
      <c r="AH1037">
        <f>'TABLA PREVIOS'!E1037</f>
        <v>280</v>
      </c>
      <c r="AI1037">
        <f>VLOOKUP(C1037,ALUMNOS!A:B,2,FALSE)</f>
        <v>358</v>
      </c>
    </row>
    <row r="1038" spans="1:35" x14ac:dyDescent="0.25">
      <c r="A1038" t="s">
        <v>386</v>
      </c>
      <c r="B1038" t="s">
        <v>96</v>
      </c>
      <c r="C1038">
        <v>46509068</v>
      </c>
      <c r="D1038" t="s">
        <v>388</v>
      </c>
      <c r="E1038" t="s">
        <v>29</v>
      </c>
      <c r="F1038" t="s">
        <v>245</v>
      </c>
      <c r="G1038" t="s">
        <v>43</v>
      </c>
      <c r="H1038">
        <v>2023</v>
      </c>
      <c r="I1038" t="s">
        <v>60</v>
      </c>
      <c r="L1038" t="s">
        <v>99</v>
      </c>
      <c r="AG1038">
        <f t="shared" si="16"/>
        <v>1</v>
      </c>
      <c r="AH1038">
        <f>'TABLA PREVIOS'!E1038</f>
        <v>290</v>
      </c>
      <c r="AI1038">
        <f>VLOOKUP(C1038,ALUMNOS!A:B,2,FALSE)</f>
        <v>358</v>
      </c>
    </row>
    <row r="1039" spans="1:35" x14ac:dyDescent="0.25">
      <c r="A1039" t="s">
        <v>386</v>
      </c>
      <c r="B1039" t="s">
        <v>96</v>
      </c>
      <c r="C1039">
        <v>46890410</v>
      </c>
      <c r="D1039" t="s">
        <v>389</v>
      </c>
      <c r="E1039" t="s">
        <v>11</v>
      </c>
      <c r="F1039" t="s">
        <v>245</v>
      </c>
      <c r="G1039" t="s">
        <v>43</v>
      </c>
      <c r="H1039">
        <v>2023</v>
      </c>
      <c r="I1039" t="s">
        <v>60</v>
      </c>
      <c r="L1039" t="s">
        <v>107</v>
      </c>
      <c r="M1039">
        <v>45411</v>
      </c>
      <c r="N1039">
        <v>7</v>
      </c>
      <c r="O1039">
        <v>68</v>
      </c>
      <c r="P1039">
        <v>41</v>
      </c>
      <c r="AG1039">
        <f t="shared" si="16"/>
        <v>7</v>
      </c>
      <c r="AH1039">
        <f>'TABLA PREVIOS'!E1039</f>
        <v>279</v>
      </c>
      <c r="AI1039">
        <f>VLOOKUP(C1039,ALUMNOS!A:B,2,FALSE)</f>
        <v>368</v>
      </c>
    </row>
    <row r="1040" spans="1:35" x14ac:dyDescent="0.25">
      <c r="A1040" t="s">
        <v>386</v>
      </c>
      <c r="B1040" t="s">
        <v>96</v>
      </c>
      <c r="C1040">
        <v>46509032</v>
      </c>
      <c r="D1040" t="s">
        <v>390</v>
      </c>
      <c r="E1040" t="s">
        <v>28</v>
      </c>
      <c r="F1040" t="s">
        <v>220</v>
      </c>
      <c r="G1040" t="s">
        <v>43</v>
      </c>
      <c r="H1040">
        <v>2022</v>
      </c>
      <c r="I1040" t="s">
        <v>60</v>
      </c>
      <c r="L1040" t="s">
        <v>107</v>
      </c>
      <c r="M1040">
        <v>45400</v>
      </c>
      <c r="N1040">
        <v>7</v>
      </c>
      <c r="O1040">
        <v>68</v>
      </c>
      <c r="P1040">
        <v>22</v>
      </c>
      <c r="AG1040">
        <f t="shared" si="16"/>
        <v>7</v>
      </c>
      <c r="AH1040">
        <f>'TABLA PREVIOS'!E1040</f>
        <v>272</v>
      </c>
      <c r="AI1040">
        <f>VLOOKUP(C1040,ALUMNOS!A:B,2,FALSE)</f>
        <v>427</v>
      </c>
    </row>
    <row r="1041" spans="1:35" x14ac:dyDescent="0.25">
      <c r="A1041" t="s">
        <v>386</v>
      </c>
      <c r="B1041" t="s">
        <v>96</v>
      </c>
      <c r="C1041">
        <v>46509032</v>
      </c>
      <c r="D1041" t="s">
        <v>390</v>
      </c>
      <c r="E1041" t="s">
        <v>29</v>
      </c>
      <c r="F1041" t="s">
        <v>220</v>
      </c>
      <c r="G1041" t="s">
        <v>43</v>
      </c>
      <c r="H1041">
        <v>2022</v>
      </c>
      <c r="I1041" t="s">
        <v>60</v>
      </c>
      <c r="L1041" t="s">
        <v>99</v>
      </c>
      <c r="AG1041">
        <f t="shared" si="16"/>
        <v>1</v>
      </c>
      <c r="AH1041">
        <f>'TABLA PREVIOS'!E1041</f>
        <v>273</v>
      </c>
      <c r="AI1041">
        <f>VLOOKUP(C1041,ALUMNOS!A:B,2,FALSE)</f>
        <v>427</v>
      </c>
    </row>
    <row r="1042" spans="1:35" x14ac:dyDescent="0.25">
      <c r="A1042" t="s">
        <v>386</v>
      </c>
      <c r="B1042" t="s">
        <v>96</v>
      </c>
      <c r="C1042">
        <v>46509032</v>
      </c>
      <c r="D1042" t="s">
        <v>390</v>
      </c>
      <c r="E1042" t="s">
        <v>11</v>
      </c>
      <c r="F1042" t="s">
        <v>245</v>
      </c>
      <c r="G1042" t="s">
        <v>43</v>
      </c>
      <c r="H1042">
        <v>2023</v>
      </c>
      <c r="I1042" t="s">
        <v>60</v>
      </c>
      <c r="L1042" t="s">
        <v>99</v>
      </c>
      <c r="M1042">
        <v>45411</v>
      </c>
      <c r="N1042" t="s">
        <v>50</v>
      </c>
      <c r="O1042">
        <v>68</v>
      </c>
      <c r="P1042">
        <v>41</v>
      </c>
      <c r="AG1042">
        <f t="shared" si="16"/>
        <v>1</v>
      </c>
      <c r="AH1042">
        <f>'TABLA PREVIOS'!E1042</f>
        <v>279</v>
      </c>
      <c r="AI1042">
        <f>VLOOKUP(C1042,ALUMNOS!A:B,2,FALSE)</f>
        <v>427</v>
      </c>
    </row>
    <row r="1043" spans="1:35" x14ac:dyDescent="0.25">
      <c r="A1043" t="s">
        <v>386</v>
      </c>
      <c r="B1043" t="s">
        <v>96</v>
      </c>
      <c r="C1043">
        <v>46509032</v>
      </c>
      <c r="D1043" t="s">
        <v>390</v>
      </c>
      <c r="E1043" t="s">
        <v>12</v>
      </c>
      <c r="F1043" t="s">
        <v>245</v>
      </c>
      <c r="G1043" t="s">
        <v>43</v>
      </c>
      <c r="H1043">
        <v>2023</v>
      </c>
      <c r="I1043" t="s">
        <v>60</v>
      </c>
      <c r="L1043" t="s">
        <v>99</v>
      </c>
      <c r="AG1043">
        <f t="shared" si="16"/>
        <v>1</v>
      </c>
      <c r="AH1043">
        <f>'TABLA PREVIOS'!E1043</f>
        <v>280</v>
      </c>
      <c r="AI1043">
        <f>VLOOKUP(C1043,ALUMNOS!A:B,2,FALSE)</f>
        <v>427</v>
      </c>
    </row>
    <row r="1044" spans="1:35" x14ac:dyDescent="0.25">
      <c r="A1044" t="s">
        <v>386</v>
      </c>
      <c r="B1044" t="s">
        <v>96</v>
      </c>
      <c r="C1044">
        <v>46509032</v>
      </c>
      <c r="D1044" t="s">
        <v>390</v>
      </c>
      <c r="E1044" t="s">
        <v>29</v>
      </c>
      <c r="F1044" t="s">
        <v>245</v>
      </c>
      <c r="G1044" t="s">
        <v>43</v>
      </c>
      <c r="H1044">
        <v>2023</v>
      </c>
      <c r="I1044" t="s">
        <v>60</v>
      </c>
      <c r="L1044" t="s">
        <v>99</v>
      </c>
      <c r="AG1044">
        <f t="shared" si="16"/>
        <v>1</v>
      </c>
      <c r="AH1044">
        <f>'TABLA PREVIOS'!E1044</f>
        <v>290</v>
      </c>
      <c r="AI1044">
        <f>VLOOKUP(C1044,ALUMNOS!A:B,2,FALSE)</f>
        <v>427</v>
      </c>
    </row>
    <row r="1045" spans="1:35" x14ac:dyDescent="0.25">
      <c r="A1045" t="s">
        <v>386</v>
      </c>
      <c r="B1045" t="s">
        <v>96</v>
      </c>
      <c r="C1045">
        <v>45935197</v>
      </c>
      <c r="D1045" t="s">
        <v>391</v>
      </c>
      <c r="E1045" t="s">
        <v>28</v>
      </c>
      <c r="F1045" t="s">
        <v>220</v>
      </c>
      <c r="G1045" t="s">
        <v>43</v>
      </c>
      <c r="H1045">
        <v>2022</v>
      </c>
      <c r="I1045" t="s">
        <v>60</v>
      </c>
      <c r="L1045" t="s">
        <v>99</v>
      </c>
      <c r="AG1045">
        <f t="shared" si="16"/>
        <v>1</v>
      </c>
      <c r="AH1045">
        <f>'TABLA PREVIOS'!E1045</f>
        <v>272</v>
      </c>
      <c r="AI1045">
        <f>VLOOKUP(C1045,ALUMNOS!A:B,2,FALSE)</f>
        <v>438</v>
      </c>
    </row>
    <row r="1046" spans="1:35" x14ac:dyDescent="0.25">
      <c r="A1046" t="s">
        <v>386</v>
      </c>
      <c r="B1046" t="s">
        <v>96</v>
      </c>
      <c r="C1046">
        <v>45935197</v>
      </c>
      <c r="D1046" t="s">
        <v>391</v>
      </c>
      <c r="E1046" t="s">
        <v>12</v>
      </c>
      <c r="F1046" t="s">
        <v>220</v>
      </c>
      <c r="G1046" t="s">
        <v>43</v>
      </c>
      <c r="H1046">
        <v>2022</v>
      </c>
      <c r="I1046" t="s">
        <v>60</v>
      </c>
      <c r="L1046" t="s">
        <v>99</v>
      </c>
      <c r="AG1046">
        <f t="shared" si="16"/>
        <v>1</v>
      </c>
      <c r="AH1046">
        <f>'TABLA PREVIOS'!E1046</f>
        <v>265</v>
      </c>
      <c r="AI1046">
        <f>VLOOKUP(C1046,ALUMNOS!A:B,2,FALSE)</f>
        <v>438</v>
      </c>
    </row>
    <row r="1047" spans="1:35" x14ac:dyDescent="0.25">
      <c r="A1047" t="s">
        <v>386</v>
      </c>
      <c r="B1047" t="s">
        <v>96</v>
      </c>
      <c r="C1047">
        <v>45935197</v>
      </c>
      <c r="D1047" t="s">
        <v>391</v>
      </c>
      <c r="E1047" t="s">
        <v>29</v>
      </c>
      <c r="F1047" t="s">
        <v>220</v>
      </c>
      <c r="G1047" t="s">
        <v>43</v>
      </c>
      <c r="H1047">
        <v>2022</v>
      </c>
      <c r="I1047" t="s">
        <v>60</v>
      </c>
      <c r="L1047" t="s">
        <v>99</v>
      </c>
      <c r="AG1047">
        <f t="shared" si="16"/>
        <v>1</v>
      </c>
      <c r="AH1047">
        <f>'TABLA PREVIOS'!E1047</f>
        <v>273</v>
      </c>
      <c r="AI1047">
        <f>VLOOKUP(C1047,ALUMNOS!A:B,2,FALSE)</f>
        <v>438</v>
      </c>
    </row>
    <row r="1048" spans="1:35" x14ac:dyDescent="0.25">
      <c r="A1048" t="s">
        <v>386</v>
      </c>
      <c r="B1048" t="s">
        <v>96</v>
      </c>
      <c r="C1048">
        <v>45935197</v>
      </c>
      <c r="D1048" t="s">
        <v>391</v>
      </c>
      <c r="E1048" t="s">
        <v>34</v>
      </c>
      <c r="F1048" t="s">
        <v>245</v>
      </c>
      <c r="G1048" t="s">
        <v>43</v>
      </c>
      <c r="H1048">
        <v>2023</v>
      </c>
      <c r="I1048" t="s">
        <v>60</v>
      </c>
      <c r="L1048" t="s">
        <v>99</v>
      </c>
      <c r="AG1048">
        <f t="shared" si="16"/>
        <v>1</v>
      </c>
      <c r="AH1048">
        <f>'TABLA PREVIOS'!E1048</f>
        <v>286</v>
      </c>
      <c r="AI1048">
        <f>VLOOKUP(C1048,ALUMNOS!A:B,2,FALSE)</f>
        <v>438</v>
      </c>
    </row>
    <row r="1049" spans="1:35" x14ac:dyDescent="0.25">
      <c r="A1049" t="s">
        <v>386</v>
      </c>
      <c r="B1049" t="s">
        <v>96</v>
      </c>
      <c r="C1049">
        <v>45935197</v>
      </c>
      <c r="D1049" t="s">
        <v>391</v>
      </c>
      <c r="E1049" t="s">
        <v>11</v>
      </c>
      <c r="F1049" t="s">
        <v>245</v>
      </c>
      <c r="G1049" t="s">
        <v>43</v>
      </c>
      <c r="H1049">
        <v>2023</v>
      </c>
      <c r="I1049" t="s">
        <v>60</v>
      </c>
      <c r="L1049" t="s">
        <v>99</v>
      </c>
      <c r="AG1049">
        <f t="shared" si="16"/>
        <v>1</v>
      </c>
      <c r="AH1049">
        <f>'TABLA PREVIOS'!E1049</f>
        <v>279</v>
      </c>
      <c r="AI1049">
        <f>VLOOKUP(C1049,ALUMNOS!A:B,2,FALSE)</f>
        <v>438</v>
      </c>
    </row>
    <row r="1050" spans="1:35" x14ac:dyDescent="0.25">
      <c r="A1050" t="s">
        <v>386</v>
      </c>
      <c r="B1050" t="s">
        <v>96</v>
      </c>
      <c r="C1050">
        <v>45935197</v>
      </c>
      <c r="D1050" t="s">
        <v>391</v>
      </c>
      <c r="E1050" t="s">
        <v>12</v>
      </c>
      <c r="F1050" t="s">
        <v>245</v>
      </c>
      <c r="G1050" t="s">
        <v>43</v>
      </c>
      <c r="H1050">
        <v>2023</v>
      </c>
      <c r="I1050" t="s">
        <v>60</v>
      </c>
      <c r="L1050" t="s">
        <v>99</v>
      </c>
      <c r="AG1050">
        <f t="shared" si="16"/>
        <v>1</v>
      </c>
      <c r="AH1050">
        <f>'TABLA PREVIOS'!E1050</f>
        <v>280</v>
      </c>
      <c r="AI1050">
        <f>VLOOKUP(C1050,ALUMNOS!A:B,2,FALSE)</f>
        <v>438</v>
      </c>
    </row>
    <row r="1051" spans="1:35" x14ac:dyDescent="0.25">
      <c r="A1051" t="s">
        <v>386</v>
      </c>
      <c r="B1051" t="s">
        <v>96</v>
      </c>
      <c r="C1051">
        <v>45935197</v>
      </c>
      <c r="D1051" t="s">
        <v>391</v>
      </c>
      <c r="E1051" t="s">
        <v>29</v>
      </c>
      <c r="F1051" t="s">
        <v>245</v>
      </c>
      <c r="G1051" t="s">
        <v>43</v>
      </c>
      <c r="H1051">
        <v>2023</v>
      </c>
      <c r="I1051" t="s">
        <v>60</v>
      </c>
      <c r="L1051" t="s">
        <v>99</v>
      </c>
      <c r="AG1051">
        <f t="shared" si="16"/>
        <v>1</v>
      </c>
      <c r="AH1051">
        <f>'TABLA PREVIOS'!E1051</f>
        <v>290</v>
      </c>
      <c r="AI1051">
        <f>VLOOKUP(C1051,ALUMNOS!A:B,2,FALSE)</f>
        <v>438</v>
      </c>
    </row>
    <row r="1052" spans="1:35" x14ac:dyDescent="0.25">
      <c r="A1052" t="s">
        <v>386</v>
      </c>
      <c r="B1052" t="s">
        <v>96</v>
      </c>
      <c r="C1052">
        <v>46584794</v>
      </c>
      <c r="D1052" t="s">
        <v>392</v>
      </c>
      <c r="E1052" t="s">
        <v>28</v>
      </c>
      <c r="F1052" t="s">
        <v>220</v>
      </c>
      <c r="G1052" t="s">
        <v>43</v>
      </c>
      <c r="H1052">
        <v>2022</v>
      </c>
      <c r="I1052" t="s">
        <v>60</v>
      </c>
      <c r="L1052" t="s">
        <v>107</v>
      </c>
      <c r="Q1052">
        <v>45474</v>
      </c>
      <c r="R1052">
        <v>7</v>
      </c>
      <c r="S1052">
        <v>68</v>
      </c>
      <c r="T1052">
        <v>54</v>
      </c>
      <c r="AG1052">
        <f t="shared" si="16"/>
        <v>7</v>
      </c>
      <c r="AH1052">
        <f>'TABLA PREVIOS'!E1052</f>
        <v>272</v>
      </c>
      <c r="AI1052">
        <f>VLOOKUP(C1052,ALUMNOS!A:B,2,FALSE)</f>
        <v>509</v>
      </c>
    </row>
    <row r="1053" spans="1:35" x14ac:dyDescent="0.25">
      <c r="A1053" t="s">
        <v>386</v>
      </c>
      <c r="B1053" t="s">
        <v>96</v>
      </c>
      <c r="C1053">
        <v>46584794</v>
      </c>
      <c r="D1053" t="s">
        <v>392</v>
      </c>
      <c r="E1053" t="s">
        <v>29</v>
      </c>
      <c r="F1053" t="s">
        <v>220</v>
      </c>
      <c r="G1053" t="s">
        <v>43</v>
      </c>
      <c r="H1053">
        <v>2022</v>
      </c>
      <c r="I1053" t="s">
        <v>60</v>
      </c>
      <c r="L1053" t="s">
        <v>99</v>
      </c>
      <c r="AG1053">
        <f t="shared" si="16"/>
        <v>1</v>
      </c>
      <c r="AH1053">
        <f>'TABLA PREVIOS'!E1053</f>
        <v>273</v>
      </c>
      <c r="AI1053">
        <f>VLOOKUP(C1053,ALUMNOS!A:B,2,FALSE)</f>
        <v>509</v>
      </c>
    </row>
    <row r="1054" spans="1:35" x14ac:dyDescent="0.25">
      <c r="A1054" t="s">
        <v>386</v>
      </c>
      <c r="B1054" t="s">
        <v>96</v>
      </c>
      <c r="C1054">
        <v>46584794</v>
      </c>
      <c r="D1054" t="s">
        <v>392</v>
      </c>
      <c r="E1054" t="s">
        <v>11</v>
      </c>
      <c r="F1054" t="s">
        <v>245</v>
      </c>
      <c r="G1054" t="s">
        <v>43</v>
      </c>
      <c r="H1054">
        <v>2023</v>
      </c>
      <c r="I1054" t="s">
        <v>60</v>
      </c>
      <c r="L1054" t="s">
        <v>99</v>
      </c>
      <c r="M1054">
        <v>45411</v>
      </c>
      <c r="N1054" t="s">
        <v>263</v>
      </c>
      <c r="O1054">
        <v>68</v>
      </c>
      <c r="P1054">
        <v>41</v>
      </c>
      <c r="Q1054">
        <v>45475</v>
      </c>
      <c r="R1054" t="s">
        <v>50</v>
      </c>
      <c r="S1054">
        <v>68</v>
      </c>
      <c r="T1054">
        <v>77</v>
      </c>
      <c r="AG1054">
        <f t="shared" si="16"/>
        <v>1</v>
      </c>
      <c r="AH1054">
        <f>'TABLA PREVIOS'!E1054</f>
        <v>279</v>
      </c>
      <c r="AI1054">
        <f>VLOOKUP(C1054,ALUMNOS!A:B,2,FALSE)</f>
        <v>509</v>
      </c>
    </row>
    <row r="1055" spans="1:35" x14ac:dyDescent="0.25">
      <c r="A1055" t="s">
        <v>386</v>
      </c>
      <c r="B1055" t="s">
        <v>96</v>
      </c>
      <c r="C1055">
        <v>46584794</v>
      </c>
      <c r="D1055" t="s">
        <v>392</v>
      </c>
      <c r="E1055" t="s">
        <v>39</v>
      </c>
      <c r="F1055" t="s">
        <v>245</v>
      </c>
      <c r="G1055" t="s">
        <v>43</v>
      </c>
      <c r="H1055">
        <v>2023</v>
      </c>
      <c r="I1055" t="s">
        <v>60</v>
      </c>
      <c r="L1055" t="s">
        <v>107</v>
      </c>
      <c r="M1055">
        <v>45411</v>
      </c>
      <c r="N1055">
        <v>7</v>
      </c>
      <c r="O1055">
        <v>68</v>
      </c>
      <c r="P1055">
        <v>47</v>
      </c>
      <c r="AG1055">
        <f t="shared" si="16"/>
        <v>7</v>
      </c>
      <c r="AH1055">
        <f>'TABLA PREVIOS'!E1055</f>
        <v>288</v>
      </c>
      <c r="AI1055">
        <f>VLOOKUP(C1055,ALUMNOS!A:B,2,FALSE)</f>
        <v>509</v>
      </c>
    </row>
    <row r="1056" spans="1:35" x14ac:dyDescent="0.25">
      <c r="A1056" t="s">
        <v>386</v>
      </c>
      <c r="B1056" t="s">
        <v>96</v>
      </c>
      <c r="C1056">
        <v>46584794</v>
      </c>
      <c r="D1056" t="s">
        <v>392</v>
      </c>
      <c r="E1056" t="s">
        <v>29</v>
      </c>
      <c r="F1056" t="s">
        <v>245</v>
      </c>
      <c r="G1056" t="s">
        <v>43</v>
      </c>
      <c r="H1056">
        <v>2023</v>
      </c>
      <c r="I1056" t="s">
        <v>60</v>
      </c>
      <c r="L1056" t="s">
        <v>99</v>
      </c>
      <c r="AG1056">
        <f t="shared" si="16"/>
        <v>1</v>
      </c>
      <c r="AH1056">
        <f>'TABLA PREVIOS'!E1056</f>
        <v>290</v>
      </c>
      <c r="AI1056">
        <f>VLOOKUP(C1056,ALUMNOS!A:B,2,FALSE)</f>
        <v>509</v>
      </c>
    </row>
    <row r="1057" spans="1:35" x14ac:dyDescent="0.25">
      <c r="A1057" t="s">
        <v>386</v>
      </c>
      <c r="B1057" t="s">
        <v>96</v>
      </c>
      <c r="C1057">
        <v>46509100</v>
      </c>
      <c r="D1057" t="s">
        <v>393</v>
      </c>
      <c r="E1057" t="s">
        <v>29</v>
      </c>
      <c r="F1057" t="s">
        <v>220</v>
      </c>
      <c r="G1057" t="s">
        <v>43</v>
      </c>
      <c r="H1057">
        <v>2022</v>
      </c>
      <c r="I1057" t="s">
        <v>60</v>
      </c>
      <c r="L1057" t="s">
        <v>107</v>
      </c>
      <c r="Q1057">
        <v>45475</v>
      </c>
      <c r="R1057">
        <v>7</v>
      </c>
      <c r="S1057">
        <v>68</v>
      </c>
      <c r="T1057">
        <v>79</v>
      </c>
      <c r="AG1057">
        <f t="shared" si="16"/>
        <v>7</v>
      </c>
      <c r="AH1057">
        <f>'TABLA PREVIOS'!E1057</f>
        <v>273</v>
      </c>
      <c r="AI1057">
        <f>VLOOKUP(C1057,ALUMNOS!A:B,2,FALSE)</f>
        <v>686</v>
      </c>
    </row>
    <row r="1058" spans="1:35" x14ac:dyDescent="0.25">
      <c r="A1058" t="s">
        <v>386</v>
      </c>
      <c r="B1058" t="s">
        <v>96</v>
      </c>
      <c r="C1058">
        <v>46509100</v>
      </c>
      <c r="D1058" t="s">
        <v>393</v>
      </c>
      <c r="E1058" t="s">
        <v>11</v>
      </c>
      <c r="F1058" t="s">
        <v>245</v>
      </c>
      <c r="G1058" t="s">
        <v>43</v>
      </c>
      <c r="H1058">
        <v>2023</v>
      </c>
      <c r="I1058" t="s">
        <v>60</v>
      </c>
      <c r="L1058" t="s">
        <v>99</v>
      </c>
      <c r="Q1058">
        <v>45475</v>
      </c>
      <c r="R1058" t="s">
        <v>50</v>
      </c>
      <c r="S1058">
        <v>68</v>
      </c>
      <c r="T1058">
        <v>77</v>
      </c>
      <c r="AG1058">
        <f t="shared" si="16"/>
        <v>1</v>
      </c>
      <c r="AH1058">
        <f>'TABLA PREVIOS'!E1058</f>
        <v>279</v>
      </c>
      <c r="AI1058">
        <f>VLOOKUP(C1058,ALUMNOS!A:B,2,FALSE)</f>
        <v>686</v>
      </c>
    </row>
    <row r="1059" spans="1:35" x14ac:dyDescent="0.25">
      <c r="A1059" t="s">
        <v>386</v>
      </c>
      <c r="B1059" t="s">
        <v>96</v>
      </c>
      <c r="C1059">
        <v>46509100</v>
      </c>
      <c r="D1059" t="s">
        <v>393</v>
      </c>
      <c r="E1059" t="s">
        <v>29</v>
      </c>
      <c r="F1059" t="s">
        <v>245</v>
      </c>
      <c r="G1059" t="s">
        <v>43</v>
      </c>
      <c r="H1059">
        <v>2023</v>
      </c>
      <c r="I1059" t="s">
        <v>60</v>
      </c>
      <c r="L1059" t="s">
        <v>107</v>
      </c>
      <c r="Q1059">
        <v>45475</v>
      </c>
      <c r="R1059">
        <v>7</v>
      </c>
      <c r="S1059">
        <v>68</v>
      </c>
      <c r="T1059">
        <v>80</v>
      </c>
      <c r="AG1059">
        <f t="shared" si="16"/>
        <v>7</v>
      </c>
      <c r="AH1059">
        <f>'TABLA PREVIOS'!E1059</f>
        <v>290</v>
      </c>
      <c r="AI1059">
        <f>VLOOKUP(C1059,ALUMNOS!A:B,2,FALSE)</f>
        <v>686</v>
      </c>
    </row>
    <row r="1060" spans="1:35" x14ac:dyDescent="0.25">
      <c r="A1060" t="s">
        <v>386</v>
      </c>
      <c r="B1060" t="s">
        <v>96</v>
      </c>
      <c r="C1060">
        <v>47070448</v>
      </c>
      <c r="D1060" t="s">
        <v>394</v>
      </c>
      <c r="E1060" t="s">
        <v>11</v>
      </c>
      <c r="F1060" t="s">
        <v>245</v>
      </c>
      <c r="G1060" t="s">
        <v>43</v>
      </c>
      <c r="H1060">
        <v>2023</v>
      </c>
      <c r="I1060" t="s">
        <v>60</v>
      </c>
      <c r="L1060" t="s">
        <v>99</v>
      </c>
      <c r="AG1060">
        <f t="shared" si="16"/>
        <v>1</v>
      </c>
      <c r="AH1060">
        <f>'TABLA PREVIOS'!E1060</f>
        <v>279</v>
      </c>
      <c r="AI1060">
        <f>VLOOKUP(C1060,ALUMNOS!A:B,2,FALSE)</f>
        <v>758</v>
      </c>
    </row>
    <row r="1061" spans="1:35" x14ac:dyDescent="0.25">
      <c r="A1061" t="s">
        <v>386</v>
      </c>
      <c r="B1061" t="s">
        <v>96</v>
      </c>
      <c r="C1061">
        <v>47070448</v>
      </c>
      <c r="D1061" t="s">
        <v>394</v>
      </c>
      <c r="E1061" t="s">
        <v>29</v>
      </c>
      <c r="F1061" t="s">
        <v>245</v>
      </c>
      <c r="G1061" t="s">
        <v>43</v>
      </c>
      <c r="H1061">
        <v>2023</v>
      </c>
      <c r="I1061" t="s">
        <v>60</v>
      </c>
      <c r="L1061" t="s">
        <v>99</v>
      </c>
      <c r="AG1061">
        <f t="shared" si="16"/>
        <v>1</v>
      </c>
      <c r="AH1061">
        <f>'TABLA PREVIOS'!E1061</f>
        <v>290</v>
      </c>
      <c r="AI1061">
        <f>VLOOKUP(C1061,ALUMNOS!A:B,2,FALSE)</f>
        <v>758</v>
      </c>
    </row>
    <row r="1062" spans="1:35" x14ac:dyDescent="0.25">
      <c r="A1062" t="s">
        <v>386</v>
      </c>
      <c r="B1062" t="s">
        <v>109</v>
      </c>
      <c r="C1062">
        <v>46461432</v>
      </c>
      <c r="D1062" t="s">
        <v>395</v>
      </c>
      <c r="E1062" t="s">
        <v>24</v>
      </c>
      <c r="F1062" t="s">
        <v>220</v>
      </c>
      <c r="G1062" t="s">
        <v>43</v>
      </c>
      <c r="H1062">
        <v>2022</v>
      </c>
      <c r="I1062" t="s">
        <v>60</v>
      </c>
      <c r="L1062" t="s">
        <v>99</v>
      </c>
      <c r="AG1062">
        <f t="shared" si="16"/>
        <v>1</v>
      </c>
      <c r="AH1062">
        <f>'TABLA PREVIOS'!E1062</f>
        <v>266</v>
      </c>
      <c r="AI1062">
        <f>VLOOKUP(C1062,ALUMNOS!A:B,2,FALSE)</f>
        <v>21</v>
      </c>
    </row>
    <row r="1063" spans="1:35" x14ac:dyDescent="0.25">
      <c r="A1063" t="s">
        <v>386</v>
      </c>
      <c r="B1063" t="s">
        <v>109</v>
      </c>
      <c r="C1063">
        <v>46461432</v>
      </c>
      <c r="D1063" t="s">
        <v>395</v>
      </c>
      <c r="E1063" t="s">
        <v>16</v>
      </c>
      <c r="F1063" t="s">
        <v>220</v>
      </c>
      <c r="G1063" t="s">
        <v>43</v>
      </c>
      <c r="H1063">
        <v>2022</v>
      </c>
      <c r="I1063" t="s">
        <v>60</v>
      </c>
      <c r="L1063" t="s">
        <v>99</v>
      </c>
      <c r="AG1063">
        <f t="shared" si="16"/>
        <v>1</v>
      </c>
      <c r="AH1063">
        <f>'TABLA PREVIOS'!E1063</f>
        <v>269</v>
      </c>
      <c r="AI1063">
        <f>VLOOKUP(C1063,ALUMNOS!A:B,2,FALSE)</f>
        <v>21</v>
      </c>
    </row>
    <row r="1064" spans="1:35" x14ac:dyDescent="0.25">
      <c r="A1064" t="s">
        <v>386</v>
      </c>
      <c r="B1064" t="s">
        <v>109</v>
      </c>
      <c r="C1064">
        <v>46461432</v>
      </c>
      <c r="D1064" t="s">
        <v>395</v>
      </c>
      <c r="E1064" t="s">
        <v>30</v>
      </c>
      <c r="F1064" t="s">
        <v>245</v>
      </c>
      <c r="G1064" t="s">
        <v>43</v>
      </c>
      <c r="H1064">
        <v>2023</v>
      </c>
      <c r="I1064" t="s">
        <v>60</v>
      </c>
      <c r="L1064" t="s">
        <v>99</v>
      </c>
      <c r="AG1064">
        <f t="shared" si="16"/>
        <v>1</v>
      </c>
      <c r="AH1064">
        <f>'TABLA PREVIOS'!E1064</f>
        <v>285</v>
      </c>
      <c r="AI1064">
        <f>VLOOKUP(C1064,ALUMNOS!A:B,2,FALSE)</f>
        <v>21</v>
      </c>
    </row>
    <row r="1065" spans="1:35" x14ac:dyDescent="0.25">
      <c r="A1065" t="s">
        <v>386</v>
      </c>
      <c r="B1065" t="s">
        <v>109</v>
      </c>
      <c r="C1065">
        <v>46461432</v>
      </c>
      <c r="D1065" t="s">
        <v>395</v>
      </c>
      <c r="E1065" t="s">
        <v>37</v>
      </c>
      <c r="F1065" t="s">
        <v>245</v>
      </c>
      <c r="G1065" t="s">
        <v>43</v>
      </c>
      <c r="H1065">
        <v>2023</v>
      </c>
      <c r="I1065" t="s">
        <v>60</v>
      </c>
      <c r="L1065" t="s">
        <v>99</v>
      </c>
      <c r="AG1065">
        <f t="shared" si="16"/>
        <v>1</v>
      </c>
      <c r="AH1065">
        <f>'TABLA PREVIOS'!E1065</f>
        <v>284</v>
      </c>
      <c r="AI1065">
        <f>VLOOKUP(C1065,ALUMNOS!A:B,2,FALSE)</f>
        <v>21</v>
      </c>
    </row>
    <row r="1066" spans="1:35" x14ac:dyDescent="0.25">
      <c r="A1066" t="s">
        <v>386</v>
      </c>
      <c r="B1066" t="s">
        <v>109</v>
      </c>
      <c r="C1066">
        <v>46461432</v>
      </c>
      <c r="D1066" t="s">
        <v>395</v>
      </c>
      <c r="E1066" t="s">
        <v>38</v>
      </c>
      <c r="F1066" t="s">
        <v>245</v>
      </c>
      <c r="G1066" t="s">
        <v>43</v>
      </c>
      <c r="H1066">
        <v>2023</v>
      </c>
      <c r="I1066" t="s">
        <v>60</v>
      </c>
      <c r="L1066" t="s">
        <v>99</v>
      </c>
      <c r="AG1066">
        <f t="shared" si="16"/>
        <v>1</v>
      </c>
      <c r="AH1066">
        <f>'TABLA PREVIOS'!E1066</f>
        <v>287</v>
      </c>
      <c r="AI1066">
        <f>VLOOKUP(C1066,ALUMNOS!A:B,2,FALSE)</f>
        <v>21</v>
      </c>
    </row>
    <row r="1067" spans="1:35" x14ac:dyDescent="0.25">
      <c r="A1067" t="s">
        <v>386</v>
      </c>
      <c r="B1067" t="s">
        <v>109</v>
      </c>
      <c r="C1067">
        <v>46461432</v>
      </c>
      <c r="D1067" t="s">
        <v>395</v>
      </c>
      <c r="E1067" t="s">
        <v>34</v>
      </c>
      <c r="F1067" t="s">
        <v>245</v>
      </c>
      <c r="G1067" t="s">
        <v>43</v>
      </c>
      <c r="H1067">
        <v>2023</v>
      </c>
      <c r="I1067" t="s">
        <v>60</v>
      </c>
      <c r="L1067" t="s">
        <v>99</v>
      </c>
      <c r="AG1067">
        <f t="shared" si="16"/>
        <v>1</v>
      </c>
      <c r="AH1067">
        <f>'TABLA PREVIOS'!E1067</f>
        <v>286</v>
      </c>
      <c r="AI1067">
        <f>VLOOKUP(C1067,ALUMNOS!A:B,2,FALSE)</f>
        <v>21</v>
      </c>
    </row>
    <row r="1068" spans="1:35" x14ac:dyDescent="0.25">
      <c r="A1068" t="s">
        <v>386</v>
      </c>
      <c r="B1068" t="s">
        <v>109</v>
      </c>
      <c r="C1068">
        <v>46461432</v>
      </c>
      <c r="D1068" t="s">
        <v>395</v>
      </c>
      <c r="E1068" t="s">
        <v>36</v>
      </c>
      <c r="F1068" t="s">
        <v>245</v>
      </c>
      <c r="G1068" t="s">
        <v>43</v>
      </c>
      <c r="H1068">
        <v>2023</v>
      </c>
      <c r="I1068" t="s">
        <v>60</v>
      </c>
      <c r="L1068" t="s">
        <v>99</v>
      </c>
      <c r="AG1068">
        <f t="shared" si="16"/>
        <v>1</v>
      </c>
      <c r="AH1068">
        <f>'TABLA PREVIOS'!E1068</f>
        <v>283</v>
      </c>
      <c r="AI1068">
        <f>VLOOKUP(C1068,ALUMNOS!A:B,2,FALSE)</f>
        <v>21</v>
      </c>
    </row>
    <row r="1069" spans="1:35" x14ac:dyDescent="0.25">
      <c r="A1069" t="s">
        <v>386</v>
      </c>
      <c r="B1069" t="s">
        <v>109</v>
      </c>
      <c r="C1069">
        <v>46461432</v>
      </c>
      <c r="D1069" t="s">
        <v>395</v>
      </c>
      <c r="E1069" t="s">
        <v>10</v>
      </c>
      <c r="F1069" t="s">
        <v>245</v>
      </c>
      <c r="G1069" t="s">
        <v>43</v>
      </c>
      <c r="H1069">
        <v>2023</v>
      </c>
      <c r="I1069" t="s">
        <v>60</v>
      </c>
      <c r="L1069" t="s">
        <v>99</v>
      </c>
      <c r="AG1069">
        <f t="shared" si="16"/>
        <v>1</v>
      </c>
      <c r="AH1069">
        <f>'TABLA PREVIOS'!E1069</f>
        <v>278</v>
      </c>
      <c r="AI1069">
        <f>VLOOKUP(C1069,ALUMNOS!A:B,2,FALSE)</f>
        <v>21</v>
      </c>
    </row>
    <row r="1070" spans="1:35" x14ac:dyDescent="0.25">
      <c r="A1070" t="s">
        <v>386</v>
      </c>
      <c r="B1070" t="s">
        <v>109</v>
      </c>
      <c r="C1070">
        <v>46461432</v>
      </c>
      <c r="D1070" t="s">
        <v>395</v>
      </c>
      <c r="E1070" t="s">
        <v>41</v>
      </c>
      <c r="F1070" t="s">
        <v>245</v>
      </c>
      <c r="G1070" t="s">
        <v>43</v>
      </c>
      <c r="H1070">
        <v>2023</v>
      </c>
      <c r="I1070" t="s">
        <v>60</v>
      </c>
      <c r="L1070" t="s">
        <v>99</v>
      </c>
      <c r="AG1070">
        <f t="shared" si="16"/>
        <v>1</v>
      </c>
      <c r="AH1070">
        <f>'TABLA PREVIOS'!E1070</f>
        <v>292</v>
      </c>
      <c r="AI1070">
        <f>VLOOKUP(C1070,ALUMNOS!A:B,2,FALSE)</f>
        <v>21</v>
      </c>
    </row>
    <row r="1071" spans="1:35" x14ac:dyDescent="0.25">
      <c r="A1071" t="s">
        <v>386</v>
      </c>
      <c r="B1071" t="s">
        <v>109</v>
      </c>
      <c r="C1071">
        <v>46461432</v>
      </c>
      <c r="D1071" t="s">
        <v>395</v>
      </c>
      <c r="E1071" t="s">
        <v>28</v>
      </c>
      <c r="F1071" t="s">
        <v>245</v>
      </c>
      <c r="G1071" t="s">
        <v>43</v>
      </c>
      <c r="H1071">
        <v>2023</v>
      </c>
      <c r="I1071" t="s">
        <v>60</v>
      </c>
      <c r="L1071" t="s">
        <v>99</v>
      </c>
      <c r="AG1071">
        <f t="shared" si="16"/>
        <v>1</v>
      </c>
      <c r="AH1071">
        <f>'TABLA PREVIOS'!E1071</f>
        <v>291</v>
      </c>
      <c r="AI1071">
        <f>VLOOKUP(C1071,ALUMNOS!A:B,2,FALSE)</f>
        <v>21</v>
      </c>
    </row>
    <row r="1072" spans="1:35" x14ac:dyDescent="0.25">
      <c r="A1072" t="s">
        <v>386</v>
      </c>
      <c r="B1072" t="s">
        <v>109</v>
      </c>
      <c r="C1072">
        <v>46461432</v>
      </c>
      <c r="D1072" t="s">
        <v>395</v>
      </c>
      <c r="E1072" t="s">
        <v>16</v>
      </c>
      <c r="F1072" t="s">
        <v>245</v>
      </c>
      <c r="G1072" t="s">
        <v>43</v>
      </c>
      <c r="H1072">
        <v>2023</v>
      </c>
      <c r="I1072" t="s">
        <v>60</v>
      </c>
      <c r="L1072" t="s">
        <v>99</v>
      </c>
      <c r="AG1072">
        <f t="shared" si="16"/>
        <v>1</v>
      </c>
      <c r="AH1072">
        <f>'TABLA PREVIOS'!E1072</f>
        <v>282</v>
      </c>
      <c r="AI1072">
        <f>VLOOKUP(C1072,ALUMNOS!A:B,2,FALSE)</f>
        <v>21</v>
      </c>
    </row>
    <row r="1073" spans="1:35" x14ac:dyDescent="0.25">
      <c r="A1073" t="s">
        <v>386</v>
      </c>
      <c r="B1073" t="s">
        <v>109</v>
      </c>
      <c r="C1073">
        <v>46461432</v>
      </c>
      <c r="D1073" t="s">
        <v>395</v>
      </c>
      <c r="E1073" t="s">
        <v>11</v>
      </c>
      <c r="F1073" t="s">
        <v>245</v>
      </c>
      <c r="G1073" t="s">
        <v>43</v>
      </c>
      <c r="H1073">
        <v>2023</v>
      </c>
      <c r="I1073" t="s">
        <v>60</v>
      </c>
      <c r="L1073" t="s">
        <v>99</v>
      </c>
      <c r="AG1073">
        <f t="shared" si="16"/>
        <v>1</v>
      </c>
      <c r="AH1073">
        <f>'TABLA PREVIOS'!E1073</f>
        <v>279</v>
      </c>
      <c r="AI1073">
        <f>VLOOKUP(C1073,ALUMNOS!A:B,2,FALSE)</f>
        <v>21</v>
      </c>
    </row>
    <row r="1074" spans="1:35" x14ac:dyDescent="0.25">
      <c r="A1074" t="s">
        <v>386</v>
      </c>
      <c r="B1074" t="s">
        <v>109</v>
      </c>
      <c r="C1074">
        <v>46461432</v>
      </c>
      <c r="D1074" t="s">
        <v>395</v>
      </c>
      <c r="E1074" t="s">
        <v>12</v>
      </c>
      <c r="F1074" t="s">
        <v>245</v>
      </c>
      <c r="G1074" t="s">
        <v>43</v>
      </c>
      <c r="H1074">
        <v>2023</v>
      </c>
      <c r="I1074" t="s">
        <v>60</v>
      </c>
      <c r="L1074" t="s">
        <v>99</v>
      </c>
      <c r="AG1074">
        <f t="shared" si="16"/>
        <v>1</v>
      </c>
      <c r="AH1074">
        <f>'TABLA PREVIOS'!E1074</f>
        <v>280</v>
      </c>
      <c r="AI1074">
        <f>VLOOKUP(C1074,ALUMNOS!A:B,2,FALSE)</f>
        <v>21</v>
      </c>
    </row>
    <row r="1075" spans="1:35" x14ac:dyDescent="0.25">
      <c r="A1075" t="s">
        <v>386</v>
      </c>
      <c r="B1075" t="s">
        <v>109</v>
      </c>
      <c r="C1075">
        <v>46461432</v>
      </c>
      <c r="D1075" t="s">
        <v>395</v>
      </c>
      <c r="E1075" t="s">
        <v>25</v>
      </c>
      <c r="F1075" t="s">
        <v>245</v>
      </c>
      <c r="G1075" t="s">
        <v>43</v>
      </c>
      <c r="H1075">
        <v>2023</v>
      </c>
      <c r="I1075" t="s">
        <v>60</v>
      </c>
      <c r="L1075" t="s">
        <v>99</v>
      </c>
      <c r="AG1075">
        <f t="shared" si="16"/>
        <v>1</v>
      </c>
      <c r="AH1075">
        <f>'TABLA PREVIOS'!E1075</f>
        <v>281</v>
      </c>
      <c r="AI1075">
        <f>VLOOKUP(C1075,ALUMNOS!A:B,2,FALSE)</f>
        <v>21</v>
      </c>
    </row>
    <row r="1076" spans="1:35" x14ac:dyDescent="0.25">
      <c r="A1076" t="s">
        <v>386</v>
      </c>
      <c r="B1076" t="s">
        <v>109</v>
      </c>
      <c r="C1076">
        <v>46461432</v>
      </c>
      <c r="D1076" t="s">
        <v>395</v>
      </c>
      <c r="E1076" t="s">
        <v>39</v>
      </c>
      <c r="F1076" t="s">
        <v>245</v>
      </c>
      <c r="G1076" t="s">
        <v>43</v>
      </c>
      <c r="H1076">
        <v>2023</v>
      </c>
      <c r="I1076" t="s">
        <v>60</v>
      </c>
      <c r="L1076" t="s">
        <v>99</v>
      </c>
      <c r="AG1076">
        <f t="shared" si="16"/>
        <v>1</v>
      </c>
      <c r="AH1076">
        <f>'TABLA PREVIOS'!E1076</f>
        <v>288</v>
      </c>
      <c r="AI1076">
        <f>VLOOKUP(C1076,ALUMNOS!A:B,2,FALSE)</f>
        <v>21</v>
      </c>
    </row>
    <row r="1077" spans="1:35" x14ac:dyDescent="0.25">
      <c r="A1077" t="s">
        <v>386</v>
      </c>
      <c r="B1077" t="s">
        <v>109</v>
      </c>
      <c r="C1077">
        <v>46461432</v>
      </c>
      <c r="D1077" t="s">
        <v>395</v>
      </c>
      <c r="E1077" t="s">
        <v>29</v>
      </c>
      <c r="F1077" t="s">
        <v>245</v>
      </c>
      <c r="G1077" t="s">
        <v>43</v>
      </c>
      <c r="H1077">
        <v>2023</v>
      </c>
      <c r="I1077" t="s">
        <v>60</v>
      </c>
      <c r="L1077" t="s">
        <v>99</v>
      </c>
      <c r="AG1077">
        <f t="shared" si="16"/>
        <v>1</v>
      </c>
      <c r="AH1077">
        <f>'TABLA PREVIOS'!E1077</f>
        <v>290</v>
      </c>
      <c r="AI1077">
        <f>VLOOKUP(C1077,ALUMNOS!A:B,2,FALSE)</f>
        <v>21</v>
      </c>
    </row>
    <row r="1078" spans="1:35" x14ac:dyDescent="0.25">
      <c r="A1078" t="s">
        <v>386</v>
      </c>
      <c r="B1078" t="s">
        <v>109</v>
      </c>
      <c r="C1078">
        <v>46509026</v>
      </c>
      <c r="D1078" t="s">
        <v>396</v>
      </c>
      <c r="E1078" t="s">
        <v>24</v>
      </c>
      <c r="F1078" t="s">
        <v>220</v>
      </c>
      <c r="G1078" t="s">
        <v>43</v>
      </c>
      <c r="H1078">
        <v>2022</v>
      </c>
      <c r="I1078" t="s">
        <v>60</v>
      </c>
      <c r="L1078" t="s">
        <v>99</v>
      </c>
      <c r="AG1078">
        <f t="shared" si="16"/>
        <v>1</v>
      </c>
      <c r="AH1078">
        <f>'TABLA PREVIOS'!E1078</f>
        <v>266</v>
      </c>
      <c r="AI1078">
        <f>VLOOKUP(C1078,ALUMNOS!A:B,2,FALSE)</f>
        <v>73</v>
      </c>
    </row>
    <row r="1079" spans="1:35" x14ac:dyDescent="0.25">
      <c r="A1079" t="s">
        <v>386</v>
      </c>
      <c r="B1079" t="s">
        <v>109</v>
      </c>
      <c r="C1079">
        <v>46509026</v>
      </c>
      <c r="D1079" t="s">
        <v>396</v>
      </c>
      <c r="E1079" t="s">
        <v>16</v>
      </c>
      <c r="F1079" t="s">
        <v>220</v>
      </c>
      <c r="G1079" t="s">
        <v>43</v>
      </c>
      <c r="H1079">
        <v>2022</v>
      </c>
      <c r="I1079" t="s">
        <v>60</v>
      </c>
      <c r="L1079" t="s">
        <v>99</v>
      </c>
      <c r="AG1079">
        <f t="shared" si="16"/>
        <v>1</v>
      </c>
      <c r="AH1079">
        <f>'TABLA PREVIOS'!E1079</f>
        <v>269</v>
      </c>
      <c r="AI1079">
        <f>VLOOKUP(C1079,ALUMNOS!A:B,2,FALSE)</f>
        <v>73</v>
      </c>
    </row>
    <row r="1080" spans="1:35" x14ac:dyDescent="0.25">
      <c r="A1080" t="s">
        <v>386</v>
      </c>
      <c r="B1080" t="s">
        <v>109</v>
      </c>
      <c r="C1080">
        <v>46509026</v>
      </c>
      <c r="D1080" t="s">
        <v>396</v>
      </c>
      <c r="E1080" t="s">
        <v>41</v>
      </c>
      <c r="F1080" t="s">
        <v>245</v>
      </c>
      <c r="G1080" t="s">
        <v>43</v>
      </c>
      <c r="H1080">
        <v>2023</v>
      </c>
      <c r="I1080" t="s">
        <v>60</v>
      </c>
      <c r="L1080" t="s">
        <v>99</v>
      </c>
      <c r="AG1080">
        <f t="shared" si="16"/>
        <v>1</v>
      </c>
      <c r="AH1080">
        <f>'TABLA PREVIOS'!E1080</f>
        <v>292</v>
      </c>
      <c r="AI1080">
        <f>VLOOKUP(C1080,ALUMNOS!A:B,2,FALSE)</f>
        <v>73</v>
      </c>
    </row>
    <row r="1081" spans="1:35" x14ac:dyDescent="0.25">
      <c r="A1081" t="s">
        <v>386</v>
      </c>
      <c r="B1081" t="s">
        <v>109</v>
      </c>
      <c r="C1081">
        <v>46509026</v>
      </c>
      <c r="D1081" t="s">
        <v>396</v>
      </c>
      <c r="E1081" t="s">
        <v>16</v>
      </c>
      <c r="F1081" t="s">
        <v>245</v>
      </c>
      <c r="G1081" t="s">
        <v>43</v>
      </c>
      <c r="H1081">
        <v>2023</v>
      </c>
      <c r="I1081" t="s">
        <v>60</v>
      </c>
      <c r="L1081" t="s">
        <v>99</v>
      </c>
      <c r="AG1081">
        <f t="shared" si="16"/>
        <v>1</v>
      </c>
      <c r="AH1081">
        <f>'TABLA PREVIOS'!E1081</f>
        <v>282</v>
      </c>
      <c r="AI1081">
        <f>VLOOKUP(C1081,ALUMNOS!A:B,2,FALSE)</f>
        <v>73</v>
      </c>
    </row>
    <row r="1082" spans="1:35" x14ac:dyDescent="0.25">
      <c r="A1082" t="s">
        <v>386</v>
      </c>
      <c r="B1082" t="s">
        <v>109</v>
      </c>
      <c r="C1082">
        <v>46509026</v>
      </c>
      <c r="D1082" t="s">
        <v>396</v>
      </c>
      <c r="E1082" t="s">
        <v>39</v>
      </c>
      <c r="F1082" t="s">
        <v>245</v>
      </c>
      <c r="G1082" t="s">
        <v>43</v>
      </c>
      <c r="H1082">
        <v>2023</v>
      </c>
      <c r="I1082" t="s">
        <v>60</v>
      </c>
      <c r="L1082" t="s">
        <v>99</v>
      </c>
      <c r="AG1082">
        <f t="shared" si="16"/>
        <v>1</v>
      </c>
      <c r="AH1082">
        <f>'TABLA PREVIOS'!E1082</f>
        <v>288</v>
      </c>
      <c r="AI1082">
        <f>VLOOKUP(C1082,ALUMNOS!A:B,2,FALSE)</f>
        <v>73</v>
      </c>
    </row>
    <row r="1083" spans="1:35" x14ac:dyDescent="0.25">
      <c r="A1083" t="s">
        <v>386</v>
      </c>
      <c r="B1083" t="s">
        <v>109</v>
      </c>
      <c r="C1083">
        <v>46509026</v>
      </c>
      <c r="D1083" t="s">
        <v>396</v>
      </c>
      <c r="E1083" t="s">
        <v>29</v>
      </c>
      <c r="F1083" t="s">
        <v>245</v>
      </c>
      <c r="G1083" t="s">
        <v>43</v>
      </c>
      <c r="H1083">
        <v>2023</v>
      </c>
      <c r="I1083" t="s">
        <v>60</v>
      </c>
      <c r="L1083" t="s">
        <v>99</v>
      </c>
      <c r="AG1083">
        <f t="shared" si="16"/>
        <v>1</v>
      </c>
      <c r="AH1083">
        <f>'TABLA PREVIOS'!E1083</f>
        <v>290</v>
      </c>
      <c r="AI1083">
        <f>VLOOKUP(C1083,ALUMNOS!A:B,2,FALSE)</f>
        <v>73</v>
      </c>
    </row>
    <row r="1084" spans="1:35" x14ac:dyDescent="0.25">
      <c r="A1084" t="s">
        <v>386</v>
      </c>
      <c r="B1084" t="s">
        <v>109</v>
      </c>
      <c r="C1084">
        <v>47250831</v>
      </c>
      <c r="D1084" t="s">
        <v>397</v>
      </c>
      <c r="E1084" t="s">
        <v>30</v>
      </c>
      <c r="F1084" t="s">
        <v>190</v>
      </c>
      <c r="G1084" t="s">
        <v>44</v>
      </c>
      <c r="H1084">
        <v>2022</v>
      </c>
      <c r="I1084" t="s">
        <v>60</v>
      </c>
      <c r="J1084" t="s">
        <v>363</v>
      </c>
      <c r="L1084" t="s">
        <v>99</v>
      </c>
      <c r="AG1084">
        <f t="shared" si="16"/>
        <v>1</v>
      </c>
      <c r="AH1084">
        <f>'TABLA PREVIOS'!E1084</f>
        <v>260</v>
      </c>
      <c r="AI1084">
        <f>VLOOKUP(C1084,ALUMNOS!A:B,2,FALSE)</f>
        <v>101</v>
      </c>
    </row>
    <row r="1085" spans="1:35" x14ac:dyDescent="0.25">
      <c r="A1085" t="s">
        <v>386</v>
      </c>
      <c r="B1085" t="s">
        <v>109</v>
      </c>
      <c r="C1085">
        <v>47250831</v>
      </c>
      <c r="D1085" t="s">
        <v>397</v>
      </c>
      <c r="E1085" t="s">
        <v>41</v>
      </c>
      <c r="F1085" t="s">
        <v>245</v>
      </c>
      <c r="G1085" t="s">
        <v>43</v>
      </c>
      <c r="H1085">
        <v>2023</v>
      </c>
      <c r="I1085" t="s">
        <v>60</v>
      </c>
      <c r="L1085" t="s">
        <v>99</v>
      </c>
      <c r="AG1085">
        <f t="shared" si="16"/>
        <v>1</v>
      </c>
      <c r="AH1085">
        <f>'TABLA PREVIOS'!E1085</f>
        <v>292</v>
      </c>
      <c r="AI1085">
        <f>VLOOKUP(C1085,ALUMNOS!A:B,2,FALSE)</f>
        <v>101</v>
      </c>
    </row>
    <row r="1086" spans="1:35" x14ac:dyDescent="0.25">
      <c r="A1086" t="s">
        <v>386</v>
      </c>
      <c r="B1086" t="s">
        <v>109</v>
      </c>
      <c r="C1086">
        <v>47250831</v>
      </c>
      <c r="D1086" t="s">
        <v>397</v>
      </c>
      <c r="E1086" t="s">
        <v>16</v>
      </c>
      <c r="F1086" t="s">
        <v>245</v>
      </c>
      <c r="G1086" t="s">
        <v>43</v>
      </c>
      <c r="H1086">
        <v>2023</v>
      </c>
      <c r="I1086" t="s">
        <v>60</v>
      </c>
      <c r="L1086" t="s">
        <v>99</v>
      </c>
      <c r="AG1086">
        <f t="shared" si="16"/>
        <v>1</v>
      </c>
      <c r="AH1086">
        <f>'TABLA PREVIOS'!E1086</f>
        <v>282</v>
      </c>
      <c r="AI1086">
        <f>VLOOKUP(C1086,ALUMNOS!A:B,2,FALSE)</f>
        <v>101</v>
      </c>
    </row>
    <row r="1087" spans="1:35" x14ac:dyDescent="0.25">
      <c r="A1087" t="s">
        <v>386</v>
      </c>
      <c r="B1087" t="s">
        <v>109</v>
      </c>
      <c r="C1087">
        <v>47250831</v>
      </c>
      <c r="D1087" t="s">
        <v>397</v>
      </c>
      <c r="E1087" t="s">
        <v>25</v>
      </c>
      <c r="F1087" t="s">
        <v>245</v>
      </c>
      <c r="G1087" t="s">
        <v>43</v>
      </c>
      <c r="H1087">
        <v>2023</v>
      </c>
      <c r="I1087" t="s">
        <v>60</v>
      </c>
      <c r="L1087" t="s">
        <v>99</v>
      </c>
      <c r="AG1087">
        <f t="shared" si="16"/>
        <v>1</v>
      </c>
      <c r="AH1087">
        <f>'TABLA PREVIOS'!E1087</f>
        <v>281</v>
      </c>
      <c r="AI1087">
        <f>VLOOKUP(C1087,ALUMNOS!A:B,2,FALSE)</f>
        <v>101</v>
      </c>
    </row>
    <row r="1088" spans="1:35" x14ac:dyDescent="0.25">
      <c r="A1088" t="s">
        <v>386</v>
      </c>
      <c r="B1088" t="s">
        <v>109</v>
      </c>
      <c r="C1088">
        <v>47250831</v>
      </c>
      <c r="D1088" t="s">
        <v>397</v>
      </c>
      <c r="E1088" t="s">
        <v>39</v>
      </c>
      <c r="F1088" t="s">
        <v>245</v>
      </c>
      <c r="G1088" t="s">
        <v>43</v>
      </c>
      <c r="H1088">
        <v>2023</v>
      </c>
      <c r="I1088" t="s">
        <v>60</v>
      </c>
      <c r="L1088" t="s">
        <v>99</v>
      </c>
      <c r="AG1088">
        <f t="shared" si="16"/>
        <v>1</v>
      </c>
      <c r="AH1088">
        <f>'TABLA PREVIOS'!E1088</f>
        <v>288</v>
      </c>
      <c r="AI1088">
        <f>VLOOKUP(C1088,ALUMNOS!A:B,2,FALSE)</f>
        <v>101</v>
      </c>
    </row>
    <row r="1089" spans="1:35" x14ac:dyDescent="0.25">
      <c r="A1089" t="s">
        <v>386</v>
      </c>
      <c r="B1089" t="s">
        <v>109</v>
      </c>
      <c r="C1089">
        <v>47250831</v>
      </c>
      <c r="D1089" t="s">
        <v>397</v>
      </c>
      <c r="E1089" t="s">
        <v>29</v>
      </c>
      <c r="F1089" t="s">
        <v>245</v>
      </c>
      <c r="G1089" t="s">
        <v>43</v>
      </c>
      <c r="H1089">
        <v>2023</v>
      </c>
      <c r="I1089" t="s">
        <v>60</v>
      </c>
      <c r="L1089" t="s">
        <v>99</v>
      </c>
      <c r="AG1089">
        <f t="shared" si="16"/>
        <v>1</v>
      </c>
      <c r="AH1089">
        <f>'TABLA PREVIOS'!E1089</f>
        <v>290</v>
      </c>
      <c r="AI1089">
        <f>VLOOKUP(C1089,ALUMNOS!A:B,2,FALSE)</f>
        <v>101</v>
      </c>
    </row>
    <row r="1090" spans="1:35" x14ac:dyDescent="0.25">
      <c r="A1090" t="s">
        <v>386</v>
      </c>
      <c r="B1090" t="s">
        <v>109</v>
      </c>
      <c r="C1090">
        <v>47250827</v>
      </c>
      <c r="D1090" t="s">
        <v>398</v>
      </c>
      <c r="E1090" t="s">
        <v>24</v>
      </c>
      <c r="F1090" t="s">
        <v>220</v>
      </c>
      <c r="G1090" t="s">
        <v>43</v>
      </c>
      <c r="H1090">
        <v>2022</v>
      </c>
      <c r="I1090" t="s">
        <v>60</v>
      </c>
      <c r="L1090" t="s">
        <v>99</v>
      </c>
      <c r="AG1090">
        <f t="shared" si="16"/>
        <v>1</v>
      </c>
      <c r="AH1090">
        <f>'TABLA PREVIOS'!E1090</f>
        <v>266</v>
      </c>
      <c r="AI1090">
        <f>VLOOKUP(C1090,ALUMNOS!A:B,2,FALSE)</f>
        <v>107</v>
      </c>
    </row>
    <row r="1091" spans="1:35" x14ac:dyDescent="0.25">
      <c r="A1091" t="s">
        <v>386</v>
      </c>
      <c r="B1091" t="s">
        <v>109</v>
      </c>
      <c r="C1091">
        <v>47250827</v>
      </c>
      <c r="D1091" t="s">
        <v>398</v>
      </c>
      <c r="E1091" t="s">
        <v>33</v>
      </c>
      <c r="F1091" t="s">
        <v>220</v>
      </c>
      <c r="G1091" t="s">
        <v>43</v>
      </c>
      <c r="H1091">
        <v>2022</v>
      </c>
      <c r="I1091" t="s">
        <v>60</v>
      </c>
      <c r="L1091" t="s">
        <v>99</v>
      </c>
      <c r="AG1091">
        <f t="shared" ref="AG1091:AG1154" si="17">IF(VALUE(MAX(N1091,R1091,V1091,Z1091,AC1091,))&gt;=7,VALUE(MAX(N1091,R1091,V1091,Z1091,AC1091,)),1)</f>
        <v>1</v>
      </c>
      <c r="AH1091">
        <f>'TABLA PREVIOS'!E1091</f>
        <v>271</v>
      </c>
      <c r="AI1091">
        <f>VLOOKUP(C1091,ALUMNOS!A:B,2,FALSE)</f>
        <v>107</v>
      </c>
    </row>
    <row r="1092" spans="1:35" x14ac:dyDescent="0.25">
      <c r="A1092" t="s">
        <v>386</v>
      </c>
      <c r="B1092" t="s">
        <v>109</v>
      </c>
      <c r="C1092">
        <v>47250827</v>
      </c>
      <c r="D1092" t="s">
        <v>398</v>
      </c>
      <c r="E1092" t="s">
        <v>41</v>
      </c>
      <c r="F1092" t="s">
        <v>245</v>
      </c>
      <c r="G1092" t="s">
        <v>43</v>
      </c>
      <c r="H1092">
        <v>2023</v>
      </c>
      <c r="I1092" t="s">
        <v>60</v>
      </c>
      <c r="L1092" t="s">
        <v>99</v>
      </c>
      <c r="AG1092">
        <f t="shared" si="17"/>
        <v>1</v>
      </c>
      <c r="AH1092">
        <f>'TABLA PREVIOS'!E1092</f>
        <v>292</v>
      </c>
      <c r="AI1092">
        <f>VLOOKUP(C1092,ALUMNOS!A:B,2,FALSE)</f>
        <v>107</v>
      </c>
    </row>
    <row r="1093" spans="1:35" x14ac:dyDescent="0.25">
      <c r="A1093" t="s">
        <v>386</v>
      </c>
      <c r="B1093" t="s">
        <v>109</v>
      </c>
      <c r="C1093">
        <v>47250827</v>
      </c>
      <c r="D1093" t="s">
        <v>398</v>
      </c>
      <c r="E1093" t="s">
        <v>16</v>
      </c>
      <c r="F1093" t="s">
        <v>245</v>
      </c>
      <c r="G1093" t="s">
        <v>43</v>
      </c>
      <c r="H1093">
        <v>2023</v>
      </c>
      <c r="I1093" t="s">
        <v>60</v>
      </c>
      <c r="L1093" t="s">
        <v>99</v>
      </c>
      <c r="AG1093">
        <f t="shared" si="17"/>
        <v>1</v>
      </c>
      <c r="AH1093">
        <f>'TABLA PREVIOS'!E1093</f>
        <v>282</v>
      </c>
      <c r="AI1093">
        <f>VLOOKUP(C1093,ALUMNOS!A:B,2,FALSE)</f>
        <v>107</v>
      </c>
    </row>
    <row r="1094" spans="1:35" x14ac:dyDescent="0.25">
      <c r="A1094" t="s">
        <v>386</v>
      </c>
      <c r="B1094" t="s">
        <v>109</v>
      </c>
      <c r="C1094">
        <v>47250827</v>
      </c>
      <c r="D1094" t="s">
        <v>398</v>
      </c>
      <c r="E1094" t="s">
        <v>25</v>
      </c>
      <c r="F1094" t="s">
        <v>245</v>
      </c>
      <c r="G1094" t="s">
        <v>43</v>
      </c>
      <c r="H1094">
        <v>2023</v>
      </c>
      <c r="I1094" t="s">
        <v>60</v>
      </c>
      <c r="L1094" t="s">
        <v>99</v>
      </c>
      <c r="AG1094">
        <f t="shared" si="17"/>
        <v>1</v>
      </c>
      <c r="AH1094">
        <f>'TABLA PREVIOS'!E1094</f>
        <v>281</v>
      </c>
      <c r="AI1094">
        <f>VLOOKUP(C1094,ALUMNOS!A:B,2,FALSE)</f>
        <v>107</v>
      </c>
    </row>
    <row r="1095" spans="1:35" x14ac:dyDescent="0.25">
      <c r="A1095" t="s">
        <v>386</v>
      </c>
      <c r="B1095" t="s">
        <v>109</v>
      </c>
      <c r="C1095">
        <v>47250827</v>
      </c>
      <c r="D1095" t="s">
        <v>398</v>
      </c>
      <c r="E1095" t="s">
        <v>39</v>
      </c>
      <c r="F1095" t="s">
        <v>245</v>
      </c>
      <c r="G1095" t="s">
        <v>43</v>
      </c>
      <c r="H1095">
        <v>2023</v>
      </c>
      <c r="I1095" t="s">
        <v>60</v>
      </c>
      <c r="L1095" t="s">
        <v>99</v>
      </c>
      <c r="AG1095">
        <f t="shared" si="17"/>
        <v>1</v>
      </c>
      <c r="AH1095">
        <f>'TABLA PREVIOS'!E1095</f>
        <v>288</v>
      </c>
      <c r="AI1095">
        <f>VLOOKUP(C1095,ALUMNOS!A:B,2,FALSE)</f>
        <v>107</v>
      </c>
    </row>
    <row r="1096" spans="1:35" x14ac:dyDescent="0.25">
      <c r="A1096" t="s">
        <v>386</v>
      </c>
      <c r="B1096" t="s">
        <v>109</v>
      </c>
      <c r="C1096">
        <v>47250827</v>
      </c>
      <c r="D1096" t="s">
        <v>398</v>
      </c>
      <c r="E1096" t="s">
        <v>29</v>
      </c>
      <c r="F1096" t="s">
        <v>245</v>
      </c>
      <c r="G1096" t="s">
        <v>43</v>
      </c>
      <c r="H1096">
        <v>2023</v>
      </c>
      <c r="I1096" t="s">
        <v>60</v>
      </c>
      <c r="L1096" t="s">
        <v>99</v>
      </c>
      <c r="AG1096">
        <f t="shared" si="17"/>
        <v>1</v>
      </c>
      <c r="AH1096">
        <f>'TABLA PREVIOS'!E1096</f>
        <v>290</v>
      </c>
      <c r="AI1096">
        <f>VLOOKUP(C1096,ALUMNOS!A:B,2,FALSE)</f>
        <v>107</v>
      </c>
    </row>
    <row r="1097" spans="1:35" x14ac:dyDescent="0.25">
      <c r="A1097" t="s">
        <v>386</v>
      </c>
      <c r="B1097" t="s">
        <v>109</v>
      </c>
      <c r="C1097">
        <v>46571754</v>
      </c>
      <c r="D1097" t="s">
        <v>399</v>
      </c>
      <c r="E1097" t="s">
        <v>30</v>
      </c>
      <c r="F1097" t="s">
        <v>220</v>
      </c>
      <c r="G1097" t="s">
        <v>44</v>
      </c>
      <c r="H1097">
        <v>2023</v>
      </c>
      <c r="I1097" t="s">
        <v>60</v>
      </c>
      <c r="L1097" t="s">
        <v>107</v>
      </c>
      <c r="Q1097">
        <v>45475</v>
      </c>
      <c r="R1097">
        <v>8</v>
      </c>
      <c r="S1097">
        <v>70</v>
      </c>
      <c r="T1097">
        <v>1</v>
      </c>
      <c r="AG1097">
        <f t="shared" si="17"/>
        <v>8</v>
      </c>
      <c r="AH1097">
        <f>'TABLA PREVIOS'!E1097</f>
        <v>274</v>
      </c>
      <c r="AI1097">
        <f>VLOOKUP(C1097,ALUMNOS!A:B,2,FALSE)</f>
        <v>235</v>
      </c>
    </row>
    <row r="1098" spans="1:35" x14ac:dyDescent="0.25">
      <c r="A1098" t="s">
        <v>386</v>
      </c>
      <c r="B1098" t="s">
        <v>109</v>
      </c>
      <c r="C1098">
        <v>46571754</v>
      </c>
      <c r="D1098" t="s">
        <v>399</v>
      </c>
      <c r="E1098" t="s">
        <v>34</v>
      </c>
      <c r="F1098" t="s">
        <v>220</v>
      </c>
      <c r="G1098" t="s">
        <v>44</v>
      </c>
      <c r="H1098">
        <v>2023</v>
      </c>
      <c r="I1098" t="s">
        <v>60</v>
      </c>
      <c r="L1098" t="s">
        <v>107</v>
      </c>
      <c r="Q1098">
        <v>45475</v>
      </c>
      <c r="R1098">
        <v>8</v>
      </c>
      <c r="S1098">
        <v>70</v>
      </c>
      <c r="T1098">
        <v>3</v>
      </c>
      <c r="AG1098">
        <f t="shared" si="17"/>
        <v>8</v>
      </c>
      <c r="AH1098">
        <f>'TABLA PREVIOS'!E1098</f>
        <v>275</v>
      </c>
      <c r="AI1098">
        <f>VLOOKUP(C1098,ALUMNOS!A:B,2,FALSE)</f>
        <v>235</v>
      </c>
    </row>
    <row r="1099" spans="1:35" x14ac:dyDescent="0.25">
      <c r="A1099" t="s">
        <v>386</v>
      </c>
      <c r="B1099" t="s">
        <v>109</v>
      </c>
      <c r="C1099">
        <v>46571754</v>
      </c>
      <c r="D1099" t="s">
        <v>399</v>
      </c>
      <c r="E1099" t="s">
        <v>29</v>
      </c>
      <c r="F1099" t="s">
        <v>220</v>
      </c>
      <c r="G1099" t="s">
        <v>44</v>
      </c>
      <c r="H1099">
        <v>2023</v>
      </c>
      <c r="I1099" t="s">
        <v>60</v>
      </c>
      <c r="L1099" t="s">
        <v>107</v>
      </c>
      <c r="M1099">
        <v>45411</v>
      </c>
      <c r="N1099">
        <v>7</v>
      </c>
      <c r="O1099">
        <v>58</v>
      </c>
      <c r="P1099">
        <v>199</v>
      </c>
      <c r="AG1099">
        <f t="shared" si="17"/>
        <v>7</v>
      </c>
      <c r="AH1099">
        <f>'TABLA PREVIOS'!E1099</f>
        <v>273</v>
      </c>
      <c r="AI1099">
        <f>VLOOKUP(C1099,ALUMNOS!A:B,2,FALSE)</f>
        <v>235</v>
      </c>
    </row>
    <row r="1100" spans="1:35" x14ac:dyDescent="0.25">
      <c r="A1100" t="s">
        <v>386</v>
      </c>
      <c r="B1100" t="s">
        <v>109</v>
      </c>
      <c r="C1100">
        <v>46571754</v>
      </c>
      <c r="D1100" t="s">
        <v>399</v>
      </c>
      <c r="E1100" t="s">
        <v>29</v>
      </c>
      <c r="F1100" t="s">
        <v>245</v>
      </c>
      <c r="G1100" t="s">
        <v>43</v>
      </c>
      <c r="H1100">
        <v>2023</v>
      </c>
      <c r="I1100" t="s">
        <v>60</v>
      </c>
      <c r="L1100" t="s">
        <v>107</v>
      </c>
      <c r="M1100">
        <v>45411</v>
      </c>
      <c r="N1100">
        <v>7</v>
      </c>
      <c r="O1100">
        <v>68</v>
      </c>
      <c r="P1100">
        <v>51</v>
      </c>
      <c r="AG1100">
        <f t="shared" si="17"/>
        <v>7</v>
      </c>
      <c r="AH1100">
        <f>'TABLA PREVIOS'!E1100</f>
        <v>290</v>
      </c>
      <c r="AI1100">
        <f>VLOOKUP(C1100,ALUMNOS!A:B,2,FALSE)</f>
        <v>235</v>
      </c>
    </row>
    <row r="1101" spans="1:35" x14ac:dyDescent="0.25">
      <c r="A1101" t="s">
        <v>386</v>
      </c>
      <c r="B1101" t="s">
        <v>109</v>
      </c>
      <c r="C1101">
        <v>45887410</v>
      </c>
      <c r="D1101" t="s">
        <v>400</v>
      </c>
      <c r="E1101" t="s">
        <v>21</v>
      </c>
      <c r="F1101" t="s">
        <v>190</v>
      </c>
      <c r="G1101" t="s">
        <v>43</v>
      </c>
      <c r="H1101">
        <v>2021</v>
      </c>
      <c r="I1101" t="s">
        <v>60</v>
      </c>
      <c r="L1101" t="s">
        <v>107</v>
      </c>
      <c r="Q1101">
        <v>45474</v>
      </c>
      <c r="R1101">
        <v>7</v>
      </c>
      <c r="S1101">
        <v>68</v>
      </c>
      <c r="T1101">
        <v>58</v>
      </c>
      <c r="AG1101">
        <f t="shared" si="17"/>
        <v>7</v>
      </c>
      <c r="AH1101">
        <f>'TABLA PREVIOS'!E1101</f>
        <v>253</v>
      </c>
      <c r="AI1101">
        <f>VLOOKUP(C1101,ALUMNOS!A:B,2,FALSE)</f>
        <v>338</v>
      </c>
    </row>
    <row r="1102" spans="1:35" x14ac:dyDescent="0.25">
      <c r="A1102" t="s">
        <v>386</v>
      </c>
      <c r="B1102" t="s">
        <v>109</v>
      </c>
      <c r="C1102">
        <v>45887410</v>
      </c>
      <c r="D1102" t="s">
        <v>400</v>
      </c>
      <c r="E1102" t="s">
        <v>11</v>
      </c>
      <c r="F1102" t="s">
        <v>190</v>
      </c>
      <c r="G1102" t="s">
        <v>43</v>
      </c>
      <c r="H1102">
        <v>2021</v>
      </c>
      <c r="I1102" t="s">
        <v>60</v>
      </c>
      <c r="L1102" t="s">
        <v>99</v>
      </c>
      <c r="Q1102">
        <v>45475</v>
      </c>
      <c r="R1102">
        <v>4</v>
      </c>
      <c r="S1102">
        <v>68</v>
      </c>
      <c r="T1102">
        <v>76</v>
      </c>
      <c r="AG1102">
        <f t="shared" si="17"/>
        <v>1</v>
      </c>
      <c r="AH1102">
        <f>'TABLA PREVIOS'!E1102</f>
        <v>251</v>
      </c>
      <c r="AI1102">
        <f>VLOOKUP(C1102,ALUMNOS!A:B,2,FALSE)</f>
        <v>338</v>
      </c>
    </row>
    <row r="1103" spans="1:35" x14ac:dyDescent="0.25">
      <c r="A1103" t="s">
        <v>386</v>
      </c>
      <c r="B1103" t="s">
        <v>109</v>
      </c>
      <c r="C1103">
        <v>45887410</v>
      </c>
      <c r="D1103" t="s">
        <v>400</v>
      </c>
      <c r="E1103" t="s">
        <v>11</v>
      </c>
      <c r="F1103" t="s">
        <v>220</v>
      </c>
      <c r="G1103" t="s">
        <v>43</v>
      </c>
      <c r="H1103">
        <v>2022</v>
      </c>
      <c r="I1103" t="s">
        <v>60</v>
      </c>
      <c r="L1103" t="s">
        <v>99</v>
      </c>
      <c r="AG1103">
        <f t="shared" si="17"/>
        <v>1</v>
      </c>
      <c r="AH1103">
        <f>'TABLA PREVIOS'!E1103</f>
        <v>264</v>
      </c>
      <c r="AI1103">
        <f>VLOOKUP(C1103,ALUMNOS!A:B,2,FALSE)</f>
        <v>338</v>
      </c>
    </row>
    <row r="1104" spans="1:35" x14ac:dyDescent="0.25">
      <c r="A1104" t="s">
        <v>386</v>
      </c>
      <c r="B1104" t="s">
        <v>109</v>
      </c>
      <c r="C1104">
        <v>45887410</v>
      </c>
      <c r="D1104" t="s">
        <v>400</v>
      </c>
      <c r="E1104" t="s">
        <v>41</v>
      </c>
      <c r="F1104" t="s">
        <v>245</v>
      </c>
      <c r="G1104" t="s">
        <v>43</v>
      </c>
      <c r="H1104">
        <v>2023</v>
      </c>
      <c r="I1104" t="s">
        <v>60</v>
      </c>
      <c r="L1104" t="s">
        <v>99</v>
      </c>
      <c r="AG1104">
        <f t="shared" si="17"/>
        <v>1</v>
      </c>
      <c r="AH1104">
        <f>'TABLA PREVIOS'!E1104</f>
        <v>292</v>
      </c>
      <c r="AI1104">
        <f>VLOOKUP(C1104,ALUMNOS!A:B,2,FALSE)</f>
        <v>338</v>
      </c>
    </row>
    <row r="1105" spans="1:35" x14ac:dyDescent="0.25">
      <c r="A1105" t="s">
        <v>386</v>
      </c>
      <c r="B1105" t="s">
        <v>109</v>
      </c>
      <c r="C1105">
        <v>45887410</v>
      </c>
      <c r="D1105" t="s">
        <v>400</v>
      </c>
      <c r="E1105" t="s">
        <v>11</v>
      </c>
      <c r="F1105" t="s">
        <v>245</v>
      </c>
      <c r="G1105" t="s">
        <v>43</v>
      </c>
      <c r="H1105">
        <v>2023</v>
      </c>
      <c r="I1105" t="s">
        <v>60</v>
      </c>
      <c r="L1105" t="s">
        <v>99</v>
      </c>
      <c r="AG1105">
        <f t="shared" si="17"/>
        <v>1</v>
      </c>
      <c r="AH1105">
        <f>'TABLA PREVIOS'!E1105</f>
        <v>279</v>
      </c>
      <c r="AI1105">
        <f>VLOOKUP(C1105,ALUMNOS!A:B,2,FALSE)</f>
        <v>338</v>
      </c>
    </row>
    <row r="1106" spans="1:35" x14ac:dyDescent="0.25">
      <c r="A1106" t="s">
        <v>386</v>
      </c>
      <c r="B1106" t="s">
        <v>109</v>
      </c>
      <c r="C1106">
        <v>45887410</v>
      </c>
      <c r="D1106" t="s">
        <v>400</v>
      </c>
      <c r="E1106" t="s">
        <v>25</v>
      </c>
      <c r="F1106" t="s">
        <v>245</v>
      </c>
      <c r="G1106" t="s">
        <v>43</v>
      </c>
      <c r="H1106">
        <v>2023</v>
      </c>
      <c r="I1106" t="s">
        <v>60</v>
      </c>
      <c r="L1106" t="s">
        <v>99</v>
      </c>
      <c r="AG1106">
        <f t="shared" si="17"/>
        <v>1</v>
      </c>
      <c r="AH1106">
        <f>'TABLA PREVIOS'!E1106</f>
        <v>281</v>
      </c>
      <c r="AI1106">
        <f>VLOOKUP(C1106,ALUMNOS!A:B,2,FALSE)</f>
        <v>338</v>
      </c>
    </row>
    <row r="1107" spans="1:35" x14ac:dyDescent="0.25">
      <c r="A1107" t="s">
        <v>386</v>
      </c>
      <c r="B1107" t="s">
        <v>109</v>
      </c>
      <c r="C1107">
        <v>45887410</v>
      </c>
      <c r="D1107" t="s">
        <v>400</v>
      </c>
      <c r="E1107" t="s">
        <v>39</v>
      </c>
      <c r="F1107" t="s">
        <v>245</v>
      </c>
      <c r="G1107" t="s">
        <v>43</v>
      </c>
      <c r="H1107">
        <v>2023</v>
      </c>
      <c r="I1107" t="s">
        <v>60</v>
      </c>
      <c r="L1107" t="s">
        <v>99</v>
      </c>
      <c r="Q1107">
        <v>45475</v>
      </c>
      <c r="R1107">
        <v>4</v>
      </c>
      <c r="S1107">
        <v>68</v>
      </c>
      <c r="T1107">
        <v>81</v>
      </c>
      <c r="AG1107">
        <f t="shared" si="17"/>
        <v>1</v>
      </c>
      <c r="AH1107">
        <f>'TABLA PREVIOS'!E1107</f>
        <v>288</v>
      </c>
      <c r="AI1107">
        <f>VLOOKUP(C1107,ALUMNOS!A:B,2,FALSE)</f>
        <v>338</v>
      </c>
    </row>
    <row r="1108" spans="1:35" x14ac:dyDescent="0.25">
      <c r="A1108" t="s">
        <v>386</v>
      </c>
      <c r="B1108" t="s">
        <v>109</v>
      </c>
      <c r="C1108">
        <v>45887410</v>
      </c>
      <c r="D1108" t="s">
        <v>400</v>
      </c>
      <c r="E1108" t="s">
        <v>29</v>
      </c>
      <c r="F1108" t="s">
        <v>245</v>
      </c>
      <c r="G1108" t="s">
        <v>43</v>
      </c>
      <c r="H1108">
        <v>2023</v>
      </c>
      <c r="I1108" t="s">
        <v>60</v>
      </c>
      <c r="L1108" t="s">
        <v>99</v>
      </c>
      <c r="Q1108">
        <v>45475</v>
      </c>
      <c r="R1108">
        <v>1</v>
      </c>
      <c r="S1108">
        <v>68</v>
      </c>
      <c r="T1108">
        <v>80</v>
      </c>
      <c r="AG1108">
        <f t="shared" si="17"/>
        <v>1</v>
      </c>
      <c r="AH1108">
        <f>'TABLA PREVIOS'!E1108</f>
        <v>290</v>
      </c>
      <c r="AI1108">
        <f>VLOOKUP(C1108,ALUMNOS!A:B,2,FALSE)</f>
        <v>338</v>
      </c>
    </row>
    <row r="1109" spans="1:35" x14ac:dyDescent="0.25">
      <c r="A1109" t="s">
        <v>386</v>
      </c>
      <c r="B1109" t="s">
        <v>109</v>
      </c>
      <c r="C1109">
        <v>46226738</v>
      </c>
      <c r="D1109" t="s">
        <v>401</v>
      </c>
      <c r="E1109" t="s">
        <v>12</v>
      </c>
      <c r="F1109" t="s">
        <v>190</v>
      </c>
      <c r="G1109" t="s">
        <v>43</v>
      </c>
      <c r="H1109">
        <v>2022</v>
      </c>
      <c r="I1109" t="s">
        <v>60</v>
      </c>
      <c r="J1109" t="s">
        <v>363</v>
      </c>
      <c r="L1109" t="s">
        <v>99</v>
      </c>
      <c r="Q1109">
        <v>45474</v>
      </c>
      <c r="R1109" t="s">
        <v>50</v>
      </c>
      <c r="S1109">
        <v>68</v>
      </c>
      <c r="T1109">
        <v>63</v>
      </c>
      <c r="AG1109">
        <f t="shared" si="17"/>
        <v>1</v>
      </c>
      <c r="AH1109">
        <f>'TABLA PREVIOS'!E1109</f>
        <v>252</v>
      </c>
      <c r="AI1109">
        <f>VLOOKUP(C1109,ALUMNOS!A:B,2,FALSE)</f>
        <v>536</v>
      </c>
    </row>
    <row r="1110" spans="1:35" x14ac:dyDescent="0.25">
      <c r="A1110" t="s">
        <v>386</v>
      </c>
      <c r="B1110" t="s">
        <v>109</v>
      </c>
      <c r="C1110">
        <v>46226738</v>
      </c>
      <c r="D1110" t="s">
        <v>401</v>
      </c>
      <c r="E1110" t="s">
        <v>29</v>
      </c>
      <c r="F1110" t="s">
        <v>220</v>
      </c>
      <c r="G1110" t="s">
        <v>43</v>
      </c>
      <c r="H1110">
        <v>2022</v>
      </c>
      <c r="I1110" t="s">
        <v>60</v>
      </c>
      <c r="L1110" t="s">
        <v>99</v>
      </c>
      <c r="Q1110">
        <v>45475</v>
      </c>
      <c r="R1110" t="s">
        <v>50</v>
      </c>
      <c r="S1110">
        <v>68</v>
      </c>
      <c r="T1110">
        <v>79</v>
      </c>
      <c r="AG1110">
        <f t="shared" si="17"/>
        <v>1</v>
      </c>
      <c r="AH1110">
        <f>'TABLA PREVIOS'!E1110</f>
        <v>273</v>
      </c>
      <c r="AI1110">
        <f>VLOOKUP(C1110,ALUMNOS!A:B,2,FALSE)</f>
        <v>536</v>
      </c>
    </row>
    <row r="1111" spans="1:35" x14ac:dyDescent="0.25">
      <c r="A1111" t="s">
        <v>386</v>
      </c>
      <c r="B1111" t="s">
        <v>109</v>
      </c>
      <c r="C1111">
        <v>46226738</v>
      </c>
      <c r="D1111" t="s">
        <v>401</v>
      </c>
      <c r="E1111" t="s">
        <v>41</v>
      </c>
      <c r="F1111" t="s">
        <v>245</v>
      </c>
      <c r="G1111" t="s">
        <v>43</v>
      </c>
      <c r="H1111">
        <v>2023</v>
      </c>
      <c r="I1111" t="s">
        <v>60</v>
      </c>
      <c r="L1111" t="s">
        <v>99</v>
      </c>
      <c r="Q1111">
        <v>45474</v>
      </c>
      <c r="R1111" t="s">
        <v>50</v>
      </c>
      <c r="S1111">
        <v>68</v>
      </c>
      <c r="T1111">
        <v>66</v>
      </c>
      <c r="AG1111">
        <f t="shared" si="17"/>
        <v>1</v>
      </c>
      <c r="AH1111">
        <f>'TABLA PREVIOS'!E1111</f>
        <v>292</v>
      </c>
      <c r="AI1111">
        <f>VLOOKUP(C1111,ALUMNOS!A:B,2,FALSE)</f>
        <v>536</v>
      </c>
    </row>
    <row r="1112" spans="1:35" x14ac:dyDescent="0.25">
      <c r="A1112" t="s">
        <v>386</v>
      </c>
      <c r="B1112" t="s">
        <v>109</v>
      </c>
      <c r="C1112">
        <v>46226738</v>
      </c>
      <c r="D1112" t="s">
        <v>401</v>
      </c>
      <c r="E1112" t="s">
        <v>16</v>
      </c>
      <c r="F1112" t="s">
        <v>245</v>
      </c>
      <c r="G1112" t="s">
        <v>43</v>
      </c>
      <c r="H1112">
        <v>2023</v>
      </c>
      <c r="I1112" t="s">
        <v>60</v>
      </c>
      <c r="L1112" t="s">
        <v>99</v>
      </c>
      <c r="AG1112">
        <f t="shared" si="17"/>
        <v>1</v>
      </c>
      <c r="AH1112">
        <f>'TABLA PREVIOS'!E1112</f>
        <v>282</v>
      </c>
      <c r="AI1112">
        <f>VLOOKUP(C1112,ALUMNOS!A:B,2,FALSE)</f>
        <v>536</v>
      </c>
    </row>
    <row r="1113" spans="1:35" x14ac:dyDescent="0.25">
      <c r="A1113" t="s">
        <v>386</v>
      </c>
      <c r="B1113" t="s">
        <v>109</v>
      </c>
      <c r="C1113">
        <v>46226738</v>
      </c>
      <c r="D1113" t="s">
        <v>401</v>
      </c>
      <c r="E1113" t="s">
        <v>25</v>
      </c>
      <c r="F1113" t="s">
        <v>245</v>
      </c>
      <c r="G1113" t="s">
        <v>43</v>
      </c>
      <c r="H1113">
        <v>2023</v>
      </c>
      <c r="I1113" t="s">
        <v>60</v>
      </c>
      <c r="L1113" t="s">
        <v>99</v>
      </c>
      <c r="M1113">
        <v>45401</v>
      </c>
      <c r="N1113" t="s">
        <v>50</v>
      </c>
      <c r="O1113">
        <v>68</v>
      </c>
      <c r="P1113">
        <v>23</v>
      </c>
      <c r="Q1113">
        <v>45474</v>
      </c>
      <c r="R1113" t="s">
        <v>50</v>
      </c>
      <c r="S1113">
        <v>68</v>
      </c>
      <c r="T1113">
        <v>59</v>
      </c>
      <c r="AG1113">
        <f t="shared" si="17"/>
        <v>1</v>
      </c>
      <c r="AH1113">
        <f>'TABLA PREVIOS'!E1113</f>
        <v>281</v>
      </c>
      <c r="AI1113">
        <f>VLOOKUP(C1113,ALUMNOS!A:B,2,FALSE)</f>
        <v>536</v>
      </c>
    </row>
    <row r="1114" spans="1:35" x14ac:dyDescent="0.25">
      <c r="A1114" t="s">
        <v>386</v>
      </c>
      <c r="B1114" t="s">
        <v>109</v>
      </c>
      <c r="C1114">
        <v>46226738</v>
      </c>
      <c r="D1114" t="s">
        <v>401</v>
      </c>
      <c r="E1114" t="s">
        <v>39</v>
      </c>
      <c r="F1114" t="s">
        <v>245</v>
      </c>
      <c r="G1114" t="s">
        <v>43</v>
      </c>
      <c r="H1114">
        <v>2023</v>
      </c>
      <c r="I1114" t="s">
        <v>60</v>
      </c>
      <c r="L1114" t="s">
        <v>99</v>
      </c>
      <c r="Q1114">
        <v>45475</v>
      </c>
      <c r="R1114" t="s">
        <v>50</v>
      </c>
      <c r="S1114">
        <v>68</v>
      </c>
      <c r="T1114">
        <v>81</v>
      </c>
      <c r="AG1114">
        <f t="shared" si="17"/>
        <v>1</v>
      </c>
      <c r="AH1114">
        <f>'TABLA PREVIOS'!E1114</f>
        <v>288</v>
      </c>
      <c r="AI1114">
        <f>VLOOKUP(C1114,ALUMNOS!A:B,2,FALSE)</f>
        <v>536</v>
      </c>
    </row>
    <row r="1115" spans="1:35" x14ac:dyDescent="0.25">
      <c r="A1115" t="s">
        <v>386</v>
      </c>
      <c r="B1115" t="s">
        <v>109</v>
      </c>
      <c r="C1115">
        <v>46226738</v>
      </c>
      <c r="D1115" t="s">
        <v>401</v>
      </c>
      <c r="E1115" t="s">
        <v>29</v>
      </c>
      <c r="F1115" t="s">
        <v>245</v>
      </c>
      <c r="G1115" t="s">
        <v>43</v>
      </c>
      <c r="H1115">
        <v>2023</v>
      </c>
      <c r="I1115" t="s">
        <v>60</v>
      </c>
      <c r="L1115" t="s">
        <v>99</v>
      </c>
      <c r="AG1115">
        <f t="shared" si="17"/>
        <v>1</v>
      </c>
      <c r="AH1115">
        <f>'TABLA PREVIOS'!E1115</f>
        <v>290</v>
      </c>
      <c r="AI1115">
        <f>VLOOKUP(C1115,ALUMNOS!A:B,2,FALSE)</f>
        <v>536</v>
      </c>
    </row>
    <row r="1116" spans="1:35" x14ac:dyDescent="0.25">
      <c r="A1116" t="s">
        <v>386</v>
      </c>
      <c r="B1116" t="s">
        <v>109</v>
      </c>
      <c r="C1116">
        <v>47250822</v>
      </c>
      <c r="D1116" t="s">
        <v>402</v>
      </c>
      <c r="E1116" t="s">
        <v>25</v>
      </c>
      <c r="F1116" t="s">
        <v>245</v>
      </c>
      <c r="G1116" t="s">
        <v>43</v>
      </c>
      <c r="H1116">
        <v>2023</v>
      </c>
      <c r="I1116" t="s">
        <v>60</v>
      </c>
      <c r="L1116" t="s">
        <v>107</v>
      </c>
      <c r="M1116">
        <v>45401</v>
      </c>
      <c r="N1116">
        <v>4</v>
      </c>
      <c r="O1116">
        <v>68</v>
      </c>
      <c r="P1116">
        <v>23</v>
      </c>
      <c r="Q1116">
        <v>45474</v>
      </c>
      <c r="R1116">
        <v>7</v>
      </c>
      <c r="S1116">
        <v>68</v>
      </c>
      <c r="T1116">
        <v>59</v>
      </c>
      <c r="AG1116">
        <f t="shared" si="17"/>
        <v>7</v>
      </c>
      <c r="AH1116">
        <f>'TABLA PREVIOS'!E1116</f>
        <v>281</v>
      </c>
      <c r="AI1116">
        <f>VLOOKUP(C1116,ALUMNOS!A:B,2,FALSE)</f>
        <v>581</v>
      </c>
    </row>
    <row r="1117" spans="1:35" x14ac:dyDescent="0.25">
      <c r="A1117" t="s">
        <v>386</v>
      </c>
      <c r="B1117" t="s">
        <v>109</v>
      </c>
      <c r="C1117">
        <v>46035153</v>
      </c>
      <c r="D1117" t="s">
        <v>403</v>
      </c>
      <c r="E1117" t="s">
        <v>12</v>
      </c>
      <c r="F1117" t="s">
        <v>95</v>
      </c>
      <c r="G1117" t="s">
        <v>43</v>
      </c>
      <c r="H1117">
        <v>2019</v>
      </c>
      <c r="I1117" t="s">
        <v>59</v>
      </c>
      <c r="J1117" t="s">
        <v>372</v>
      </c>
      <c r="L1117" t="s">
        <v>107</v>
      </c>
      <c r="M1117">
        <v>45405</v>
      </c>
      <c r="N1117" t="s">
        <v>50</v>
      </c>
      <c r="O1117">
        <v>68</v>
      </c>
      <c r="P1117">
        <v>30</v>
      </c>
      <c r="Q1117">
        <v>45474</v>
      </c>
      <c r="R1117">
        <v>7</v>
      </c>
      <c r="S1117">
        <v>68</v>
      </c>
      <c r="T1117">
        <v>61</v>
      </c>
      <c r="AG1117">
        <f t="shared" si="17"/>
        <v>7</v>
      </c>
      <c r="AH1117">
        <f>'TABLA PREVIOS'!E1117</f>
        <v>230</v>
      </c>
      <c r="AI1117">
        <f>VLOOKUP(C1117,ALUMNOS!A:B,2,FALSE)</f>
        <v>716</v>
      </c>
    </row>
    <row r="1118" spans="1:35" x14ac:dyDescent="0.25">
      <c r="A1118" t="s">
        <v>386</v>
      </c>
      <c r="B1118" t="s">
        <v>109</v>
      </c>
      <c r="C1118">
        <v>46035153</v>
      </c>
      <c r="D1118" t="s">
        <v>403</v>
      </c>
      <c r="E1118" t="s">
        <v>10</v>
      </c>
      <c r="F1118" t="s">
        <v>220</v>
      </c>
      <c r="G1118" t="s">
        <v>43</v>
      </c>
      <c r="H1118">
        <v>2022</v>
      </c>
      <c r="I1118" t="s">
        <v>60</v>
      </c>
      <c r="L1118" t="s">
        <v>107</v>
      </c>
      <c r="Q1118">
        <v>45475</v>
      </c>
      <c r="R1118">
        <v>9</v>
      </c>
      <c r="S1118">
        <v>68</v>
      </c>
      <c r="T1118">
        <v>72</v>
      </c>
      <c r="AG1118">
        <f t="shared" si="17"/>
        <v>9</v>
      </c>
      <c r="AH1118">
        <f>'TABLA PREVIOS'!E1118</f>
        <v>263</v>
      </c>
      <c r="AI1118">
        <f>VLOOKUP(C1118,ALUMNOS!A:B,2,FALSE)</f>
        <v>716</v>
      </c>
    </row>
    <row r="1119" spans="1:35" x14ac:dyDescent="0.25">
      <c r="A1119" t="s">
        <v>386</v>
      </c>
      <c r="B1119" t="s">
        <v>109</v>
      </c>
      <c r="C1119">
        <v>46035153</v>
      </c>
      <c r="D1119" t="s">
        <v>403</v>
      </c>
      <c r="E1119" t="s">
        <v>39</v>
      </c>
      <c r="F1119" t="s">
        <v>245</v>
      </c>
      <c r="G1119" t="s">
        <v>43</v>
      </c>
      <c r="H1119">
        <v>2023</v>
      </c>
      <c r="I1119" t="s">
        <v>60</v>
      </c>
      <c r="L1119" t="s">
        <v>99</v>
      </c>
      <c r="M1119">
        <v>45411</v>
      </c>
      <c r="N1119" t="s">
        <v>50</v>
      </c>
      <c r="O1119">
        <v>68</v>
      </c>
      <c r="P1119">
        <v>47</v>
      </c>
      <c r="Q1119">
        <v>45475</v>
      </c>
      <c r="R1119" t="s">
        <v>50</v>
      </c>
      <c r="S1119">
        <v>68</v>
      </c>
      <c r="T1119">
        <v>81</v>
      </c>
      <c r="AG1119">
        <f t="shared" si="17"/>
        <v>1</v>
      </c>
      <c r="AH1119">
        <f>'TABLA PREVIOS'!E1119</f>
        <v>288</v>
      </c>
      <c r="AI1119">
        <f>VLOOKUP(C1119,ALUMNOS!A:B,2,FALSE)</f>
        <v>716</v>
      </c>
    </row>
    <row r="1120" spans="1:35" x14ac:dyDescent="0.25">
      <c r="A1120" t="s">
        <v>386</v>
      </c>
      <c r="B1120" t="s">
        <v>109</v>
      </c>
      <c r="C1120">
        <v>45698167</v>
      </c>
      <c r="D1120" t="s">
        <v>404</v>
      </c>
      <c r="E1120" t="s">
        <v>25</v>
      </c>
      <c r="F1120" t="s">
        <v>245</v>
      </c>
      <c r="G1120" t="s">
        <v>43</v>
      </c>
      <c r="H1120">
        <v>2023</v>
      </c>
      <c r="I1120" t="s">
        <v>60</v>
      </c>
      <c r="L1120" t="s">
        <v>99</v>
      </c>
      <c r="M1120">
        <v>45401</v>
      </c>
      <c r="N1120" t="s">
        <v>50</v>
      </c>
      <c r="O1120">
        <v>68</v>
      </c>
      <c r="P1120">
        <v>23</v>
      </c>
      <c r="AG1120">
        <f t="shared" si="17"/>
        <v>1</v>
      </c>
      <c r="AH1120">
        <f>'TABLA PREVIOS'!E1120</f>
        <v>281</v>
      </c>
      <c r="AI1120">
        <f>VLOOKUP(C1120,ALUMNOS!A:B,2,FALSE)</f>
        <v>786</v>
      </c>
    </row>
    <row r="1121" spans="1:35" x14ac:dyDescent="0.25">
      <c r="A1121" t="s">
        <v>386</v>
      </c>
      <c r="B1121" t="s">
        <v>109</v>
      </c>
      <c r="C1121">
        <v>45698167</v>
      </c>
      <c r="D1121" t="s">
        <v>404</v>
      </c>
      <c r="E1121" t="s">
        <v>39</v>
      </c>
      <c r="F1121" t="s">
        <v>245</v>
      </c>
      <c r="G1121" t="s">
        <v>43</v>
      </c>
      <c r="H1121">
        <v>2023</v>
      </c>
      <c r="I1121" t="s">
        <v>60</v>
      </c>
      <c r="L1121" t="s">
        <v>107</v>
      </c>
      <c r="M1121">
        <v>45411</v>
      </c>
      <c r="N1121">
        <v>7</v>
      </c>
      <c r="O1121">
        <v>68</v>
      </c>
      <c r="P1121">
        <v>47</v>
      </c>
      <c r="AG1121">
        <f t="shared" si="17"/>
        <v>7</v>
      </c>
      <c r="AH1121">
        <f>'TABLA PREVIOS'!E1121</f>
        <v>288</v>
      </c>
      <c r="AI1121">
        <f>VLOOKUP(C1121,ALUMNOS!A:B,2,FALSE)</f>
        <v>786</v>
      </c>
    </row>
    <row r="1122" spans="1:35" x14ac:dyDescent="0.25">
      <c r="A1122" t="s">
        <v>386</v>
      </c>
      <c r="B1122" t="s">
        <v>128</v>
      </c>
      <c r="C1122">
        <v>46509079</v>
      </c>
      <c r="D1122" t="s">
        <v>405</v>
      </c>
      <c r="E1122" t="s">
        <v>29</v>
      </c>
      <c r="F1122" t="s">
        <v>220</v>
      </c>
      <c r="G1122" t="s">
        <v>43</v>
      </c>
      <c r="H1122">
        <v>2022</v>
      </c>
      <c r="I1122" t="s">
        <v>60</v>
      </c>
      <c r="L1122" t="s">
        <v>99</v>
      </c>
      <c r="AG1122">
        <f t="shared" si="17"/>
        <v>1</v>
      </c>
      <c r="AH1122">
        <f>'TABLA PREVIOS'!E1122</f>
        <v>273</v>
      </c>
      <c r="AI1122">
        <f>VLOOKUP(C1122,ALUMNOS!A:B,2,FALSE)</f>
        <v>84</v>
      </c>
    </row>
    <row r="1123" spans="1:35" x14ac:dyDescent="0.25">
      <c r="A1123" t="s">
        <v>386</v>
      </c>
      <c r="B1123" t="s">
        <v>128</v>
      </c>
      <c r="C1123">
        <v>46509079</v>
      </c>
      <c r="D1123" t="s">
        <v>405</v>
      </c>
      <c r="E1123" t="s">
        <v>25</v>
      </c>
      <c r="F1123" t="s">
        <v>245</v>
      </c>
      <c r="G1123" t="s">
        <v>43</v>
      </c>
      <c r="H1123">
        <v>2023</v>
      </c>
      <c r="I1123" t="s">
        <v>60</v>
      </c>
      <c r="L1123" t="s">
        <v>99</v>
      </c>
      <c r="AG1123">
        <f t="shared" si="17"/>
        <v>1</v>
      </c>
      <c r="AH1123">
        <f>'TABLA PREVIOS'!E1123</f>
        <v>281</v>
      </c>
      <c r="AI1123">
        <f>VLOOKUP(C1123,ALUMNOS!A:B,2,FALSE)</f>
        <v>84</v>
      </c>
    </row>
    <row r="1124" spans="1:35" x14ac:dyDescent="0.25">
      <c r="A1124" t="s">
        <v>386</v>
      </c>
      <c r="B1124" t="s">
        <v>128</v>
      </c>
      <c r="C1124">
        <v>46509079</v>
      </c>
      <c r="D1124" t="s">
        <v>405</v>
      </c>
      <c r="E1124" t="s">
        <v>29</v>
      </c>
      <c r="F1124" t="s">
        <v>245</v>
      </c>
      <c r="G1124" t="s">
        <v>43</v>
      </c>
      <c r="H1124">
        <v>2023</v>
      </c>
      <c r="I1124" t="s">
        <v>60</v>
      </c>
      <c r="L1124" t="s">
        <v>99</v>
      </c>
      <c r="AG1124">
        <f t="shared" si="17"/>
        <v>1</v>
      </c>
      <c r="AH1124">
        <f>'TABLA PREVIOS'!E1124</f>
        <v>290</v>
      </c>
      <c r="AI1124">
        <f>VLOOKUP(C1124,ALUMNOS!A:B,2,FALSE)</f>
        <v>84</v>
      </c>
    </row>
    <row r="1125" spans="1:35" x14ac:dyDescent="0.25">
      <c r="A1125" t="s">
        <v>386</v>
      </c>
      <c r="B1125" t="s">
        <v>128</v>
      </c>
      <c r="C1125">
        <v>46942761</v>
      </c>
      <c r="D1125" t="s">
        <v>406</v>
      </c>
      <c r="E1125" t="s">
        <v>16</v>
      </c>
      <c r="F1125" t="s">
        <v>220</v>
      </c>
      <c r="G1125" t="s">
        <v>43</v>
      </c>
      <c r="H1125">
        <v>2022</v>
      </c>
      <c r="I1125" t="s">
        <v>60</v>
      </c>
      <c r="L1125" t="s">
        <v>99</v>
      </c>
      <c r="AG1125">
        <f t="shared" si="17"/>
        <v>1</v>
      </c>
      <c r="AH1125">
        <f>'TABLA PREVIOS'!E1125</f>
        <v>269</v>
      </c>
      <c r="AI1125">
        <f>VLOOKUP(C1125,ALUMNOS!A:B,2,FALSE)</f>
        <v>86</v>
      </c>
    </row>
    <row r="1126" spans="1:35" x14ac:dyDescent="0.25">
      <c r="A1126" t="s">
        <v>386</v>
      </c>
      <c r="B1126" t="s">
        <v>128</v>
      </c>
      <c r="C1126">
        <v>46942761</v>
      </c>
      <c r="D1126" t="s">
        <v>406</v>
      </c>
      <c r="E1126" t="s">
        <v>29</v>
      </c>
      <c r="F1126" t="s">
        <v>220</v>
      </c>
      <c r="G1126" t="s">
        <v>43</v>
      </c>
      <c r="H1126">
        <v>2022</v>
      </c>
      <c r="I1126" t="s">
        <v>60</v>
      </c>
      <c r="L1126" t="s">
        <v>99</v>
      </c>
      <c r="AG1126">
        <f t="shared" si="17"/>
        <v>1</v>
      </c>
      <c r="AH1126">
        <f>'TABLA PREVIOS'!E1126</f>
        <v>273</v>
      </c>
      <c r="AI1126">
        <f>VLOOKUP(C1126,ALUMNOS!A:B,2,FALSE)</f>
        <v>86</v>
      </c>
    </row>
    <row r="1127" spans="1:35" x14ac:dyDescent="0.25">
      <c r="A1127" t="s">
        <v>386</v>
      </c>
      <c r="B1127" t="s">
        <v>128</v>
      </c>
      <c r="C1127">
        <v>46942761</v>
      </c>
      <c r="D1127" t="s">
        <v>406</v>
      </c>
      <c r="E1127" t="s">
        <v>30</v>
      </c>
      <c r="F1127" t="s">
        <v>245</v>
      </c>
      <c r="G1127" t="s">
        <v>43</v>
      </c>
      <c r="H1127">
        <v>2023</v>
      </c>
      <c r="I1127" t="s">
        <v>60</v>
      </c>
      <c r="L1127" t="s">
        <v>99</v>
      </c>
      <c r="AG1127">
        <f t="shared" si="17"/>
        <v>1</v>
      </c>
      <c r="AH1127">
        <f>'TABLA PREVIOS'!E1127</f>
        <v>285</v>
      </c>
      <c r="AI1127">
        <f>VLOOKUP(C1127,ALUMNOS!A:B,2,FALSE)</f>
        <v>86</v>
      </c>
    </row>
    <row r="1128" spans="1:35" x14ac:dyDescent="0.25">
      <c r="A1128" t="s">
        <v>386</v>
      </c>
      <c r="B1128" t="s">
        <v>128</v>
      </c>
      <c r="C1128">
        <v>46942761</v>
      </c>
      <c r="D1128" t="s">
        <v>406</v>
      </c>
      <c r="E1128" t="s">
        <v>37</v>
      </c>
      <c r="F1128" t="s">
        <v>245</v>
      </c>
      <c r="G1128" t="s">
        <v>43</v>
      </c>
      <c r="H1128">
        <v>2023</v>
      </c>
      <c r="I1128" t="s">
        <v>60</v>
      </c>
      <c r="L1128" t="s">
        <v>99</v>
      </c>
      <c r="AG1128">
        <f t="shared" si="17"/>
        <v>1</v>
      </c>
      <c r="AH1128">
        <f>'TABLA PREVIOS'!E1128</f>
        <v>284</v>
      </c>
      <c r="AI1128">
        <f>VLOOKUP(C1128,ALUMNOS!A:B,2,FALSE)</f>
        <v>86</v>
      </c>
    </row>
    <row r="1129" spans="1:35" x14ac:dyDescent="0.25">
      <c r="A1129" t="s">
        <v>386</v>
      </c>
      <c r="B1129" t="s">
        <v>128</v>
      </c>
      <c r="C1129">
        <v>46942761</v>
      </c>
      <c r="D1129" t="s">
        <v>406</v>
      </c>
      <c r="E1129" t="s">
        <v>38</v>
      </c>
      <c r="F1129" t="s">
        <v>245</v>
      </c>
      <c r="G1129" t="s">
        <v>43</v>
      </c>
      <c r="H1129">
        <v>2023</v>
      </c>
      <c r="I1129" t="s">
        <v>60</v>
      </c>
      <c r="L1129" t="s">
        <v>99</v>
      </c>
      <c r="AG1129">
        <f t="shared" si="17"/>
        <v>1</v>
      </c>
      <c r="AH1129">
        <f>'TABLA PREVIOS'!E1129</f>
        <v>287</v>
      </c>
      <c r="AI1129">
        <f>VLOOKUP(C1129,ALUMNOS!A:B,2,FALSE)</f>
        <v>86</v>
      </c>
    </row>
    <row r="1130" spans="1:35" x14ac:dyDescent="0.25">
      <c r="A1130" t="s">
        <v>386</v>
      </c>
      <c r="B1130" t="s">
        <v>128</v>
      </c>
      <c r="C1130">
        <v>46942761</v>
      </c>
      <c r="D1130" t="s">
        <v>406</v>
      </c>
      <c r="E1130" t="s">
        <v>34</v>
      </c>
      <c r="F1130" t="s">
        <v>245</v>
      </c>
      <c r="G1130" t="s">
        <v>43</v>
      </c>
      <c r="H1130">
        <v>2023</v>
      </c>
      <c r="I1130" t="s">
        <v>60</v>
      </c>
      <c r="L1130" t="s">
        <v>99</v>
      </c>
      <c r="AG1130">
        <f t="shared" si="17"/>
        <v>1</v>
      </c>
      <c r="AH1130">
        <f>'TABLA PREVIOS'!E1130</f>
        <v>286</v>
      </c>
      <c r="AI1130">
        <f>VLOOKUP(C1130,ALUMNOS!A:B,2,FALSE)</f>
        <v>86</v>
      </c>
    </row>
    <row r="1131" spans="1:35" x14ac:dyDescent="0.25">
      <c r="A1131" t="s">
        <v>386</v>
      </c>
      <c r="B1131" t="s">
        <v>128</v>
      </c>
      <c r="C1131">
        <v>46942761</v>
      </c>
      <c r="D1131" t="s">
        <v>406</v>
      </c>
      <c r="E1131" t="s">
        <v>36</v>
      </c>
      <c r="F1131" t="s">
        <v>245</v>
      </c>
      <c r="G1131" t="s">
        <v>43</v>
      </c>
      <c r="H1131">
        <v>2023</v>
      </c>
      <c r="I1131" t="s">
        <v>60</v>
      </c>
      <c r="L1131" t="s">
        <v>99</v>
      </c>
      <c r="AG1131">
        <f t="shared" si="17"/>
        <v>1</v>
      </c>
      <c r="AH1131">
        <f>'TABLA PREVIOS'!E1131</f>
        <v>283</v>
      </c>
      <c r="AI1131">
        <f>VLOOKUP(C1131,ALUMNOS!A:B,2,FALSE)</f>
        <v>86</v>
      </c>
    </row>
    <row r="1132" spans="1:35" x14ac:dyDescent="0.25">
      <c r="A1132" t="s">
        <v>386</v>
      </c>
      <c r="B1132" t="s">
        <v>128</v>
      </c>
      <c r="C1132">
        <v>46942761</v>
      </c>
      <c r="D1132" t="s">
        <v>406</v>
      </c>
      <c r="E1132" t="s">
        <v>41</v>
      </c>
      <c r="F1132" t="s">
        <v>245</v>
      </c>
      <c r="G1132" t="s">
        <v>43</v>
      </c>
      <c r="H1132">
        <v>2023</v>
      </c>
      <c r="I1132" t="s">
        <v>60</v>
      </c>
      <c r="L1132" t="s">
        <v>99</v>
      </c>
      <c r="AG1132">
        <f t="shared" si="17"/>
        <v>1</v>
      </c>
      <c r="AH1132">
        <f>'TABLA PREVIOS'!E1132</f>
        <v>292</v>
      </c>
      <c r="AI1132">
        <f>VLOOKUP(C1132,ALUMNOS!A:B,2,FALSE)</f>
        <v>86</v>
      </c>
    </row>
    <row r="1133" spans="1:35" x14ac:dyDescent="0.25">
      <c r="A1133" t="s">
        <v>386</v>
      </c>
      <c r="B1133" t="s">
        <v>128</v>
      </c>
      <c r="C1133">
        <v>46942761</v>
      </c>
      <c r="D1133" t="s">
        <v>406</v>
      </c>
      <c r="E1133" t="s">
        <v>16</v>
      </c>
      <c r="F1133" t="s">
        <v>245</v>
      </c>
      <c r="G1133" t="s">
        <v>43</v>
      </c>
      <c r="H1133">
        <v>2023</v>
      </c>
      <c r="I1133" t="s">
        <v>60</v>
      </c>
      <c r="L1133" t="s">
        <v>99</v>
      </c>
      <c r="AG1133">
        <f t="shared" si="17"/>
        <v>1</v>
      </c>
      <c r="AH1133">
        <f>'TABLA PREVIOS'!E1133</f>
        <v>282</v>
      </c>
      <c r="AI1133">
        <f>VLOOKUP(C1133,ALUMNOS!A:B,2,FALSE)</f>
        <v>86</v>
      </c>
    </row>
    <row r="1134" spans="1:35" x14ac:dyDescent="0.25">
      <c r="A1134" t="s">
        <v>386</v>
      </c>
      <c r="B1134" t="s">
        <v>128</v>
      </c>
      <c r="C1134">
        <v>46942761</v>
      </c>
      <c r="D1134" t="s">
        <v>406</v>
      </c>
      <c r="E1134" t="s">
        <v>11</v>
      </c>
      <c r="F1134" t="s">
        <v>245</v>
      </c>
      <c r="G1134" t="s">
        <v>43</v>
      </c>
      <c r="H1134">
        <v>2023</v>
      </c>
      <c r="I1134" t="s">
        <v>60</v>
      </c>
      <c r="L1134" t="s">
        <v>99</v>
      </c>
      <c r="AG1134">
        <f t="shared" si="17"/>
        <v>1</v>
      </c>
      <c r="AH1134">
        <f>'TABLA PREVIOS'!E1134</f>
        <v>279</v>
      </c>
      <c r="AI1134">
        <f>VLOOKUP(C1134,ALUMNOS!A:B,2,FALSE)</f>
        <v>86</v>
      </c>
    </row>
    <row r="1135" spans="1:35" x14ac:dyDescent="0.25">
      <c r="A1135" t="s">
        <v>386</v>
      </c>
      <c r="B1135" t="s">
        <v>128</v>
      </c>
      <c r="C1135">
        <v>46942761</v>
      </c>
      <c r="D1135" t="s">
        <v>406</v>
      </c>
      <c r="E1135" t="s">
        <v>12</v>
      </c>
      <c r="F1135" t="s">
        <v>245</v>
      </c>
      <c r="G1135" t="s">
        <v>43</v>
      </c>
      <c r="H1135">
        <v>2023</v>
      </c>
      <c r="I1135" t="s">
        <v>60</v>
      </c>
      <c r="L1135" t="s">
        <v>99</v>
      </c>
      <c r="AG1135">
        <f t="shared" si="17"/>
        <v>1</v>
      </c>
      <c r="AH1135">
        <f>'TABLA PREVIOS'!E1135</f>
        <v>280</v>
      </c>
      <c r="AI1135">
        <f>VLOOKUP(C1135,ALUMNOS!A:B,2,FALSE)</f>
        <v>86</v>
      </c>
    </row>
    <row r="1136" spans="1:35" x14ac:dyDescent="0.25">
      <c r="A1136" t="s">
        <v>386</v>
      </c>
      <c r="B1136" t="s">
        <v>128</v>
      </c>
      <c r="C1136">
        <v>46942761</v>
      </c>
      <c r="D1136" t="s">
        <v>406</v>
      </c>
      <c r="E1136" t="s">
        <v>25</v>
      </c>
      <c r="F1136" t="s">
        <v>245</v>
      </c>
      <c r="G1136" t="s">
        <v>43</v>
      </c>
      <c r="H1136">
        <v>2023</v>
      </c>
      <c r="I1136" t="s">
        <v>60</v>
      </c>
      <c r="L1136" t="s">
        <v>99</v>
      </c>
      <c r="AG1136">
        <f t="shared" si="17"/>
        <v>1</v>
      </c>
      <c r="AH1136">
        <f>'TABLA PREVIOS'!E1136</f>
        <v>281</v>
      </c>
      <c r="AI1136">
        <f>VLOOKUP(C1136,ALUMNOS!A:B,2,FALSE)</f>
        <v>86</v>
      </c>
    </row>
    <row r="1137" spans="1:35" x14ac:dyDescent="0.25">
      <c r="A1137" t="s">
        <v>386</v>
      </c>
      <c r="B1137" t="s">
        <v>128</v>
      </c>
      <c r="C1137">
        <v>46942761</v>
      </c>
      <c r="D1137" t="s">
        <v>406</v>
      </c>
      <c r="E1137" t="s">
        <v>29</v>
      </c>
      <c r="F1137" t="s">
        <v>245</v>
      </c>
      <c r="G1137" t="s">
        <v>43</v>
      </c>
      <c r="H1137">
        <v>2023</v>
      </c>
      <c r="I1137" t="s">
        <v>60</v>
      </c>
      <c r="L1137" t="s">
        <v>99</v>
      </c>
      <c r="AG1137">
        <f t="shared" si="17"/>
        <v>1</v>
      </c>
      <c r="AH1137">
        <f>'TABLA PREVIOS'!E1137</f>
        <v>290</v>
      </c>
      <c r="AI1137">
        <f>VLOOKUP(C1137,ALUMNOS!A:B,2,FALSE)</f>
        <v>86</v>
      </c>
    </row>
    <row r="1138" spans="1:35" x14ac:dyDescent="0.25">
      <c r="A1138" t="s">
        <v>386</v>
      </c>
      <c r="B1138" t="s">
        <v>128</v>
      </c>
      <c r="C1138">
        <v>47094443</v>
      </c>
      <c r="D1138" t="s">
        <v>407</v>
      </c>
      <c r="E1138" t="s">
        <v>29</v>
      </c>
      <c r="F1138" t="s">
        <v>220</v>
      </c>
      <c r="G1138" t="s">
        <v>43</v>
      </c>
      <c r="H1138">
        <v>2022</v>
      </c>
      <c r="I1138" t="s">
        <v>60</v>
      </c>
      <c r="L1138" t="s">
        <v>107</v>
      </c>
      <c r="M1138">
        <v>45411</v>
      </c>
      <c r="N1138">
        <v>7</v>
      </c>
      <c r="O1138">
        <v>68</v>
      </c>
      <c r="P1138">
        <v>45</v>
      </c>
      <c r="AG1138">
        <f t="shared" si="17"/>
        <v>7</v>
      </c>
      <c r="AH1138">
        <f>'TABLA PREVIOS'!E1138</f>
        <v>273</v>
      </c>
      <c r="AI1138">
        <f>VLOOKUP(C1138,ALUMNOS!A:B,2,FALSE)</f>
        <v>196</v>
      </c>
    </row>
    <row r="1139" spans="1:35" x14ac:dyDescent="0.25">
      <c r="A1139" t="s">
        <v>386</v>
      </c>
      <c r="B1139" t="s">
        <v>128</v>
      </c>
      <c r="C1139">
        <v>46935855</v>
      </c>
      <c r="D1139" t="s">
        <v>408</v>
      </c>
      <c r="E1139" t="s">
        <v>30</v>
      </c>
      <c r="F1139" t="s">
        <v>220</v>
      </c>
      <c r="G1139" t="s">
        <v>43</v>
      </c>
      <c r="H1139">
        <v>2022</v>
      </c>
      <c r="I1139" t="s">
        <v>60</v>
      </c>
      <c r="L1139" t="s">
        <v>99</v>
      </c>
      <c r="AG1139">
        <f t="shared" si="17"/>
        <v>1</v>
      </c>
      <c r="AH1139">
        <f>'TABLA PREVIOS'!E1139</f>
        <v>274</v>
      </c>
      <c r="AI1139">
        <f>VLOOKUP(C1139,ALUMNOS!A:B,2,FALSE)</f>
        <v>296</v>
      </c>
    </row>
    <row r="1140" spans="1:35" x14ac:dyDescent="0.25">
      <c r="A1140" t="s">
        <v>386</v>
      </c>
      <c r="B1140" t="s">
        <v>128</v>
      </c>
      <c r="C1140">
        <v>46935855</v>
      </c>
      <c r="D1140" t="s">
        <v>408</v>
      </c>
      <c r="E1140" t="s">
        <v>29</v>
      </c>
      <c r="F1140" t="s">
        <v>220</v>
      </c>
      <c r="G1140" t="s">
        <v>43</v>
      </c>
      <c r="H1140">
        <v>2022</v>
      </c>
      <c r="I1140" t="s">
        <v>60</v>
      </c>
      <c r="L1140" t="s">
        <v>99</v>
      </c>
      <c r="AG1140">
        <f t="shared" si="17"/>
        <v>1</v>
      </c>
      <c r="AH1140">
        <f>'TABLA PREVIOS'!E1140</f>
        <v>273</v>
      </c>
      <c r="AI1140">
        <f>VLOOKUP(C1140,ALUMNOS!A:B,2,FALSE)</f>
        <v>296</v>
      </c>
    </row>
    <row r="1141" spans="1:35" x14ac:dyDescent="0.25">
      <c r="A1141" t="s">
        <v>386</v>
      </c>
      <c r="B1141" t="s">
        <v>128</v>
      </c>
      <c r="C1141">
        <v>46935855</v>
      </c>
      <c r="D1141" t="s">
        <v>408</v>
      </c>
      <c r="E1141" t="s">
        <v>30</v>
      </c>
      <c r="F1141" t="s">
        <v>245</v>
      </c>
      <c r="G1141" t="s">
        <v>43</v>
      </c>
      <c r="H1141">
        <v>2023</v>
      </c>
      <c r="I1141" t="s">
        <v>60</v>
      </c>
      <c r="L1141" t="s">
        <v>99</v>
      </c>
      <c r="AG1141">
        <f t="shared" si="17"/>
        <v>1</v>
      </c>
      <c r="AH1141">
        <f>'TABLA PREVIOS'!E1141</f>
        <v>285</v>
      </c>
      <c r="AI1141">
        <f>VLOOKUP(C1141,ALUMNOS!A:B,2,FALSE)</f>
        <v>296</v>
      </c>
    </row>
    <row r="1142" spans="1:35" x14ac:dyDescent="0.25">
      <c r="A1142" t="s">
        <v>386</v>
      </c>
      <c r="B1142" t="s">
        <v>128</v>
      </c>
      <c r="C1142">
        <v>46935855</v>
      </c>
      <c r="D1142" t="s">
        <v>408</v>
      </c>
      <c r="E1142" t="s">
        <v>37</v>
      </c>
      <c r="F1142" t="s">
        <v>245</v>
      </c>
      <c r="G1142" t="s">
        <v>43</v>
      </c>
      <c r="H1142">
        <v>2023</v>
      </c>
      <c r="I1142" t="s">
        <v>60</v>
      </c>
      <c r="L1142" t="s">
        <v>99</v>
      </c>
      <c r="AG1142">
        <f t="shared" si="17"/>
        <v>1</v>
      </c>
      <c r="AH1142">
        <f>'TABLA PREVIOS'!E1142</f>
        <v>284</v>
      </c>
      <c r="AI1142">
        <f>VLOOKUP(C1142,ALUMNOS!A:B,2,FALSE)</f>
        <v>296</v>
      </c>
    </row>
    <row r="1143" spans="1:35" x14ac:dyDescent="0.25">
      <c r="A1143" t="s">
        <v>386</v>
      </c>
      <c r="B1143" t="s">
        <v>128</v>
      </c>
      <c r="C1143">
        <v>46935855</v>
      </c>
      <c r="D1143" t="s">
        <v>408</v>
      </c>
      <c r="E1143" t="s">
        <v>38</v>
      </c>
      <c r="F1143" t="s">
        <v>245</v>
      </c>
      <c r="G1143" t="s">
        <v>43</v>
      </c>
      <c r="H1143">
        <v>2023</v>
      </c>
      <c r="I1143" t="s">
        <v>60</v>
      </c>
      <c r="L1143" t="s">
        <v>99</v>
      </c>
      <c r="AG1143">
        <f t="shared" si="17"/>
        <v>1</v>
      </c>
      <c r="AH1143">
        <f>'TABLA PREVIOS'!E1143</f>
        <v>287</v>
      </c>
      <c r="AI1143">
        <f>VLOOKUP(C1143,ALUMNOS!A:B,2,FALSE)</f>
        <v>296</v>
      </c>
    </row>
    <row r="1144" spans="1:35" x14ac:dyDescent="0.25">
      <c r="A1144" t="s">
        <v>386</v>
      </c>
      <c r="B1144" t="s">
        <v>128</v>
      </c>
      <c r="C1144">
        <v>46935855</v>
      </c>
      <c r="D1144" t="s">
        <v>408</v>
      </c>
      <c r="E1144" t="s">
        <v>34</v>
      </c>
      <c r="F1144" t="s">
        <v>245</v>
      </c>
      <c r="G1144" t="s">
        <v>43</v>
      </c>
      <c r="H1144">
        <v>2023</v>
      </c>
      <c r="I1144" t="s">
        <v>60</v>
      </c>
      <c r="L1144" t="s">
        <v>99</v>
      </c>
      <c r="AG1144">
        <f t="shared" si="17"/>
        <v>1</v>
      </c>
      <c r="AH1144">
        <f>'TABLA PREVIOS'!E1144</f>
        <v>286</v>
      </c>
      <c r="AI1144">
        <f>VLOOKUP(C1144,ALUMNOS!A:B,2,FALSE)</f>
        <v>296</v>
      </c>
    </row>
    <row r="1145" spans="1:35" x14ac:dyDescent="0.25">
      <c r="A1145" t="s">
        <v>386</v>
      </c>
      <c r="B1145" t="s">
        <v>128</v>
      </c>
      <c r="C1145">
        <v>46935855</v>
      </c>
      <c r="D1145" t="s">
        <v>408</v>
      </c>
      <c r="E1145" t="s">
        <v>36</v>
      </c>
      <c r="F1145" t="s">
        <v>245</v>
      </c>
      <c r="G1145" t="s">
        <v>43</v>
      </c>
      <c r="H1145">
        <v>2023</v>
      </c>
      <c r="I1145" t="s">
        <v>60</v>
      </c>
      <c r="L1145" t="s">
        <v>99</v>
      </c>
      <c r="AG1145">
        <f t="shared" si="17"/>
        <v>1</v>
      </c>
      <c r="AH1145">
        <f>'TABLA PREVIOS'!E1145</f>
        <v>283</v>
      </c>
      <c r="AI1145">
        <f>VLOOKUP(C1145,ALUMNOS!A:B,2,FALSE)</f>
        <v>296</v>
      </c>
    </row>
    <row r="1146" spans="1:35" x14ac:dyDescent="0.25">
      <c r="A1146" t="s">
        <v>386</v>
      </c>
      <c r="B1146" t="s">
        <v>128</v>
      </c>
      <c r="C1146">
        <v>46935855</v>
      </c>
      <c r="D1146" t="s">
        <v>408</v>
      </c>
      <c r="E1146" t="s">
        <v>41</v>
      </c>
      <c r="F1146" t="s">
        <v>245</v>
      </c>
      <c r="G1146" t="s">
        <v>43</v>
      </c>
      <c r="H1146">
        <v>2023</v>
      </c>
      <c r="I1146" t="s">
        <v>60</v>
      </c>
      <c r="L1146" t="s">
        <v>99</v>
      </c>
      <c r="AG1146">
        <f t="shared" si="17"/>
        <v>1</v>
      </c>
      <c r="AH1146">
        <f>'TABLA PREVIOS'!E1146</f>
        <v>292</v>
      </c>
      <c r="AI1146">
        <f>VLOOKUP(C1146,ALUMNOS!A:B,2,FALSE)</f>
        <v>296</v>
      </c>
    </row>
    <row r="1147" spans="1:35" x14ac:dyDescent="0.25">
      <c r="A1147" t="s">
        <v>386</v>
      </c>
      <c r="B1147" t="s">
        <v>128</v>
      </c>
      <c r="C1147">
        <v>46935855</v>
      </c>
      <c r="D1147" t="s">
        <v>408</v>
      </c>
      <c r="E1147" t="s">
        <v>28</v>
      </c>
      <c r="F1147" t="s">
        <v>245</v>
      </c>
      <c r="G1147" t="s">
        <v>43</v>
      </c>
      <c r="H1147">
        <v>2023</v>
      </c>
      <c r="I1147" t="s">
        <v>60</v>
      </c>
      <c r="L1147" t="s">
        <v>99</v>
      </c>
      <c r="AG1147">
        <f t="shared" si="17"/>
        <v>1</v>
      </c>
      <c r="AH1147">
        <f>'TABLA PREVIOS'!E1147</f>
        <v>291</v>
      </c>
      <c r="AI1147">
        <f>VLOOKUP(C1147,ALUMNOS!A:B,2,FALSE)</f>
        <v>296</v>
      </c>
    </row>
    <row r="1148" spans="1:35" x14ac:dyDescent="0.25">
      <c r="A1148" t="s">
        <v>386</v>
      </c>
      <c r="B1148" t="s">
        <v>128</v>
      </c>
      <c r="C1148">
        <v>46935855</v>
      </c>
      <c r="D1148" t="s">
        <v>408</v>
      </c>
      <c r="E1148" t="s">
        <v>16</v>
      </c>
      <c r="F1148" t="s">
        <v>245</v>
      </c>
      <c r="G1148" t="s">
        <v>43</v>
      </c>
      <c r="H1148">
        <v>2023</v>
      </c>
      <c r="I1148" t="s">
        <v>60</v>
      </c>
      <c r="L1148" t="s">
        <v>99</v>
      </c>
      <c r="AG1148">
        <f t="shared" si="17"/>
        <v>1</v>
      </c>
      <c r="AH1148">
        <f>'TABLA PREVIOS'!E1148</f>
        <v>282</v>
      </c>
      <c r="AI1148">
        <f>VLOOKUP(C1148,ALUMNOS!A:B,2,FALSE)</f>
        <v>296</v>
      </c>
    </row>
    <row r="1149" spans="1:35" x14ac:dyDescent="0.25">
      <c r="A1149" t="s">
        <v>386</v>
      </c>
      <c r="B1149" t="s">
        <v>128</v>
      </c>
      <c r="C1149">
        <v>46935855</v>
      </c>
      <c r="D1149" t="s">
        <v>408</v>
      </c>
      <c r="E1149" t="s">
        <v>11</v>
      </c>
      <c r="F1149" t="s">
        <v>245</v>
      </c>
      <c r="G1149" t="s">
        <v>43</v>
      </c>
      <c r="H1149">
        <v>2023</v>
      </c>
      <c r="I1149" t="s">
        <v>60</v>
      </c>
      <c r="L1149" t="s">
        <v>99</v>
      </c>
      <c r="AG1149">
        <f t="shared" si="17"/>
        <v>1</v>
      </c>
      <c r="AH1149">
        <f>'TABLA PREVIOS'!E1149</f>
        <v>279</v>
      </c>
      <c r="AI1149">
        <f>VLOOKUP(C1149,ALUMNOS!A:B,2,FALSE)</f>
        <v>296</v>
      </c>
    </row>
    <row r="1150" spans="1:35" x14ac:dyDescent="0.25">
      <c r="A1150" t="s">
        <v>386</v>
      </c>
      <c r="B1150" t="s">
        <v>128</v>
      </c>
      <c r="C1150">
        <v>46935855</v>
      </c>
      <c r="D1150" t="s">
        <v>408</v>
      </c>
      <c r="E1150" t="s">
        <v>12</v>
      </c>
      <c r="F1150" t="s">
        <v>245</v>
      </c>
      <c r="G1150" t="s">
        <v>43</v>
      </c>
      <c r="H1150">
        <v>2023</v>
      </c>
      <c r="I1150" t="s">
        <v>60</v>
      </c>
      <c r="L1150" t="s">
        <v>99</v>
      </c>
      <c r="AG1150">
        <f t="shared" si="17"/>
        <v>1</v>
      </c>
      <c r="AH1150">
        <f>'TABLA PREVIOS'!E1150</f>
        <v>280</v>
      </c>
      <c r="AI1150">
        <f>VLOOKUP(C1150,ALUMNOS!A:B,2,FALSE)</f>
        <v>296</v>
      </c>
    </row>
    <row r="1151" spans="1:35" x14ac:dyDescent="0.25">
      <c r="A1151" t="s">
        <v>386</v>
      </c>
      <c r="B1151" t="s">
        <v>128</v>
      </c>
      <c r="C1151">
        <v>46935855</v>
      </c>
      <c r="D1151" t="s">
        <v>408</v>
      </c>
      <c r="E1151" t="s">
        <v>25</v>
      </c>
      <c r="F1151" t="s">
        <v>245</v>
      </c>
      <c r="G1151" t="s">
        <v>43</v>
      </c>
      <c r="H1151">
        <v>2023</v>
      </c>
      <c r="I1151" t="s">
        <v>60</v>
      </c>
      <c r="L1151" t="s">
        <v>99</v>
      </c>
      <c r="AG1151">
        <f t="shared" si="17"/>
        <v>1</v>
      </c>
      <c r="AH1151">
        <f>'TABLA PREVIOS'!E1151</f>
        <v>281</v>
      </c>
      <c r="AI1151">
        <f>VLOOKUP(C1151,ALUMNOS!A:B,2,FALSE)</f>
        <v>296</v>
      </c>
    </row>
    <row r="1152" spans="1:35" x14ac:dyDescent="0.25">
      <c r="A1152" t="s">
        <v>386</v>
      </c>
      <c r="B1152" t="s">
        <v>128</v>
      </c>
      <c r="C1152">
        <v>46935855</v>
      </c>
      <c r="D1152" t="s">
        <v>408</v>
      </c>
      <c r="E1152" t="s">
        <v>39</v>
      </c>
      <c r="F1152" t="s">
        <v>245</v>
      </c>
      <c r="G1152" t="s">
        <v>43</v>
      </c>
      <c r="H1152">
        <v>2023</v>
      </c>
      <c r="I1152" t="s">
        <v>60</v>
      </c>
      <c r="L1152" t="s">
        <v>99</v>
      </c>
      <c r="AG1152">
        <f t="shared" si="17"/>
        <v>1</v>
      </c>
      <c r="AH1152">
        <f>'TABLA PREVIOS'!E1152</f>
        <v>288</v>
      </c>
      <c r="AI1152">
        <f>VLOOKUP(C1152,ALUMNOS!A:B,2,FALSE)</f>
        <v>296</v>
      </c>
    </row>
    <row r="1153" spans="1:35" x14ac:dyDescent="0.25">
      <c r="A1153" t="s">
        <v>386</v>
      </c>
      <c r="B1153" t="s">
        <v>128</v>
      </c>
      <c r="C1153">
        <v>46935855</v>
      </c>
      <c r="D1153" t="s">
        <v>408</v>
      </c>
      <c r="E1153" t="s">
        <v>29</v>
      </c>
      <c r="F1153" t="s">
        <v>245</v>
      </c>
      <c r="G1153" t="s">
        <v>43</v>
      </c>
      <c r="H1153">
        <v>2023</v>
      </c>
      <c r="I1153" t="s">
        <v>60</v>
      </c>
      <c r="L1153" t="s">
        <v>99</v>
      </c>
      <c r="AG1153">
        <f t="shared" si="17"/>
        <v>1</v>
      </c>
      <c r="AH1153">
        <f>'TABLA PREVIOS'!E1153</f>
        <v>290</v>
      </c>
      <c r="AI1153">
        <f>VLOOKUP(C1153,ALUMNOS!A:B,2,FALSE)</f>
        <v>296</v>
      </c>
    </row>
    <row r="1154" spans="1:35" x14ac:dyDescent="0.25">
      <c r="A1154" t="s">
        <v>386</v>
      </c>
      <c r="B1154" t="s">
        <v>128</v>
      </c>
      <c r="C1154">
        <v>47175016</v>
      </c>
      <c r="D1154" t="s">
        <v>409</v>
      </c>
      <c r="E1154" t="s">
        <v>29</v>
      </c>
      <c r="F1154" t="s">
        <v>245</v>
      </c>
      <c r="G1154" t="s">
        <v>43</v>
      </c>
      <c r="H1154">
        <v>2023</v>
      </c>
      <c r="I1154" t="s">
        <v>60</v>
      </c>
      <c r="L1154" t="s">
        <v>107</v>
      </c>
      <c r="M1154">
        <v>45411</v>
      </c>
      <c r="N1154">
        <v>7</v>
      </c>
      <c r="O1154">
        <v>68</v>
      </c>
      <c r="P1154">
        <v>51</v>
      </c>
      <c r="AG1154">
        <f t="shared" si="17"/>
        <v>7</v>
      </c>
      <c r="AH1154">
        <f>'TABLA PREVIOS'!E1154</f>
        <v>290</v>
      </c>
      <c r="AI1154">
        <f>VLOOKUP(C1154,ALUMNOS!A:B,2,FALSE)</f>
        <v>325</v>
      </c>
    </row>
    <row r="1155" spans="1:35" x14ac:dyDescent="0.25">
      <c r="A1155" t="s">
        <v>386</v>
      </c>
      <c r="B1155" t="s">
        <v>128</v>
      </c>
      <c r="C1155">
        <v>46819456</v>
      </c>
      <c r="D1155" t="s">
        <v>410</v>
      </c>
      <c r="E1155" t="s">
        <v>12</v>
      </c>
      <c r="F1155" t="s">
        <v>143</v>
      </c>
      <c r="G1155" t="s">
        <v>43</v>
      </c>
      <c r="H1155">
        <v>2020</v>
      </c>
      <c r="I1155" t="s">
        <v>59</v>
      </c>
      <c r="L1155" t="s">
        <v>99</v>
      </c>
      <c r="AG1155">
        <f t="shared" ref="AG1155:AG1218" si="18">IF(VALUE(MAX(N1155,R1155,V1155,Z1155,AC1155,))&gt;=7,VALUE(MAX(N1155,R1155,V1155,Z1155,AC1155,)),1)</f>
        <v>1</v>
      </c>
      <c r="AH1155">
        <f>'TABLA PREVIOS'!E1155</f>
        <v>240</v>
      </c>
      <c r="AI1155">
        <f>VLOOKUP(C1155,ALUMNOS!A:B,2,FALSE)</f>
        <v>349</v>
      </c>
    </row>
    <row r="1156" spans="1:35" x14ac:dyDescent="0.25">
      <c r="A1156" t="s">
        <v>386</v>
      </c>
      <c r="B1156" t="s">
        <v>128</v>
      </c>
      <c r="C1156">
        <v>46819456</v>
      </c>
      <c r="D1156" t="s">
        <v>410</v>
      </c>
      <c r="E1156" t="s">
        <v>12</v>
      </c>
      <c r="F1156" t="s">
        <v>190</v>
      </c>
      <c r="G1156" t="s">
        <v>43</v>
      </c>
      <c r="H1156">
        <v>2021</v>
      </c>
      <c r="I1156" t="s">
        <v>60</v>
      </c>
      <c r="K1156" t="s">
        <v>411</v>
      </c>
      <c r="L1156" t="s">
        <v>99</v>
      </c>
      <c r="AG1156">
        <f t="shared" si="18"/>
        <v>1</v>
      </c>
      <c r="AH1156">
        <f>'TABLA PREVIOS'!E1156</f>
        <v>252</v>
      </c>
      <c r="AI1156">
        <f>VLOOKUP(C1156,ALUMNOS!A:B,2,FALSE)</f>
        <v>349</v>
      </c>
    </row>
    <row r="1157" spans="1:35" x14ac:dyDescent="0.25">
      <c r="A1157" t="s">
        <v>386</v>
      </c>
      <c r="B1157" t="s">
        <v>128</v>
      </c>
      <c r="C1157">
        <v>46819456</v>
      </c>
      <c r="D1157" t="s">
        <v>410</v>
      </c>
      <c r="E1157" t="s">
        <v>29</v>
      </c>
      <c r="F1157" t="s">
        <v>220</v>
      </c>
      <c r="G1157" t="s">
        <v>43</v>
      </c>
      <c r="H1157">
        <v>2022</v>
      </c>
      <c r="I1157" t="s">
        <v>60</v>
      </c>
      <c r="L1157" t="s">
        <v>99</v>
      </c>
      <c r="AG1157">
        <f t="shared" si="18"/>
        <v>1</v>
      </c>
      <c r="AH1157">
        <f>'TABLA PREVIOS'!E1157</f>
        <v>273</v>
      </c>
      <c r="AI1157">
        <f>VLOOKUP(C1157,ALUMNOS!A:B,2,FALSE)</f>
        <v>349</v>
      </c>
    </row>
    <row r="1158" spans="1:35" x14ac:dyDescent="0.25">
      <c r="A1158" t="s">
        <v>386</v>
      </c>
      <c r="B1158" t="s">
        <v>128</v>
      </c>
      <c r="C1158">
        <v>46819456</v>
      </c>
      <c r="D1158" t="s">
        <v>410</v>
      </c>
      <c r="E1158" t="s">
        <v>25</v>
      </c>
      <c r="F1158" t="s">
        <v>245</v>
      </c>
      <c r="G1158" t="s">
        <v>43</v>
      </c>
      <c r="H1158">
        <v>2023</v>
      </c>
      <c r="I1158" t="s">
        <v>60</v>
      </c>
      <c r="L1158" t="s">
        <v>99</v>
      </c>
      <c r="AG1158">
        <f t="shared" si="18"/>
        <v>1</v>
      </c>
      <c r="AH1158">
        <f>'TABLA PREVIOS'!E1158</f>
        <v>281</v>
      </c>
      <c r="AI1158">
        <f>VLOOKUP(C1158,ALUMNOS!A:B,2,FALSE)</f>
        <v>349</v>
      </c>
    </row>
    <row r="1159" spans="1:35" x14ac:dyDescent="0.25">
      <c r="A1159" t="s">
        <v>386</v>
      </c>
      <c r="B1159" t="s">
        <v>128</v>
      </c>
      <c r="C1159">
        <v>46819456</v>
      </c>
      <c r="D1159" t="s">
        <v>410</v>
      </c>
      <c r="E1159" t="s">
        <v>29</v>
      </c>
      <c r="F1159" t="s">
        <v>245</v>
      </c>
      <c r="G1159" t="s">
        <v>43</v>
      </c>
      <c r="H1159">
        <v>2023</v>
      </c>
      <c r="I1159" t="s">
        <v>60</v>
      </c>
      <c r="L1159" t="s">
        <v>99</v>
      </c>
      <c r="AG1159">
        <f t="shared" si="18"/>
        <v>1</v>
      </c>
      <c r="AH1159">
        <f>'TABLA PREVIOS'!E1159</f>
        <v>290</v>
      </c>
      <c r="AI1159">
        <f>VLOOKUP(C1159,ALUMNOS!A:B,2,FALSE)</f>
        <v>349</v>
      </c>
    </row>
    <row r="1160" spans="1:35" x14ac:dyDescent="0.25">
      <c r="A1160" t="s">
        <v>386</v>
      </c>
      <c r="B1160" t="s">
        <v>128</v>
      </c>
      <c r="C1160">
        <v>46633674</v>
      </c>
      <c r="D1160" t="s">
        <v>412</v>
      </c>
      <c r="E1160" t="s">
        <v>30</v>
      </c>
      <c r="F1160" t="s">
        <v>190</v>
      </c>
      <c r="G1160" t="s">
        <v>44</v>
      </c>
      <c r="H1160">
        <v>2023</v>
      </c>
      <c r="I1160" t="s">
        <v>60</v>
      </c>
      <c r="J1160" t="s">
        <v>363</v>
      </c>
      <c r="L1160" t="s">
        <v>99</v>
      </c>
      <c r="AG1160">
        <f t="shared" si="18"/>
        <v>1</v>
      </c>
      <c r="AH1160">
        <f>'TABLA PREVIOS'!E1160</f>
        <v>260</v>
      </c>
      <c r="AI1160">
        <f>VLOOKUP(C1160,ALUMNOS!A:B,2,FALSE)</f>
        <v>403</v>
      </c>
    </row>
    <row r="1161" spans="1:35" x14ac:dyDescent="0.25">
      <c r="A1161" t="s">
        <v>386</v>
      </c>
      <c r="B1161" t="s">
        <v>128</v>
      </c>
      <c r="C1161">
        <v>46509043</v>
      </c>
      <c r="D1161" t="s">
        <v>413</v>
      </c>
      <c r="E1161" t="s">
        <v>29</v>
      </c>
      <c r="F1161" t="s">
        <v>220</v>
      </c>
      <c r="G1161" t="s">
        <v>43</v>
      </c>
      <c r="H1161">
        <v>2022</v>
      </c>
      <c r="I1161" t="s">
        <v>60</v>
      </c>
      <c r="L1161" t="s">
        <v>99</v>
      </c>
      <c r="AG1161">
        <f t="shared" si="18"/>
        <v>1</v>
      </c>
      <c r="AH1161">
        <f>'TABLA PREVIOS'!E1161</f>
        <v>273</v>
      </c>
      <c r="AI1161">
        <f>VLOOKUP(C1161,ALUMNOS!A:B,2,FALSE)</f>
        <v>448</v>
      </c>
    </row>
    <row r="1162" spans="1:35" x14ac:dyDescent="0.25">
      <c r="A1162" t="s">
        <v>386</v>
      </c>
      <c r="B1162" t="s">
        <v>128</v>
      </c>
      <c r="C1162">
        <v>46509043</v>
      </c>
      <c r="D1162" t="s">
        <v>413</v>
      </c>
      <c r="E1162" t="s">
        <v>16</v>
      </c>
      <c r="F1162" t="s">
        <v>245</v>
      </c>
      <c r="G1162" t="s">
        <v>43</v>
      </c>
      <c r="H1162">
        <v>2023</v>
      </c>
      <c r="I1162" t="s">
        <v>60</v>
      </c>
      <c r="L1162" t="s">
        <v>99</v>
      </c>
      <c r="AG1162">
        <f t="shared" si="18"/>
        <v>1</v>
      </c>
      <c r="AH1162">
        <f>'TABLA PREVIOS'!E1162</f>
        <v>282</v>
      </c>
      <c r="AI1162">
        <f>VLOOKUP(C1162,ALUMNOS!A:B,2,FALSE)</f>
        <v>448</v>
      </c>
    </row>
    <row r="1163" spans="1:35" x14ac:dyDescent="0.25">
      <c r="A1163" t="s">
        <v>386</v>
      </c>
      <c r="B1163" t="s">
        <v>128</v>
      </c>
      <c r="C1163">
        <v>46509043</v>
      </c>
      <c r="D1163" t="s">
        <v>413</v>
      </c>
      <c r="E1163" t="s">
        <v>25</v>
      </c>
      <c r="F1163" t="s">
        <v>245</v>
      </c>
      <c r="G1163" t="s">
        <v>43</v>
      </c>
      <c r="H1163">
        <v>2023</v>
      </c>
      <c r="I1163" t="s">
        <v>60</v>
      </c>
      <c r="L1163" t="s">
        <v>99</v>
      </c>
      <c r="AG1163">
        <f t="shared" si="18"/>
        <v>1</v>
      </c>
      <c r="AH1163">
        <f>'TABLA PREVIOS'!E1163</f>
        <v>281</v>
      </c>
      <c r="AI1163">
        <f>VLOOKUP(C1163,ALUMNOS!A:B,2,FALSE)</f>
        <v>448</v>
      </c>
    </row>
    <row r="1164" spans="1:35" x14ac:dyDescent="0.25">
      <c r="A1164" t="s">
        <v>386</v>
      </c>
      <c r="B1164" t="s">
        <v>128</v>
      </c>
      <c r="C1164">
        <v>46509043</v>
      </c>
      <c r="D1164" t="s">
        <v>413</v>
      </c>
      <c r="E1164" t="s">
        <v>29</v>
      </c>
      <c r="F1164" t="s">
        <v>245</v>
      </c>
      <c r="G1164" t="s">
        <v>43</v>
      </c>
      <c r="H1164">
        <v>2023</v>
      </c>
      <c r="I1164" t="s">
        <v>60</v>
      </c>
      <c r="L1164" t="s">
        <v>99</v>
      </c>
      <c r="AG1164">
        <f t="shared" si="18"/>
        <v>1</v>
      </c>
      <c r="AH1164">
        <f>'TABLA PREVIOS'!E1164</f>
        <v>290</v>
      </c>
      <c r="AI1164">
        <f>VLOOKUP(C1164,ALUMNOS!A:B,2,FALSE)</f>
        <v>448</v>
      </c>
    </row>
    <row r="1165" spans="1:35" x14ac:dyDescent="0.25">
      <c r="A1165" t="s">
        <v>386</v>
      </c>
      <c r="B1165" t="s">
        <v>128</v>
      </c>
      <c r="C1165">
        <v>46509071</v>
      </c>
      <c r="D1165" t="s">
        <v>414</v>
      </c>
      <c r="E1165" t="s">
        <v>12</v>
      </c>
      <c r="F1165" t="s">
        <v>143</v>
      </c>
      <c r="G1165" t="s">
        <v>43</v>
      </c>
      <c r="H1165">
        <v>2020</v>
      </c>
      <c r="I1165" t="s">
        <v>59</v>
      </c>
      <c r="L1165" t="s">
        <v>99</v>
      </c>
      <c r="AG1165">
        <f t="shared" si="18"/>
        <v>1</v>
      </c>
      <c r="AH1165">
        <f>'TABLA PREVIOS'!E1165</f>
        <v>240</v>
      </c>
      <c r="AI1165">
        <f>VLOOKUP(C1165,ALUMNOS!A:B,2,FALSE)</f>
        <v>628</v>
      </c>
    </row>
    <row r="1166" spans="1:35" x14ac:dyDescent="0.25">
      <c r="A1166" t="s">
        <v>386</v>
      </c>
      <c r="B1166" t="s">
        <v>128</v>
      </c>
      <c r="C1166">
        <v>46509071</v>
      </c>
      <c r="D1166" t="s">
        <v>414</v>
      </c>
      <c r="E1166" t="s">
        <v>12</v>
      </c>
      <c r="F1166" t="s">
        <v>190</v>
      </c>
      <c r="G1166" t="s">
        <v>43</v>
      </c>
      <c r="H1166">
        <v>2021</v>
      </c>
      <c r="I1166" t="s">
        <v>60</v>
      </c>
      <c r="L1166" t="s">
        <v>99</v>
      </c>
      <c r="AG1166">
        <f t="shared" si="18"/>
        <v>1</v>
      </c>
      <c r="AH1166">
        <f>'TABLA PREVIOS'!E1166</f>
        <v>252</v>
      </c>
      <c r="AI1166">
        <f>VLOOKUP(C1166,ALUMNOS!A:B,2,FALSE)</f>
        <v>628</v>
      </c>
    </row>
    <row r="1167" spans="1:35" x14ac:dyDescent="0.25">
      <c r="A1167" t="s">
        <v>386</v>
      </c>
      <c r="B1167" t="s">
        <v>128</v>
      </c>
      <c r="C1167">
        <v>46509071</v>
      </c>
      <c r="D1167" t="s">
        <v>414</v>
      </c>
      <c r="E1167" t="s">
        <v>12</v>
      </c>
      <c r="F1167" t="s">
        <v>220</v>
      </c>
      <c r="G1167" t="s">
        <v>43</v>
      </c>
      <c r="H1167">
        <v>2022</v>
      </c>
      <c r="I1167" t="s">
        <v>60</v>
      </c>
      <c r="L1167" t="s">
        <v>99</v>
      </c>
      <c r="AG1167">
        <f t="shared" si="18"/>
        <v>1</v>
      </c>
      <c r="AH1167">
        <f>'TABLA PREVIOS'!E1167</f>
        <v>265</v>
      </c>
      <c r="AI1167">
        <f>VLOOKUP(C1167,ALUMNOS!A:B,2,FALSE)</f>
        <v>628</v>
      </c>
    </row>
    <row r="1168" spans="1:35" x14ac:dyDescent="0.25">
      <c r="A1168" t="s">
        <v>386</v>
      </c>
      <c r="B1168" t="s">
        <v>128</v>
      </c>
      <c r="C1168">
        <v>46509071</v>
      </c>
      <c r="D1168" t="s">
        <v>414</v>
      </c>
      <c r="E1168" t="s">
        <v>25</v>
      </c>
      <c r="F1168" t="s">
        <v>245</v>
      </c>
      <c r="G1168" t="s">
        <v>43</v>
      </c>
      <c r="H1168">
        <v>2023</v>
      </c>
      <c r="I1168" t="s">
        <v>60</v>
      </c>
      <c r="L1168" t="s">
        <v>99</v>
      </c>
      <c r="AG1168">
        <f t="shared" si="18"/>
        <v>1</v>
      </c>
      <c r="AH1168">
        <f>'TABLA PREVIOS'!E1168</f>
        <v>281</v>
      </c>
      <c r="AI1168">
        <f>VLOOKUP(C1168,ALUMNOS!A:B,2,FALSE)</f>
        <v>628</v>
      </c>
    </row>
    <row r="1169" spans="1:35" x14ac:dyDescent="0.25">
      <c r="A1169" t="s">
        <v>386</v>
      </c>
      <c r="B1169" t="s">
        <v>128</v>
      </c>
      <c r="C1169">
        <v>46509071</v>
      </c>
      <c r="D1169" t="s">
        <v>414</v>
      </c>
      <c r="E1169" t="s">
        <v>29</v>
      </c>
      <c r="F1169" t="s">
        <v>245</v>
      </c>
      <c r="G1169" t="s">
        <v>43</v>
      </c>
      <c r="H1169">
        <v>2023</v>
      </c>
      <c r="I1169" t="s">
        <v>60</v>
      </c>
      <c r="L1169" t="s">
        <v>99</v>
      </c>
      <c r="AG1169">
        <f t="shared" si="18"/>
        <v>1</v>
      </c>
      <c r="AH1169">
        <f>'TABLA PREVIOS'!E1169</f>
        <v>290</v>
      </c>
      <c r="AI1169">
        <f>VLOOKUP(C1169,ALUMNOS!A:B,2,FALSE)</f>
        <v>628</v>
      </c>
    </row>
    <row r="1170" spans="1:35" x14ac:dyDescent="0.25">
      <c r="A1170" t="s">
        <v>386</v>
      </c>
      <c r="B1170" t="s">
        <v>128</v>
      </c>
      <c r="C1170">
        <v>46509084</v>
      </c>
      <c r="D1170" t="s">
        <v>415</v>
      </c>
      <c r="E1170" t="s">
        <v>27</v>
      </c>
      <c r="F1170" t="s">
        <v>220</v>
      </c>
      <c r="G1170" t="s">
        <v>43</v>
      </c>
      <c r="H1170">
        <v>2022</v>
      </c>
      <c r="I1170" t="s">
        <v>60</v>
      </c>
      <c r="L1170" t="s">
        <v>99</v>
      </c>
      <c r="AG1170">
        <f t="shared" si="18"/>
        <v>1</v>
      </c>
      <c r="AH1170">
        <f>'TABLA PREVIOS'!E1170</f>
        <v>268</v>
      </c>
      <c r="AI1170">
        <f>VLOOKUP(C1170,ALUMNOS!A:B,2,FALSE)</f>
        <v>760</v>
      </c>
    </row>
    <row r="1171" spans="1:35" x14ac:dyDescent="0.25">
      <c r="A1171" t="s">
        <v>386</v>
      </c>
      <c r="B1171" t="s">
        <v>128</v>
      </c>
      <c r="C1171">
        <v>46509084</v>
      </c>
      <c r="D1171" t="s">
        <v>415</v>
      </c>
      <c r="E1171" t="s">
        <v>29</v>
      </c>
      <c r="F1171" t="s">
        <v>220</v>
      </c>
      <c r="G1171" t="s">
        <v>43</v>
      </c>
      <c r="H1171">
        <v>2022</v>
      </c>
      <c r="I1171" t="s">
        <v>60</v>
      </c>
      <c r="L1171" t="s">
        <v>99</v>
      </c>
      <c r="AG1171">
        <f t="shared" si="18"/>
        <v>1</v>
      </c>
      <c r="AH1171">
        <f>'TABLA PREVIOS'!E1171</f>
        <v>273</v>
      </c>
      <c r="AI1171">
        <f>VLOOKUP(C1171,ALUMNOS!A:B,2,FALSE)</f>
        <v>760</v>
      </c>
    </row>
    <row r="1172" spans="1:35" x14ac:dyDescent="0.25">
      <c r="A1172" t="s">
        <v>386</v>
      </c>
      <c r="B1172" t="s">
        <v>128</v>
      </c>
      <c r="C1172">
        <v>46509084</v>
      </c>
      <c r="D1172" t="s">
        <v>415</v>
      </c>
      <c r="E1172" t="s">
        <v>16</v>
      </c>
      <c r="F1172" t="s">
        <v>245</v>
      </c>
      <c r="G1172" t="s">
        <v>43</v>
      </c>
      <c r="H1172">
        <v>2023</v>
      </c>
      <c r="I1172" t="s">
        <v>60</v>
      </c>
      <c r="L1172" t="s">
        <v>99</v>
      </c>
      <c r="AG1172">
        <f t="shared" si="18"/>
        <v>1</v>
      </c>
      <c r="AH1172">
        <f>'TABLA PREVIOS'!E1172</f>
        <v>282</v>
      </c>
      <c r="AI1172">
        <f>VLOOKUP(C1172,ALUMNOS!A:B,2,FALSE)</f>
        <v>760</v>
      </c>
    </row>
    <row r="1173" spans="1:35" x14ac:dyDescent="0.25">
      <c r="A1173" t="s">
        <v>386</v>
      </c>
      <c r="B1173" t="s">
        <v>128</v>
      </c>
      <c r="C1173">
        <v>46509084</v>
      </c>
      <c r="D1173" t="s">
        <v>415</v>
      </c>
      <c r="E1173" t="s">
        <v>25</v>
      </c>
      <c r="F1173" t="s">
        <v>245</v>
      </c>
      <c r="G1173" t="s">
        <v>43</v>
      </c>
      <c r="H1173">
        <v>2023</v>
      </c>
      <c r="I1173" t="s">
        <v>60</v>
      </c>
      <c r="L1173" t="s">
        <v>99</v>
      </c>
      <c r="AG1173">
        <f t="shared" si="18"/>
        <v>1</v>
      </c>
      <c r="AH1173">
        <f>'TABLA PREVIOS'!E1173</f>
        <v>281</v>
      </c>
      <c r="AI1173">
        <f>VLOOKUP(C1173,ALUMNOS!A:B,2,FALSE)</f>
        <v>760</v>
      </c>
    </row>
    <row r="1174" spans="1:35" x14ac:dyDescent="0.25">
      <c r="A1174" t="s">
        <v>386</v>
      </c>
      <c r="B1174" t="s">
        <v>128</v>
      </c>
      <c r="C1174">
        <v>46509084</v>
      </c>
      <c r="D1174" t="s">
        <v>415</v>
      </c>
      <c r="E1174" t="s">
        <v>29</v>
      </c>
      <c r="F1174" t="s">
        <v>245</v>
      </c>
      <c r="G1174" t="s">
        <v>43</v>
      </c>
      <c r="H1174">
        <v>2023</v>
      </c>
      <c r="I1174" t="s">
        <v>60</v>
      </c>
      <c r="L1174" t="s">
        <v>99</v>
      </c>
      <c r="AG1174">
        <f t="shared" si="18"/>
        <v>1</v>
      </c>
      <c r="AH1174">
        <f>'TABLA PREVIOS'!E1174</f>
        <v>290</v>
      </c>
      <c r="AI1174">
        <f>VLOOKUP(C1174,ALUMNOS!A:B,2,FALSE)</f>
        <v>760</v>
      </c>
    </row>
    <row r="1175" spans="1:35" x14ac:dyDescent="0.25">
      <c r="C1175">
        <v>43808675</v>
      </c>
      <c r="D1175" t="s">
        <v>416</v>
      </c>
      <c r="E1175" t="s">
        <v>11</v>
      </c>
      <c r="F1175" t="s">
        <v>98</v>
      </c>
      <c r="G1175" t="s">
        <v>43</v>
      </c>
      <c r="H1175">
        <v>2018</v>
      </c>
      <c r="I1175" t="s">
        <v>59</v>
      </c>
      <c r="J1175" t="s">
        <v>417</v>
      </c>
      <c r="L1175" t="s">
        <v>99</v>
      </c>
      <c r="AG1175">
        <f t="shared" si="18"/>
        <v>1</v>
      </c>
      <c r="AH1175">
        <f>'TABLA PREVIOS'!E1175</f>
        <v>219</v>
      </c>
      <c r="AI1175">
        <f>VLOOKUP(C1175,ALUMNOS!A:B,2,FALSE)</f>
        <v>3</v>
      </c>
    </row>
    <row r="1176" spans="1:35" x14ac:dyDescent="0.25">
      <c r="C1176">
        <v>43808675</v>
      </c>
      <c r="D1176" t="s">
        <v>416</v>
      </c>
      <c r="E1176" t="s">
        <v>22</v>
      </c>
      <c r="F1176" t="s">
        <v>95</v>
      </c>
      <c r="G1176" t="s">
        <v>43</v>
      </c>
      <c r="H1176">
        <v>2019</v>
      </c>
      <c r="I1176" t="s">
        <v>59</v>
      </c>
      <c r="L1176" t="s">
        <v>99</v>
      </c>
      <c r="AG1176">
        <f t="shared" si="18"/>
        <v>1</v>
      </c>
      <c r="AH1176">
        <f>'TABLA PREVIOS'!E1176</f>
        <v>233</v>
      </c>
      <c r="AI1176">
        <f>VLOOKUP(C1176,ALUMNOS!A:B,2,FALSE)</f>
        <v>3</v>
      </c>
    </row>
    <row r="1177" spans="1:35" x14ac:dyDescent="0.25">
      <c r="C1177">
        <v>43808675</v>
      </c>
      <c r="D1177" t="s">
        <v>416</v>
      </c>
      <c r="E1177" t="s">
        <v>12</v>
      </c>
      <c r="F1177" t="s">
        <v>143</v>
      </c>
      <c r="G1177" t="s">
        <v>43</v>
      </c>
      <c r="H1177">
        <v>2020</v>
      </c>
      <c r="I1177" t="s">
        <v>59</v>
      </c>
      <c r="L1177" t="s">
        <v>99</v>
      </c>
      <c r="AG1177">
        <f t="shared" si="18"/>
        <v>1</v>
      </c>
      <c r="AH1177">
        <f>'TABLA PREVIOS'!E1177</f>
        <v>240</v>
      </c>
      <c r="AI1177">
        <f>VLOOKUP(C1177,ALUMNOS!A:B,2,FALSE)</f>
        <v>3</v>
      </c>
    </row>
    <row r="1178" spans="1:35" x14ac:dyDescent="0.25">
      <c r="C1178">
        <v>48816210</v>
      </c>
      <c r="D1178" t="s">
        <v>418</v>
      </c>
      <c r="E1178" t="s">
        <v>13</v>
      </c>
      <c r="F1178" t="s">
        <v>98</v>
      </c>
      <c r="G1178" t="s">
        <v>43</v>
      </c>
      <c r="H1178">
        <v>2021</v>
      </c>
      <c r="I1178" t="s">
        <v>59</v>
      </c>
      <c r="J1178" t="s">
        <v>105</v>
      </c>
      <c r="L1178" t="s">
        <v>99</v>
      </c>
      <c r="AG1178">
        <f t="shared" si="18"/>
        <v>1</v>
      </c>
      <c r="AH1178">
        <f>'TABLA PREVIOS'!E1178</f>
        <v>221</v>
      </c>
      <c r="AI1178">
        <f>VLOOKUP(C1178,ALUMNOS!A:B,2,FALSE)</f>
        <v>2</v>
      </c>
    </row>
    <row r="1179" spans="1:35" x14ac:dyDescent="0.25">
      <c r="C1179">
        <v>48816210</v>
      </c>
      <c r="D1179" t="s">
        <v>418</v>
      </c>
      <c r="E1179" t="s">
        <v>14</v>
      </c>
      <c r="F1179" t="s">
        <v>98</v>
      </c>
      <c r="G1179" t="s">
        <v>43</v>
      </c>
      <c r="H1179">
        <v>2021</v>
      </c>
      <c r="I1179" t="s">
        <v>59</v>
      </c>
      <c r="L1179" t="s">
        <v>99</v>
      </c>
      <c r="AG1179">
        <f t="shared" si="18"/>
        <v>1</v>
      </c>
      <c r="AH1179">
        <f>'TABLA PREVIOS'!E1179</f>
        <v>222</v>
      </c>
      <c r="AI1179">
        <f>VLOOKUP(C1179,ALUMNOS!A:B,2,FALSE)</f>
        <v>2</v>
      </c>
    </row>
    <row r="1180" spans="1:35" x14ac:dyDescent="0.25">
      <c r="C1180">
        <v>45698169</v>
      </c>
      <c r="D1180" t="s">
        <v>419</v>
      </c>
      <c r="E1180" t="s">
        <v>14</v>
      </c>
      <c r="F1180" t="s">
        <v>98</v>
      </c>
      <c r="G1180" t="s">
        <v>43</v>
      </c>
      <c r="H1180">
        <v>2018</v>
      </c>
      <c r="I1180" t="s">
        <v>59</v>
      </c>
      <c r="J1180" t="s">
        <v>420</v>
      </c>
      <c r="L1180" t="s">
        <v>99</v>
      </c>
      <c r="AG1180">
        <f t="shared" si="18"/>
        <v>1</v>
      </c>
      <c r="AH1180">
        <f>'TABLA PREVIOS'!E1180</f>
        <v>222</v>
      </c>
      <c r="AI1180">
        <f>VLOOKUP(C1180,ALUMNOS!A:B,2,FALSE)</f>
        <v>12</v>
      </c>
    </row>
    <row r="1181" spans="1:35" x14ac:dyDescent="0.25">
      <c r="C1181">
        <v>45698169</v>
      </c>
      <c r="D1181" t="s">
        <v>419</v>
      </c>
      <c r="E1181" t="s">
        <v>11</v>
      </c>
      <c r="F1181" t="s">
        <v>143</v>
      </c>
      <c r="G1181" t="s">
        <v>43</v>
      </c>
      <c r="H1181">
        <v>2020</v>
      </c>
      <c r="I1181" t="s">
        <v>59</v>
      </c>
      <c r="J1181" t="s">
        <v>420</v>
      </c>
      <c r="L1181" t="s">
        <v>99</v>
      </c>
      <c r="AG1181">
        <f t="shared" si="18"/>
        <v>1</v>
      </c>
      <c r="AH1181">
        <f>'TABLA PREVIOS'!E1181</f>
        <v>239</v>
      </c>
      <c r="AI1181">
        <f>VLOOKUP(C1181,ALUMNOS!A:B,2,FALSE)</f>
        <v>12</v>
      </c>
    </row>
    <row r="1182" spans="1:35" x14ac:dyDescent="0.25">
      <c r="C1182">
        <v>45698169</v>
      </c>
      <c r="D1182" t="s">
        <v>419</v>
      </c>
      <c r="E1182" t="s">
        <v>25</v>
      </c>
      <c r="F1182" t="s">
        <v>143</v>
      </c>
      <c r="G1182" t="s">
        <v>43</v>
      </c>
      <c r="H1182">
        <v>2020</v>
      </c>
      <c r="I1182" t="s">
        <v>59</v>
      </c>
      <c r="J1182" t="s">
        <v>420</v>
      </c>
      <c r="L1182" t="s">
        <v>99</v>
      </c>
      <c r="AG1182">
        <f t="shared" si="18"/>
        <v>1</v>
      </c>
      <c r="AH1182">
        <f>'TABLA PREVIOS'!E1182</f>
        <v>242</v>
      </c>
      <c r="AI1182">
        <f>VLOOKUP(C1182,ALUMNOS!A:B,2,FALSE)</f>
        <v>12</v>
      </c>
    </row>
    <row r="1183" spans="1:35" x14ac:dyDescent="0.25">
      <c r="C1183">
        <v>48326453</v>
      </c>
      <c r="D1183" t="s">
        <v>421</v>
      </c>
      <c r="E1183" t="s">
        <v>16</v>
      </c>
      <c r="F1183" t="s">
        <v>143</v>
      </c>
      <c r="G1183" t="s">
        <v>43</v>
      </c>
      <c r="H1183">
        <v>2022</v>
      </c>
      <c r="I1183" t="s">
        <v>59</v>
      </c>
      <c r="L1183" t="s">
        <v>99</v>
      </c>
      <c r="AG1183">
        <f t="shared" si="18"/>
        <v>1</v>
      </c>
      <c r="AH1183">
        <f>'TABLA PREVIOS'!E1183</f>
        <v>245</v>
      </c>
      <c r="AI1183">
        <f>VLOOKUP(C1183,ALUMNOS!A:B,2,FALSE)</f>
        <v>18</v>
      </c>
    </row>
    <row r="1184" spans="1:35" x14ac:dyDescent="0.25">
      <c r="C1184">
        <v>48326453</v>
      </c>
      <c r="D1184" t="s">
        <v>421</v>
      </c>
      <c r="E1184" t="s">
        <v>11</v>
      </c>
      <c r="F1184" t="s">
        <v>143</v>
      </c>
      <c r="G1184" t="s">
        <v>43</v>
      </c>
      <c r="H1184">
        <v>2022</v>
      </c>
      <c r="I1184" t="s">
        <v>59</v>
      </c>
      <c r="L1184" t="s">
        <v>99</v>
      </c>
      <c r="AG1184">
        <f t="shared" si="18"/>
        <v>1</v>
      </c>
      <c r="AH1184">
        <f>'TABLA PREVIOS'!E1184</f>
        <v>239</v>
      </c>
      <c r="AI1184">
        <f>VLOOKUP(C1184,ALUMNOS!A:B,2,FALSE)</f>
        <v>18</v>
      </c>
    </row>
    <row r="1185" spans="3:35" x14ac:dyDescent="0.25">
      <c r="C1185">
        <v>49502266</v>
      </c>
      <c r="D1185" t="s">
        <v>422</v>
      </c>
      <c r="E1185" t="s">
        <v>13</v>
      </c>
      <c r="F1185" t="s">
        <v>98</v>
      </c>
      <c r="G1185" t="s">
        <v>43</v>
      </c>
      <c r="H1185">
        <v>2021</v>
      </c>
      <c r="I1185" t="s">
        <v>59</v>
      </c>
      <c r="K1185" t="s">
        <v>423</v>
      </c>
      <c r="L1185" t="s">
        <v>99</v>
      </c>
      <c r="AG1185">
        <f t="shared" si="18"/>
        <v>1</v>
      </c>
      <c r="AH1185">
        <f>'TABLA PREVIOS'!E1185</f>
        <v>221</v>
      </c>
      <c r="AI1185">
        <f>VLOOKUP(C1185,ALUMNOS!A:B,2,FALSE)</f>
        <v>29</v>
      </c>
    </row>
    <row r="1186" spans="3:35" x14ac:dyDescent="0.25">
      <c r="C1186">
        <v>49502266</v>
      </c>
      <c r="D1186" t="s">
        <v>422</v>
      </c>
      <c r="E1186" t="s">
        <v>14</v>
      </c>
      <c r="F1186" t="s">
        <v>98</v>
      </c>
      <c r="G1186" t="s">
        <v>43</v>
      </c>
      <c r="H1186">
        <v>2021</v>
      </c>
      <c r="I1186" t="s">
        <v>59</v>
      </c>
      <c r="K1186" t="s">
        <v>423</v>
      </c>
      <c r="L1186" t="s">
        <v>99</v>
      </c>
      <c r="AG1186">
        <f t="shared" si="18"/>
        <v>1</v>
      </c>
      <c r="AH1186">
        <f>'TABLA PREVIOS'!E1186</f>
        <v>222</v>
      </c>
      <c r="AI1186">
        <f>VLOOKUP(C1186,ALUMNOS!A:B,2,FALSE)</f>
        <v>29</v>
      </c>
    </row>
    <row r="1187" spans="3:35" x14ac:dyDescent="0.25">
      <c r="C1187">
        <v>49502266</v>
      </c>
      <c r="D1187" t="s">
        <v>422</v>
      </c>
      <c r="E1187" t="s">
        <v>16</v>
      </c>
      <c r="F1187" t="s">
        <v>98</v>
      </c>
      <c r="G1187" t="s">
        <v>43</v>
      </c>
      <c r="H1187">
        <v>2021</v>
      </c>
      <c r="I1187" t="s">
        <v>59</v>
      </c>
      <c r="L1187" t="s">
        <v>99</v>
      </c>
      <c r="AG1187">
        <f t="shared" si="18"/>
        <v>1</v>
      </c>
      <c r="AH1187">
        <f>'TABLA PREVIOS'!E1187</f>
        <v>224</v>
      </c>
      <c r="AI1187">
        <f>VLOOKUP(C1187,ALUMNOS!A:B,2,FALSE)</f>
        <v>29</v>
      </c>
    </row>
    <row r="1188" spans="3:35" x14ac:dyDescent="0.25">
      <c r="C1188">
        <v>49502266</v>
      </c>
      <c r="D1188" t="s">
        <v>422</v>
      </c>
      <c r="E1188" t="s">
        <v>12</v>
      </c>
      <c r="F1188" t="s">
        <v>98</v>
      </c>
      <c r="G1188" t="s">
        <v>43</v>
      </c>
      <c r="H1188">
        <v>2021</v>
      </c>
      <c r="I1188" t="s">
        <v>59</v>
      </c>
      <c r="L1188" t="s">
        <v>99</v>
      </c>
      <c r="AG1188">
        <f t="shared" si="18"/>
        <v>1</v>
      </c>
      <c r="AH1188">
        <f>'TABLA PREVIOS'!E1188</f>
        <v>220</v>
      </c>
      <c r="AI1188">
        <f>VLOOKUP(C1188,ALUMNOS!A:B,2,FALSE)</f>
        <v>29</v>
      </c>
    </row>
    <row r="1189" spans="3:35" x14ac:dyDescent="0.25">
      <c r="C1189">
        <v>45698166</v>
      </c>
      <c r="D1189" t="s">
        <v>424</v>
      </c>
      <c r="E1189" t="s">
        <v>10</v>
      </c>
      <c r="F1189" t="s">
        <v>95</v>
      </c>
      <c r="G1189" t="s">
        <v>43</v>
      </c>
      <c r="H1189">
        <v>2020</v>
      </c>
      <c r="I1189" t="s">
        <v>59</v>
      </c>
      <c r="J1189" t="s">
        <v>372</v>
      </c>
      <c r="L1189" t="s">
        <v>99</v>
      </c>
      <c r="AG1189">
        <f t="shared" si="18"/>
        <v>1</v>
      </c>
      <c r="AH1189">
        <f>'TABLA PREVIOS'!E1189</f>
        <v>228</v>
      </c>
      <c r="AI1189">
        <f>VLOOKUP(C1189,ALUMNOS!A:B,2,FALSE)</f>
        <v>61</v>
      </c>
    </row>
    <row r="1190" spans="3:35" x14ac:dyDescent="0.25">
      <c r="C1190">
        <v>46768264</v>
      </c>
      <c r="D1190" t="s">
        <v>425</v>
      </c>
      <c r="E1190" t="s">
        <v>17</v>
      </c>
      <c r="F1190" t="s">
        <v>98</v>
      </c>
      <c r="G1190" t="s">
        <v>43</v>
      </c>
      <c r="H1190">
        <v>2020</v>
      </c>
      <c r="I1190" t="s">
        <v>59</v>
      </c>
      <c r="J1190" t="s">
        <v>105</v>
      </c>
      <c r="L1190" t="s">
        <v>99</v>
      </c>
      <c r="AG1190">
        <f t="shared" si="18"/>
        <v>1</v>
      </c>
      <c r="AH1190">
        <f>'TABLA PREVIOS'!E1190</f>
        <v>225</v>
      </c>
      <c r="AI1190">
        <f>VLOOKUP(C1190,ALUMNOS!A:B,2,FALSE)</f>
        <v>92</v>
      </c>
    </row>
    <row r="1191" spans="3:35" x14ac:dyDescent="0.25">
      <c r="C1191">
        <v>46768264</v>
      </c>
      <c r="D1191" t="s">
        <v>425</v>
      </c>
      <c r="E1191" t="s">
        <v>16</v>
      </c>
      <c r="F1191" t="s">
        <v>95</v>
      </c>
      <c r="G1191" t="s">
        <v>43</v>
      </c>
      <c r="H1191">
        <v>2021</v>
      </c>
      <c r="I1191" t="s">
        <v>59</v>
      </c>
      <c r="L1191" t="s">
        <v>99</v>
      </c>
      <c r="AG1191">
        <f t="shared" si="18"/>
        <v>1</v>
      </c>
      <c r="AH1191">
        <f>'TABLA PREVIOS'!E1191</f>
        <v>234</v>
      </c>
      <c r="AI1191">
        <f>VLOOKUP(C1191,ALUMNOS!A:B,2,FALSE)</f>
        <v>92</v>
      </c>
    </row>
    <row r="1192" spans="3:35" x14ac:dyDescent="0.25">
      <c r="C1192">
        <v>46768264</v>
      </c>
      <c r="D1192" t="s">
        <v>425</v>
      </c>
      <c r="E1192" t="s">
        <v>11</v>
      </c>
      <c r="F1192" t="s">
        <v>95</v>
      </c>
      <c r="G1192" t="s">
        <v>43</v>
      </c>
      <c r="H1192">
        <v>2021</v>
      </c>
      <c r="I1192" t="s">
        <v>59</v>
      </c>
      <c r="L1192" t="s">
        <v>99</v>
      </c>
      <c r="AG1192">
        <f t="shared" si="18"/>
        <v>1</v>
      </c>
      <c r="AH1192">
        <f>'TABLA PREVIOS'!E1192</f>
        <v>229</v>
      </c>
      <c r="AI1192">
        <f>VLOOKUP(C1192,ALUMNOS!A:B,2,FALSE)</f>
        <v>92</v>
      </c>
    </row>
    <row r="1193" spans="3:35" x14ac:dyDescent="0.25">
      <c r="C1193">
        <v>47567431</v>
      </c>
      <c r="D1193" t="s">
        <v>426</v>
      </c>
      <c r="E1193" t="s">
        <v>12</v>
      </c>
      <c r="F1193" t="s">
        <v>98</v>
      </c>
      <c r="G1193" t="s">
        <v>43</v>
      </c>
      <c r="H1193">
        <v>2019</v>
      </c>
      <c r="I1193" t="s">
        <v>59</v>
      </c>
      <c r="L1193" t="s">
        <v>99</v>
      </c>
      <c r="AG1193">
        <f t="shared" si="18"/>
        <v>1</v>
      </c>
      <c r="AH1193">
        <f>'TABLA PREVIOS'!E1193</f>
        <v>220</v>
      </c>
      <c r="AI1193">
        <f>VLOOKUP(C1193,ALUMNOS!A:B,2,FALSE)</f>
        <v>93</v>
      </c>
    </row>
    <row r="1194" spans="3:35" x14ac:dyDescent="0.25">
      <c r="C1194">
        <v>47567431</v>
      </c>
      <c r="D1194" t="s">
        <v>426</v>
      </c>
      <c r="E1194" t="s">
        <v>26</v>
      </c>
      <c r="F1194" t="s">
        <v>143</v>
      </c>
      <c r="G1194" t="s">
        <v>43</v>
      </c>
      <c r="H1194">
        <v>2021</v>
      </c>
      <c r="I1194" t="s">
        <v>59</v>
      </c>
      <c r="L1194" t="s">
        <v>99</v>
      </c>
      <c r="AG1194">
        <f t="shared" si="18"/>
        <v>1</v>
      </c>
      <c r="AH1194">
        <f>'TABLA PREVIOS'!E1194</f>
        <v>243</v>
      </c>
      <c r="AI1194">
        <f>VLOOKUP(C1194,ALUMNOS!A:B,2,FALSE)</f>
        <v>93</v>
      </c>
    </row>
    <row r="1195" spans="3:35" x14ac:dyDescent="0.25">
      <c r="C1195">
        <v>47567431</v>
      </c>
      <c r="D1195" t="s">
        <v>426</v>
      </c>
      <c r="E1195" t="s">
        <v>27</v>
      </c>
      <c r="F1195" t="s">
        <v>143</v>
      </c>
      <c r="G1195" t="s">
        <v>43</v>
      </c>
      <c r="H1195">
        <v>2021</v>
      </c>
      <c r="I1195" t="s">
        <v>59</v>
      </c>
      <c r="L1195" t="s">
        <v>99</v>
      </c>
      <c r="AG1195">
        <f t="shared" si="18"/>
        <v>1</v>
      </c>
      <c r="AH1195">
        <f>'TABLA PREVIOS'!E1195</f>
        <v>244</v>
      </c>
      <c r="AI1195">
        <f>VLOOKUP(C1195,ALUMNOS!A:B,2,FALSE)</f>
        <v>93</v>
      </c>
    </row>
    <row r="1196" spans="3:35" x14ac:dyDescent="0.25">
      <c r="C1196">
        <v>45485875</v>
      </c>
      <c r="D1196" t="s">
        <v>427</v>
      </c>
      <c r="E1196" t="s">
        <v>30</v>
      </c>
      <c r="F1196" t="s">
        <v>190</v>
      </c>
      <c r="G1196" t="s">
        <v>43</v>
      </c>
      <c r="H1196">
        <v>2021</v>
      </c>
      <c r="I1196" t="s">
        <v>60</v>
      </c>
      <c r="L1196" t="s">
        <v>99</v>
      </c>
      <c r="AG1196">
        <f t="shared" si="18"/>
        <v>1</v>
      </c>
      <c r="AH1196">
        <f>'TABLA PREVIOS'!E1196</f>
        <v>260</v>
      </c>
      <c r="AI1196">
        <f>VLOOKUP(C1196,ALUMNOS!A:B,2,FALSE)</f>
        <v>104</v>
      </c>
    </row>
    <row r="1197" spans="3:35" x14ac:dyDescent="0.25">
      <c r="C1197">
        <v>45485875</v>
      </c>
      <c r="D1197" t="s">
        <v>427</v>
      </c>
      <c r="E1197" t="s">
        <v>32</v>
      </c>
      <c r="F1197" t="s">
        <v>190</v>
      </c>
      <c r="G1197" t="s">
        <v>43</v>
      </c>
      <c r="H1197">
        <v>2021</v>
      </c>
      <c r="I1197" t="s">
        <v>60</v>
      </c>
      <c r="L1197" t="s">
        <v>99</v>
      </c>
      <c r="AG1197">
        <f t="shared" si="18"/>
        <v>1</v>
      </c>
      <c r="AH1197">
        <f>'TABLA PREVIOS'!E1197</f>
        <v>262</v>
      </c>
      <c r="AI1197">
        <f>VLOOKUP(C1197,ALUMNOS!A:B,2,FALSE)</f>
        <v>104</v>
      </c>
    </row>
    <row r="1198" spans="3:35" x14ac:dyDescent="0.25">
      <c r="C1198">
        <v>45485875</v>
      </c>
      <c r="D1198" t="s">
        <v>427</v>
      </c>
      <c r="E1198" t="s">
        <v>31</v>
      </c>
      <c r="F1198" t="s">
        <v>190</v>
      </c>
      <c r="G1198" t="s">
        <v>43</v>
      </c>
      <c r="H1198">
        <v>2021</v>
      </c>
      <c r="I1198" t="s">
        <v>60</v>
      </c>
      <c r="L1198" t="s">
        <v>99</v>
      </c>
      <c r="AG1198">
        <f t="shared" si="18"/>
        <v>1</v>
      </c>
      <c r="AH1198">
        <f>'TABLA PREVIOS'!E1198</f>
        <v>261</v>
      </c>
      <c r="AI1198">
        <f>VLOOKUP(C1198,ALUMNOS!A:B,2,FALSE)</f>
        <v>104</v>
      </c>
    </row>
    <row r="1199" spans="3:35" x14ac:dyDescent="0.25">
      <c r="C1199">
        <v>45485875</v>
      </c>
      <c r="D1199" t="s">
        <v>427</v>
      </c>
      <c r="E1199" t="s">
        <v>16</v>
      </c>
      <c r="F1199" t="s">
        <v>190</v>
      </c>
      <c r="G1199" t="s">
        <v>43</v>
      </c>
      <c r="H1199">
        <v>2021</v>
      </c>
      <c r="I1199" t="s">
        <v>60</v>
      </c>
      <c r="L1199" t="s">
        <v>99</v>
      </c>
      <c r="AG1199">
        <f t="shared" si="18"/>
        <v>1</v>
      </c>
      <c r="AH1199">
        <f>'TABLA PREVIOS'!E1199</f>
        <v>256</v>
      </c>
      <c r="AI1199">
        <f>VLOOKUP(C1199,ALUMNOS!A:B,2,FALSE)</f>
        <v>104</v>
      </c>
    </row>
    <row r="1200" spans="3:35" x14ac:dyDescent="0.25">
      <c r="C1200">
        <v>45485875</v>
      </c>
      <c r="D1200" t="s">
        <v>427</v>
      </c>
      <c r="E1200" t="s">
        <v>12</v>
      </c>
      <c r="F1200" t="s">
        <v>190</v>
      </c>
      <c r="G1200" t="s">
        <v>43</v>
      </c>
      <c r="H1200">
        <v>2021</v>
      </c>
      <c r="I1200" t="s">
        <v>60</v>
      </c>
      <c r="L1200" t="s">
        <v>99</v>
      </c>
      <c r="AG1200">
        <f t="shared" si="18"/>
        <v>1</v>
      </c>
      <c r="AH1200">
        <f>'TABLA PREVIOS'!E1200</f>
        <v>252</v>
      </c>
      <c r="AI1200">
        <f>VLOOKUP(C1200,ALUMNOS!A:B,2,FALSE)</f>
        <v>104</v>
      </c>
    </row>
    <row r="1201" spans="3:35" x14ac:dyDescent="0.25">
      <c r="C1201">
        <v>45485875</v>
      </c>
      <c r="D1201" t="s">
        <v>427</v>
      </c>
      <c r="E1201" t="s">
        <v>29</v>
      </c>
      <c r="F1201" t="s">
        <v>190</v>
      </c>
      <c r="G1201" t="s">
        <v>43</v>
      </c>
      <c r="H1201">
        <v>2021</v>
      </c>
      <c r="I1201" t="s">
        <v>60</v>
      </c>
      <c r="K1201" t="s">
        <v>428</v>
      </c>
      <c r="L1201" t="s">
        <v>99</v>
      </c>
      <c r="AG1201">
        <f t="shared" si="18"/>
        <v>1</v>
      </c>
      <c r="AH1201">
        <f>'TABLA PREVIOS'!E1201</f>
        <v>259</v>
      </c>
      <c r="AI1201">
        <f>VLOOKUP(C1201,ALUMNOS!A:B,2,FALSE)</f>
        <v>104</v>
      </c>
    </row>
    <row r="1202" spans="3:35" x14ac:dyDescent="0.25">
      <c r="C1202">
        <v>46721918</v>
      </c>
      <c r="D1202" t="s">
        <v>429</v>
      </c>
      <c r="E1202" t="s">
        <v>11</v>
      </c>
      <c r="F1202" t="s">
        <v>95</v>
      </c>
      <c r="G1202" t="s">
        <v>43</v>
      </c>
      <c r="H1202">
        <v>2020</v>
      </c>
      <c r="I1202" t="s">
        <v>59</v>
      </c>
      <c r="J1202" t="s">
        <v>111</v>
      </c>
      <c r="L1202" t="s">
        <v>99</v>
      </c>
      <c r="AG1202">
        <f t="shared" si="18"/>
        <v>1</v>
      </c>
      <c r="AH1202">
        <f>'TABLA PREVIOS'!E1202</f>
        <v>229</v>
      </c>
      <c r="AI1202">
        <f>VLOOKUP(C1202,ALUMNOS!A:B,2,FALSE)</f>
        <v>105</v>
      </c>
    </row>
    <row r="1203" spans="3:35" x14ac:dyDescent="0.25">
      <c r="C1203">
        <v>46721918</v>
      </c>
      <c r="D1203" t="s">
        <v>429</v>
      </c>
      <c r="E1203" t="s">
        <v>17</v>
      </c>
      <c r="F1203" t="s">
        <v>143</v>
      </c>
      <c r="G1203" t="s">
        <v>43</v>
      </c>
      <c r="H1203">
        <v>2021</v>
      </c>
      <c r="I1203" t="s">
        <v>59</v>
      </c>
      <c r="L1203" t="s">
        <v>99</v>
      </c>
      <c r="AG1203">
        <f t="shared" si="18"/>
        <v>1</v>
      </c>
      <c r="AH1203">
        <f>'TABLA PREVIOS'!E1203</f>
        <v>246</v>
      </c>
      <c r="AI1203">
        <f>VLOOKUP(C1203,ALUMNOS!A:B,2,FALSE)</f>
        <v>105</v>
      </c>
    </row>
    <row r="1204" spans="3:35" x14ac:dyDescent="0.25">
      <c r="C1204">
        <v>46721918</v>
      </c>
      <c r="D1204" t="s">
        <v>429</v>
      </c>
      <c r="E1204" t="s">
        <v>23</v>
      </c>
      <c r="F1204" t="s">
        <v>143</v>
      </c>
      <c r="G1204" t="s">
        <v>43</v>
      </c>
      <c r="H1204">
        <v>2021</v>
      </c>
      <c r="I1204" t="s">
        <v>59</v>
      </c>
      <c r="L1204" t="s">
        <v>99</v>
      </c>
      <c r="AG1204">
        <f t="shared" si="18"/>
        <v>1</v>
      </c>
      <c r="AH1204">
        <f>'TABLA PREVIOS'!E1204</f>
        <v>247</v>
      </c>
      <c r="AI1204">
        <f>VLOOKUP(C1204,ALUMNOS!A:B,2,FALSE)</f>
        <v>105</v>
      </c>
    </row>
    <row r="1205" spans="3:35" x14ac:dyDescent="0.25">
      <c r="C1205">
        <v>46721918</v>
      </c>
      <c r="D1205" t="s">
        <v>429</v>
      </c>
      <c r="E1205" t="s">
        <v>10</v>
      </c>
      <c r="F1205" t="s">
        <v>143</v>
      </c>
      <c r="G1205" t="s">
        <v>43</v>
      </c>
      <c r="H1205">
        <v>2021</v>
      </c>
      <c r="I1205" t="s">
        <v>59</v>
      </c>
      <c r="L1205" t="s">
        <v>99</v>
      </c>
      <c r="AG1205">
        <f t="shared" si="18"/>
        <v>1</v>
      </c>
      <c r="AH1205">
        <f>'TABLA PREVIOS'!E1205</f>
        <v>238</v>
      </c>
      <c r="AI1205">
        <f>VLOOKUP(C1205,ALUMNOS!A:B,2,FALSE)</f>
        <v>105</v>
      </c>
    </row>
    <row r="1206" spans="3:35" x14ac:dyDescent="0.25">
      <c r="C1206">
        <v>46721918</v>
      </c>
      <c r="D1206" t="s">
        <v>429</v>
      </c>
      <c r="E1206" t="s">
        <v>12</v>
      </c>
      <c r="F1206" t="s">
        <v>143</v>
      </c>
      <c r="G1206" t="s">
        <v>43</v>
      </c>
      <c r="H1206">
        <v>2021</v>
      </c>
      <c r="I1206" t="s">
        <v>59</v>
      </c>
      <c r="L1206" t="s">
        <v>99</v>
      </c>
      <c r="AG1206">
        <f t="shared" si="18"/>
        <v>1</v>
      </c>
      <c r="AH1206">
        <f>'TABLA PREVIOS'!E1206</f>
        <v>240</v>
      </c>
      <c r="AI1206">
        <f>VLOOKUP(C1206,ALUMNOS!A:B,2,FALSE)</f>
        <v>105</v>
      </c>
    </row>
    <row r="1207" spans="3:35" x14ac:dyDescent="0.25">
      <c r="C1207">
        <v>48130230</v>
      </c>
      <c r="D1207" t="s">
        <v>430</v>
      </c>
      <c r="E1207" t="s">
        <v>20</v>
      </c>
      <c r="F1207" t="s">
        <v>95</v>
      </c>
      <c r="G1207" t="s">
        <v>43</v>
      </c>
      <c r="H1207">
        <v>2022</v>
      </c>
      <c r="I1207" t="s">
        <v>59</v>
      </c>
      <c r="J1207" t="s">
        <v>105</v>
      </c>
      <c r="L1207" t="s">
        <v>99</v>
      </c>
      <c r="AG1207">
        <f t="shared" si="18"/>
        <v>1</v>
      </c>
      <c r="AH1207">
        <f>'TABLA PREVIOS'!E1207</f>
        <v>231</v>
      </c>
      <c r="AI1207">
        <f>VLOOKUP(C1207,ALUMNOS!A:B,2,FALSE)</f>
        <v>108</v>
      </c>
    </row>
    <row r="1208" spans="3:35" x14ac:dyDescent="0.25">
      <c r="C1208">
        <v>48130230</v>
      </c>
      <c r="D1208" t="s">
        <v>430</v>
      </c>
      <c r="E1208" t="s">
        <v>12</v>
      </c>
      <c r="F1208" t="s">
        <v>95</v>
      </c>
      <c r="G1208" t="s">
        <v>43</v>
      </c>
      <c r="H1208">
        <v>2022</v>
      </c>
      <c r="I1208" t="s">
        <v>59</v>
      </c>
      <c r="L1208" t="s">
        <v>99</v>
      </c>
      <c r="AG1208">
        <f t="shared" si="18"/>
        <v>1</v>
      </c>
      <c r="AH1208">
        <f>'TABLA PREVIOS'!E1208</f>
        <v>230</v>
      </c>
      <c r="AI1208">
        <f>VLOOKUP(C1208,ALUMNOS!A:B,2,FALSE)</f>
        <v>108</v>
      </c>
    </row>
    <row r="1209" spans="3:35" x14ac:dyDescent="0.25">
      <c r="C1209">
        <v>46721807</v>
      </c>
      <c r="D1209" t="s">
        <v>431</v>
      </c>
      <c r="E1209" t="s">
        <v>21</v>
      </c>
      <c r="F1209" t="s">
        <v>95</v>
      </c>
      <c r="G1209" t="s">
        <v>43</v>
      </c>
      <c r="H1209">
        <v>2020</v>
      </c>
      <c r="I1209" t="s">
        <v>59</v>
      </c>
      <c r="J1209" t="s">
        <v>105</v>
      </c>
      <c r="L1209" t="s">
        <v>99</v>
      </c>
      <c r="AG1209">
        <f t="shared" si="18"/>
        <v>1</v>
      </c>
      <c r="AH1209">
        <f>'TABLA PREVIOS'!E1209</f>
        <v>232</v>
      </c>
      <c r="AI1209">
        <f>VLOOKUP(C1209,ALUMNOS!A:B,2,FALSE)</f>
        <v>113</v>
      </c>
    </row>
    <row r="1210" spans="3:35" x14ac:dyDescent="0.25">
      <c r="C1210">
        <v>46721807</v>
      </c>
      <c r="D1210" t="s">
        <v>431</v>
      </c>
      <c r="E1210" t="s">
        <v>26</v>
      </c>
      <c r="F1210" t="s">
        <v>143</v>
      </c>
      <c r="G1210" t="s">
        <v>43</v>
      </c>
      <c r="H1210">
        <v>2021</v>
      </c>
      <c r="I1210" t="s">
        <v>59</v>
      </c>
      <c r="L1210" t="s">
        <v>99</v>
      </c>
      <c r="AG1210">
        <f t="shared" si="18"/>
        <v>1</v>
      </c>
      <c r="AH1210">
        <f>'TABLA PREVIOS'!E1210</f>
        <v>243</v>
      </c>
      <c r="AI1210">
        <f>VLOOKUP(C1210,ALUMNOS!A:B,2,FALSE)</f>
        <v>113</v>
      </c>
    </row>
    <row r="1211" spans="3:35" x14ac:dyDescent="0.25">
      <c r="C1211">
        <v>46721807</v>
      </c>
      <c r="D1211" t="s">
        <v>431</v>
      </c>
      <c r="E1211" t="s">
        <v>27</v>
      </c>
      <c r="F1211" t="s">
        <v>143</v>
      </c>
      <c r="G1211" t="s">
        <v>43</v>
      </c>
      <c r="H1211">
        <v>2021</v>
      </c>
      <c r="I1211" t="s">
        <v>59</v>
      </c>
      <c r="L1211" t="s">
        <v>99</v>
      </c>
      <c r="AG1211">
        <f t="shared" si="18"/>
        <v>1</v>
      </c>
      <c r="AH1211">
        <f>'TABLA PREVIOS'!E1211</f>
        <v>244</v>
      </c>
      <c r="AI1211">
        <f>VLOOKUP(C1211,ALUMNOS!A:B,2,FALSE)</f>
        <v>113</v>
      </c>
    </row>
    <row r="1212" spans="3:35" x14ac:dyDescent="0.25">
      <c r="C1212">
        <v>45933490</v>
      </c>
      <c r="D1212" t="s">
        <v>432</v>
      </c>
      <c r="E1212" t="s">
        <v>11</v>
      </c>
      <c r="F1212" t="s">
        <v>98</v>
      </c>
      <c r="G1212" t="s">
        <v>43</v>
      </c>
      <c r="H1212">
        <v>2019</v>
      </c>
      <c r="I1212" t="s">
        <v>59</v>
      </c>
      <c r="J1212" t="s">
        <v>105</v>
      </c>
      <c r="L1212" t="s">
        <v>99</v>
      </c>
      <c r="AG1212">
        <f t="shared" si="18"/>
        <v>1</v>
      </c>
      <c r="AH1212">
        <f>'TABLA PREVIOS'!E1212</f>
        <v>219</v>
      </c>
      <c r="AI1212">
        <f>VLOOKUP(C1212,ALUMNOS!A:B,2,FALSE)</f>
        <v>114</v>
      </c>
    </row>
    <row r="1213" spans="3:35" x14ac:dyDescent="0.25">
      <c r="C1213">
        <v>45933490</v>
      </c>
      <c r="D1213" t="s">
        <v>432</v>
      </c>
      <c r="E1213" t="s">
        <v>12</v>
      </c>
      <c r="F1213" t="s">
        <v>98</v>
      </c>
      <c r="G1213" t="s">
        <v>43</v>
      </c>
      <c r="H1213">
        <v>2019</v>
      </c>
      <c r="I1213" t="s">
        <v>59</v>
      </c>
      <c r="L1213" t="s">
        <v>99</v>
      </c>
      <c r="AG1213">
        <f t="shared" si="18"/>
        <v>1</v>
      </c>
      <c r="AH1213">
        <f>'TABLA PREVIOS'!E1213</f>
        <v>220</v>
      </c>
      <c r="AI1213">
        <f>VLOOKUP(C1213,ALUMNOS!A:B,2,FALSE)</f>
        <v>114</v>
      </c>
    </row>
    <row r="1214" spans="3:35" x14ac:dyDescent="0.25">
      <c r="C1214">
        <v>45933490</v>
      </c>
      <c r="D1214" t="s">
        <v>432</v>
      </c>
      <c r="E1214" t="s">
        <v>12</v>
      </c>
      <c r="F1214" t="s">
        <v>143</v>
      </c>
      <c r="G1214" t="s">
        <v>43</v>
      </c>
      <c r="H1214">
        <v>2021</v>
      </c>
      <c r="I1214" t="s">
        <v>59</v>
      </c>
      <c r="L1214" t="s">
        <v>99</v>
      </c>
      <c r="AG1214">
        <f t="shared" si="18"/>
        <v>1</v>
      </c>
      <c r="AH1214">
        <f>'TABLA PREVIOS'!E1214</f>
        <v>240</v>
      </c>
      <c r="AI1214">
        <f>VLOOKUP(C1214,ALUMNOS!A:B,2,FALSE)</f>
        <v>114</v>
      </c>
    </row>
    <row r="1215" spans="3:35" x14ac:dyDescent="0.25">
      <c r="C1215">
        <v>47964660</v>
      </c>
      <c r="D1215" t="s">
        <v>433</v>
      </c>
      <c r="E1215" t="s">
        <v>15</v>
      </c>
      <c r="F1215" t="s">
        <v>98</v>
      </c>
      <c r="G1215" t="s">
        <v>43</v>
      </c>
      <c r="H1215">
        <v>2020</v>
      </c>
      <c r="I1215" t="s">
        <v>59</v>
      </c>
      <c r="L1215" t="s">
        <v>99</v>
      </c>
      <c r="AG1215">
        <f t="shared" si="18"/>
        <v>1</v>
      </c>
      <c r="AH1215">
        <f>'TABLA PREVIOS'!E1215</f>
        <v>223</v>
      </c>
      <c r="AI1215">
        <f>VLOOKUP(C1215,ALUMNOS!A:B,2,FALSE)</f>
        <v>117</v>
      </c>
    </row>
    <row r="1216" spans="3:35" x14ac:dyDescent="0.25">
      <c r="C1216">
        <v>47964660</v>
      </c>
      <c r="D1216" t="s">
        <v>433</v>
      </c>
      <c r="E1216" t="s">
        <v>12</v>
      </c>
      <c r="F1216" t="s">
        <v>95</v>
      </c>
      <c r="G1216" t="s">
        <v>43</v>
      </c>
      <c r="H1216">
        <v>2021</v>
      </c>
      <c r="I1216" t="s">
        <v>59</v>
      </c>
      <c r="L1216" t="s">
        <v>99</v>
      </c>
      <c r="AG1216">
        <f t="shared" si="18"/>
        <v>1</v>
      </c>
      <c r="AH1216">
        <f>'TABLA PREVIOS'!E1216</f>
        <v>230</v>
      </c>
      <c r="AI1216">
        <f>VLOOKUP(C1216,ALUMNOS!A:B,2,FALSE)</f>
        <v>117</v>
      </c>
    </row>
    <row r="1217" spans="3:35" x14ac:dyDescent="0.25">
      <c r="C1217">
        <v>47964660</v>
      </c>
      <c r="D1217" t="s">
        <v>433</v>
      </c>
      <c r="E1217" t="s">
        <v>27</v>
      </c>
      <c r="F1217" t="s">
        <v>143</v>
      </c>
      <c r="G1217" t="s">
        <v>43</v>
      </c>
      <c r="H1217">
        <v>2022</v>
      </c>
      <c r="I1217" t="s">
        <v>59</v>
      </c>
      <c r="L1217" t="s">
        <v>99</v>
      </c>
      <c r="AG1217">
        <f t="shared" si="18"/>
        <v>1</v>
      </c>
      <c r="AH1217">
        <f>'TABLA PREVIOS'!E1217</f>
        <v>244</v>
      </c>
      <c r="AI1217">
        <f>VLOOKUP(C1217,ALUMNOS!A:B,2,FALSE)</f>
        <v>117</v>
      </c>
    </row>
    <row r="1218" spans="3:35" x14ac:dyDescent="0.25">
      <c r="C1218">
        <v>95048224</v>
      </c>
      <c r="D1218" t="s">
        <v>434</v>
      </c>
      <c r="E1218" t="s">
        <v>22</v>
      </c>
      <c r="F1218" t="s">
        <v>95</v>
      </c>
      <c r="G1218" t="s">
        <v>43</v>
      </c>
      <c r="H1218">
        <v>2019</v>
      </c>
      <c r="I1218" t="s">
        <v>59</v>
      </c>
      <c r="J1218" t="s">
        <v>176</v>
      </c>
      <c r="L1218" t="s">
        <v>99</v>
      </c>
      <c r="AG1218">
        <f t="shared" si="18"/>
        <v>1</v>
      </c>
      <c r="AH1218">
        <f>'TABLA PREVIOS'!E1218</f>
        <v>233</v>
      </c>
      <c r="AI1218">
        <f>VLOOKUP(C1218,ALUMNOS!A:B,2,FALSE)</f>
        <v>124</v>
      </c>
    </row>
    <row r="1219" spans="3:35" x14ac:dyDescent="0.25">
      <c r="C1219">
        <v>95048224</v>
      </c>
      <c r="D1219" t="s">
        <v>434</v>
      </c>
      <c r="E1219" t="s">
        <v>16</v>
      </c>
      <c r="F1219" t="s">
        <v>95</v>
      </c>
      <c r="G1219" t="s">
        <v>43</v>
      </c>
      <c r="H1219">
        <v>2019</v>
      </c>
      <c r="I1219" t="s">
        <v>59</v>
      </c>
      <c r="J1219" t="s">
        <v>176</v>
      </c>
      <c r="L1219" t="s">
        <v>99</v>
      </c>
      <c r="AG1219">
        <f t="shared" ref="AG1219:AG1282" si="19">IF(VALUE(MAX(N1219,R1219,V1219,Z1219,AC1219,))&gt;=7,VALUE(MAX(N1219,R1219,V1219,Z1219,AC1219,)),1)</f>
        <v>1</v>
      </c>
      <c r="AH1219">
        <f>'TABLA PREVIOS'!E1219</f>
        <v>234</v>
      </c>
      <c r="AI1219">
        <f>VLOOKUP(C1219,ALUMNOS!A:B,2,FALSE)</f>
        <v>124</v>
      </c>
    </row>
    <row r="1220" spans="3:35" x14ac:dyDescent="0.25">
      <c r="C1220">
        <v>95308967</v>
      </c>
      <c r="D1220" t="s">
        <v>435</v>
      </c>
      <c r="E1220" t="s">
        <v>21</v>
      </c>
      <c r="F1220" t="s">
        <v>95</v>
      </c>
      <c r="G1220" t="s">
        <v>43</v>
      </c>
      <c r="H1220">
        <v>2021</v>
      </c>
      <c r="I1220" t="s">
        <v>59</v>
      </c>
      <c r="J1220" t="s">
        <v>436</v>
      </c>
      <c r="L1220" t="s">
        <v>99</v>
      </c>
      <c r="AG1220">
        <f t="shared" si="19"/>
        <v>1</v>
      </c>
      <c r="AH1220">
        <f>'TABLA PREVIOS'!E1220</f>
        <v>232</v>
      </c>
      <c r="AI1220">
        <f>VLOOKUP(C1220,ALUMNOS!A:B,2,FALSE)</f>
        <v>126</v>
      </c>
    </row>
    <row r="1221" spans="3:35" x14ac:dyDescent="0.25">
      <c r="C1221">
        <v>95308967</v>
      </c>
      <c r="D1221" t="s">
        <v>435</v>
      </c>
      <c r="E1221" t="s">
        <v>11</v>
      </c>
      <c r="F1221" t="s">
        <v>95</v>
      </c>
      <c r="G1221" t="s">
        <v>43</v>
      </c>
      <c r="H1221">
        <v>2021</v>
      </c>
      <c r="I1221" t="s">
        <v>59</v>
      </c>
      <c r="J1221" t="s">
        <v>436</v>
      </c>
      <c r="L1221" t="s">
        <v>99</v>
      </c>
      <c r="AG1221">
        <f t="shared" si="19"/>
        <v>1</v>
      </c>
      <c r="AH1221">
        <f>'TABLA PREVIOS'!E1221</f>
        <v>229</v>
      </c>
      <c r="AI1221">
        <f>VLOOKUP(C1221,ALUMNOS!A:B,2,FALSE)</f>
        <v>126</v>
      </c>
    </row>
    <row r="1222" spans="3:35" x14ac:dyDescent="0.25">
      <c r="C1222">
        <v>49087762</v>
      </c>
      <c r="D1222" t="s">
        <v>437</v>
      </c>
      <c r="E1222" t="s">
        <v>12</v>
      </c>
      <c r="F1222" t="s">
        <v>98</v>
      </c>
      <c r="G1222" t="s">
        <v>43</v>
      </c>
      <c r="H1222">
        <v>2021</v>
      </c>
      <c r="I1222" t="s">
        <v>59</v>
      </c>
      <c r="L1222" t="s">
        <v>99</v>
      </c>
      <c r="AG1222">
        <f t="shared" si="19"/>
        <v>1</v>
      </c>
      <c r="AH1222">
        <f>'TABLA PREVIOS'!E1222</f>
        <v>220</v>
      </c>
      <c r="AI1222">
        <f>VLOOKUP(C1222,ALUMNOS!A:B,2,FALSE)</f>
        <v>134</v>
      </c>
    </row>
    <row r="1223" spans="3:35" x14ac:dyDescent="0.25">
      <c r="C1223">
        <v>46035174</v>
      </c>
      <c r="D1223" t="s">
        <v>438</v>
      </c>
      <c r="E1223" t="s">
        <v>12</v>
      </c>
      <c r="F1223" t="s">
        <v>190</v>
      </c>
      <c r="G1223" t="s">
        <v>43</v>
      </c>
      <c r="H1223">
        <v>2020</v>
      </c>
      <c r="I1223" t="s">
        <v>60</v>
      </c>
      <c r="J1223" t="s">
        <v>105</v>
      </c>
      <c r="L1223" t="s">
        <v>99</v>
      </c>
      <c r="AG1223">
        <f t="shared" si="19"/>
        <v>1</v>
      </c>
      <c r="AH1223">
        <f>'TABLA PREVIOS'!E1223</f>
        <v>252</v>
      </c>
      <c r="AI1223">
        <f>VLOOKUP(C1223,ALUMNOS!A:B,2,FALSE)</f>
        <v>139</v>
      </c>
    </row>
    <row r="1224" spans="3:35" x14ac:dyDescent="0.25">
      <c r="C1224">
        <v>46972561</v>
      </c>
      <c r="D1224" t="s">
        <v>439</v>
      </c>
      <c r="E1224" t="s">
        <v>13</v>
      </c>
      <c r="F1224" t="s">
        <v>98</v>
      </c>
      <c r="G1224" t="s">
        <v>43</v>
      </c>
      <c r="H1224">
        <v>2020</v>
      </c>
      <c r="I1224" t="s">
        <v>59</v>
      </c>
      <c r="K1224" t="s">
        <v>440</v>
      </c>
      <c r="L1224" t="s">
        <v>99</v>
      </c>
      <c r="AG1224">
        <f t="shared" si="19"/>
        <v>1</v>
      </c>
      <c r="AH1224">
        <f>'TABLA PREVIOS'!E1224</f>
        <v>221</v>
      </c>
      <c r="AI1224">
        <f>VLOOKUP(C1224,ALUMNOS!A:B,2,FALSE)</f>
        <v>140</v>
      </c>
    </row>
    <row r="1225" spans="3:35" x14ac:dyDescent="0.25">
      <c r="C1225">
        <v>46972561</v>
      </c>
      <c r="D1225" t="s">
        <v>439</v>
      </c>
      <c r="E1225" t="s">
        <v>16</v>
      </c>
      <c r="F1225" t="s">
        <v>95</v>
      </c>
      <c r="G1225" t="s">
        <v>43</v>
      </c>
      <c r="H1225">
        <v>2021</v>
      </c>
      <c r="I1225" t="s">
        <v>59</v>
      </c>
      <c r="L1225" t="s">
        <v>99</v>
      </c>
      <c r="AG1225">
        <f t="shared" si="19"/>
        <v>1</v>
      </c>
      <c r="AH1225">
        <f>'TABLA PREVIOS'!E1225</f>
        <v>234</v>
      </c>
      <c r="AI1225">
        <f>VLOOKUP(C1225,ALUMNOS!A:B,2,FALSE)</f>
        <v>140</v>
      </c>
    </row>
    <row r="1226" spans="3:35" x14ac:dyDescent="0.25">
      <c r="C1226">
        <v>46972561</v>
      </c>
      <c r="D1226" t="s">
        <v>439</v>
      </c>
      <c r="E1226" t="s">
        <v>12</v>
      </c>
      <c r="F1226" t="s">
        <v>95</v>
      </c>
      <c r="G1226" t="s">
        <v>43</v>
      </c>
      <c r="H1226">
        <v>2021</v>
      </c>
      <c r="I1226" t="s">
        <v>59</v>
      </c>
      <c r="L1226" t="s">
        <v>99</v>
      </c>
      <c r="AG1226">
        <f t="shared" si="19"/>
        <v>1</v>
      </c>
      <c r="AH1226">
        <f>'TABLA PREVIOS'!E1226</f>
        <v>230</v>
      </c>
      <c r="AI1226">
        <f>VLOOKUP(C1226,ALUMNOS!A:B,2,FALSE)</f>
        <v>140</v>
      </c>
    </row>
    <row r="1227" spans="3:35" x14ac:dyDescent="0.25">
      <c r="C1227">
        <v>47989281</v>
      </c>
      <c r="D1227" t="s">
        <v>441</v>
      </c>
      <c r="E1227" t="s">
        <v>10</v>
      </c>
      <c r="F1227" t="s">
        <v>98</v>
      </c>
      <c r="G1227" t="s">
        <v>43</v>
      </c>
      <c r="H1227">
        <v>2020</v>
      </c>
      <c r="I1227" t="s">
        <v>59</v>
      </c>
      <c r="L1227" t="s">
        <v>99</v>
      </c>
      <c r="AG1227">
        <f t="shared" si="19"/>
        <v>1</v>
      </c>
      <c r="AH1227">
        <f>'TABLA PREVIOS'!E1227</f>
        <v>218</v>
      </c>
      <c r="AI1227">
        <f>VLOOKUP(C1227,ALUMNOS!A:B,2,FALSE)</f>
        <v>141</v>
      </c>
    </row>
    <row r="1228" spans="3:35" x14ac:dyDescent="0.25">
      <c r="C1228">
        <v>45154816</v>
      </c>
      <c r="D1228" t="s">
        <v>442</v>
      </c>
      <c r="E1228" t="s">
        <v>11</v>
      </c>
      <c r="F1228" t="s">
        <v>98</v>
      </c>
      <c r="G1228" t="s">
        <v>43</v>
      </c>
      <c r="H1228">
        <v>2020</v>
      </c>
      <c r="I1228" t="s">
        <v>59</v>
      </c>
      <c r="J1228" t="s">
        <v>443</v>
      </c>
      <c r="L1228" t="s">
        <v>99</v>
      </c>
      <c r="AG1228">
        <f t="shared" si="19"/>
        <v>1</v>
      </c>
      <c r="AH1228">
        <f>'TABLA PREVIOS'!E1228</f>
        <v>219</v>
      </c>
      <c r="AI1228">
        <f>VLOOKUP(C1228,ALUMNOS!A:B,2,FALSE)</f>
        <v>162</v>
      </c>
    </row>
    <row r="1229" spans="3:35" x14ac:dyDescent="0.25">
      <c r="C1229">
        <v>46917655</v>
      </c>
      <c r="D1229" t="s">
        <v>444</v>
      </c>
      <c r="E1229" t="s">
        <v>22</v>
      </c>
      <c r="F1229" t="s">
        <v>95</v>
      </c>
      <c r="G1229" t="s">
        <v>43</v>
      </c>
      <c r="H1229">
        <v>2019</v>
      </c>
      <c r="I1229" t="s">
        <v>59</v>
      </c>
      <c r="J1229" t="s">
        <v>105</v>
      </c>
      <c r="L1229" t="s">
        <v>99</v>
      </c>
      <c r="AG1229">
        <f t="shared" si="19"/>
        <v>1</v>
      </c>
      <c r="AH1229">
        <f>'TABLA PREVIOS'!E1229</f>
        <v>233</v>
      </c>
      <c r="AI1229">
        <f>VLOOKUP(C1229,ALUMNOS!A:B,2,FALSE)</f>
        <v>167</v>
      </c>
    </row>
    <row r="1230" spans="3:35" x14ac:dyDescent="0.25">
      <c r="C1230">
        <v>46917655</v>
      </c>
      <c r="D1230" t="s">
        <v>444</v>
      </c>
      <c r="E1230" t="s">
        <v>26</v>
      </c>
      <c r="F1230" t="s">
        <v>143</v>
      </c>
      <c r="G1230" t="s">
        <v>43</v>
      </c>
      <c r="H1230">
        <v>2021</v>
      </c>
      <c r="I1230" t="s">
        <v>59</v>
      </c>
      <c r="L1230" t="s">
        <v>99</v>
      </c>
      <c r="AG1230">
        <f t="shared" si="19"/>
        <v>1</v>
      </c>
      <c r="AH1230">
        <f>'TABLA PREVIOS'!E1230</f>
        <v>243</v>
      </c>
      <c r="AI1230">
        <f>VLOOKUP(C1230,ALUMNOS!A:B,2,FALSE)</f>
        <v>167</v>
      </c>
    </row>
    <row r="1231" spans="3:35" x14ac:dyDescent="0.25">
      <c r="C1231">
        <v>46917655</v>
      </c>
      <c r="D1231" t="s">
        <v>444</v>
      </c>
      <c r="E1231" t="s">
        <v>27</v>
      </c>
      <c r="F1231" t="s">
        <v>143</v>
      </c>
      <c r="G1231" t="s">
        <v>43</v>
      </c>
      <c r="H1231">
        <v>2021</v>
      </c>
      <c r="I1231" t="s">
        <v>59</v>
      </c>
      <c r="L1231" t="s">
        <v>99</v>
      </c>
      <c r="AG1231">
        <f t="shared" si="19"/>
        <v>1</v>
      </c>
      <c r="AH1231">
        <f>'TABLA PREVIOS'!E1231</f>
        <v>244</v>
      </c>
      <c r="AI1231">
        <f>VLOOKUP(C1231,ALUMNOS!A:B,2,FALSE)</f>
        <v>167</v>
      </c>
    </row>
    <row r="1232" spans="3:35" x14ac:dyDescent="0.25">
      <c r="C1232">
        <v>47364868</v>
      </c>
      <c r="D1232" t="s">
        <v>445</v>
      </c>
      <c r="E1232" t="s">
        <v>30</v>
      </c>
      <c r="F1232" t="s">
        <v>190</v>
      </c>
      <c r="G1232" t="s">
        <v>43</v>
      </c>
      <c r="H1232">
        <v>2021</v>
      </c>
      <c r="I1232" t="s">
        <v>60</v>
      </c>
      <c r="L1232" t="s">
        <v>99</v>
      </c>
      <c r="AG1232">
        <f t="shared" si="19"/>
        <v>1</v>
      </c>
      <c r="AH1232">
        <f>'TABLA PREVIOS'!E1232</f>
        <v>260</v>
      </c>
      <c r="AI1232">
        <f>VLOOKUP(C1232,ALUMNOS!A:B,2,FALSE)</f>
        <v>203</v>
      </c>
    </row>
    <row r="1233" spans="3:35" x14ac:dyDescent="0.25">
      <c r="C1233">
        <v>47364868</v>
      </c>
      <c r="D1233" t="s">
        <v>445</v>
      </c>
      <c r="E1233" t="s">
        <v>32</v>
      </c>
      <c r="F1233" t="s">
        <v>190</v>
      </c>
      <c r="G1233" t="s">
        <v>43</v>
      </c>
      <c r="H1233">
        <v>2021</v>
      </c>
      <c r="I1233" t="s">
        <v>60</v>
      </c>
      <c r="L1233" t="s">
        <v>99</v>
      </c>
      <c r="AG1233">
        <f t="shared" si="19"/>
        <v>1</v>
      </c>
      <c r="AH1233">
        <f>'TABLA PREVIOS'!E1233</f>
        <v>262</v>
      </c>
      <c r="AI1233">
        <f>VLOOKUP(C1233,ALUMNOS!A:B,2,FALSE)</f>
        <v>203</v>
      </c>
    </row>
    <row r="1234" spans="3:35" x14ac:dyDescent="0.25">
      <c r="C1234">
        <v>47364868</v>
      </c>
      <c r="D1234" t="s">
        <v>445</v>
      </c>
      <c r="E1234" t="s">
        <v>31</v>
      </c>
      <c r="F1234" t="s">
        <v>190</v>
      </c>
      <c r="G1234" t="s">
        <v>43</v>
      </c>
      <c r="H1234">
        <v>2021</v>
      </c>
      <c r="I1234" t="s">
        <v>60</v>
      </c>
      <c r="L1234" t="s">
        <v>99</v>
      </c>
      <c r="AG1234">
        <f t="shared" si="19"/>
        <v>1</v>
      </c>
      <c r="AH1234">
        <f>'TABLA PREVIOS'!E1234</f>
        <v>261</v>
      </c>
      <c r="AI1234">
        <f>VLOOKUP(C1234,ALUMNOS!A:B,2,FALSE)</f>
        <v>203</v>
      </c>
    </row>
    <row r="1235" spans="3:35" x14ac:dyDescent="0.25">
      <c r="C1235">
        <v>47364868</v>
      </c>
      <c r="D1235" t="s">
        <v>445</v>
      </c>
      <c r="E1235" t="s">
        <v>11</v>
      </c>
      <c r="F1235" t="s">
        <v>190</v>
      </c>
      <c r="G1235" t="s">
        <v>43</v>
      </c>
      <c r="H1235">
        <v>2021</v>
      </c>
      <c r="I1235" t="s">
        <v>60</v>
      </c>
      <c r="L1235" t="s">
        <v>99</v>
      </c>
      <c r="AG1235">
        <f t="shared" si="19"/>
        <v>1</v>
      </c>
      <c r="AH1235">
        <f>'TABLA PREVIOS'!E1235</f>
        <v>251</v>
      </c>
      <c r="AI1235">
        <f>VLOOKUP(C1235,ALUMNOS!A:B,2,FALSE)</f>
        <v>203</v>
      </c>
    </row>
    <row r="1236" spans="3:35" x14ac:dyDescent="0.25">
      <c r="C1236">
        <v>47364868</v>
      </c>
      <c r="D1236" t="s">
        <v>445</v>
      </c>
      <c r="E1236" t="s">
        <v>29</v>
      </c>
      <c r="F1236" t="s">
        <v>190</v>
      </c>
      <c r="G1236" t="s">
        <v>43</v>
      </c>
      <c r="H1236">
        <v>2021</v>
      </c>
      <c r="I1236" t="s">
        <v>60</v>
      </c>
      <c r="L1236" t="s">
        <v>99</v>
      </c>
      <c r="AG1236">
        <f t="shared" si="19"/>
        <v>1</v>
      </c>
      <c r="AH1236">
        <f>'TABLA PREVIOS'!E1236</f>
        <v>259</v>
      </c>
      <c r="AI1236">
        <f>VLOOKUP(C1236,ALUMNOS!A:B,2,FALSE)</f>
        <v>203</v>
      </c>
    </row>
    <row r="1237" spans="3:35" x14ac:dyDescent="0.25">
      <c r="C1237">
        <v>49496964</v>
      </c>
      <c r="D1237" t="s">
        <v>446</v>
      </c>
      <c r="E1237" t="s">
        <v>28</v>
      </c>
      <c r="F1237" t="s">
        <v>143</v>
      </c>
      <c r="G1237" t="s">
        <v>43</v>
      </c>
      <c r="H1237">
        <v>2023</v>
      </c>
      <c r="I1237" t="s">
        <v>59</v>
      </c>
      <c r="L1237" t="s">
        <v>99</v>
      </c>
      <c r="AG1237">
        <f t="shared" si="19"/>
        <v>1</v>
      </c>
      <c r="AH1237">
        <f>'TABLA PREVIOS'!E1237</f>
        <v>249</v>
      </c>
      <c r="AI1237">
        <f>VLOOKUP(C1237,ALUMNOS!A:B,2,FALSE)</f>
        <v>231</v>
      </c>
    </row>
    <row r="1238" spans="3:35" x14ac:dyDescent="0.25">
      <c r="C1238">
        <v>49496964</v>
      </c>
      <c r="D1238" t="s">
        <v>446</v>
      </c>
      <c r="E1238" t="s">
        <v>26</v>
      </c>
      <c r="F1238" t="s">
        <v>143</v>
      </c>
      <c r="G1238" t="s">
        <v>43</v>
      </c>
      <c r="H1238">
        <v>2023</v>
      </c>
      <c r="I1238" t="s">
        <v>59</v>
      </c>
      <c r="L1238" t="s">
        <v>99</v>
      </c>
      <c r="AG1238">
        <f t="shared" si="19"/>
        <v>1</v>
      </c>
      <c r="AH1238">
        <f>'TABLA PREVIOS'!E1238</f>
        <v>243</v>
      </c>
      <c r="AI1238">
        <f>VLOOKUP(C1238,ALUMNOS!A:B,2,FALSE)</f>
        <v>231</v>
      </c>
    </row>
    <row r="1239" spans="3:35" x14ac:dyDescent="0.25">
      <c r="C1239">
        <v>49496964</v>
      </c>
      <c r="D1239" t="s">
        <v>446</v>
      </c>
      <c r="E1239" t="s">
        <v>11</v>
      </c>
      <c r="F1239" t="s">
        <v>143</v>
      </c>
      <c r="G1239" t="s">
        <v>43</v>
      </c>
      <c r="H1239">
        <v>2023</v>
      </c>
      <c r="I1239" t="s">
        <v>59</v>
      </c>
      <c r="L1239" t="s">
        <v>99</v>
      </c>
      <c r="AG1239">
        <f t="shared" si="19"/>
        <v>1</v>
      </c>
      <c r="AH1239">
        <f>'TABLA PREVIOS'!E1239</f>
        <v>239</v>
      </c>
      <c r="AI1239">
        <f>VLOOKUP(C1239,ALUMNOS!A:B,2,FALSE)</f>
        <v>231</v>
      </c>
    </row>
    <row r="1240" spans="3:35" x14ac:dyDescent="0.25">
      <c r="C1240">
        <v>48180657</v>
      </c>
      <c r="D1240" t="s">
        <v>447</v>
      </c>
      <c r="E1240" t="s">
        <v>10</v>
      </c>
      <c r="F1240" t="s">
        <v>143</v>
      </c>
      <c r="G1240" t="s">
        <v>43</v>
      </c>
      <c r="H1240">
        <v>2022</v>
      </c>
      <c r="I1240" t="s">
        <v>59</v>
      </c>
      <c r="J1240" t="s">
        <v>105</v>
      </c>
      <c r="L1240" t="s">
        <v>99</v>
      </c>
      <c r="AG1240">
        <f t="shared" si="19"/>
        <v>1</v>
      </c>
      <c r="AH1240">
        <f>'TABLA PREVIOS'!E1240</f>
        <v>238</v>
      </c>
      <c r="AI1240">
        <f>VLOOKUP(C1240,ALUMNOS!A:B,2,FALSE)</f>
        <v>233</v>
      </c>
    </row>
    <row r="1241" spans="3:35" x14ac:dyDescent="0.25">
      <c r="C1241">
        <v>46155454</v>
      </c>
      <c r="D1241" t="s">
        <v>448</v>
      </c>
      <c r="E1241" t="s">
        <v>27</v>
      </c>
      <c r="F1241" t="s">
        <v>143</v>
      </c>
      <c r="G1241" t="s">
        <v>43</v>
      </c>
      <c r="H1241">
        <v>2020</v>
      </c>
      <c r="I1241" t="s">
        <v>59</v>
      </c>
      <c r="J1241" t="s">
        <v>105</v>
      </c>
      <c r="L1241" t="s">
        <v>99</v>
      </c>
      <c r="AG1241">
        <f t="shared" si="19"/>
        <v>1</v>
      </c>
      <c r="AH1241">
        <f>'TABLA PREVIOS'!E1241</f>
        <v>244</v>
      </c>
      <c r="AI1241">
        <f>VLOOKUP(C1241,ALUMNOS!A:B,2,FALSE)</f>
        <v>232</v>
      </c>
    </row>
    <row r="1242" spans="3:35" x14ac:dyDescent="0.25">
      <c r="C1242">
        <v>46155454</v>
      </c>
      <c r="D1242" t="s">
        <v>448</v>
      </c>
      <c r="E1242" t="s">
        <v>11</v>
      </c>
      <c r="F1242" t="s">
        <v>143</v>
      </c>
      <c r="G1242" t="s">
        <v>43</v>
      </c>
      <c r="H1242">
        <v>2020</v>
      </c>
      <c r="I1242" t="s">
        <v>59</v>
      </c>
      <c r="L1242" t="s">
        <v>99</v>
      </c>
      <c r="AG1242">
        <f t="shared" si="19"/>
        <v>1</v>
      </c>
      <c r="AH1242">
        <f>'TABLA PREVIOS'!E1242</f>
        <v>239</v>
      </c>
      <c r="AI1242">
        <f>VLOOKUP(C1242,ALUMNOS!A:B,2,FALSE)</f>
        <v>232</v>
      </c>
    </row>
    <row r="1243" spans="3:35" x14ac:dyDescent="0.25">
      <c r="C1243">
        <v>45483169</v>
      </c>
      <c r="D1243" t="s">
        <v>449</v>
      </c>
      <c r="E1243" t="s">
        <v>27</v>
      </c>
      <c r="F1243" t="s">
        <v>143</v>
      </c>
      <c r="G1243" t="s">
        <v>43</v>
      </c>
      <c r="H1243">
        <v>2020</v>
      </c>
      <c r="I1243" t="s">
        <v>59</v>
      </c>
      <c r="J1243" t="s">
        <v>417</v>
      </c>
      <c r="L1243" t="s">
        <v>99</v>
      </c>
      <c r="AG1243">
        <f t="shared" si="19"/>
        <v>1</v>
      </c>
      <c r="AH1243">
        <f>'TABLA PREVIOS'!E1243</f>
        <v>244</v>
      </c>
      <c r="AI1243">
        <f>VLOOKUP(C1243,ALUMNOS!A:B,2,FALSE)</f>
        <v>262</v>
      </c>
    </row>
    <row r="1244" spans="3:35" x14ac:dyDescent="0.25">
      <c r="C1244">
        <v>45483169</v>
      </c>
      <c r="D1244" t="s">
        <v>449</v>
      </c>
      <c r="E1244" t="s">
        <v>16</v>
      </c>
      <c r="F1244" t="s">
        <v>143</v>
      </c>
      <c r="G1244" t="s">
        <v>43</v>
      </c>
      <c r="H1244">
        <v>2020</v>
      </c>
      <c r="I1244" t="s">
        <v>59</v>
      </c>
      <c r="J1244" t="s">
        <v>417</v>
      </c>
      <c r="L1244" t="s">
        <v>99</v>
      </c>
      <c r="AG1244">
        <f t="shared" si="19"/>
        <v>1</v>
      </c>
      <c r="AH1244">
        <f>'TABLA PREVIOS'!E1244</f>
        <v>245</v>
      </c>
      <c r="AI1244">
        <f>VLOOKUP(C1244,ALUMNOS!A:B,2,FALSE)</f>
        <v>262</v>
      </c>
    </row>
    <row r="1245" spans="3:35" x14ac:dyDescent="0.25">
      <c r="C1245">
        <v>46035159</v>
      </c>
      <c r="D1245" t="s">
        <v>450</v>
      </c>
      <c r="E1245" t="s">
        <v>13</v>
      </c>
      <c r="F1245" t="s">
        <v>98</v>
      </c>
      <c r="G1245" t="s">
        <v>43</v>
      </c>
      <c r="H1245">
        <v>2020</v>
      </c>
      <c r="I1245" t="s">
        <v>59</v>
      </c>
      <c r="J1245" t="s">
        <v>443</v>
      </c>
      <c r="L1245" t="s">
        <v>99</v>
      </c>
      <c r="AG1245">
        <f t="shared" si="19"/>
        <v>1</v>
      </c>
      <c r="AH1245">
        <f>'TABLA PREVIOS'!E1245</f>
        <v>221</v>
      </c>
      <c r="AI1245">
        <f>VLOOKUP(C1245,ALUMNOS!A:B,2,FALSE)</f>
        <v>287</v>
      </c>
    </row>
    <row r="1246" spans="3:35" x14ac:dyDescent="0.25">
      <c r="C1246">
        <v>46035159</v>
      </c>
      <c r="D1246" t="s">
        <v>450</v>
      </c>
      <c r="E1246" t="s">
        <v>21</v>
      </c>
      <c r="F1246" t="s">
        <v>95</v>
      </c>
      <c r="G1246" t="s">
        <v>43</v>
      </c>
      <c r="H1246">
        <v>2021</v>
      </c>
      <c r="I1246" t="s">
        <v>59</v>
      </c>
      <c r="J1246" t="s">
        <v>443</v>
      </c>
      <c r="K1246" t="s">
        <v>451</v>
      </c>
      <c r="L1246" t="s">
        <v>99</v>
      </c>
      <c r="AG1246">
        <f t="shared" si="19"/>
        <v>1</v>
      </c>
      <c r="AH1246">
        <f>'TABLA PREVIOS'!E1246</f>
        <v>232</v>
      </c>
      <c r="AI1246">
        <f>VLOOKUP(C1246,ALUMNOS!A:B,2,FALSE)</f>
        <v>287</v>
      </c>
    </row>
    <row r="1247" spans="3:35" x14ac:dyDescent="0.25">
      <c r="C1247">
        <v>46035159</v>
      </c>
      <c r="D1247" t="s">
        <v>450</v>
      </c>
      <c r="E1247" t="s">
        <v>20</v>
      </c>
      <c r="F1247" t="s">
        <v>95</v>
      </c>
      <c r="G1247" t="s">
        <v>43</v>
      </c>
      <c r="H1247">
        <v>2021</v>
      </c>
      <c r="I1247" t="s">
        <v>59</v>
      </c>
      <c r="J1247" t="s">
        <v>443</v>
      </c>
      <c r="K1247" t="s">
        <v>451</v>
      </c>
      <c r="L1247" t="s">
        <v>99</v>
      </c>
      <c r="AG1247">
        <f t="shared" si="19"/>
        <v>1</v>
      </c>
      <c r="AH1247">
        <f>'TABLA PREVIOS'!E1247</f>
        <v>231</v>
      </c>
      <c r="AI1247">
        <f>VLOOKUP(C1247,ALUMNOS!A:B,2,FALSE)</f>
        <v>287</v>
      </c>
    </row>
    <row r="1248" spans="3:35" x14ac:dyDescent="0.25">
      <c r="C1248">
        <v>45829208</v>
      </c>
      <c r="D1248" t="s">
        <v>452</v>
      </c>
      <c r="E1248" t="s">
        <v>15</v>
      </c>
      <c r="F1248" t="s">
        <v>98</v>
      </c>
      <c r="G1248" t="s">
        <v>43</v>
      </c>
      <c r="H1248">
        <v>2017</v>
      </c>
      <c r="I1248" t="s">
        <v>59</v>
      </c>
      <c r="J1248" t="s">
        <v>453</v>
      </c>
      <c r="L1248" t="s">
        <v>99</v>
      </c>
      <c r="AG1248">
        <f t="shared" si="19"/>
        <v>1</v>
      </c>
      <c r="AH1248">
        <f>'TABLA PREVIOS'!E1248</f>
        <v>223</v>
      </c>
      <c r="AI1248">
        <f>VLOOKUP(C1248,ALUMNOS!A:B,2,FALSE)</f>
        <v>293</v>
      </c>
    </row>
    <row r="1249" spans="3:35" x14ac:dyDescent="0.25">
      <c r="C1249">
        <v>45829208</v>
      </c>
      <c r="D1249" t="s">
        <v>452</v>
      </c>
      <c r="E1249" t="s">
        <v>29</v>
      </c>
      <c r="F1249" t="s">
        <v>190</v>
      </c>
      <c r="G1249" t="s">
        <v>43</v>
      </c>
      <c r="H1249">
        <v>2020</v>
      </c>
      <c r="I1249" t="s">
        <v>60</v>
      </c>
      <c r="J1249" t="s">
        <v>453</v>
      </c>
      <c r="L1249" t="s">
        <v>99</v>
      </c>
      <c r="AG1249">
        <f t="shared" si="19"/>
        <v>1</v>
      </c>
      <c r="AH1249">
        <f>'TABLA PREVIOS'!E1249</f>
        <v>259</v>
      </c>
      <c r="AI1249">
        <f>VLOOKUP(C1249,ALUMNOS!A:B,2,FALSE)</f>
        <v>293</v>
      </c>
    </row>
    <row r="1250" spans="3:35" x14ac:dyDescent="0.25">
      <c r="C1250">
        <v>47989278</v>
      </c>
      <c r="D1250" t="s">
        <v>454</v>
      </c>
      <c r="E1250" t="s">
        <v>16</v>
      </c>
      <c r="F1250" t="s">
        <v>95</v>
      </c>
      <c r="G1250" t="s">
        <v>43</v>
      </c>
      <c r="H1250">
        <v>2021</v>
      </c>
      <c r="I1250" t="s">
        <v>59</v>
      </c>
      <c r="J1250" t="s">
        <v>105</v>
      </c>
      <c r="L1250" t="s">
        <v>99</v>
      </c>
      <c r="AG1250">
        <f t="shared" si="19"/>
        <v>1</v>
      </c>
      <c r="AH1250">
        <f>'TABLA PREVIOS'!E1250</f>
        <v>234</v>
      </c>
      <c r="AI1250">
        <f>VLOOKUP(C1250,ALUMNOS!A:B,2,FALSE)</f>
        <v>297</v>
      </c>
    </row>
    <row r="1251" spans="3:35" x14ac:dyDescent="0.25">
      <c r="C1251">
        <v>47794342</v>
      </c>
      <c r="D1251" t="s">
        <v>455</v>
      </c>
      <c r="E1251" t="s">
        <v>24</v>
      </c>
      <c r="F1251" t="s">
        <v>143</v>
      </c>
      <c r="G1251" t="s">
        <v>43</v>
      </c>
      <c r="H1251">
        <v>2022</v>
      </c>
      <c r="I1251" t="s">
        <v>59</v>
      </c>
      <c r="J1251" t="s">
        <v>105</v>
      </c>
      <c r="L1251" t="s">
        <v>99</v>
      </c>
      <c r="AG1251">
        <f t="shared" si="19"/>
        <v>1</v>
      </c>
      <c r="AH1251">
        <f>'TABLA PREVIOS'!E1251</f>
        <v>241</v>
      </c>
      <c r="AI1251">
        <f>VLOOKUP(C1251,ALUMNOS!A:B,2,FALSE)</f>
        <v>308</v>
      </c>
    </row>
    <row r="1252" spans="3:35" x14ac:dyDescent="0.25">
      <c r="C1252">
        <v>47794342</v>
      </c>
      <c r="D1252" t="s">
        <v>455</v>
      </c>
      <c r="E1252" t="s">
        <v>25</v>
      </c>
      <c r="F1252" t="s">
        <v>143</v>
      </c>
      <c r="G1252" t="s">
        <v>43</v>
      </c>
      <c r="H1252">
        <v>2022</v>
      </c>
      <c r="I1252" t="s">
        <v>59</v>
      </c>
      <c r="L1252" t="s">
        <v>99</v>
      </c>
      <c r="AG1252">
        <f t="shared" si="19"/>
        <v>1</v>
      </c>
      <c r="AH1252">
        <f>'TABLA PREVIOS'!E1252</f>
        <v>242</v>
      </c>
      <c r="AI1252">
        <f>VLOOKUP(C1252,ALUMNOS!A:B,2,FALSE)</f>
        <v>308</v>
      </c>
    </row>
    <row r="1253" spans="3:35" x14ac:dyDescent="0.25">
      <c r="C1253">
        <v>49079922</v>
      </c>
      <c r="D1253" t="s">
        <v>456</v>
      </c>
      <c r="E1253" t="s">
        <v>11</v>
      </c>
      <c r="F1253" t="s">
        <v>98</v>
      </c>
      <c r="G1253" t="s">
        <v>43</v>
      </c>
      <c r="H1253">
        <v>2021</v>
      </c>
      <c r="I1253" t="s">
        <v>59</v>
      </c>
      <c r="L1253" t="s">
        <v>99</v>
      </c>
      <c r="AG1253">
        <f t="shared" si="19"/>
        <v>1</v>
      </c>
      <c r="AH1253">
        <f>'TABLA PREVIOS'!E1253</f>
        <v>219</v>
      </c>
      <c r="AI1253">
        <f>VLOOKUP(C1253,ALUMNOS!A:B,2,FALSE)</f>
        <v>309</v>
      </c>
    </row>
    <row r="1254" spans="3:35" x14ac:dyDescent="0.25">
      <c r="C1254">
        <v>47665577</v>
      </c>
      <c r="D1254" t="s">
        <v>457</v>
      </c>
      <c r="E1254" t="s">
        <v>12</v>
      </c>
      <c r="F1254" t="s">
        <v>98</v>
      </c>
      <c r="G1254" t="s">
        <v>43</v>
      </c>
      <c r="H1254">
        <v>2020</v>
      </c>
      <c r="I1254" t="s">
        <v>59</v>
      </c>
      <c r="J1254" t="s">
        <v>458</v>
      </c>
      <c r="L1254" t="s">
        <v>99</v>
      </c>
      <c r="AG1254">
        <f t="shared" si="19"/>
        <v>1</v>
      </c>
      <c r="AH1254">
        <f>'TABLA PREVIOS'!E1254</f>
        <v>220</v>
      </c>
      <c r="AI1254">
        <f>VLOOKUP(C1254,ALUMNOS!A:B,2,FALSE)</f>
        <v>318</v>
      </c>
    </row>
    <row r="1255" spans="3:35" x14ac:dyDescent="0.25">
      <c r="C1255">
        <v>47665577</v>
      </c>
      <c r="D1255" t="s">
        <v>457</v>
      </c>
      <c r="E1255" t="s">
        <v>19</v>
      </c>
      <c r="F1255" t="s">
        <v>95</v>
      </c>
      <c r="G1255" t="s">
        <v>43</v>
      </c>
      <c r="H1255">
        <v>2022</v>
      </c>
      <c r="I1255" t="s">
        <v>59</v>
      </c>
      <c r="L1255" t="s">
        <v>99</v>
      </c>
      <c r="AG1255">
        <f t="shared" si="19"/>
        <v>1</v>
      </c>
      <c r="AH1255">
        <f>'TABLA PREVIOS'!E1255</f>
        <v>237</v>
      </c>
      <c r="AI1255">
        <f>VLOOKUP(C1255,ALUMNOS!A:B,2,FALSE)</f>
        <v>318</v>
      </c>
    </row>
    <row r="1256" spans="3:35" x14ac:dyDescent="0.25">
      <c r="C1256">
        <v>47665577</v>
      </c>
      <c r="D1256" t="s">
        <v>457</v>
      </c>
      <c r="E1256" t="s">
        <v>10</v>
      </c>
      <c r="F1256" t="s">
        <v>95</v>
      </c>
      <c r="G1256" t="s">
        <v>43</v>
      </c>
      <c r="H1256">
        <v>2022</v>
      </c>
      <c r="I1256" t="s">
        <v>59</v>
      </c>
      <c r="L1256" t="s">
        <v>99</v>
      </c>
      <c r="AG1256">
        <f t="shared" si="19"/>
        <v>1</v>
      </c>
      <c r="AH1256">
        <f>'TABLA PREVIOS'!E1256</f>
        <v>228</v>
      </c>
      <c r="AI1256">
        <f>VLOOKUP(C1256,ALUMNOS!A:B,2,FALSE)</f>
        <v>318</v>
      </c>
    </row>
    <row r="1257" spans="3:35" x14ac:dyDescent="0.25">
      <c r="C1257">
        <v>46509036</v>
      </c>
      <c r="D1257" t="s">
        <v>459</v>
      </c>
      <c r="E1257" t="s">
        <v>16</v>
      </c>
      <c r="F1257" t="s">
        <v>143</v>
      </c>
      <c r="G1257" t="s">
        <v>43</v>
      </c>
      <c r="H1257">
        <v>2021</v>
      </c>
      <c r="I1257" t="s">
        <v>59</v>
      </c>
      <c r="J1257" t="s">
        <v>105</v>
      </c>
      <c r="L1257" t="s">
        <v>99</v>
      </c>
      <c r="AG1257">
        <f t="shared" si="19"/>
        <v>1</v>
      </c>
      <c r="AH1257">
        <f>'TABLA PREVIOS'!E1257</f>
        <v>245</v>
      </c>
      <c r="AI1257">
        <f>VLOOKUP(C1257,ALUMNOS!A:B,2,FALSE)</f>
        <v>320</v>
      </c>
    </row>
    <row r="1258" spans="3:35" x14ac:dyDescent="0.25">
      <c r="C1258">
        <v>46509036</v>
      </c>
      <c r="D1258" t="s">
        <v>459</v>
      </c>
      <c r="E1258" t="s">
        <v>29</v>
      </c>
      <c r="F1258" t="s">
        <v>190</v>
      </c>
      <c r="G1258" t="s">
        <v>43</v>
      </c>
      <c r="H1258">
        <v>2022</v>
      </c>
      <c r="I1258" t="s">
        <v>60</v>
      </c>
      <c r="L1258" t="s">
        <v>99</v>
      </c>
      <c r="AG1258">
        <f t="shared" si="19"/>
        <v>1</v>
      </c>
      <c r="AH1258">
        <f>'TABLA PREVIOS'!E1258</f>
        <v>259</v>
      </c>
      <c r="AI1258">
        <f>VLOOKUP(C1258,ALUMNOS!A:B,2,FALSE)</f>
        <v>320</v>
      </c>
    </row>
    <row r="1259" spans="3:35" x14ac:dyDescent="0.25">
      <c r="C1259">
        <v>46035161</v>
      </c>
      <c r="D1259" t="s">
        <v>460</v>
      </c>
      <c r="E1259" t="s">
        <v>11</v>
      </c>
      <c r="F1259" t="s">
        <v>98</v>
      </c>
      <c r="G1259" t="s">
        <v>43</v>
      </c>
      <c r="H1259">
        <v>2019</v>
      </c>
      <c r="I1259" t="s">
        <v>59</v>
      </c>
      <c r="J1259" t="s">
        <v>372</v>
      </c>
      <c r="L1259" t="s">
        <v>99</v>
      </c>
      <c r="AG1259">
        <f t="shared" si="19"/>
        <v>1</v>
      </c>
      <c r="AH1259">
        <f>'TABLA PREVIOS'!E1259</f>
        <v>219</v>
      </c>
      <c r="AI1259">
        <f>VLOOKUP(C1259,ALUMNOS!A:B,2,FALSE)</f>
        <v>321</v>
      </c>
    </row>
    <row r="1260" spans="3:35" x14ac:dyDescent="0.25">
      <c r="C1260">
        <v>46035161</v>
      </c>
      <c r="D1260" t="s">
        <v>460</v>
      </c>
      <c r="E1260" t="s">
        <v>22</v>
      </c>
      <c r="F1260" t="s">
        <v>95</v>
      </c>
      <c r="G1260" t="s">
        <v>43</v>
      </c>
      <c r="H1260">
        <v>2020</v>
      </c>
      <c r="I1260" t="s">
        <v>59</v>
      </c>
      <c r="L1260" t="s">
        <v>99</v>
      </c>
      <c r="AG1260">
        <f t="shared" si="19"/>
        <v>1</v>
      </c>
      <c r="AH1260">
        <f>'TABLA PREVIOS'!E1260</f>
        <v>233</v>
      </c>
      <c r="AI1260">
        <f>VLOOKUP(C1260,ALUMNOS!A:B,2,FALSE)</f>
        <v>321</v>
      </c>
    </row>
    <row r="1261" spans="3:35" x14ac:dyDescent="0.25">
      <c r="C1261">
        <v>46035161</v>
      </c>
      <c r="D1261" t="s">
        <v>460</v>
      </c>
      <c r="E1261" t="s">
        <v>16</v>
      </c>
      <c r="F1261" t="s">
        <v>95</v>
      </c>
      <c r="G1261" t="s">
        <v>43</v>
      </c>
      <c r="H1261">
        <v>2020</v>
      </c>
      <c r="I1261" t="s">
        <v>59</v>
      </c>
      <c r="J1261" t="s">
        <v>420</v>
      </c>
      <c r="L1261" t="s">
        <v>99</v>
      </c>
      <c r="AG1261">
        <f t="shared" si="19"/>
        <v>1</v>
      </c>
      <c r="AH1261">
        <f>'TABLA PREVIOS'!E1261</f>
        <v>234</v>
      </c>
      <c r="AI1261">
        <f>VLOOKUP(C1261,ALUMNOS!A:B,2,FALSE)</f>
        <v>321</v>
      </c>
    </row>
    <row r="1262" spans="3:35" x14ac:dyDescent="0.25">
      <c r="C1262">
        <v>46472609</v>
      </c>
      <c r="D1262" t="s">
        <v>461</v>
      </c>
      <c r="E1262" t="s">
        <v>25</v>
      </c>
      <c r="F1262" t="s">
        <v>143</v>
      </c>
      <c r="G1262" t="s">
        <v>43</v>
      </c>
      <c r="H1262">
        <v>2022</v>
      </c>
      <c r="I1262" t="s">
        <v>59</v>
      </c>
      <c r="J1262" t="s">
        <v>105</v>
      </c>
      <c r="L1262" t="s">
        <v>99</v>
      </c>
      <c r="AG1262">
        <f t="shared" si="19"/>
        <v>1</v>
      </c>
      <c r="AH1262">
        <f>'TABLA PREVIOS'!E1262</f>
        <v>242</v>
      </c>
      <c r="AI1262">
        <f>VLOOKUP(C1262,ALUMNOS!A:B,2,FALSE)</f>
        <v>330</v>
      </c>
    </row>
    <row r="1263" spans="3:35" x14ac:dyDescent="0.25">
      <c r="C1263">
        <v>46472609</v>
      </c>
      <c r="D1263" t="s">
        <v>461</v>
      </c>
      <c r="E1263" t="s">
        <v>30</v>
      </c>
      <c r="F1263" t="s">
        <v>190</v>
      </c>
      <c r="G1263" t="s">
        <v>44</v>
      </c>
      <c r="H1263">
        <v>2023</v>
      </c>
      <c r="I1263" t="s">
        <v>60</v>
      </c>
      <c r="L1263" t="s">
        <v>99</v>
      </c>
      <c r="AG1263">
        <f t="shared" si="19"/>
        <v>1</v>
      </c>
      <c r="AH1263">
        <f>'TABLA PREVIOS'!E1263</f>
        <v>260</v>
      </c>
      <c r="AI1263">
        <f>VLOOKUP(C1263,ALUMNOS!A:B,2,FALSE)</f>
        <v>330</v>
      </c>
    </row>
    <row r="1264" spans="3:35" x14ac:dyDescent="0.25">
      <c r="C1264">
        <v>46472609</v>
      </c>
      <c r="D1264" t="s">
        <v>461</v>
      </c>
      <c r="E1264" t="s">
        <v>12</v>
      </c>
      <c r="F1264" t="s">
        <v>190</v>
      </c>
      <c r="G1264" t="s">
        <v>43</v>
      </c>
      <c r="H1264">
        <v>2022</v>
      </c>
      <c r="I1264" t="s">
        <v>60</v>
      </c>
      <c r="L1264" t="s">
        <v>99</v>
      </c>
      <c r="AG1264">
        <f t="shared" si="19"/>
        <v>1</v>
      </c>
      <c r="AH1264">
        <f>'TABLA PREVIOS'!E1264</f>
        <v>252</v>
      </c>
      <c r="AI1264">
        <f>VLOOKUP(C1264,ALUMNOS!A:B,2,FALSE)</f>
        <v>330</v>
      </c>
    </row>
    <row r="1265" spans="3:35" x14ac:dyDescent="0.25">
      <c r="C1265">
        <v>46472609</v>
      </c>
      <c r="D1265" t="s">
        <v>461</v>
      </c>
      <c r="E1265" t="s">
        <v>29</v>
      </c>
      <c r="F1265" t="s">
        <v>190</v>
      </c>
      <c r="G1265" t="s">
        <v>44</v>
      </c>
      <c r="H1265">
        <v>2023</v>
      </c>
      <c r="I1265" t="s">
        <v>60</v>
      </c>
      <c r="L1265" t="s">
        <v>99</v>
      </c>
      <c r="AG1265">
        <f t="shared" si="19"/>
        <v>1</v>
      </c>
      <c r="AH1265">
        <f>'TABLA PREVIOS'!E1265</f>
        <v>259</v>
      </c>
      <c r="AI1265">
        <f>VLOOKUP(C1265,ALUMNOS!A:B,2,FALSE)</f>
        <v>330</v>
      </c>
    </row>
    <row r="1266" spans="3:35" x14ac:dyDescent="0.25">
      <c r="C1266">
        <v>48538109</v>
      </c>
      <c r="D1266" t="s">
        <v>462</v>
      </c>
      <c r="E1266" t="s">
        <v>16</v>
      </c>
      <c r="F1266" t="s">
        <v>98</v>
      </c>
      <c r="G1266" t="s">
        <v>43</v>
      </c>
      <c r="H1266">
        <v>2021</v>
      </c>
      <c r="I1266" t="s">
        <v>59</v>
      </c>
      <c r="L1266" t="s">
        <v>99</v>
      </c>
      <c r="AG1266">
        <f t="shared" si="19"/>
        <v>1</v>
      </c>
      <c r="AH1266">
        <f>'TABLA PREVIOS'!E1266</f>
        <v>224</v>
      </c>
      <c r="AI1266">
        <f>VLOOKUP(C1266,ALUMNOS!A:B,2,FALSE)</f>
        <v>336</v>
      </c>
    </row>
    <row r="1267" spans="3:35" x14ac:dyDescent="0.25">
      <c r="C1267">
        <v>48538109</v>
      </c>
      <c r="D1267" t="s">
        <v>462</v>
      </c>
      <c r="E1267" t="s">
        <v>12</v>
      </c>
      <c r="F1267" t="s">
        <v>98</v>
      </c>
      <c r="G1267" t="s">
        <v>43</v>
      </c>
      <c r="H1267">
        <v>2021</v>
      </c>
      <c r="I1267" t="s">
        <v>59</v>
      </c>
      <c r="L1267" t="s">
        <v>99</v>
      </c>
      <c r="AG1267">
        <f t="shared" si="19"/>
        <v>1</v>
      </c>
      <c r="AH1267">
        <f>'TABLA PREVIOS'!E1267</f>
        <v>220</v>
      </c>
      <c r="AI1267">
        <f>VLOOKUP(C1267,ALUMNOS!A:B,2,FALSE)</f>
        <v>336</v>
      </c>
    </row>
    <row r="1268" spans="3:35" x14ac:dyDescent="0.25">
      <c r="C1268">
        <v>46509098</v>
      </c>
      <c r="D1268" t="s">
        <v>463</v>
      </c>
      <c r="E1268" t="s">
        <v>22</v>
      </c>
      <c r="F1268" t="s">
        <v>95</v>
      </c>
      <c r="G1268" t="s">
        <v>43</v>
      </c>
      <c r="H1268">
        <v>2020</v>
      </c>
      <c r="I1268" t="s">
        <v>59</v>
      </c>
      <c r="J1268" t="s">
        <v>105</v>
      </c>
      <c r="L1268" t="s">
        <v>99</v>
      </c>
      <c r="AG1268">
        <f t="shared" si="19"/>
        <v>1</v>
      </c>
      <c r="AH1268">
        <f>'TABLA PREVIOS'!E1268</f>
        <v>233</v>
      </c>
      <c r="AI1268">
        <f>VLOOKUP(C1268,ALUMNOS!A:B,2,FALSE)</f>
        <v>337</v>
      </c>
    </row>
    <row r="1269" spans="3:35" x14ac:dyDescent="0.25">
      <c r="C1269">
        <v>46509098</v>
      </c>
      <c r="D1269" t="s">
        <v>463</v>
      </c>
      <c r="E1269" t="s">
        <v>12</v>
      </c>
      <c r="F1269" t="s">
        <v>95</v>
      </c>
      <c r="G1269" t="s">
        <v>43</v>
      </c>
      <c r="H1269">
        <v>2020</v>
      </c>
      <c r="I1269" t="s">
        <v>59</v>
      </c>
      <c r="L1269" t="s">
        <v>99</v>
      </c>
      <c r="AG1269">
        <f t="shared" si="19"/>
        <v>1</v>
      </c>
      <c r="AH1269">
        <f>'TABLA PREVIOS'!E1269</f>
        <v>230</v>
      </c>
      <c r="AI1269">
        <f>VLOOKUP(C1269,ALUMNOS!A:B,2,FALSE)</f>
        <v>337</v>
      </c>
    </row>
    <row r="1270" spans="3:35" x14ac:dyDescent="0.25">
      <c r="C1270">
        <v>45349554</v>
      </c>
      <c r="D1270" t="s">
        <v>464</v>
      </c>
      <c r="E1270" t="s">
        <v>12</v>
      </c>
      <c r="F1270" t="s">
        <v>143</v>
      </c>
      <c r="G1270" t="s">
        <v>43</v>
      </c>
      <c r="H1270">
        <v>2019</v>
      </c>
      <c r="I1270" t="s">
        <v>59</v>
      </c>
      <c r="J1270" t="s">
        <v>465</v>
      </c>
      <c r="L1270" t="s">
        <v>99</v>
      </c>
      <c r="AG1270">
        <f t="shared" si="19"/>
        <v>1</v>
      </c>
      <c r="AH1270">
        <f>'TABLA PREVIOS'!E1270</f>
        <v>240</v>
      </c>
      <c r="AI1270">
        <f>VLOOKUP(C1270,ALUMNOS!A:B,2,FALSE)</f>
        <v>360</v>
      </c>
    </row>
    <row r="1271" spans="3:35" x14ac:dyDescent="0.25">
      <c r="C1271">
        <v>45349554</v>
      </c>
      <c r="D1271" t="s">
        <v>464</v>
      </c>
      <c r="E1271" t="s">
        <v>16</v>
      </c>
      <c r="F1271" t="s">
        <v>190</v>
      </c>
      <c r="G1271" t="s">
        <v>43</v>
      </c>
      <c r="H1271">
        <v>2020</v>
      </c>
      <c r="I1271" t="s">
        <v>60</v>
      </c>
      <c r="J1271" t="s">
        <v>465</v>
      </c>
      <c r="L1271" t="s">
        <v>99</v>
      </c>
      <c r="AG1271">
        <f t="shared" si="19"/>
        <v>1</v>
      </c>
      <c r="AH1271">
        <f>'TABLA PREVIOS'!E1271</f>
        <v>256</v>
      </c>
      <c r="AI1271">
        <f>VLOOKUP(C1271,ALUMNOS!A:B,2,FALSE)</f>
        <v>360</v>
      </c>
    </row>
    <row r="1272" spans="3:35" x14ac:dyDescent="0.25">
      <c r="C1272">
        <v>45349554</v>
      </c>
      <c r="D1272" t="s">
        <v>464</v>
      </c>
      <c r="E1272" t="s">
        <v>12</v>
      </c>
      <c r="F1272" t="s">
        <v>190</v>
      </c>
      <c r="G1272" t="s">
        <v>43</v>
      </c>
      <c r="H1272">
        <v>2020</v>
      </c>
      <c r="I1272" t="s">
        <v>60</v>
      </c>
      <c r="J1272" t="s">
        <v>465</v>
      </c>
      <c r="L1272" t="s">
        <v>99</v>
      </c>
      <c r="AG1272">
        <f t="shared" si="19"/>
        <v>1</v>
      </c>
      <c r="AH1272">
        <f>'TABLA PREVIOS'!E1272</f>
        <v>252</v>
      </c>
      <c r="AI1272">
        <f>VLOOKUP(C1272,ALUMNOS!A:B,2,FALSE)</f>
        <v>360</v>
      </c>
    </row>
    <row r="1273" spans="3:35" x14ac:dyDescent="0.25">
      <c r="C1273">
        <v>46029110</v>
      </c>
      <c r="D1273" t="s">
        <v>466</v>
      </c>
      <c r="E1273" t="s">
        <v>16</v>
      </c>
      <c r="F1273" t="s">
        <v>143</v>
      </c>
      <c r="G1273" t="s">
        <v>43</v>
      </c>
      <c r="H1273">
        <v>2020</v>
      </c>
      <c r="I1273" t="s">
        <v>59</v>
      </c>
      <c r="J1273" t="s">
        <v>417</v>
      </c>
      <c r="L1273" t="s">
        <v>99</v>
      </c>
      <c r="AG1273">
        <f t="shared" si="19"/>
        <v>1</v>
      </c>
      <c r="AH1273">
        <f>'TABLA PREVIOS'!E1273</f>
        <v>245</v>
      </c>
      <c r="AI1273">
        <f>VLOOKUP(C1273,ALUMNOS!A:B,2,FALSE)</f>
        <v>363</v>
      </c>
    </row>
    <row r="1274" spans="3:35" x14ac:dyDescent="0.25">
      <c r="C1274">
        <v>46029110</v>
      </c>
      <c r="D1274" t="s">
        <v>466</v>
      </c>
      <c r="E1274" t="s">
        <v>12</v>
      </c>
      <c r="F1274" t="s">
        <v>143</v>
      </c>
      <c r="G1274" t="s">
        <v>43</v>
      </c>
      <c r="H1274">
        <v>2020</v>
      </c>
      <c r="I1274" t="s">
        <v>59</v>
      </c>
      <c r="J1274" t="s">
        <v>417</v>
      </c>
      <c r="L1274" t="s">
        <v>99</v>
      </c>
      <c r="AG1274">
        <f t="shared" si="19"/>
        <v>1</v>
      </c>
      <c r="AH1274">
        <f>'TABLA PREVIOS'!E1274</f>
        <v>240</v>
      </c>
      <c r="AI1274">
        <f>VLOOKUP(C1274,ALUMNOS!A:B,2,FALSE)</f>
        <v>363</v>
      </c>
    </row>
    <row r="1275" spans="3:35" x14ac:dyDescent="0.25">
      <c r="C1275">
        <v>46509063</v>
      </c>
      <c r="D1275" t="s">
        <v>467</v>
      </c>
      <c r="E1275" t="s">
        <v>11</v>
      </c>
      <c r="F1275" t="s">
        <v>190</v>
      </c>
      <c r="G1275" t="s">
        <v>43</v>
      </c>
      <c r="H1275">
        <v>2021</v>
      </c>
      <c r="I1275" t="s">
        <v>60</v>
      </c>
      <c r="L1275" t="s">
        <v>99</v>
      </c>
      <c r="AG1275">
        <f t="shared" si="19"/>
        <v>1</v>
      </c>
      <c r="AH1275">
        <f>'TABLA PREVIOS'!E1275</f>
        <v>251</v>
      </c>
      <c r="AI1275">
        <f>VLOOKUP(C1275,ALUMNOS!A:B,2,FALSE)</f>
        <v>373</v>
      </c>
    </row>
    <row r="1276" spans="3:35" x14ac:dyDescent="0.25">
      <c r="C1276">
        <v>50430108</v>
      </c>
      <c r="D1276" t="s">
        <v>468</v>
      </c>
      <c r="E1276" t="s">
        <v>15</v>
      </c>
      <c r="F1276" t="s">
        <v>98</v>
      </c>
      <c r="G1276" t="s">
        <v>43</v>
      </c>
      <c r="H1276">
        <v>2022</v>
      </c>
      <c r="I1276" t="s">
        <v>59</v>
      </c>
      <c r="J1276" t="s">
        <v>126</v>
      </c>
      <c r="L1276" t="s">
        <v>99</v>
      </c>
      <c r="AG1276">
        <f t="shared" si="19"/>
        <v>1</v>
      </c>
      <c r="AH1276">
        <f>'TABLA PREVIOS'!E1276</f>
        <v>223</v>
      </c>
      <c r="AI1276">
        <f>VLOOKUP(C1276,ALUMNOS!A:B,2,FALSE)</f>
        <v>380</v>
      </c>
    </row>
    <row r="1277" spans="3:35" x14ac:dyDescent="0.25">
      <c r="C1277">
        <v>45933997</v>
      </c>
      <c r="D1277" t="s">
        <v>469</v>
      </c>
      <c r="E1277" t="s">
        <v>10</v>
      </c>
      <c r="F1277" t="s">
        <v>95</v>
      </c>
      <c r="G1277" t="s">
        <v>43</v>
      </c>
      <c r="H1277">
        <v>2020</v>
      </c>
      <c r="I1277" t="s">
        <v>59</v>
      </c>
      <c r="J1277" t="s">
        <v>363</v>
      </c>
      <c r="L1277" t="s">
        <v>99</v>
      </c>
      <c r="AG1277">
        <f t="shared" si="19"/>
        <v>1</v>
      </c>
      <c r="AH1277">
        <f>'TABLA PREVIOS'!E1277</f>
        <v>228</v>
      </c>
      <c r="AI1277">
        <f>VLOOKUP(C1277,ALUMNOS!A:B,2,FALSE)</f>
        <v>389</v>
      </c>
    </row>
    <row r="1278" spans="3:35" x14ac:dyDescent="0.25">
      <c r="C1278">
        <v>45933997</v>
      </c>
      <c r="D1278" t="s">
        <v>469</v>
      </c>
      <c r="E1278" t="s">
        <v>12</v>
      </c>
      <c r="F1278" t="s">
        <v>95</v>
      </c>
      <c r="G1278" t="s">
        <v>43</v>
      </c>
      <c r="H1278">
        <v>2020</v>
      </c>
      <c r="I1278" t="s">
        <v>59</v>
      </c>
      <c r="J1278" t="s">
        <v>363</v>
      </c>
      <c r="L1278" t="s">
        <v>99</v>
      </c>
      <c r="AG1278">
        <f t="shared" si="19"/>
        <v>1</v>
      </c>
      <c r="AH1278">
        <f>'TABLA PREVIOS'!E1278</f>
        <v>230</v>
      </c>
      <c r="AI1278">
        <f>VLOOKUP(C1278,ALUMNOS!A:B,2,FALSE)</f>
        <v>389</v>
      </c>
    </row>
    <row r="1279" spans="3:35" x14ac:dyDescent="0.25">
      <c r="C1279">
        <v>45349553</v>
      </c>
      <c r="D1279" t="s">
        <v>470</v>
      </c>
      <c r="E1279" t="s">
        <v>27</v>
      </c>
      <c r="F1279" t="s">
        <v>143</v>
      </c>
      <c r="G1279" t="s">
        <v>43</v>
      </c>
      <c r="H1279">
        <v>2020</v>
      </c>
      <c r="I1279" t="s">
        <v>59</v>
      </c>
      <c r="J1279" t="s">
        <v>471</v>
      </c>
      <c r="L1279" t="s">
        <v>99</v>
      </c>
      <c r="AG1279">
        <f t="shared" si="19"/>
        <v>1</v>
      </c>
      <c r="AH1279">
        <f>'TABLA PREVIOS'!E1279</f>
        <v>244</v>
      </c>
      <c r="AI1279">
        <f>VLOOKUP(C1279,ALUMNOS!A:B,2,FALSE)</f>
        <v>397</v>
      </c>
    </row>
    <row r="1280" spans="3:35" x14ac:dyDescent="0.25">
      <c r="C1280">
        <v>45349553</v>
      </c>
      <c r="D1280" t="s">
        <v>470</v>
      </c>
      <c r="E1280" t="s">
        <v>16</v>
      </c>
      <c r="F1280" t="s">
        <v>143</v>
      </c>
      <c r="G1280" t="s">
        <v>43</v>
      </c>
      <c r="H1280">
        <v>2020</v>
      </c>
      <c r="I1280" t="s">
        <v>59</v>
      </c>
      <c r="J1280" t="s">
        <v>471</v>
      </c>
      <c r="L1280" t="s">
        <v>99</v>
      </c>
      <c r="AG1280">
        <f t="shared" si="19"/>
        <v>1</v>
      </c>
      <c r="AH1280">
        <f>'TABLA PREVIOS'!E1280</f>
        <v>245</v>
      </c>
      <c r="AI1280">
        <f>VLOOKUP(C1280,ALUMNOS!A:B,2,FALSE)</f>
        <v>397</v>
      </c>
    </row>
    <row r="1281" spans="3:35" x14ac:dyDescent="0.25">
      <c r="C1281">
        <v>46037028</v>
      </c>
      <c r="D1281" t="s">
        <v>472</v>
      </c>
      <c r="E1281" t="s">
        <v>22</v>
      </c>
      <c r="F1281" t="s">
        <v>95</v>
      </c>
      <c r="G1281" t="s">
        <v>43</v>
      </c>
      <c r="H1281">
        <v>2019</v>
      </c>
      <c r="I1281" t="s">
        <v>59</v>
      </c>
      <c r="J1281" t="s">
        <v>473</v>
      </c>
      <c r="L1281" t="s">
        <v>99</v>
      </c>
      <c r="AG1281">
        <f t="shared" si="19"/>
        <v>1</v>
      </c>
      <c r="AH1281">
        <f>'TABLA PREVIOS'!E1281</f>
        <v>233</v>
      </c>
      <c r="AI1281">
        <f>VLOOKUP(C1281,ALUMNOS!A:B,2,FALSE)</f>
        <v>405</v>
      </c>
    </row>
    <row r="1282" spans="3:35" x14ac:dyDescent="0.25">
      <c r="C1282">
        <v>46890402</v>
      </c>
      <c r="D1282" t="s">
        <v>474</v>
      </c>
      <c r="E1282" t="s">
        <v>12</v>
      </c>
      <c r="F1282" t="s">
        <v>190</v>
      </c>
      <c r="G1282" t="s">
        <v>43</v>
      </c>
      <c r="H1282">
        <v>2021</v>
      </c>
      <c r="I1282" t="s">
        <v>60</v>
      </c>
      <c r="L1282" t="s">
        <v>99</v>
      </c>
      <c r="AG1282">
        <f t="shared" si="19"/>
        <v>1</v>
      </c>
      <c r="AH1282">
        <f>'TABLA PREVIOS'!E1282</f>
        <v>252</v>
      </c>
      <c r="AI1282">
        <f>VLOOKUP(C1282,ALUMNOS!A:B,2,FALSE)</f>
        <v>413</v>
      </c>
    </row>
    <row r="1283" spans="3:35" x14ac:dyDescent="0.25">
      <c r="C1283">
        <v>46890402</v>
      </c>
      <c r="D1283" t="s">
        <v>474</v>
      </c>
      <c r="E1283" t="s">
        <v>32</v>
      </c>
      <c r="F1283" t="s">
        <v>220</v>
      </c>
      <c r="G1283" t="s">
        <v>43</v>
      </c>
      <c r="H1283">
        <v>2022</v>
      </c>
      <c r="I1283" t="s">
        <v>60</v>
      </c>
      <c r="L1283" t="s">
        <v>99</v>
      </c>
      <c r="AG1283">
        <f t="shared" ref="AG1283:AG1346" si="20">IF(VALUE(MAX(N1283,R1283,V1283,Z1283,AC1283,))&gt;=7,VALUE(MAX(N1283,R1283,V1283,Z1283,AC1283,)),1)</f>
        <v>1</v>
      </c>
      <c r="AH1283">
        <f>'TABLA PREVIOS'!E1283</f>
        <v>277</v>
      </c>
      <c r="AI1283">
        <f>VLOOKUP(C1283,ALUMNOS!A:B,2,FALSE)</f>
        <v>413</v>
      </c>
    </row>
    <row r="1284" spans="3:35" x14ac:dyDescent="0.25">
      <c r="C1284">
        <v>46890402</v>
      </c>
      <c r="D1284" t="s">
        <v>474</v>
      </c>
      <c r="E1284" t="s">
        <v>29</v>
      </c>
      <c r="F1284" t="s">
        <v>220</v>
      </c>
      <c r="G1284" t="s">
        <v>43</v>
      </c>
      <c r="H1284">
        <v>2022</v>
      </c>
      <c r="I1284" t="s">
        <v>60</v>
      </c>
      <c r="L1284" t="s">
        <v>99</v>
      </c>
      <c r="AG1284">
        <f t="shared" si="20"/>
        <v>1</v>
      </c>
      <c r="AH1284">
        <f>'TABLA PREVIOS'!E1284</f>
        <v>273</v>
      </c>
      <c r="AI1284">
        <f>VLOOKUP(C1284,ALUMNOS!A:B,2,FALSE)</f>
        <v>413</v>
      </c>
    </row>
    <row r="1285" spans="3:35" x14ac:dyDescent="0.25">
      <c r="C1285">
        <v>53420253</v>
      </c>
      <c r="D1285" t="s">
        <v>475</v>
      </c>
      <c r="E1285" t="s">
        <v>16</v>
      </c>
      <c r="F1285" t="s">
        <v>143</v>
      </c>
      <c r="G1285" t="s">
        <v>43</v>
      </c>
      <c r="H1285">
        <v>2020</v>
      </c>
      <c r="I1285" t="s">
        <v>59</v>
      </c>
      <c r="J1285" t="s">
        <v>465</v>
      </c>
      <c r="L1285" t="s">
        <v>99</v>
      </c>
      <c r="AG1285">
        <f t="shared" si="20"/>
        <v>1</v>
      </c>
      <c r="AH1285">
        <f>'TABLA PREVIOS'!E1285</f>
        <v>245</v>
      </c>
      <c r="AI1285">
        <f>VLOOKUP(C1285,ALUMNOS!A:B,2,FALSE)</f>
        <v>414</v>
      </c>
    </row>
    <row r="1286" spans="3:35" x14ac:dyDescent="0.25">
      <c r="C1286">
        <v>53420253</v>
      </c>
      <c r="D1286" t="s">
        <v>475</v>
      </c>
      <c r="E1286" t="s">
        <v>11</v>
      </c>
      <c r="F1286" t="s">
        <v>143</v>
      </c>
      <c r="G1286" t="s">
        <v>43</v>
      </c>
      <c r="H1286">
        <v>2020</v>
      </c>
      <c r="I1286" t="s">
        <v>59</v>
      </c>
      <c r="J1286" t="s">
        <v>465</v>
      </c>
      <c r="L1286" t="s">
        <v>99</v>
      </c>
      <c r="AG1286">
        <f t="shared" si="20"/>
        <v>1</v>
      </c>
      <c r="AH1286">
        <f>'TABLA PREVIOS'!E1286</f>
        <v>239</v>
      </c>
      <c r="AI1286">
        <f>VLOOKUP(C1286,ALUMNOS!A:B,2,FALSE)</f>
        <v>414</v>
      </c>
    </row>
    <row r="1287" spans="3:35" x14ac:dyDescent="0.25">
      <c r="C1287">
        <v>53420253</v>
      </c>
      <c r="D1287" t="s">
        <v>475</v>
      </c>
      <c r="E1287" t="s">
        <v>12</v>
      </c>
      <c r="F1287" t="s">
        <v>143</v>
      </c>
      <c r="G1287" t="s">
        <v>43</v>
      </c>
      <c r="H1287">
        <v>2020</v>
      </c>
      <c r="I1287" t="s">
        <v>59</v>
      </c>
      <c r="J1287" t="s">
        <v>465</v>
      </c>
      <c r="L1287" t="s">
        <v>99</v>
      </c>
      <c r="AG1287">
        <f t="shared" si="20"/>
        <v>1</v>
      </c>
      <c r="AH1287">
        <f>'TABLA PREVIOS'!E1287</f>
        <v>240</v>
      </c>
      <c r="AI1287">
        <f>VLOOKUP(C1287,ALUMNOS!A:B,2,FALSE)</f>
        <v>414</v>
      </c>
    </row>
    <row r="1288" spans="3:35" x14ac:dyDescent="0.25">
      <c r="C1288">
        <v>47665580</v>
      </c>
      <c r="D1288" t="s">
        <v>476</v>
      </c>
      <c r="E1288" t="s">
        <v>21</v>
      </c>
      <c r="F1288" t="s">
        <v>95</v>
      </c>
      <c r="G1288" t="s">
        <v>43</v>
      </c>
      <c r="H1288">
        <v>2020</v>
      </c>
      <c r="I1288" t="s">
        <v>59</v>
      </c>
      <c r="J1288" t="s">
        <v>363</v>
      </c>
      <c r="L1288" t="s">
        <v>99</v>
      </c>
      <c r="AG1288">
        <f t="shared" si="20"/>
        <v>1</v>
      </c>
      <c r="AH1288">
        <f>'TABLA PREVIOS'!E1288</f>
        <v>232</v>
      </c>
      <c r="AI1288">
        <f>VLOOKUP(C1288,ALUMNOS!A:B,2,FALSE)</f>
        <v>432</v>
      </c>
    </row>
    <row r="1289" spans="3:35" x14ac:dyDescent="0.25">
      <c r="C1289">
        <v>47665580</v>
      </c>
      <c r="D1289" t="s">
        <v>476</v>
      </c>
      <c r="E1289" t="s">
        <v>20</v>
      </c>
      <c r="F1289" t="s">
        <v>95</v>
      </c>
      <c r="G1289" t="s">
        <v>43</v>
      </c>
      <c r="H1289">
        <v>2020</v>
      </c>
      <c r="I1289" t="s">
        <v>59</v>
      </c>
      <c r="J1289" t="s">
        <v>363</v>
      </c>
      <c r="L1289" t="s">
        <v>99</v>
      </c>
      <c r="AG1289">
        <f t="shared" si="20"/>
        <v>1</v>
      </c>
      <c r="AH1289">
        <f>'TABLA PREVIOS'!E1289</f>
        <v>231</v>
      </c>
      <c r="AI1289">
        <f>VLOOKUP(C1289,ALUMNOS!A:B,2,FALSE)</f>
        <v>432</v>
      </c>
    </row>
    <row r="1290" spans="3:35" x14ac:dyDescent="0.25">
      <c r="C1290">
        <v>48816232</v>
      </c>
      <c r="D1290" t="s">
        <v>477</v>
      </c>
      <c r="E1290" t="s">
        <v>13</v>
      </c>
      <c r="F1290" t="s">
        <v>98</v>
      </c>
      <c r="G1290" t="s">
        <v>43</v>
      </c>
      <c r="H1290">
        <v>2021</v>
      </c>
      <c r="I1290" t="s">
        <v>59</v>
      </c>
      <c r="L1290" t="s">
        <v>99</v>
      </c>
      <c r="AG1290">
        <f t="shared" si="20"/>
        <v>1</v>
      </c>
      <c r="AH1290">
        <f>'TABLA PREVIOS'!E1290</f>
        <v>221</v>
      </c>
      <c r="AI1290">
        <f>VLOOKUP(C1290,ALUMNOS!A:B,2,FALSE)</f>
        <v>422</v>
      </c>
    </row>
    <row r="1291" spans="3:35" x14ac:dyDescent="0.25">
      <c r="C1291">
        <v>48816232</v>
      </c>
      <c r="D1291" t="s">
        <v>477</v>
      </c>
      <c r="E1291" t="s">
        <v>14</v>
      </c>
      <c r="F1291" t="s">
        <v>98</v>
      </c>
      <c r="G1291" t="s">
        <v>43</v>
      </c>
      <c r="H1291">
        <v>2021</v>
      </c>
      <c r="I1291" t="s">
        <v>59</v>
      </c>
      <c r="L1291" t="s">
        <v>99</v>
      </c>
      <c r="AG1291">
        <f t="shared" si="20"/>
        <v>1</v>
      </c>
      <c r="AH1291">
        <f>'TABLA PREVIOS'!E1291</f>
        <v>222</v>
      </c>
      <c r="AI1291">
        <f>VLOOKUP(C1291,ALUMNOS!A:B,2,FALSE)</f>
        <v>422</v>
      </c>
    </row>
    <row r="1292" spans="3:35" x14ac:dyDescent="0.25">
      <c r="C1292">
        <v>48816232</v>
      </c>
      <c r="D1292" t="s">
        <v>477</v>
      </c>
      <c r="E1292" t="s">
        <v>11</v>
      </c>
      <c r="F1292" t="s">
        <v>98</v>
      </c>
      <c r="G1292" t="s">
        <v>43</v>
      </c>
      <c r="H1292">
        <v>2021</v>
      </c>
      <c r="I1292" t="s">
        <v>59</v>
      </c>
      <c r="L1292" t="s">
        <v>99</v>
      </c>
      <c r="AG1292">
        <f t="shared" si="20"/>
        <v>1</v>
      </c>
      <c r="AH1292">
        <f>'TABLA PREVIOS'!E1292</f>
        <v>219</v>
      </c>
      <c r="AI1292">
        <f>VLOOKUP(C1292,ALUMNOS!A:B,2,FALSE)</f>
        <v>422</v>
      </c>
    </row>
    <row r="1293" spans="3:35" x14ac:dyDescent="0.25">
      <c r="C1293">
        <v>44607525</v>
      </c>
      <c r="D1293" t="s">
        <v>478</v>
      </c>
      <c r="E1293" t="s">
        <v>27</v>
      </c>
      <c r="F1293" t="s">
        <v>143</v>
      </c>
      <c r="G1293" t="s">
        <v>43</v>
      </c>
      <c r="H1293">
        <v>2019</v>
      </c>
      <c r="I1293" t="s">
        <v>59</v>
      </c>
      <c r="J1293" t="s">
        <v>465</v>
      </c>
      <c r="L1293" t="s">
        <v>99</v>
      </c>
      <c r="AG1293">
        <f t="shared" si="20"/>
        <v>1</v>
      </c>
      <c r="AH1293">
        <f>'TABLA PREVIOS'!E1293</f>
        <v>244</v>
      </c>
      <c r="AI1293">
        <f>VLOOKUP(C1293,ALUMNOS!A:B,2,FALSE)</f>
        <v>424</v>
      </c>
    </row>
    <row r="1294" spans="3:35" x14ac:dyDescent="0.25">
      <c r="C1294">
        <v>44607491</v>
      </c>
      <c r="D1294" t="s">
        <v>479</v>
      </c>
      <c r="E1294" t="s">
        <v>26</v>
      </c>
      <c r="F1294" t="s">
        <v>190</v>
      </c>
      <c r="G1294" t="s">
        <v>43</v>
      </c>
      <c r="H1294">
        <v>2020</v>
      </c>
      <c r="I1294" t="s">
        <v>60</v>
      </c>
      <c r="J1294" t="s">
        <v>465</v>
      </c>
      <c r="L1294" t="s">
        <v>99</v>
      </c>
      <c r="AG1294">
        <f t="shared" si="20"/>
        <v>1</v>
      </c>
      <c r="AH1294">
        <f>'TABLA PREVIOS'!E1294</f>
        <v>254</v>
      </c>
      <c r="AI1294">
        <f>VLOOKUP(C1294,ALUMNOS!A:B,2,FALSE)</f>
        <v>439</v>
      </c>
    </row>
    <row r="1295" spans="3:35" x14ac:dyDescent="0.25">
      <c r="C1295">
        <v>44607491</v>
      </c>
      <c r="D1295" t="s">
        <v>479</v>
      </c>
      <c r="E1295" t="s">
        <v>16</v>
      </c>
      <c r="F1295" t="s">
        <v>190</v>
      </c>
      <c r="G1295" t="s">
        <v>43</v>
      </c>
      <c r="H1295">
        <v>2020</v>
      </c>
      <c r="I1295" t="s">
        <v>60</v>
      </c>
      <c r="J1295" t="s">
        <v>465</v>
      </c>
      <c r="L1295" t="s">
        <v>99</v>
      </c>
      <c r="AG1295">
        <f t="shared" si="20"/>
        <v>1</v>
      </c>
      <c r="AH1295">
        <f>'TABLA PREVIOS'!E1295</f>
        <v>256</v>
      </c>
      <c r="AI1295">
        <f>VLOOKUP(C1295,ALUMNOS!A:B,2,FALSE)</f>
        <v>439</v>
      </c>
    </row>
    <row r="1296" spans="3:35" x14ac:dyDescent="0.25">
      <c r="C1296">
        <v>47774034</v>
      </c>
      <c r="D1296" t="s">
        <v>480</v>
      </c>
      <c r="E1296" t="s">
        <v>16</v>
      </c>
      <c r="F1296" t="s">
        <v>95</v>
      </c>
      <c r="G1296" t="s">
        <v>43</v>
      </c>
      <c r="H1296">
        <v>2022</v>
      </c>
      <c r="I1296" t="s">
        <v>59</v>
      </c>
      <c r="L1296" t="s">
        <v>99</v>
      </c>
      <c r="AG1296">
        <f t="shared" si="20"/>
        <v>1</v>
      </c>
      <c r="AH1296">
        <f>'TABLA PREVIOS'!E1296</f>
        <v>234</v>
      </c>
      <c r="AI1296">
        <f>VLOOKUP(C1296,ALUMNOS!A:B,2,FALSE)</f>
        <v>440</v>
      </c>
    </row>
    <row r="1297" spans="3:35" x14ac:dyDescent="0.25">
      <c r="C1297">
        <v>47774034</v>
      </c>
      <c r="D1297" t="s">
        <v>480</v>
      </c>
      <c r="E1297" t="s">
        <v>12</v>
      </c>
      <c r="F1297" t="s">
        <v>95</v>
      </c>
      <c r="G1297" t="s">
        <v>43</v>
      </c>
      <c r="H1297">
        <v>2022</v>
      </c>
      <c r="I1297" t="s">
        <v>59</v>
      </c>
      <c r="L1297" t="s">
        <v>99</v>
      </c>
      <c r="AG1297">
        <f t="shared" si="20"/>
        <v>1</v>
      </c>
      <c r="AH1297">
        <f>'TABLA PREVIOS'!E1297</f>
        <v>230</v>
      </c>
      <c r="AI1297">
        <f>VLOOKUP(C1297,ALUMNOS!A:B,2,FALSE)</f>
        <v>440</v>
      </c>
    </row>
    <row r="1298" spans="3:35" x14ac:dyDescent="0.25">
      <c r="C1298">
        <v>46035124</v>
      </c>
      <c r="D1298" t="s">
        <v>481</v>
      </c>
      <c r="E1298" t="s">
        <v>16</v>
      </c>
      <c r="F1298" t="s">
        <v>95</v>
      </c>
      <c r="G1298" t="s">
        <v>43</v>
      </c>
      <c r="H1298">
        <v>2019</v>
      </c>
      <c r="I1298" t="s">
        <v>59</v>
      </c>
      <c r="J1298" t="s">
        <v>417</v>
      </c>
      <c r="L1298" t="s">
        <v>99</v>
      </c>
      <c r="AG1298">
        <f t="shared" si="20"/>
        <v>1</v>
      </c>
      <c r="AH1298">
        <f>'TABLA PREVIOS'!E1298</f>
        <v>234</v>
      </c>
      <c r="AI1298">
        <f>VLOOKUP(C1298,ALUMNOS!A:B,2,FALSE)</f>
        <v>444</v>
      </c>
    </row>
    <row r="1299" spans="3:35" x14ac:dyDescent="0.25">
      <c r="C1299">
        <v>46035124</v>
      </c>
      <c r="D1299" t="s">
        <v>481</v>
      </c>
      <c r="E1299" t="s">
        <v>27</v>
      </c>
      <c r="F1299" t="s">
        <v>143</v>
      </c>
      <c r="G1299" t="s">
        <v>43</v>
      </c>
      <c r="H1299">
        <v>2020</v>
      </c>
      <c r="I1299" t="s">
        <v>59</v>
      </c>
      <c r="J1299" t="s">
        <v>417</v>
      </c>
      <c r="L1299" t="s">
        <v>99</v>
      </c>
      <c r="AG1299">
        <f t="shared" si="20"/>
        <v>1</v>
      </c>
      <c r="AH1299">
        <f>'TABLA PREVIOS'!E1299</f>
        <v>244</v>
      </c>
      <c r="AI1299">
        <f>VLOOKUP(C1299,ALUMNOS!A:B,2,FALSE)</f>
        <v>444</v>
      </c>
    </row>
    <row r="1300" spans="3:35" x14ac:dyDescent="0.25">
      <c r="C1300">
        <v>46035124</v>
      </c>
      <c r="D1300" t="s">
        <v>481</v>
      </c>
      <c r="E1300" t="s">
        <v>16</v>
      </c>
      <c r="F1300" t="s">
        <v>143</v>
      </c>
      <c r="G1300" t="s">
        <v>43</v>
      </c>
      <c r="H1300">
        <v>2020</v>
      </c>
      <c r="I1300" t="s">
        <v>59</v>
      </c>
      <c r="J1300" t="s">
        <v>417</v>
      </c>
      <c r="L1300" t="s">
        <v>99</v>
      </c>
      <c r="AG1300">
        <f t="shared" si="20"/>
        <v>1</v>
      </c>
      <c r="AH1300">
        <f>'TABLA PREVIOS'!E1300</f>
        <v>245</v>
      </c>
      <c r="AI1300">
        <f>VLOOKUP(C1300,ALUMNOS!A:B,2,FALSE)</f>
        <v>444</v>
      </c>
    </row>
    <row r="1301" spans="3:35" x14ac:dyDescent="0.25">
      <c r="C1301">
        <v>48719981</v>
      </c>
      <c r="D1301" t="s">
        <v>482</v>
      </c>
      <c r="E1301" t="s">
        <v>13</v>
      </c>
      <c r="F1301" t="s">
        <v>98</v>
      </c>
      <c r="G1301" t="s">
        <v>43</v>
      </c>
      <c r="H1301">
        <v>2021</v>
      </c>
      <c r="I1301" t="s">
        <v>59</v>
      </c>
      <c r="L1301" t="s">
        <v>99</v>
      </c>
      <c r="AG1301">
        <f t="shared" si="20"/>
        <v>1</v>
      </c>
      <c r="AH1301">
        <f>'TABLA PREVIOS'!E1301</f>
        <v>221</v>
      </c>
      <c r="AI1301">
        <f>VLOOKUP(C1301,ALUMNOS!A:B,2,FALSE)</f>
        <v>456</v>
      </c>
    </row>
    <row r="1302" spans="3:35" x14ac:dyDescent="0.25">
      <c r="C1302">
        <v>48719981</v>
      </c>
      <c r="D1302" t="s">
        <v>482</v>
      </c>
      <c r="E1302" t="s">
        <v>14</v>
      </c>
      <c r="F1302" t="s">
        <v>98</v>
      </c>
      <c r="G1302" t="s">
        <v>43</v>
      </c>
      <c r="H1302">
        <v>2021</v>
      </c>
      <c r="I1302" t="s">
        <v>59</v>
      </c>
      <c r="L1302" t="s">
        <v>99</v>
      </c>
      <c r="AG1302">
        <f t="shared" si="20"/>
        <v>1</v>
      </c>
      <c r="AH1302">
        <f>'TABLA PREVIOS'!E1302</f>
        <v>222</v>
      </c>
      <c r="AI1302">
        <f>VLOOKUP(C1302,ALUMNOS!A:B,2,FALSE)</f>
        <v>456</v>
      </c>
    </row>
    <row r="1303" spans="3:35" x14ac:dyDescent="0.25">
      <c r="C1303">
        <v>48719981</v>
      </c>
      <c r="D1303" t="s">
        <v>482</v>
      </c>
      <c r="E1303" t="s">
        <v>16</v>
      </c>
      <c r="F1303" t="s">
        <v>98</v>
      </c>
      <c r="G1303" t="s">
        <v>43</v>
      </c>
      <c r="H1303">
        <v>2021</v>
      </c>
      <c r="I1303" t="s">
        <v>59</v>
      </c>
      <c r="L1303" t="s">
        <v>99</v>
      </c>
      <c r="AG1303">
        <f t="shared" si="20"/>
        <v>1</v>
      </c>
      <c r="AH1303">
        <f>'TABLA PREVIOS'!E1303</f>
        <v>224</v>
      </c>
      <c r="AI1303">
        <f>VLOOKUP(C1303,ALUMNOS!A:B,2,FALSE)</f>
        <v>456</v>
      </c>
    </row>
    <row r="1304" spans="3:35" x14ac:dyDescent="0.25">
      <c r="C1304">
        <v>48719981</v>
      </c>
      <c r="D1304" t="s">
        <v>482</v>
      </c>
      <c r="E1304" t="s">
        <v>12</v>
      </c>
      <c r="F1304" t="s">
        <v>98</v>
      </c>
      <c r="G1304" t="s">
        <v>43</v>
      </c>
      <c r="H1304">
        <v>2021</v>
      </c>
      <c r="I1304" t="s">
        <v>59</v>
      </c>
      <c r="K1304" t="s">
        <v>411</v>
      </c>
      <c r="L1304" t="s">
        <v>99</v>
      </c>
      <c r="AG1304">
        <f t="shared" si="20"/>
        <v>1</v>
      </c>
      <c r="AH1304">
        <f>'TABLA PREVIOS'!E1304</f>
        <v>220</v>
      </c>
      <c r="AI1304">
        <f>VLOOKUP(C1304,ALUMNOS!A:B,2,FALSE)</f>
        <v>456</v>
      </c>
    </row>
    <row r="1305" spans="3:35" x14ac:dyDescent="0.25">
      <c r="C1305">
        <v>46509011</v>
      </c>
      <c r="D1305" t="s">
        <v>483</v>
      </c>
      <c r="E1305" t="s">
        <v>26</v>
      </c>
      <c r="F1305" t="s">
        <v>143</v>
      </c>
      <c r="G1305" t="s">
        <v>43</v>
      </c>
      <c r="H1305">
        <v>2021</v>
      </c>
      <c r="I1305" t="s">
        <v>59</v>
      </c>
      <c r="J1305" t="s">
        <v>372</v>
      </c>
      <c r="L1305" t="s">
        <v>99</v>
      </c>
      <c r="AG1305">
        <f t="shared" si="20"/>
        <v>1</v>
      </c>
      <c r="AH1305">
        <f>'TABLA PREVIOS'!E1305</f>
        <v>243</v>
      </c>
      <c r="AI1305">
        <f>VLOOKUP(C1305,ALUMNOS!A:B,2,FALSE)</f>
        <v>465</v>
      </c>
    </row>
    <row r="1306" spans="3:35" x14ac:dyDescent="0.25">
      <c r="C1306">
        <v>46509011</v>
      </c>
      <c r="D1306" t="s">
        <v>483</v>
      </c>
      <c r="E1306" t="s">
        <v>27</v>
      </c>
      <c r="F1306" t="s">
        <v>143</v>
      </c>
      <c r="G1306" t="s">
        <v>43</v>
      </c>
      <c r="H1306">
        <v>2021</v>
      </c>
      <c r="I1306" t="s">
        <v>59</v>
      </c>
      <c r="J1306" t="s">
        <v>372</v>
      </c>
      <c r="L1306" t="s">
        <v>99</v>
      </c>
      <c r="AG1306">
        <f t="shared" si="20"/>
        <v>1</v>
      </c>
      <c r="AH1306">
        <f>'TABLA PREVIOS'!E1306</f>
        <v>244</v>
      </c>
      <c r="AI1306">
        <f>VLOOKUP(C1306,ALUMNOS!A:B,2,FALSE)</f>
        <v>465</v>
      </c>
    </row>
    <row r="1307" spans="3:35" x14ac:dyDescent="0.25">
      <c r="C1307">
        <v>46509011</v>
      </c>
      <c r="D1307" t="s">
        <v>483</v>
      </c>
      <c r="E1307" t="s">
        <v>16</v>
      </c>
      <c r="F1307" t="s">
        <v>143</v>
      </c>
      <c r="G1307" t="s">
        <v>43</v>
      </c>
      <c r="H1307">
        <v>2021</v>
      </c>
      <c r="I1307" t="s">
        <v>59</v>
      </c>
      <c r="J1307" t="s">
        <v>372</v>
      </c>
      <c r="L1307" t="s">
        <v>99</v>
      </c>
      <c r="AG1307">
        <f t="shared" si="20"/>
        <v>1</v>
      </c>
      <c r="AH1307">
        <f>'TABLA PREVIOS'!E1307</f>
        <v>245</v>
      </c>
      <c r="AI1307">
        <f>VLOOKUP(C1307,ALUMNOS!A:B,2,FALSE)</f>
        <v>465</v>
      </c>
    </row>
    <row r="1308" spans="3:35" x14ac:dyDescent="0.25">
      <c r="C1308">
        <v>45349570</v>
      </c>
      <c r="D1308" t="s">
        <v>484</v>
      </c>
      <c r="E1308" t="s">
        <v>22</v>
      </c>
      <c r="F1308" t="s">
        <v>95</v>
      </c>
      <c r="G1308" t="s">
        <v>43</v>
      </c>
      <c r="H1308">
        <v>2019</v>
      </c>
      <c r="I1308" t="s">
        <v>59</v>
      </c>
      <c r="J1308" t="s">
        <v>420</v>
      </c>
      <c r="L1308" t="s">
        <v>99</v>
      </c>
      <c r="AG1308">
        <f t="shared" si="20"/>
        <v>1</v>
      </c>
      <c r="AH1308">
        <f>'TABLA PREVIOS'!E1308</f>
        <v>233</v>
      </c>
      <c r="AI1308">
        <f>VLOOKUP(C1308,ALUMNOS!A:B,2,FALSE)</f>
        <v>466</v>
      </c>
    </row>
    <row r="1309" spans="3:35" x14ac:dyDescent="0.25">
      <c r="C1309">
        <v>45349570</v>
      </c>
      <c r="D1309" t="s">
        <v>484</v>
      </c>
      <c r="E1309" t="s">
        <v>16</v>
      </c>
      <c r="F1309" t="s">
        <v>95</v>
      </c>
      <c r="G1309" t="s">
        <v>43</v>
      </c>
      <c r="H1309">
        <v>2019</v>
      </c>
      <c r="I1309" t="s">
        <v>59</v>
      </c>
      <c r="J1309" t="s">
        <v>485</v>
      </c>
      <c r="L1309" t="s">
        <v>99</v>
      </c>
      <c r="AG1309">
        <f t="shared" si="20"/>
        <v>1</v>
      </c>
      <c r="AH1309">
        <f>'TABLA PREVIOS'!E1309</f>
        <v>234</v>
      </c>
      <c r="AI1309">
        <f>VLOOKUP(C1309,ALUMNOS!A:B,2,FALSE)</f>
        <v>466</v>
      </c>
    </row>
    <row r="1310" spans="3:35" x14ac:dyDescent="0.25">
      <c r="C1310">
        <v>47989246</v>
      </c>
      <c r="D1310" t="s">
        <v>486</v>
      </c>
      <c r="E1310" t="s">
        <v>22</v>
      </c>
      <c r="F1310" t="s">
        <v>95</v>
      </c>
      <c r="G1310" t="s">
        <v>43</v>
      </c>
      <c r="H1310">
        <v>2021</v>
      </c>
      <c r="I1310" t="s">
        <v>59</v>
      </c>
      <c r="L1310" t="s">
        <v>99</v>
      </c>
      <c r="AG1310">
        <f t="shared" si="20"/>
        <v>1</v>
      </c>
      <c r="AH1310">
        <f>'TABLA PREVIOS'!E1310</f>
        <v>233</v>
      </c>
      <c r="AI1310">
        <f>VLOOKUP(C1310,ALUMNOS!A:B,2,FALSE)</f>
        <v>471</v>
      </c>
    </row>
    <row r="1311" spans="3:35" x14ac:dyDescent="0.25">
      <c r="C1311">
        <v>47989246</v>
      </c>
      <c r="D1311" t="s">
        <v>486</v>
      </c>
      <c r="E1311" t="s">
        <v>19</v>
      </c>
      <c r="F1311" t="s">
        <v>95</v>
      </c>
      <c r="G1311" t="s">
        <v>43</v>
      </c>
      <c r="H1311">
        <v>2021</v>
      </c>
      <c r="I1311" t="s">
        <v>59</v>
      </c>
      <c r="L1311" t="s">
        <v>99</v>
      </c>
      <c r="AG1311">
        <f t="shared" si="20"/>
        <v>1</v>
      </c>
      <c r="AH1311">
        <f>'TABLA PREVIOS'!E1311</f>
        <v>237</v>
      </c>
      <c r="AI1311">
        <f>VLOOKUP(C1311,ALUMNOS!A:B,2,FALSE)</f>
        <v>471</v>
      </c>
    </row>
    <row r="1312" spans="3:35" x14ac:dyDescent="0.25">
      <c r="C1312">
        <v>47989246</v>
      </c>
      <c r="D1312" t="s">
        <v>486</v>
      </c>
      <c r="E1312" t="s">
        <v>16</v>
      </c>
      <c r="F1312" t="s">
        <v>95</v>
      </c>
      <c r="G1312" t="s">
        <v>43</v>
      </c>
      <c r="H1312">
        <v>2021</v>
      </c>
      <c r="I1312" t="s">
        <v>59</v>
      </c>
      <c r="K1312" t="s">
        <v>216</v>
      </c>
      <c r="L1312" t="s">
        <v>99</v>
      </c>
      <c r="AG1312">
        <f t="shared" si="20"/>
        <v>1</v>
      </c>
      <c r="AH1312">
        <f>'TABLA PREVIOS'!E1312</f>
        <v>234</v>
      </c>
      <c r="AI1312">
        <f>VLOOKUP(C1312,ALUMNOS!A:B,2,FALSE)</f>
        <v>471</v>
      </c>
    </row>
    <row r="1313" spans="3:35" x14ac:dyDescent="0.25">
      <c r="C1313">
        <v>47989246</v>
      </c>
      <c r="D1313" t="s">
        <v>486</v>
      </c>
      <c r="E1313" t="s">
        <v>12</v>
      </c>
      <c r="F1313" t="s">
        <v>95</v>
      </c>
      <c r="G1313" t="s">
        <v>43</v>
      </c>
      <c r="H1313">
        <v>2021</v>
      </c>
      <c r="I1313" t="s">
        <v>59</v>
      </c>
      <c r="L1313" t="s">
        <v>99</v>
      </c>
      <c r="AG1313">
        <f t="shared" si="20"/>
        <v>1</v>
      </c>
      <c r="AH1313">
        <f>'TABLA PREVIOS'!E1313</f>
        <v>230</v>
      </c>
      <c r="AI1313">
        <f>VLOOKUP(C1313,ALUMNOS!A:B,2,FALSE)</f>
        <v>471</v>
      </c>
    </row>
    <row r="1314" spans="3:35" x14ac:dyDescent="0.25">
      <c r="C1314">
        <v>47665585</v>
      </c>
      <c r="D1314" t="s">
        <v>487</v>
      </c>
      <c r="E1314" t="s">
        <v>16</v>
      </c>
      <c r="F1314" t="s">
        <v>98</v>
      </c>
      <c r="G1314" t="s">
        <v>43</v>
      </c>
      <c r="H1314">
        <v>2020</v>
      </c>
      <c r="I1314" t="s">
        <v>59</v>
      </c>
      <c r="J1314" t="s">
        <v>111</v>
      </c>
      <c r="L1314" t="s">
        <v>99</v>
      </c>
      <c r="AG1314">
        <f t="shared" si="20"/>
        <v>1</v>
      </c>
      <c r="AH1314">
        <f>'TABLA PREVIOS'!E1314</f>
        <v>224</v>
      </c>
      <c r="AI1314">
        <f>VLOOKUP(C1314,ALUMNOS!A:B,2,FALSE)</f>
        <v>481</v>
      </c>
    </row>
    <row r="1315" spans="3:35" x14ac:dyDescent="0.25">
      <c r="C1315">
        <v>47665585</v>
      </c>
      <c r="D1315" t="s">
        <v>487</v>
      </c>
      <c r="E1315" t="s">
        <v>11</v>
      </c>
      <c r="F1315" t="s">
        <v>98</v>
      </c>
      <c r="G1315" t="s">
        <v>43</v>
      </c>
      <c r="H1315">
        <v>2020</v>
      </c>
      <c r="I1315" t="s">
        <v>59</v>
      </c>
      <c r="L1315" t="s">
        <v>99</v>
      </c>
      <c r="AG1315">
        <f t="shared" si="20"/>
        <v>1</v>
      </c>
      <c r="AH1315">
        <f>'TABLA PREVIOS'!E1315</f>
        <v>219</v>
      </c>
      <c r="AI1315">
        <f>VLOOKUP(C1315,ALUMNOS!A:B,2,FALSE)</f>
        <v>481</v>
      </c>
    </row>
    <row r="1316" spans="3:35" x14ac:dyDescent="0.25">
      <c r="C1316">
        <v>46035116</v>
      </c>
      <c r="D1316" t="s">
        <v>488</v>
      </c>
      <c r="E1316" t="s">
        <v>16</v>
      </c>
      <c r="F1316" t="s">
        <v>98</v>
      </c>
      <c r="G1316" t="s">
        <v>43</v>
      </c>
      <c r="H1316">
        <v>2019</v>
      </c>
      <c r="I1316" t="s">
        <v>59</v>
      </c>
      <c r="J1316" t="s">
        <v>372</v>
      </c>
      <c r="L1316" t="s">
        <v>99</v>
      </c>
      <c r="AG1316">
        <f t="shared" si="20"/>
        <v>1</v>
      </c>
      <c r="AH1316">
        <f>'TABLA PREVIOS'!E1316</f>
        <v>224</v>
      </c>
      <c r="AI1316">
        <f>VLOOKUP(C1316,ALUMNOS!A:B,2,FALSE)</f>
        <v>492</v>
      </c>
    </row>
    <row r="1317" spans="3:35" x14ac:dyDescent="0.25">
      <c r="C1317">
        <v>46035116</v>
      </c>
      <c r="D1317" t="s">
        <v>488</v>
      </c>
      <c r="E1317" t="s">
        <v>10</v>
      </c>
      <c r="F1317" t="s">
        <v>95</v>
      </c>
      <c r="G1317" t="s">
        <v>43</v>
      </c>
      <c r="H1317">
        <v>2020</v>
      </c>
      <c r="I1317" t="s">
        <v>59</v>
      </c>
      <c r="L1317" t="s">
        <v>99</v>
      </c>
      <c r="AG1317">
        <f t="shared" si="20"/>
        <v>1</v>
      </c>
      <c r="AH1317">
        <f>'TABLA PREVIOS'!E1317</f>
        <v>228</v>
      </c>
      <c r="AI1317">
        <f>VLOOKUP(C1317,ALUMNOS!A:B,2,FALSE)</f>
        <v>492</v>
      </c>
    </row>
    <row r="1318" spans="3:35" x14ac:dyDescent="0.25">
      <c r="C1318">
        <v>46035116</v>
      </c>
      <c r="D1318" t="s">
        <v>488</v>
      </c>
      <c r="E1318" t="s">
        <v>11</v>
      </c>
      <c r="F1318" t="s">
        <v>143</v>
      </c>
      <c r="G1318" t="s">
        <v>43</v>
      </c>
      <c r="H1318">
        <v>2021</v>
      </c>
      <c r="I1318" t="s">
        <v>59</v>
      </c>
      <c r="K1318" t="s">
        <v>229</v>
      </c>
      <c r="L1318" t="s">
        <v>99</v>
      </c>
      <c r="AG1318">
        <f t="shared" si="20"/>
        <v>1</v>
      </c>
      <c r="AH1318">
        <f>'TABLA PREVIOS'!E1318</f>
        <v>239</v>
      </c>
      <c r="AI1318">
        <f>VLOOKUP(C1318,ALUMNOS!A:B,2,FALSE)</f>
        <v>492</v>
      </c>
    </row>
    <row r="1319" spans="3:35" x14ac:dyDescent="0.25">
      <c r="C1319">
        <v>47665558</v>
      </c>
      <c r="D1319" t="s">
        <v>489</v>
      </c>
      <c r="E1319" t="s">
        <v>16</v>
      </c>
      <c r="F1319" t="s">
        <v>143</v>
      </c>
      <c r="G1319" t="s">
        <v>43</v>
      </c>
      <c r="H1319">
        <v>2021</v>
      </c>
      <c r="I1319" t="s">
        <v>59</v>
      </c>
      <c r="L1319" t="s">
        <v>99</v>
      </c>
      <c r="AG1319">
        <f t="shared" si="20"/>
        <v>1</v>
      </c>
      <c r="AH1319">
        <f>'TABLA PREVIOS'!E1319</f>
        <v>245</v>
      </c>
      <c r="AI1319">
        <f>VLOOKUP(C1319,ALUMNOS!A:B,2,FALSE)</f>
        <v>500</v>
      </c>
    </row>
    <row r="1320" spans="3:35" x14ac:dyDescent="0.25">
      <c r="C1320">
        <v>47665558</v>
      </c>
      <c r="D1320" t="s">
        <v>489</v>
      </c>
      <c r="E1320" t="s">
        <v>29</v>
      </c>
      <c r="F1320" t="s">
        <v>190</v>
      </c>
      <c r="G1320" t="s">
        <v>43</v>
      </c>
      <c r="H1320">
        <v>2022</v>
      </c>
      <c r="I1320" t="s">
        <v>60</v>
      </c>
      <c r="L1320" t="s">
        <v>99</v>
      </c>
      <c r="AG1320">
        <f t="shared" si="20"/>
        <v>1</v>
      </c>
      <c r="AH1320">
        <f>'TABLA PREVIOS'!E1320</f>
        <v>259</v>
      </c>
      <c r="AI1320">
        <f>VLOOKUP(C1320,ALUMNOS!A:B,2,FALSE)</f>
        <v>500</v>
      </c>
    </row>
    <row r="1321" spans="3:35" x14ac:dyDescent="0.25">
      <c r="C1321">
        <v>47665558</v>
      </c>
      <c r="D1321" t="s">
        <v>489</v>
      </c>
      <c r="E1321" t="s">
        <v>12</v>
      </c>
      <c r="F1321" t="s">
        <v>220</v>
      </c>
      <c r="G1321" t="s">
        <v>43</v>
      </c>
      <c r="H1321">
        <v>2023</v>
      </c>
      <c r="I1321" t="s">
        <v>60</v>
      </c>
      <c r="L1321" t="s">
        <v>99</v>
      </c>
      <c r="AG1321">
        <f t="shared" si="20"/>
        <v>1</v>
      </c>
      <c r="AH1321">
        <f>'TABLA PREVIOS'!E1321</f>
        <v>265</v>
      </c>
      <c r="AI1321">
        <f>VLOOKUP(C1321,ALUMNOS!A:B,2,FALSE)</f>
        <v>500</v>
      </c>
    </row>
    <row r="1322" spans="3:35" x14ac:dyDescent="0.25">
      <c r="C1322">
        <v>47665558</v>
      </c>
      <c r="D1322" t="s">
        <v>489</v>
      </c>
      <c r="E1322" t="s">
        <v>29</v>
      </c>
      <c r="F1322" t="s">
        <v>220</v>
      </c>
      <c r="G1322" t="s">
        <v>43</v>
      </c>
      <c r="H1322">
        <v>2023</v>
      </c>
      <c r="I1322" t="s">
        <v>60</v>
      </c>
      <c r="L1322" t="s">
        <v>99</v>
      </c>
      <c r="AG1322">
        <f t="shared" si="20"/>
        <v>1</v>
      </c>
      <c r="AH1322">
        <f>'TABLA PREVIOS'!E1322</f>
        <v>273</v>
      </c>
      <c r="AI1322">
        <f>VLOOKUP(C1322,ALUMNOS!A:B,2,FALSE)</f>
        <v>500</v>
      </c>
    </row>
    <row r="1323" spans="3:35" x14ac:dyDescent="0.25">
      <c r="C1323">
        <v>46509096</v>
      </c>
      <c r="D1323" t="s">
        <v>490</v>
      </c>
      <c r="E1323" t="s">
        <v>30</v>
      </c>
      <c r="F1323" t="s">
        <v>190</v>
      </c>
      <c r="G1323" t="s">
        <v>43</v>
      </c>
      <c r="H1323">
        <v>2021</v>
      </c>
      <c r="I1323" t="s">
        <v>60</v>
      </c>
      <c r="K1323" t="s">
        <v>491</v>
      </c>
      <c r="L1323" t="s">
        <v>99</v>
      </c>
      <c r="AG1323">
        <f t="shared" si="20"/>
        <v>1</v>
      </c>
      <c r="AH1323">
        <f>'TABLA PREVIOS'!E1323</f>
        <v>260</v>
      </c>
      <c r="AI1323">
        <f>VLOOKUP(C1323,ALUMNOS!A:B,2,FALSE)</f>
        <v>502</v>
      </c>
    </row>
    <row r="1324" spans="3:35" x14ac:dyDescent="0.25">
      <c r="C1324">
        <v>46509096</v>
      </c>
      <c r="D1324" t="s">
        <v>490</v>
      </c>
      <c r="E1324" t="s">
        <v>32</v>
      </c>
      <c r="F1324" t="s">
        <v>190</v>
      </c>
      <c r="G1324" t="s">
        <v>43</v>
      </c>
      <c r="H1324">
        <v>2021</v>
      </c>
      <c r="I1324" t="s">
        <v>60</v>
      </c>
      <c r="K1324" t="s">
        <v>491</v>
      </c>
      <c r="L1324" t="s">
        <v>99</v>
      </c>
      <c r="AG1324">
        <f t="shared" si="20"/>
        <v>1</v>
      </c>
      <c r="AH1324">
        <f>'TABLA PREVIOS'!E1324</f>
        <v>262</v>
      </c>
      <c r="AI1324">
        <f>VLOOKUP(C1324,ALUMNOS!A:B,2,FALSE)</f>
        <v>502</v>
      </c>
    </row>
    <row r="1325" spans="3:35" x14ac:dyDescent="0.25">
      <c r="C1325">
        <v>46509096</v>
      </c>
      <c r="D1325" t="s">
        <v>490</v>
      </c>
      <c r="E1325" t="s">
        <v>21</v>
      </c>
      <c r="F1325" t="s">
        <v>190</v>
      </c>
      <c r="G1325" t="s">
        <v>43</v>
      </c>
      <c r="H1325">
        <v>2021</v>
      </c>
      <c r="I1325" t="s">
        <v>60</v>
      </c>
      <c r="L1325" t="s">
        <v>99</v>
      </c>
      <c r="AG1325">
        <f t="shared" si="20"/>
        <v>1</v>
      </c>
      <c r="AH1325">
        <f>'TABLA PREVIOS'!E1325</f>
        <v>253</v>
      </c>
      <c r="AI1325">
        <f>VLOOKUP(C1325,ALUMNOS!A:B,2,FALSE)</f>
        <v>502</v>
      </c>
    </row>
    <row r="1326" spans="3:35" x14ac:dyDescent="0.25">
      <c r="C1326">
        <v>46509096</v>
      </c>
      <c r="D1326" t="s">
        <v>490</v>
      </c>
      <c r="E1326" t="s">
        <v>31</v>
      </c>
      <c r="F1326" t="s">
        <v>190</v>
      </c>
      <c r="G1326" t="s">
        <v>43</v>
      </c>
      <c r="H1326">
        <v>2021</v>
      </c>
      <c r="I1326" t="s">
        <v>60</v>
      </c>
      <c r="K1326" t="s">
        <v>491</v>
      </c>
      <c r="L1326" t="s">
        <v>99</v>
      </c>
      <c r="AG1326">
        <f t="shared" si="20"/>
        <v>1</v>
      </c>
      <c r="AH1326">
        <f>'TABLA PREVIOS'!E1326</f>
        <v>261</v>
      </c>
      <c r="AI1326">
        <f>VLOOKUP(C1326,ALUMNOS!A:B,2,FALSE)</f>
        <v>502</v>
      </c>
    </row>
    <row r="1327" spans="3:35" x14ac:dyDescent="0.25">
      <c r="C1327">
        <v>46509096</v>
      </c>
      <c r="D1327" t="s">
        <v>490</v>
      </c>
      <c r="E1327" t="s">
        <v>26</v>
      </c>
      <c r="F1327" t="s">
        <v>190</v>
      </c>
      <c r="G1327" t="s">
        <v>43</v>
      </c>
      <c r="H1327">
        <v>2021</v>
      </c>
      <c r="I1327" t="s">
        <v>60</v>
      </c>
      <c r="L1327" t="s">
        <v>99</v>
      </c>
      <c r="AG1327">
        <f t="shared" si="20"/>
        <v>1</v>
      </c>
      <c r="AH1327">
        <f>'TABLA PREVIOS'!E1327</f>
        <v>254</v>
      </c>
      <c r="AI1327">
        <f>VLOOKUP(C1327,ALUMNOS!A:B,2,FALSE)</f>
        <v>502</v>
      </c>
    </row>
    <row r="1328" spans="3:35" x14ac:dyDescent="0.25">
      <c r="C1328">
        <v>46509096</v>
      </c>
      <c r="D1328" t="s">
        <v>490</v>
      </c>
      <c r="E1328" t="s">
        <v>27</v>
      </c>
      <c r="F1328" t="s">
        <v>190</v>
      </c>
      <c r="G1328" t="s">
        <v>43</v>
      </c>
      <c r="H1328">
        <v>2021</v>
      </c>
      <c r="I1328" t="s">
        <v>60</v>
      </c>
      <c r="L1328" t="s">
        <v>99</v>
      </c>
      <c r="AG1328">
        <f t="shared" si="20"/>
        <v>1</v>
      </c>
      <c r="AH1328">
        <f>'TABLA PREVIOS'!E1328</f>
        <v>255</v>
      </c>
      <c r="AI1328">
        <f>VLOOKUP(C1328,ALUMNOS!A:B,2,FALSE)</f>
        <v>502</v>
      </c>
    </row>
    <row r="1329" spans="3:35" x14ac:dyDescent="0.25">
      <c r="C1329">
        <v>46509096</v>
      </c>
      <c r="D1329" t="s">
        <v>490</v>
      </c>
      <c r="E1329" t="s">
        <v>29</v>
      </c>
      <c r="F1329" t="s">
        <v>190</v>
      </c>
      <c r="G1329" t="s">
        <v>43</v>
      </c>
      <c r="H1329">
        <v>2021</v>
      </c>
      <c r="I1329" t="s">
        <v>60</v>
      </c>
      <c r="K1329" t="s">
        <v>491</v>
      </c>
      <c r="L1329" t="s">
        <v>99</v>
      </c>
      <c r="AG1329">
        <f t="shared" si="20"/>
        <v>1</v>
      </c>
      <c r="AH1329">
        <f>'TABLA PREVIOS'!E1329</f>
        <v>259</v>
      </c>
      <c r="AI1329">
        <f>VLOOKUP(C1329,ALUMNOS!A:B,2,FALSE)</f>
        <v>502</v>
      </c>
    </row>
    <row r="1330" spans="3:35" x14ac:dyDescent="0.25">
      <c r="C1330">
        <v>45838458</v>
      </c>
      <c r="D1330" t="s">
        <v>492</v>
      </c>
      <c r="E1330" t="s">
        <v>16</v>
      </c>
      <c r="F1330" t="s">
        <v>95</v>
      </c>
      <c r="G1330" t="s">
        <v>43</v>
      </c>
      <c r="H1330">
        <v>2019</v>
      </c>
      <c r="I1330" t="s">
        <v>59</v>
      </c>
      <c r="J1330" t="s">
        <v>493</v>
      </c>
      <c r="L1330" t="s">
        <v>99</v>
      </c>
      <c r="AG1330">
        <f t="shared" si="20"/>
        <v>1</v>
      </c>
      <c r="AH1330">
        <f>'TABLA PREVIOS'!E1330</f>
        <v>234</v>
      </c>
      <c r="AI1330">
        <f>VLOOKUP(C1330,ALUMNOS!A:B,2,FALSE)</f>
        <v>514</v>
      </c>
    </row>
    <row r="1331" spans="3:35" x14ac:dyDescent="0.25">
      <c r="C1331">
        <v>45838458</v>
      </c>
      <c r="D1331" t="s">
        <v>492</v>
      </c>
      <c r="E1331" t="s">
        <v>16</v>
      </c>
      <c r="F1331" t="s">
        <v>143</v>
      </c>
      <c r="G1331" t="s">
        <v>43</v>
      </c>
      <c r="H1331">
        <v>2020</v>
      </c>
      <c r="I1331" t="s">
        <v>59</v>
      </c>
      <c r="J1331" t="s">
        <v>493</v>
      </c>
      <c r="L1331" t="s">
        <v>99</v>
      </c>
      <c r="AG1331">
        <f t="shared" si="20"/>
        <v>1</v>
      </c>
      <c r="AH1331">
        <f>'TABLA PREVIOS'!E1331</f>
        <v>245</v>
      </c>
      <c r="AI1331">
        <f>VLOOKUP(C1331,ALUMNOS!A:B,2,FALSE)</f>
        <v>514</v>
      </c>
    </row>
    <row r="1332" spans="3:35" x14ac:dyDescent="0.25">
      <c r="C1332">
        <v>45484423</v>
      </c>
      <c r="D1332" t="s">
        <v>494</v>
      </c>
      <c r="E1332" t="s">
        <v>27</v>
      </c>
      <c r="F1332" t="s">
        <v>143</v>
      </c>
      <c r="G1332" t="s">
        <v>43</v>
      </c>
      <c r="H1332">
        <v>2020</v>
      </c>
      <c r="I1332" t="s">
        <v>59</v>
      </c>
      <c r="J1332" t="s">
        <v>465</v>
      </c>
      <c r="L1332" t="s">
        <v>99</v>
      </c>
      <c r="AG1332">
        <f t="shared" si="20"/>
        <v>1</v>
      </c>
      <c r="AH1332">
        <f>'TABLA PREVIOS'!E1332</f>
        <v>244</v>
      </c>
      <c r="AI1332">
        <f>VLOOKUP(C1332,ALUMNOS!A:B,2,FALSE)</f>
        <v>517</v>
      </c>
    </row>
    <row r="1333" spans="3:35" x14ac:dyDescent="0.25">
      <c r="C1333">
        <v>45484423</v>
      </c>
      <c r="D1333" t="s">
        <v>494</v>
      </c>
      <c r="E1333" t="s">
        <v>16</v>
      </c>
      <c r="F1333" t="s">
        <v>143</v>
      </c>
      <c r="G1333" t="s">
        <v>43</v>
      </c>
      <c r="H1333">
        <v>2020</v>
      </c>
      <c r="I1333" t="s">
        <v>59</v>
      </c>
      <c r="J1333" t="s">
        <v>465</v>
      </c>
      <c r="L1333" t="s">
        <v>99</v>
      </c>
      <c r="AG1333">
        <f t="shared" si="20"/>
        <v>1</v>
      </c>
      <c r="AH1333">
        <f>'TABLA PREVIOS'!E1333</f>
        <v>245</v>
      </c>
      <c r="AI1333">
        <f>VLOOKUP(C1333,ALUMNOS!A:B,2,FALSE)</f>
        <v>517</v>
      </c>
    </row>
    <row r="1334" spans="3:35" x14ac:dyDescent="0.25">
      <c r="C1334">
        <v>49455830</v>
      </c>
      <c r="D1334" t="s">
        <v>495</v>
      </c>
      <c r="E1334" t="s">
        <v>12</v>
      </c>
      <c r="F1334" t="s">
        <v>98</v>
      </c>
      <c r="G1334" t="s">
        <v>43</v>
      </c>
      <c r="H1334">
        <v>2021</v>
      </c>
      <c r="I1334" t="s">
        <v>59</v>
      </c>
      <c r="L1334" t="s">
        <v>99</v>
      </c>
      <c r="AG1334">
        <f t="shared" si="20"/>
        <v>1</v>
      </c>
      <c r="AH1334">
        <f>'TABLA PREVIOS'!E1334</f>
        <v>220</v>
      </c>
      <c r="AI1334">
        <f>VLOOKUP(C1334,ALUMNOS!A:B,2,FALSE)</f>
        <v>527</v>
      </c>
    </row>
    <row r="1335" spans="3:35" x14ac:dyDescent="0.25">
      <c r="C1335">
        <v>47989277</v>
      </c>
      <c r="D1335" t="s">
        <v>496</v>
      </c>
      <c r="E1335" t="s">
        <v>12</v>
      </c>
      <c r="F1335" t="s">
        <v>143</v>
      </c>
      <c r="G1335" t="s">
        <v>43</v>
      </c>
      <c r="H1335">
        <v>2022</v>
      </c>
      <c r="I1335" t="s">
        <v>59</v>
      </c>
      <c r="L1335" t="s">
        <v>99</v>
      </c>
      <c r="AG1335">
        <f t="shared" si="20"/>
        <v>1</v>
      </c>
      <c r="AH1335">
        <f>'TABLA PREVIOS'!E1335</f>
        <v>240</v>
      </c>
      <c r="AI1335">
        <f>VLOOKUP(C1335,ALUMNOS!A:B,2,FALSE)</f>
        <v>531</v>
      </c>
    </row>
    <row r="1336" spans="3:35" x14ac:dyDescent="0.25">
      <c r="C1336">
        <v>46721862</v>
      </c>
      <c r="D1336" t="s">
        <v>497</v>
      </c>
      <c r="E1336" t="s">
        <v>31</v>
      </c>
      <c r="F1336" t="s">
        <v>190</v>
      </c>
      <c r="G1336" t="s">
        <v>43</v>
      </c>
      <c r="H1336">
        <v>2022</v>
      </c>
      <c r="I1336" t="s">
        <v>60</v>
      </c>
      <c r="J1336" t="s">
        <v>105</v>
      </c>
      <c r="L1336" t="s">
        <v>99</v>
      </c>
      <c r="AG1336">
        <f t="shared" si="20"/>
        <v>1</v>
      </c>
      <c r="AH1336">
        <f>'TABLA PREVIOS'!E1336</f>
        <v>261</v>
      </c>
      <c r="AI1336">
        <f>VLOOKUP(C1336,ALUMNOS!A:B,2,FALSE)</f>
        <v>544</v>
      </c>
    </row>
    <row r="1337" spans="3:35" x14ac:dyDescent="0.25">
      <c r="C1337">
        <v>46721862</v>
      </c>
      <c r="D1337" t="s">
        <v>497</v>
      </c>
      <c r="E1337" t="s">
        <v>16</v>
      </c>
      <c r="F1337" t="s">
        <v>190</v>
      </c>
      <c r="G1337" t="s">
        <v>43</v>
      </c>
      <c r="H1337">
        <v>2022</v>
      </c>
      <c r="I1337" t="s">
        <v>60</v>
      </c>
      <c r="L1337" t="s">
        <v>99</v>
      </c>
      <c r="AG1337">
        <f t="shared" si="20"/>
        <v>1</v>
      </c>
      <c r="AH1337">
        <f>'TABLA PREVIOS'!E1337</f>
        <v>256</v>
      </c>
      <c r="AI1337">
        <f>VLOOKUP(C1337,ALUMNOS!A:B,2,FALSE)</f>
        <v>544</v>
      </c>
    </row>
    <row r="1338" spans="3:35" x14ac:dyDescent="0.25">
      <c r="C1338">
        <v>30779913</v>
      </c>
      <c r="D1338" t="s">
        <v>498</v>
      </c>
      <c r="E1338" t="s">
        <v>499</v>
      </c>
      <c r="F1338" t="s">
        <v>143</v>
      </c>
      <c r="G1338" t="s">
        <v>43</v>
      </c>
      <c r="H1338">
        <v>2000</v>
      </c>
      <c r="I1338" t="s">
        <v>57</v>
      </c>
      <c r="L1338" t="s">
        <v>107</v>
      </c>
      <c r="M1338">
        <v>45411</v>
      </c>
      <c r="N1338">
        <v>8</v>
      </c>
      <c r="O1338">
        <v>68</v>
      </c>
      <c r="P1338">
        <v>40</v>
      </c>
      <c r="AG1338">
        <f t="shared" si="20"/>
        <v>8</v>
      </c>
      <c r="AH1338">
        <f>'TABLA PREVIOS'!E1338</f>
        <v>155</v>
      </c>
      <c r="AI1338">
        <f>VLOOKUP(C1338,ALUMNOS!A:B,2,FALSE)</f>
        <v>817</v>
      </c>
    </row>
    <row r="1339" spans="3:35" x14ac:dyDescent="0.25">
      <c r="C1339">
        <v>30779913</v>
      </c>
      <c r="D1339" t="s">
        <v>498</v>
      </c>
      <c r="E1339" t="s">
        <v>500</v>
      </c>
      <c r="F1339" t="s">
        <v>220</v>
      </c>
      <c r="G1339" t="s">
        <v>43</v>
      </c>
      <c r="H1339">
        <v>2002</v>
      </c>
      <c r="I1339" t="s">
        <v>58</v>
      </c>
      <c r="L1339" t="s">
        <v>107</v>
      </c>
      <c r="M1339">
        <v>45406</v>
      </c>
      <c r="N1339">
        <v>7</v>
      </c>
      <c r="O1339">
        <v>68</v>
      </c>
      <c r="P1339">
        <v>35</v>
      </c>
      <c r="AG1339">
        <f t="shared" si="20"/>
        <v>7</v>
      </c>
      <c r="AH1339">
        <f>'TABLA PREVIOS'!E1339</f>
        <v>187</v>
      </c>
      <c r="AI1339">
        <f>VLOOKUP(C1339,ALUMNOS!A:B,2,FALSE)</f>
        <v>817</v>
      </c>
    </row>
    <row r="1340" spans="3:35" x14ac:dyDescent="0.25">
      <c r="C1340">
        <v>30779913</v>
      </c>
      <c r="D1340" t="s">
        <v>498</v>
      </c>
      <c r="E1340" t="s">
        <v>25</v>
      </c>
      <c r="F1340" t="s">
        <v>245</v>
      </c>
      <c r="G1340" t="s">
        <v>43</v>
      </c>
      <c r="H1340">
        <v>2003</v>
      </c>
      <c r="I1340" t="s">
        <v>58</v>
      </c>
      <c r="L1340" t="s">
        <v>107</v>
      </c>
      <c r="M1340">
        <v>45401</v>
      </c>
      <c r="N1340">
        <v>7</v>
      </c>
      <c r="O1340">
        <v>68</v>
      </c>
      <c r="P1340">
        <v>23</v>
      </c>
      <c r="AG1340">
        <f t="shared" si="20"/>
        <v>7</v>
      </c>
      <c r="AH1340">
        <f>'TABLA PREVIOS'!E1340</f>
        <v>207</v>
      </c>
      <c r="AI1340">
        <f>VLOOKUP(C1340,ALUMNOS!A:B,2,FALSE)</f>
        <v>817</v>
      </c>
    </row>
    <row r="1341" spans="3:35" x14ac:dyDescent="0.25">
      <c r="C1341">
        <v>47250832</v>
      </c>
      <c r="D1341" t="s">
        <v>501</v>
      </c>
      <c r="E1341" t="s">
        <v>24</v>
      </c>
      <c r="F1341" t="s">
        <v>143</v>
      </c>
      <c r="G1341" t="s">
        <v>43</v>
      </c>
      <c r="H1341">
        <v>2020</v>
      </c>
      <c r="I1341" t="s">
        <v>59</v>
      </c>
      <c r="J1341" t="s">
        <v>111</v>
      </c>
      <c r="L1341" t="s">
        <v>99</v>
      </c>
      <c r="AG1341">
        <f t="shared" si="20"/>
        <v>1</v>
      </c>
      <c r="AH1341">
        <f>'TABLA PREVIOS'!E1341</f>
        <v>241</v>
      </c>
      <c r="AI1341">
        <f>VLOOKUP(C1341,ALUMNOS!A:B,2,FALSE)</f>
        <v>566</v>
      </c>
    </row>
    <row r="1342" spans="3:35" x14ac:dyDescent="0.25">
      <c r="C1342">
        <v>47250832</v>
      </c>
      <c r="D1342" t="s">
        <v>501</v>
      </c>
      <c r="E1342" t="s">
        <v>16</v>
      </c>
      <c r="F1342" t="s">
        <v>143</v>
      </c>
      <c r="G1342" t="s">
        <v>43</v>
      </c>
      <c r="H1342">
        <v>2020</v>
      </c>
      <c r="I1342" t="s">
        <v>59</v>
      </c>
      <c r="L1342" t="s">
        <v>99</v>
      </c>
      <c r="AG1342">
        <f t="shared" si="20"/>
        <v>1</v>
      </c>
      <c r="AH1342">
        <f>'TABLA PREVIOS'!E1342</f>
        <v>245</v>
      </c>
      <c r="AI1342">
        <f>VLOOKUP(C1342,ALUMNOS!A:B,2,FALSE)</f>
        <v>566</v>
      </c>
    </row>
    <row r="1343" spans="3:35" x14ac:dyDescent="0.25">
      <c r="C1343">
        <v>47250832</v>
      </c>
      <c r="D1343" t="s">
        <v>501</v>
      </c>
      <c r="E1343" t="s">
        <v>12</v>
      </c>
      <c r="F1343" t="s">
        <v>143</v>
      </c>
      <c r="G1343" t="s">
        <v>43</v>
      </c>
      <c r="H1343">
        <v>2020</v>
      </c>
      <c r="I1343" t="s">
        <v>59</v>
      </c>
      <c r="K1343" t="s">
        <v>502</v>
      </c>
      <c r="L1343" t="s">
        <v>99</v>
      </c>
      <c r="AG1343">
        <f t="shared" si="20"/>
        <v>1</v>
      </c>
      <c r="AH1343">
        <f>'TABLA PREVIOS'!E1343</f>
        <v>240</v>
      </c>
      <c r="AI1343">
        <f>VLOOKUP(C1343,ALUMNOS!A:B,2,FALSE)</f>
        <v>566</v>
      </c>
    </row>
    <row r="1344" spans="3:35" x14ac:dyDescent="0.25">
      <c r="C1344">
        <v>46035165</v>
      </c>
      <c r="D1344" t="s">
        <v>503</v>
      </c>
      <c r="E1344" t="s">
        <v>11</v>
      </c>
      <c r="F1344" t="s">
        <v>95</v>
      </c>
      <c r="G1344" t="s">
        <v>43</v>
      </c>
      <c r="H1344">
        <v>2020</v>
      </c>
      <c r="I1344" t="s">
        <v>59</v>
      </c>
      <c r="J1344" t="s">
        <v>485</v>
      </c>
      <c r="L1344" t="s">
        <v>99</v>
      </c>
      <c r="AG1344">
        <f t="shared" si="20"/>
        <v>1</v>
      </c>
      <c r="AH1344">
        <f>'TABLA PREVIOS'!E1344</f>
        <v>229</v>
      </c>
      <c r="AI1344">
        <f>VLOOKUP(C1344,ALUMNOS!A:B,2,FALSE)</f>
        <v>569</v>
      </c>
    </row>
    <row r="1345" spans="3:35" x14ac:dyDescent="0.25">
      <c r="C1345">
        <v>44657981</v>
      </c>
      <c r="D1345" t="s">
        <v>504</v>
      </c>
      <c r="E1345" t="s">
        <v>22</v>
      </c>
      <c r="F1345" t="s">
        <v>95</v>
      </c>
      <c r="G1345" t="s">
        <v>43</v>
      </c>
      <c r="H1345">
        <v>2019</v>
      </c>
      <c r="I1345" t="s">
        <v>59</v>
      </c>
      <c r="J1345" t="s">
        <v>505</v>
      </c>
      <c r="L1345" t="s">
        <v>99</v>
      </c>
      <c r="AG1345">
        <f t="shared" si="20"/>
        <v>1</v>
      </c>
      <c r="AH1345">
        <f>'TABLA PREVIOS'!E1345</f>
        <v>233</v>
      </c>
      <c r="AI1345">
        <f>VLOOKUP(C1345,ALUMNOS!A:B,2,FALSE)</f>
        <v>577</v>
      </c>
    </row>
    <row r="1346" spans="3:35" x14ac:dyDescent="0.25">
      <c r="C1346">
        <v>44657981</v>
      </c>
      <c r="D1346" t="s">
        <v>504</v>
      </c>
      <c r="E1346" t="s">
        <v>16</v>
      </c>
      <c r="F1346" t="s">
        <v>95</v>
      </c>
      <c r="G1346" t="s">
        <v>43</v>
      </c>
      <c r="H1346">
        <v>2019</v>
      </c>
      <c r="I1346" t="s">
        <v>59</v>
      </c>
      <c r="J1346" t="s">
        <v>505</v>
      </c>
      <c r="L1346" t="s">
        <v>99</v>
      </c>
      <c r="AG1346">
        <f t="shared" si="20"/>
        <v>1</v>
      </c>
      <c r="AH1346">
        <f>'TABLA PREVIOS'!E1346</f>
        <v>234</v>
      </c>
      <c r="AI1346">
        <f>VLOOKUP(C1346,ALUMNOS!A:B,2,FALSE)</f>
        <v>577</v>
      </c>
    </row>
    <row r="1347" spans="3:35" x14ac:dyDescent="0.25">
      <c r="C1347">
        <v>44657981</v>
      </c>
      <c r="D1347" t="s">
        <v>504</v>
      </c>
      <c r="E1347" t="s">
        <v>16</v>
      </c>
      <c r="F1347" t="s">
        <v>143</v>
      </c>
      <c r="G1347" t="s">
        <v>43</v>
      </c>
      <c r="H1347">
        <v>2020</v>
      </c>
      <c r="I1347" t="s">
        <v>59</v>
      </c>
      <c r="J1347" t="s">
        <v>505</v>
      </c>
      <c r="L1347" t="s">
        <v>99</v>
      </c>
      <c r="AG1347">
        <f t="shared" ref="AG1347:AG1406" si="21">IF(VALUE(MAX(N1347,R1347,V1347,Z1347,AC1347,))&gt;=7,VALUE(MAX(N1347,R1347,V1347,Z1347,AC1347,)),1)</f>
        <v>1</v>
      </c>
      <c r="AH1347">
        <f>'TABLA PREVIOS'!E1347</f>
        <v>245</v>
      </c>
      <c r="AI1347">
        <f>VLOOKUP(C1347,ALUMNOS!A:B,2,FALSE)</f>
        <v>577</v>
      </c>
    </row>
    <row r="1348" spans="3:35" x14ac:dyDescent="0.25">
      <c r="C1348">
        <v>48814891</v>
      </c>
      <c r="D1348" t="s">
        <v>506</v>
      </c>
      <c r="E1348" t="s">
        <v>16</v>
      </c>
      <c r="F1348" t="s">
        <v>95</v>
      </c>
      <c r="G1348" t="s">
        <v>43</v>
      </c>
      <c r="H1348">
        <v>2021</v>
      </c>
      <c r="I1348" t="s">
        <v>59</v>
      </c>
      <c r="J1348" t="s">
        <v>105</v>
      </c>
      <c r="L1348" t="s">
        <v>99</v>
      </c>
      <c r="AG1348">
        <f t="shared" si="21"/>
        <v>1</v>
      </c>
      <c r="AH1348">
        <f>'TABLA PREVIOS'!E1348</f>
        <v>234</v>
      </c>
      <c r="AI1348">
        <f>VLOOKUP(C1348,ALUMNOS!A:B,2,FALSE)</f>
        <v>583</v>
      </c>
    </row>
    <row r="1349" spans="3:35" x14ac:dyDescent="0.25">
      <c r="C1349">
        <v>48814891</v>
      </c>
      <c r="D1349" t="s">
        <v>506</v>
      </c>
      <c r="E1349" t="s">
        <v>12</v>
      </c>
      <c r="F1349" t="s">
        <v>95</v>
      </c>
      <c r="G1349" t="s">
        <v>43</v>
      </c>
      <c r="H1349">
        <v>2021</v>
      </c>
      <c r="I1349" t="s">
        <v>59</v>
      </c>
      <c r="L1349" t="s">
        <v>99</v>
      </c>
      <c r="AG1349">
        <f t="shared" si="21"/>
        <v>1</v>
      </c>
      <c r="AH1349">
        <f>'TABLA PREVIOS'!E1349</f>
        <v>230</v>
      </c>
      <c r="AI1349">
        <f>VLOOKUP(C1349,ALUMNOS!A:B,2,FALSE)</f>
        <v>583</v>
      </c>
    </row>
    <row r="1350" spans="3:35" x14ac:dyDescent="0.25">
      <c r="C1350">
        <v>47250873</v>
      </c>
      <c r="D1350" t="s">
        <v>507</v>
      </c>
      <c r="E1350" t="s">
        <v>11</v>
      </c>
      <c r="F1350" t="s">
        <v>98</v>
      </c>
      <c r="G1350" t="s">
        <v>43</v>
      </c>
      <c r="H1350">
        <v>2019</v>
      </c>
      <c r="I1350" t="s">
        <v>59</v>
      </c>
      <c r="J1350" t="s">
        <v>508</v>
      </c>
      <c r="L1350" t="s">
        <v>99</v>
      </c>
      <c r="AG1350">
        <f t="shared" si="21"/>
        <v>1</v>
      </c>
      <c r="AH1350">
        <f>'TABLA PREVIOS'!E1350</f>
        <v>219</v>
      </c>
      <c r="AI1350">
        <f>VLOOKUP(C1350,ALUMNOS!A:B,2,FALSE)</f>
        <v>591</v>
      </c>
    </row>
    <row r="1351" spans="3:35" x14ac:dyDescent="0.25">
      <c r="C1351">
        <v>47250873</v>
      </c>
      <c r="D1351" t="s">
        <v>507</v>
      </c>
      <c r="E1351" t="s">
        <v>12</v>
      </c>
      <c r="F1351" t="s">
        <v>143</v>
      </c>
      <c r="G1351" t="s">
        <v>43</v>
      </c>
      <c r="H1351">
        <v>2021</v>
      </c>
      <c r="I1351" t="s">
        <v>59</v>
      </c>
      <c r="L1351" t="s">
        <v>99</v>
      </c>
      <c r="AG1351">
        <f t="shared" si="21"/>
        <v>1</v>
      </c>
      <c r="AH1351">
        <f>'TABLA PREVIOS'!E1351</f>
        <v>240</v>
      </c>
      <c r="AI1351">
        <f>VLOOKUP(C1351,ALUMNOS!A:B,2,FALSE)</f>
        <v>591</v>
      </c>
    </row>
    <row r="1352" spans="3:35" x14ac:dyDescent="0.25">
      <c r="C1352">
        <v>47250867</v>
      </c>
      <c r="D1352" t="s">
        <v>509</v>
      </c>
      <c r="E1352" t="s">
        <v>26</v>
      </c>
      <c r="F1352" t="s">
        <v>143</v>
      </c>
      <c r="G1352" t="s">
        <v>43</v>
      </c>
      <c r="H1352">
        <v>2021</v>
      </c>
      <c r="I1352" t="s">
        <v>59</v>
      </c>
      <c r="J1352" t="s">
        <v>152</v>
      </c>
      <c r="L1352" t="s">
        <v>99</v>
      </c>
      <c r="AG1352">
        <f t="shared" si="21"/>
        <v>1</v>
      </c>
      <c r="AH1352">
        <f>'TABLA PREVIOS'!E1352</f>
        <v>243</v>
      </c>
      <c r="AI1352">
        <f>VLOOKUP(C1352,ALUMNOS!A:B,2,FALSE)</f>
        <v>587</v>
      </c>
    </row>
    <row r="1353" spans="3:35" x14ac:dyDescent="0.25">
      <c r="C1353">
        <v>47250867</v>
      </c>
      <c r="D1353" t="s">
        <v>509</v>
      </c>
      <c r="E1353" t="s">
        <v>27</v>
      </c>
      <c r="F1353" t="s">
        <v>143</v>
      </c>
      <c r="G1353" t="s">
        <v>43</v>
      </c>
      <c r="H1353">
        <v>2021</v>
      </c>
      <c r="I1353" t="s">
        <v>59</v>
      </c>
      <c r="L1353" t="s">
        <v>99</v>
      </c>
      <c r="AG1353">
        <f t="shared" si="21"/>
        <v>1</v>
      </c>
      <c r="AH1353">
        <f>'TABLA PREVIOS'!E1353</f>
        <v>244</v>
      </c>
      <c r="AI1353">
        <f>VLOOKUP(C1353,ALUMNOS!A:B,2,FALSE)</f>
        <v>587</v>
      </c>
    </row>
    <row r="1354" spans="3:35" x14ac:dyDescent="0.25">
      <c r="C1354">
        <v>47250867</v>
      </c>
      <c r="D1354" t="s">
        <v>509</v>
      </c>
      <c r="E1354" t="s">
        <v>12</v>
      </c>
      <c r="F1354" t="s">
        <v>143</v>
      </c>
      <c r="G1354" t="s">
        <v>43</v>
      </c>
      <c r="H1354">
        <v>2021</v>
      </c>
      <c r="I1354" t="s">
        <v>59</v>
      </c>
      <c r="L1354" t="s">
        <v>99</v>
      </c>
      <c r="AG1354">
        <f t="shared" si="21"/>
        <v>1</v>
      </c>
      <c r="AH1354">
        <f>'TABLA PREVIOS'!E1354</f>
        <v>240</v>
      </c>
      <c r="AI1354">
        <f>VLOOKUP(C1354,ALUMNOS!A:B,2,FALSE)</f>
        <v>587</v>
      </c>
    </row>
    <row r="1355" spans="3:35" x14ac:dyDescent="0.25">
      <c r="C1355">
        <v>46771568</v>
      </c>
      <c r="D1355" t="s">
        <v>510</v>
      </c>
      <c r="E1355" t="s">
        <v>16</v>
      </c>
      <c r="F1355" t="s">
        <v>95</v>
      </c>
      <c r="G1355" t="s">
        <v>43</v>
      </c>
      <c r="H1355">
        <v>2020</v>
      </c>
      <c r="I1355" t="s">
        <v>59</v>
      </c>
      <c r="L1355" t="s">
        <v>99</v>
      </c>
      <c r="AG1355">
        <f t="shared" si="21"/>
        <v>1</v>
      </c>
      <c r="AH1355">
        <f>'TABLA PREVIOS'!E1355</f>
        <v>234</v>
      </c>
      <c r="AI1355">
        <f>VLOOKUP(C1355,ALUMNOS!A:B,2,FALSE)</f>
        <v>599</v>
      </c>
    </row>
    <row r="1356" spans="3:35" x14ac:dyDescent="0.25">
      <c r="C1356">
        <v>46771568</v>
      </c>
      <c r="D1356" t="s">
        <v>510</v>
      </c>
      <c r="E1356" t="s">
        <v>12</v>
      </c>
      <c r="F1356" t="s">
        <v>95</v>
      </c>
      <c r="G1356" t="s">
        <v>43</v>
      </c>
      <c r="H1356">
        <v>2020</v>
      </c>
      <c r="I1356" t="s">
        <v>59</v>
      </c>
      <c r="J1356" t="s">
        <v>372</v>
      </c>
      <c r="L1356" t="s">
        <v>99</v>
      </c>
      <c r="AG1356">
        <f t="shared" si="21"/>
        <v>1</v>
      </c>
      <c r="AH1356">
        <f>'TABLA PREVIOS'!E1356</f>
        <v>230</v>
      </c>
      <c r="AI1356">
        <f>VLOOKUP(C1356,ALUMNOS!A:B,2,FALSE)</f>
        <v>599</v>
      </c>
    </row>
    <row r="1357" spans="3:35" x14ac:dyDescent="0.25">
      <c r="C1357">
        <v>46771568</v>
      </c>
      <c r="D1357" t="s">
        <v>510</v>
      </c>
      <c r="E1357" t="s">
        <v>16</v>
      </c>
      <c r="F1357" t="s">
        <v>143</v>
      </c>
      <c r="G1357" t="s">
        <v>43</v>
      </c>
      <c r="H1357">
        <v>2021</v>
      </c>
      <c r="I1357" t="s">
        <v>59</v>
      </c>
      <c r="K1357" t="s">
        <v>216</v>
      </c>
      <c r="L1357" t="s">
        <v>99</v>
      </c>
      <c r="AG1357">
        <f t="shared" si="21"/>
        <v>1</v>
      </c>
      <c r="AH1357">
        <f>'TABLA PREVIOS'!E1357</f>
        <v>245</v>
      </c>
      <c r="AI1357">
        <f>VLOOKUP(C1357,ALUMNOS!A:B,2,FALSE)</f>
        <v>599</v>
      </c>
    </row>
    <row r="1358" spans="3:35" x14ac:dyDescent="0.25">
      <c r="C1358">
        <v>50179729</v>
      </c>
      <c r="D1358" t="s">
        <v>511</v>
      </c>
      <c r="E1358" t="s">
        <v>14</v>
      </c>
      <c r="F1358" t="s">
        <v>98</v>
      </c>
      <c r="G1358" t="s">
        <v>43</v>
      </c>
      <c r="H1358">
        <v>2018</v>
      </c>
      <c r="I1358" t="s">
        <v>59</v>
      </c>
      <c r="J1358" t="s">
        <v>105</v>
      </c>
      <c r="L1358" t="s">
        <v>99</v>
      </c>
      <c r="AG1358">
        <f t="shared" si="21"/>
        <v>1</v>
      </c>
      <c r="AH1358">
        <f>'TABLA PREVIOS'!E1358</f>
        <v>222</v>
      </c>
      <c r="AI1358">
        <f>VLOOKUP(C1358,ALUMNOS!A:B,2,FALSE)</f>
        <v>604</v>
      </c>
    </row>
    <row r="1359" spans="3:35" x14ac:dyDescent="0.25">
      <c r="C1359">
        <v>50179729</v>
      </c>
      <c r="D1359" t="s">
        <v>511</v>
      </c>
      <c r="E1359" t="s">
        <v>27</v>
      </c>
      <c r="F1359" t="s">
        <v>143</v>
      </c>
      <c r="G1359" t="s">
        <v>43</v>
      </c>
      <c r="H1359">
        <v>2020</v>
      </c>
      <c r="I1359" t="s">
        <v>59</v>
      </c>
      <c r="L1359" t="s">
        <v>99</v>
      </c>
      <c r="AG1359">
        <f t="shared" si="21"/>
        <v>1</v>
      </c>
      <c r="AH1359">
        <f>'TABLA PREVIOS'!E1359</f>
        <v>244</v>
      </c>
      <c r="AI1359">
        <f>VLOOKUP(C1359,ALUMNOS!A:B,2,FALSE)</f>
        <v>604</v>
      </c>
    </row>
    <row r="1360" spans="3:35" x14ac:dyDescent="0.25">
      <c r="C1360">
        <v>45484429</v>
      </c>
      <c r="D1360" t="s">
        <v>512</v>
      </c>
      <c r="E1360" t="s">
        <v>30</v>
      </c>
      <c r="F1360" t="s">
        <v>190</v>
      </c>
      <c r="G1360" t="s">
        <v>43</v>
      </c>
      <c r="H1360">
        <v>2021</v>
      </c>
      <c r="I1360" t="s">
        <v>60</v>
      </c>
      <c r="J1360" t="s">
        <v>105</v>
      </c>
      <c r="K1360" t="s">
        <v>491</v>
      </c>
      <c r="L1360" t="s">
        <v>99</v>
      </c>
      <c r="AG1360">
        <f t="shared" si="21"/>
        <v>1</v>
      </c>
      <c r="AH1360">
        <f>'TABLA PREVIOS'!E1360</f>
        <v>260</v>
      </c>
      <c r="AI1360">
        <f>VLOOKUP(C1360,ALUMNOS!A:B,2,FALSE)</f>
        <v>618</v>
      </c>
    </row>
    <row r="1361" spans="3:35" x14ac:dyDescent="0.25">
      <c r="C1361">
        <v>45484429</v>
      </c>
      <c r="D1361" t="s">
        <v>512</v>
      </c>
      <c r="E1361" t="s">
        <v>32</v>
      </c>
      <c r="F1361" t="s">
        <v>190</v>
      </c>
      <c r="G1361" t="s">
        <v>43</v>
      </c>
      <c r="H1361">
        <v>2021</v>
      </c>
      <c r="I1361" t="s">
        <v>60</v>
      </c>
      <c r="K1361" t="s">
        <v>491</v>
      </c>
      <c r="L1361" t="s">
        <v>99</v>
      </c>
      <c r="AG1361">
        <f t="shared" si="21"/>
        <v>1</v>
      </c>
      <c r="AH1361">
        <f>'TABLA PREVIOS'!E1361</f>
        <v>262</v>
      </c>
      <c r="AI1361">
        <f>VLOOKUP(C1361,ALUMNOS!A:B,2,FALSE)</f>
        <v>618</v>
      </c>
    </row>
    <row r="1362" spans="3:35" x14ac:dyDescent="0.25">
      <c r="C1362">
        <v>45484429</v>
      </c>
      <c r="D1362" t="s">
        <v>512</v>
      </c>
      <c r="E1362" t="s">
        <v>21</v>
      </c>
      <c r="F1362" t="s">
        <v>190</v>
      </c>
      <c r="G1362" t="s">
        <v>43</v>
      </c>
      <c r="H1362">
        <v>2021</v>
      </c>
      <c r="I1362" t="s">
        <v>60</v>
      </c>
      <c r="L1362" t="s">
        <v>99</v>
      </c>
      <c r="AG1362">
        <f t="shared" si="21"/>
        <v>1</v>
      </c>
      <c r="AH1362">
        <f>'TABLA PREVIOS'!E1362</f>
        <v>253</v>
      </c>
      <c r="AI1362">
        <f>VLOOKUP(C1362,ALUMNOS!A:B,2,FALSE)</f>
        <v>618</v>
      </c>
    </row>
    <row r="1363" spans="3:35" x14ac:dyDescent="0.25">
      <c r="C1363">
        <v>45484429</v>
      </c>
      <c r="D1363" t="s">
        <v>512</v>
      </c>
      <c r="E1363" t="s">
        <v>31</v>
      </c>
      <c r="F1363" t="s">
        <v>190</v>
      </c>
      <c r="G1363" t="s">
        <v>43</v>
      </c>
      <c r="H1363">
        <v>2021</v>
      </c>
      <c r="I1363" t="s">
        <v>60</v>
      </c>
      <c r="K1363" t="s">
        <v>491</v>
      </c>
      <c r="L1363" t="s">
        <v>99</v>
      </c>
      <c r="AG1363">
        <f t="shared" si="21"/>
        <v>1</v>
      </c>
      <c r="AH1363">
        <f>'TABLA PREVIOS'!E1363</f>
        <v>261</v>
      </c>
      <c r="AI1363">
        <f>VLOOKUP(C1363,ALUMNOS!A:B,2,FALSE)</f>
        <v>618</v>
      </c>
    </row>
    <row r="1364" spans="3:35" x14ac:dyDescent="0.25">
      <c r="C1364">
        <v>45484429</v>
      </c>
      <c r="D1364" t="s">
        <v>512</v>
      </c>
      <c r="E1364" t="s">
        <v>12</v>
      </c>
      <c r="F1364" t="s">
        <v>190</v>
      </c>
      <c r="G1364" t="s">
        <v>43</v>
      </c>
      <c r="H1364">
        <v>2021</v>
      </c>
      <c r="I1364" t="s">
        <v>60</v>
      </c>
      <c r="L1364" t="s">
        <v>99</v>
      </c>
      <c r="AG1364">
        <f t="shared" si="21"/>
        <v>1</v>
      </c>
      <c r="AH1364">
        <f>'TABLA PREVIOS'!E1364</f>
        <v>252</v>
      </c>
      <c r="AI1364">
        <f>VLOOKUP(C1364,ALUMNOS!A:B,2,FALSE)</f>
        <v>618</v>
      </c>
    </row>
    <row r="1365" spans="3:35" x14ac:dyDescent="0.25">
      <c r="C1365">
        <v>45484429</v>
      </c>
      <c r="D1365" t="s">
        <v>512</v>
      </c>
      <c r="E1365" t="s">
        <v>29</v>
      </c>
      <c r="F1365" t="s">
        <v>190</v>
      </c>
      <c r="G1365" t="s">
        <v>43</v>
      </c>
      <c r="H1365">
        <v>2021</v>
      </c>
      <c r="I1365" t="s">
        <v>60</v>
      </c>
      <c r="K1365" t="s">
        <v>491</v>
      </c>
      <c r="L1365" t="s">
        <v>99</v>
      </c>
      <c r="AG1365">
        <f t="shared" si="21"/>
        <v>1</v>
      </c>
      <c r="AH1365">
        <f>'TABLA PREVIOS'!E1365</f>
        <v>259</v>
      </c>
      <c r="AI1365">
        <f>VLOOKUP(C1365,ALUMNOS!A:B,2,FALSE)</f>
        <v>618</v>
      </c>
    </row>
    <row r="1366" spans="3:35" x14ac:dyDescent="0.25">
      <c r="C1366">
        <v>45070707</v>
      </c>
      <c r="D1366" t="s">
        <v>513</v>
      </c>
      <c r="E1366" t="s">
        <v>21</v>
      </c>
      <c r="F1366" t="s">
        <v>95</v>
      </c>
      <c r="G1366" t="s">
        <v>43</v>
      </c>
      <c r="H1366">
        <v>2018</v>
      </c>
      <c r="I1366" t="s">
        <v>59</v>
      </c>
      <c r="J1366" t="s">
        <v>465</v>
      </c>
      <c r="L1366" t="s">
        <v>99</v>
      </c>
      <c r="AG1366">
        <f t="shared" si="21"/>
        <v>1</v>
      </c>
      <c r="AH1366">
        <f>'TABLA PREVIOS'!E1366</f>
        <v>232</v>
      </c>
      <c r="AI1366">
        <f>VLOOKUP(C1366,ALUMNOS!A:B,2,FALSE)</f>
        <v>638</v>
      </c>
    </row>
    <row r="1367" spans="3:35" x14ac:dyDescent="0.25">
      <c r="C1367">
        <v>45070707</v>
      </c>
      <c r="D1367" t="s">
        <v>513</v>
      </c>
      <c r="E1367" t="s">
        <v>24</v>
      </c>
      <c r="F1367" t="s">
        <v>143</v>
      </c>
      <c r="G1367" t="s">
        <v>43</v>
      </c>
      <c r="H1367">
        <v>2019</v>
      </c>
      <c r="I1367" t="s">
        <v>59</v>
      </c>
      <c r="J1367" t="s">
        <v>465</v>
      </c>
      <c r="L1367" t="s">
        <v>99</v>
      </c>
      <c r="AG1367">
        <f t="shared" si="21"/>
        <v>1</v>
      </c>
      <c r="AH1367">
        <f>'TABLA PREVIOS'!E1367</f>
        <v>241</v>
      </c>
      <c r="AI1367">
        <f>VLOOKUP(C1367,ALUMNOS!A:B,2,FALSE)</f>
        <v>638</v>
      </c>
    </row>
    <row r="1368" spans="3:35" x14ac:dyDescent="0.25">
      <c r="C1368">
        <v>45070707</v>
      </c>
      <c r="D1368" t="s">
        <v>513</v>
      </c>
      <c r="E1368" t="s">
        <v>16</v>
      </c>
      <c r="F1368" t="s">
        <v>143</v>
      </c>
      <c r="G1368" t="s">
        <v>43</v>
      </c>
      <c r="H1368">
        <v>2019</v>
      </c>
      <c r="I1368" t="s">
        <v>59</v>
      </c>
      <c r="J1368" t="s">
        <v>465</v>
      </c>
      <c r="L1368" t="s">
        <v>99</v>
      </c>
      <c r="AG1368">
        <f t="shared" si="21"/>
        <v>1</v>
      </c>
      <c r="AH1368">
        <f>'TABLA PREVIOS'!E1368</f>
        <v>245</v>
      </c>
      <c r="AI1368">
        <f>VLOOKUP(C1368,ALUMNOS!A:B,2,FALSE)</f>
        <v>638</v>
      </c>
    </row>
    <row r="1369" spans="3:35" x14ac:dyDescent="0.25">
      <c r="C1369">
        <v>47424761</v>
      </c>
      <c r="D1369" t="s">
        <v>514</v>
      </c>
      <c r="E1369" t="s">
        <v>11</v>
      </c>
      <c r="F1369" t="s">
        <v>98</v>
      </c>
      <c r="G1369" t="s">
        <v>43</v>
      </c>
      <c r="H1369">
        <v>2019</v>
      </c>
      <c r="I1369" t="s">
        <v>59</v>
      </c>
      <c r="J1369" t="s">
        <v>105</v>
      </c>
      <c r="L1369" t="s">
        <v>99</v>
      </c>
      <c r="AG1369">
        <f t="shared" si="21"/>
        <v>1</v>
      </c>
      <c r="AH1369">
        <f>'TABLA PREVIOS'!E1369</f>
        <v>219</v>
      </c>
      <c r="AI1369">
        <f>VLOOKUP(C1369,ALUMNOS!A:B,2,FALSE)</f>
        <v>645</v>
      </c>
    </row>
    <row r="1370" spans="3:35" x14ac:dyDescent="0.25">
      <c r="C1370">
        <v>47424761</v>
      </c>
      <c r="D1370" t="s">
        <v>514</v>
      </c>
      <c r="E1370" t="s">
        <v>23</v>
      </c>
      <c r="F1370" t="s">
        <v>95</v>
      </c>
      <c r="G1370" t="s">
        <v>43</v>
      </c>
      <c r="H1370">
        <v>2020</v>
      </c>
      <c r="I1370" t="s">
        <v>59</v>
      </c>
      <c r="L1370" t="s">
        <v>99</v>
      </c>
      <c r="AG1370">
        <f t="shared" si="21"/>
        <v>1</v>
      </c>
      <c r="AH1370">
        <f>'TABLA PREVIOS'!E1370</f>
        <v>235</v>
      </c>
      <c r="AI1370">
        <f>VLOOKUP(C1370,ALUMNOS!A:B,2,FALSE)</f>
        <v>645</v>
      </c>
    </row>
    <row r="1371" spans="3:35" x14ac:dyDescent="0.25">
      <c r="C1371">
        <v>47250879</v>
      </c>
      <c r="D1371" t="s">
        <v>515</v>
      </c>
      <c r="E1371" t="s">
        <v>12</v>
      </c>
      <c r="F1371" t="s">
        <v>143</v>
      </c>
      <c r="G1371" t="s">
        <v>43</v>
      </c>
      <c r="H1371">
        <v>2021</v>
      </c>
      <c r="I1371" t="s">
        <v>59</v>
      </c>
      <c r="J1371" t="s">
        <v>508</v>
      </c>
      <c r="K1371" t="s">
        <v>502</v>
      </c>
      <c r="L1371" t="s">
        <v>99</v>
      </c>
      <c r="AG1371">
        <f t="shared" si="21"/>
        <v>1</v>
      </c>
      <c r="AH1371">
        <f>'TABLA PREVIOS'!E1371</f>
        <v>240</v>
      </c>
      <c r="AI1371">
        <f>VLOOKUP(C1371,ALUMNOS!A:B,2,FALSE)</f>
        <v>652</v>
      </c>
    </row>
    <row r="1372" spans="3:35" x14ac:dyDescent="0.25">
      <c r="C1372">
        <v>46509056</v>
      </c>
      <c r="D1372" t="s">
        <v>516</v>
      </c>
      <c r="E1372" t="s">
        <v>14</v>
      </c>
      <c r="F1372" t="s">
        <v>98</v>
      </c>
      <c r="G1372" t="s">
        <v>43</v>
      </c>
      <c r="H1372">
        <v>2020</v>
      </c>
      <c r="I1372" t="s">
        <v>59</v>
      </c>
      <c r="J1372" t="s">
        <v>517</v>
      </c>
      <c r="L1372" t="s">
        <v>99</v>
      </c>
      <c r="AG1372">
        <f t="shared" si="21"/>
        <v>1</v>
      </c>
      <c r="AH1372">
        <f>'TABLA PREVIOS'!E1372</f>
        <v>222</v>
      </c>
      <c r="AI1372">
        <f>VLOOKUP(C1372,ALUMNOS!A:B,2,FALSE)</f>
        <v>661</v>
      </c>
    </row>
    <row r="1373" spans="3:35" x14ac:dyDescent="0.25">
      <c r="C1373">
        <v>46509056</v>
      </c>
      <c r="D1373" t="s">
        <v>516</v>
      </c>
      <c r="E1373" t="s">
        <v>12</v>
      </c>
      <c r="F1373" t="s">
        <v>98</v>
      </c>
      <c r="G1373" t="s">
        <v>43</v>
      </c>
      <c r="H1373">
        <v>2020</v>
      </c>
      <c r="I1373" t="s">
        <v>59</v>
      </c>
      <c r="J1373" t="s">
        <v>517</v>
      </c>
      <c r="K1373" t="s">
        <v>172</v>
      </c>
      <c r="L1373" t="s">
        <v>99</v>
      </c>
      <c r="AG1373">
        <f t="shared" si="21"/>
        <v>1</v>
      </c>
      <c r="AH1373">
        <f>'TABLA PREVIOS'!E1373</f>
        <v>220</v>
      </c>
      <c r="AI1373">
        <f>VLOOKUP(C1373,ALUMNOS!A:B,2,FALSE)</f>
        <v>661</v>
      </c>
    </row>
    <row r="1374" spans="3:35" x14ac:dyDescent="0.25">
      <c r="C1374">
        <v>46509056</v>
      </c>
      <c r="D1374" t="s">
        <v>516</v>
      </c>
      <c r="E1374" t="s">
        <v>12</v>
      </c>
      <c r="F1374" t="s">
        <v>95</v>
      </c>
      <c r="G1374" t="s">
        <v>43</v>
      </c>
      <c r="H1374">
        <v>2021</v>
      </c>
      <c r="I1374" t="s">
        <v>59</v>
      </c>
      <c r="J1374" t="s">
        <v>517</v>
      </c>
      <c r="L1374" t="s">
        <v>99</v>
      </c>
      <c r="AG1374">
        <f t="shared" si="21"/>
        <v>1</v>
      </c>
      <c r="AH1374">
        <f>'TABLA PREVIOS'!E1374</f>
        <v>230</v>
      </c>
      <c r="AI1374">
        <f>VLOOKUP(C1374,ALUMNOS!A:B,2,FALSE)</f>
        <v>661</v>
      </c>
    </row>
    <row r="1375" spans="3:35" x14ac:dyDescent="0.25">
      <c r="C1375">
        <v>46035154</v>
      </c>
      <c r="D1375" t="s">
        <v>518</v>
      </c>
      <c r="E1375" t="s">
        <v>28</v>
      </c>
      <c r="F1375" t="s">
        <v>143</v>
      </c>
      <c r="G1375" t="s">
        <v>43</v>
      </c>
      <c r="H1375">
        <v>2020</v>
      </c>
      <c r="I1375" t="s">
        <v>59</v>
      </c>
      <c r="J1375" t="s">
        <v>420</v>
      </c>
      <c r="L1375" t="s">
        <v>99</v>
      </c>
      <c r="AG1375">
        <f t="shared" si="21"/>
        <v>1</v>
      </c>
      <c r="AH1375">
        <f>'TABLA PREVIOS'!E1375</f>
        <v>249</v>
      </c>
      <c r="AI1375">
        <f>VLOOKUP(C1375,ALUMNOS!A:B,2,FALSE)</f>
        <v>672</v>
      </c>
    </row>
    <row r="1376" spans="3:35" x14ac:dyDescent="0.25">
      <c r="C1376">
        <v>45698127</v>
      </c>
      <c r="D1376" t="s">
        <v>519</v>
      </c>
      <c r="E1376" t="s">
        <v>15</v>
      </c>
      <c r="F1376" t="s">
        <v>98</v>
      </c>
      <c r="G1376" t="s">
        <v>43</v>
      </c>
      <c r="H1376">
        <v>2018</v>
      </c>
      <c r="I1376" t="s">
        <v>59</v>
      </c>
      <c r="J1376" t="s">
        <v>176</v>
      </c>
      <c r="L1376" t="s">
        <v>99</v>
      </c>
      <c r="AG1376">
        <f t="shared" si="21"/>
        <v>1</v>
      </c>
      <c r="AH1376">
        <f>'TABLA PREVIOS'!E1376</f>
        <v>223</v>
      </c>
      <c r="AI1376">
        <f>VLOOKUP(C1376,ALUMNOS!A:B,2,FALSE)</f>
        <v>678</v>
      </c>
    </row>
    <row r="1377" spans="1:35" x14ac:dyDescent="0.25">
      <c r="C1377">
        <v>45698127</v>
      </c>
      <c r="D1377" t="s">
        <v>519</v>
      </c>
      <c r="E1377" t="s">
        <v>12</v>
      </c>
      <c r="F1377" t="s">
        <v>98</v>
      </c>
      <c r="G1377" t="s">
        <v>43</v>
      </c>
      <c r="H1377">
        <v>2018</v>
      </c>
      <c r="I1377" t="s">
        <v>59</v>
      </c>
      <c r="J1377" t="s">
        <v>176</v>
      </c>
      <c r="L1377" t="s">
        <v>99</v>
      </c>
      <c r="AG1377">
        <f t="shared" si="21"/>
        <v>1</v>
      </c>
      <c r="AH1377">
        <f>'TABLA PREVIOS'!E1377</f>
        <v>220</v>
      </c>
      <c r="AI1377">
        <f>VLOOKUP(C1377,ALUMNOS!A:B,2,FALSE)</f>
        <v>678</v>
      </c>
    </row>
    <row r="1378" spans="1:35" x14ac:dyDescent="0.25">
      <c r="C1378">
        <v>47250849</v>
      </c>
      <c r="D1378" t="s">
        <v>520</v>
      </c>
      <c r="E1378" t="s">
        <v>16</v>
      </c>
      <c r="F1378" t="s">
        <v>95</v>
      </c>
      <c r="G1378" t="s">
        <v>43</v>
      </c>
      <c r="H1378">
        <v>2020</v>
      </c>
      <c r="I1378" t="s">
        <v>59</v>
      </c>
      <c r="J1378" t="s">
        <v>111</v>
      </c>
      <c r="L1378" t="s">
        <v>99</v>
      </c>
      <c r="AG1378">
        <f t="shared" si="21"/>
        <v>1</v>
      </c>
      <c r="AH1378">
        <f>'TABLA PREVIOS'!E1378</f>
        <v>234</v>
      </c>
      <c r="AI1378">
        <f>VLOOKUP(C1378,ALUMNOS!A:B,2,FALSE)</f>
        <v>680</v>
      </c>
    </row>
    <row r="1379" spans="1:35" x14ac:dyDescent="0.25">
      <c r="C1379">
        <v>47250849</v>
      </c>
      <c r="D1379" t="s">
        <v>520</v>
      </c>
      <c r="E1379" t="s">
        <v>16</v>
      </c>
      <c r="F1379" t="s">
        <v>143</v>
      </c>
      <c r="G1379" t="s">
        <v>43</v>
      </c>
      <c r="H1379">
        <v>2021</v>
      </c>
      <c r="I1379" t="s">
        <v>59</v>
      </c>
      <c r="L1379" t="s">
        <v>99</v>
      </c>
      <c r="AG1379">
        <f t="shared" si="21"/>
        <v>1</v>
      </c>
      <c r="AH1379">
        <f>'TABLA PREVIOS'!E1379</f>
        <v>245</v>
      </c>
      <c r="AI1379">
        <f>VLOOKUP(C1379,ALUMNOS!A:B,2,FALSE)</f>
        <v>680</v>
      </c>
    </row>
    <row r="1380" spans="1:35" x14ac:dyDescent="0.25">
      <c r="C1380">
        <v>44369814</v>
      </c>
      <c r="D1380" t="s">
        <v>521</v>
      </c>
      <c r="E1380" t="s">
        <v>16</v>
      </c>
      <c r="F1380" t="s">
        <v>143</v>
      </c>
      <c r="G1380" t="s">
        <v>43</v>
      </c>
      <c r="H1380">
        <v>2020</v>
      </c>
      <c r="I1380" t="s">
        <v>59</v>
      </c>
      <c r="J1380" t="s">
        <v>465</v>
      </c>
      <c r="L1380" t="s">
        <v>99</v>
      </c>
      <c r="AG1380">
        <f t="shared" si="21"/>
        <v>1</v>
      </c>
      <c r="AH1380">
        <f>'TABLA PREVIOS'!E1380</f>
        <v>245</v>
      </c>
      <c r="AI1380">
        <f>VLOOKUP(C1380,ALUMNOS!A:B,2,FALSE)</f>
        <v>688</v>
      </c>
    </row>
    <row r="1381" spans="1:35" x14ac:dyDescent="0.25">
      <c r="C1381">
        <v>44369814</v>
      </c>
      <c r="D1381" t="s">
        <v>521</v>
      </c>
      <c r="E1381" t="s">
        <v>12</v>
      </c>
      <c r="F1381" t="s">
        <v>143</v>
      </c>
      <c r="G1381" t="s">
        <v>43</v>
      </c>
      <c r="H1381">
        <v>2020</v>
      </c>
      <c r="I1381" t="s">
        <v>59</v>
      </c>
      <c r="J1381" t="s">
        <v>465</v>
      </c>
      <c r="L1381" t="s">
        <v>99</v>
      </c>
      <c r="AG1381">
        <f t="shared" si="21"/>
        <v>1</v>
      </c>
      <c r="AH1381">
        <f>'TABLA PREVIOS'!E1381</f>
        <v>240</v>
      </c>
      <c r="AI1381">
        <f>VLOOKUP(C1381,ALUMNOS!A:B,2,FALSE)</f>
        <v>688</v>
      </c>
    </row>
    <row r="1382" spans="1:35" x14ac:dyDescent="0.25">
      <c r="A1382" t="s">
        <v>353</v>
      </c>
      <c r="C1382">
        <v>45698153</v>
      </c>
      <c r="D1382" t="s">
        <v>522</v>
      </c>
      <c r="E1382" t="s">
        <v>21</v>
      </c>
      <c r="F1382" t="s">
        <v>95</v>
      </c>
      <c r="G1382" t="s">
        <v>43</v>
      </c>
      <c r="H1382">
        <v>2018</v>
      </c>
      <c r="I1382" t="s">
        <v>59</v>
      </c>
      <c r="L1382" t="s">
        <v>99</v>
      </c>
      <c r="AG1382">
        <f t="shared" si="21"/>
        <v>1</v>
      </c>
      <c r="AH1382">
        <f>'TABLA PREVIOS'!E1382</f>
        <v>232</v>
      </c>
      <c r="AI1382">
        <f>VLOOKUP(C1382,ALUMNOS!A:B,2,FALSE)</f>
        <v>689</v>
      </c>
    </row>
    <row r="1383" spans="1:35" x14ac:dyDescent="0.25">
      <c r="C1383">
        <v>48177631</v>
      </c>
      <c r="D1383" t="s">
        <v>523</v>
      </c>
      <c r="E1383" t="s">
        <v>10</v>
      </c>
      <c r="F1383" t="s">
        <v>143</v>
      </c>
      <c r="G1383" t="s">
        <v>43</v>
      </c>
      <c r="H1383">
        <v>2022</v>
      </c>
      <c r="I1383" t="s">
        <v>59</v>
      </c>
      <c r="J1383" t="s">
        <v>105</v>
      </c>
      <c r="L1383" t="s">
        <v>99</v>
      </c>
      <c r="AG1383">
        <f t="shared" si="21"/>
        <v>1</v>
      </c>
      <c r="AH1383">
        <f>'TABLA PREVIOS'!E1383</f>
        <v>238</v>
      </c>
      <c r="AI1383">
        <f>VLOOKUP(C1383,ALUMNOS!A:B,2,FALSE)</f>
        <v>691</v>
      </c>
    </row>
    <row r="1384" spans="1:35" x14ac:dyDescent="0.25">
      <c r="C1384">
        <v>48177631</v>
      </c>
      <c r="D1384" t="s">
        <v>523</v>
      </c>
      <c r="E1384" t="s">
        <v>11</v>
      </c>
      <c r="F1384" t="s">
        <v>143</v>
      </c>
      <c r="G1384" t="s">
        <v>43</v>
      </c>
      <c r="H1384">
        <v>2022</v>
      </c>
      <c r="I1384" t="s">
        <v>59</v>
      </c>
      <c r="L1384" t="s">
        <v>99</v>
      </c>
      <c r="AG1384">
        <f t="shared" si="21"/>
        <v>1</v>
      </c>
      <c r="AH1384">
        <f>'TABLA PREVIOS'!E1384</f>
        <v>239</v>
      </c>
      <c r="AI1384">
        <f>VLOOKUP(C1384,ALUMNOS!A:B,2,FALSE)</f>
        <v>691</v>
      </c>
    </row>
    <row r="1385" spans="1:35" x14ac:dyDescent="0.25">
      <c r="C1385">
        <v>44974383</v>
      </c>
      <c r="D1385" t="s">
        <v>524</v>
      </c>
      <c r="E1385" t="s">
        <v>16</v>
      </c>
      <c r="F1385" t="s">
        <v>98</v>
      </c>
      <c r="G1385" t="s">
        <v>43</v>
      </c>
      <c r="H1385">
        <v>2017</v>
      </c>
      <c r="I1385" t="s">
        <v>59</v>
      </c>
      <c r="J1385" t="s">
        <v>525</v>
      </c>
      <c r="L1385" t="s">
        <v>99</v>
      </c>
      <c r="AG1385">
        <f t="shared" si="21"/>
        <v>1</v>
      </c>
      <c r="AH1385">
        <f>'TABLA PREVIOS'!E1385</f>
        <v>224</v>
      </c>
      <c r="AI1385">
        <f>VLOOKUP(C1385,ALUMNOS!A:B,2,FALSE)</f>
        <v>704</v>
      </c>
    </row>
    <row r="1386" spans="1:35" x14ac:dyDescent="0.25">
      <c r="C1386">
        <v>44974383</v>
      </c>
      <c r="D1386" t="s">
        <v>524</v>
      </c>
      <c r="E1386" t="s">
        <v>11</v>
      </c>
      <c r="F1386" t="s">
        <v>190</v>
      </c>
      <c r="G1386" t="s">
        <v>43</v>
      </c>
      <c r="H1386">
        <v>2020</v>
      </c>
      <c r="I1386" t="s">
        <v>60</v>
      </c>
      <c r="J1386" t="s">
        <v>525</v>
      </c>
      <c r="L1386" t="s">
        <v>99</v>
      </c>
      <c r="AG1386">
        <f t="shared" si="21"/>
        <v>1</v>
      </c>
      <c r="AH1386">
        <f>'TABLA PREVIOS'!E1386</f>
        <v>251</v>
      </c>
      <c r="AI1386">
        <f>VLOOKUP(C1386,ALUMNOS!A:B,2,FALSE)</f>
        <v>704</v>
      </c>
    </row>
    <row r="1387" spans="1:35" x14ac:dyDescent="0.25">
      <c r="C1387">
        <v>44974383</v>
      </c>
      <c r="D1387" t="s">
        <v>524</v>
      </c>
      <c r="E1387" t="s">
        <v>29</v>
      </c>
      <c r="F1387" t="s">
        <v>190</v>
      </c>
      <c r="G1387" t="s">
        <v>43</v>
      </c>
      <c r="H1387">
        <v>2020</v>
      </c>
      <c r="I1387" t="s">
        <v>60</v>
      </c>
      <c r="J1387" t="s">
        <v>525</v>
      </c>
      <c r="L1387" t="s">
        <v>99</v>
      </c>
      <c r="AG1387">
        <f t="shared" si="21"/>
        <v>1</v>
      </c>
      <c r="AH1387">
        <f>'TABLA PREVIOS'!E1387</f>
        <v>259</v>
      </c>
      <c r="AI1387">
        <f>VLOOKUP(C1387,ALUMNOS!A:B,2,FALSE)</f>
        <v>704</v>
      </c>
    </row>
    <row r="1388" spans="1:35" x14ac:dyDescent="0.25">
      <c r="C1388">
        <v>48130234</v>
      </c>
      <c r="D1388" t="s">
        <v>526</v>
      </c>
      <c r="E1388" t="s">
        <v>20</v>
      </c>
      <c r="F1388" t="s">
        <v>95</v>
      </c>
      <c r="G1388" t="s">
        <v>43</v>
      </c>
      <c r="H1388">
        <v>2022</v>
      </c>
      <c r="I1388" t="s">
        <v>59</v>
      </c>
      <c r="L1388" t="s">
        <v>99</v>
      </c>
      <c r="AG1388">
        <f t="shared" si="21"/>
        <v>1</v>
      </c>
      <c r="AH1388">
        <f>'TABLA PREVIOS'!E1388</f>
        <v>231</v>
      </c>
      <c r="AI1388">
        <f>VLOOKUP(C1388,ALUMNOS!A:B,2,FALSE)</f>
        <v>707</v>
      </c>
    </row>
    <row r="1389" spans="1:35" x14ac:dyDescent="0.25">
      <c r="C1389">
        <v>48130234</v>
      </c>
      <c r="D1389" t="s">
        <v>526</v>
      </c>
      <c r="E1389" t="s">
        <v>22</v>
      </c>
      <c r="F1389" t="s">
        <v>95</v>
      </c>
      <c r="G1389" t="s">
        <v>43</v>
      </c>
      <c r="H1389">
        <v>2022</v>
      </c>
      <c r="I1389" t="s">
        <v>59</v>
      </c>
      <c r="L1389" t="s">
        <v>99</v>
      </c>
      <c r="AG1389">
        <f t="shared" si="21"/>
        <v>1</v>
      </c>
      <c r="AH1389">
        <f>'TABLA PREVIOS'!E1389</f>
        <v>233</v>
      </c>
      <c r="AI1389">
        <f>VLOOKUP(C1389,ALUMNOS!A:B,2,FALSE)</f>
        <v>707</v>
      </c>
    </row>
    <row r="1390" spans="1:35" x14ac:dyDescent="0.25">
      <c r="C1390">
        <v>48130234</v>
      </c>
      <c r="D1390" t="s">
        <v>526</v>
      </c>
      <c r="E1390" t="s">
        <v>16</v>
      </c>
      <c r="F1390" t="s">
        <v>95</v>
      </c>
      <c r="G1390" t="s">
        <v>43</v>
      </c>
      <c r="H1390">
        <v>2022</v>
      </c>
      <c r="I1390" t="s">
        <v>59</v>
      </c>
      <c r="L1390" t="s">
        <v>99</v>
      </c>
      <c r="AG1390">
        <f t="shared" si="21"/>
        <v>1</v>
      </c>
      <c r="AH1390">
        <f>'TABLA PREVIOS'!E1390</f>
        <v>234</v>
      </c>
      <c r="AI1390">
        <f>VLOOKUP(C1390,ALUMNOS!A:B,2,FALSE)</f>
        <v>707</v>
      </c>
    </row>
    <row r="1391" spans="1:35" x14ac:dyDescent="0.25">
      <c r="C1391">
        <v>48130234</v>
      </c>
      <c r="D1391" t="s">
        <v>526</v>
      </c>
      <c r="E1391" t="s">
        <v>11</v>
      </c>
      <c r="F1391" t="s">
        <v>95</v>
      </c>
      <c r="G1391" t="s">
        <v>43</v>
      </c>
      <c r="H1391">
        <v>2022</v>
      </c>
      <c r="I1391" t="s">
        <v>59</v>
      </c>
      <c r="L1391" t="s">
        <v>99</v>
      </c>
      <c r="AG1391">
        <f t="shared" si="21"/>
        <v>1</v>
      </c>
      <c r="AH1391">
        <f>'TABLA PREVIOS'!E1391</f>
        <v>229</v>
      </c>
      <c r="AI1391">
        <f>VLOOKUP(C1391,ALUMNOS!A:B,2,FALSE)</f>
        <v>707</v>
      </c>
    </row>
    <row r="1392" spans="1:35" x14ac:dyDescent="0.25">
      <c r="C1392">
        <v>45698157</v>
      </c>
      <c r="D1392" t="s">
        <v>527</v>
      </c>
      <c r="E1392" t="s">
        <v>16</v>
      </c>
      <c r="F1392" t="s">
        <v>95</v>
      </c>
      <c r="G1392" t="s">
        <v>43</v>
      </c>
      <c r="H1392">
        <v>2019</v>
      </c>
      <c r="I1392" t="s">
        <v>59</v>
      </c>
      <c r="J1392" t="s">
        <v>372</v>
      </c>
      <c r="L1392" t="s">
        <v>99</v>
      </c>
      <c r="AG1392">
        <f t="shared" si="21"/>
        <v>1</v>
      </c>
      <c r="AH1392">
        <f>'TABLA PREVIOS'!E1392</f>
        <v>234</v>
      </c>
      <c r="AI1392">
        <f>VLOOKUP(C1392,ALUMNOS!A:B,2,FALSE)</f>
        <v>735</v>
      </c>
    </row>
    <row r="1393" spans="3:35" x14ac:dyDescent="0.25">
      <c r="C1393">
        <v>45698157</v>
      </c>
      <c r="D1393" t="s">
        <v>527</v>
      </c>
      <c r="E1393" t="s">
        <v>16</v>
      </c>
      <c r="F1393" t="s">
        <v>143</v>
      </c>
      <c r="G1393" t="s">
        <v>43</v>
      </c>
      <c r="H1393">
        <v>2020</v>
      </c>
      <c r="I1393" t="s">
        <v>59</v>
      </c>
      <c r="J1393" t="s">
        <v>372</v>
      </c>
      <c r="L1393" t="s">
        <v>99</v>
      </c>
      <c r="AG1393">
        <f t="shared" si="21"/>
        <v>1</v>
      </c>
      <c r="AH1393">
        <f>'TABLA PREVIOS'!E1393</f>
        <v>245</v>
      </c>
      <c r="AI1393">
        <f>VLOOKUP(C1393,ALUMNOS!A:B,2,FALSE)</f>
        <v>735</v>
      </c>
    </row>
    <row r="1394" spans="3:35" x14ac:dyDescent="0.25">
      <c r="C1394">
        <v>46506642</v>
      </c>
      <c r="D1394" t="s">
        <v>528</v>
      </c>
      <c r="E1394" t="s">
        <v>11</v>
      </c>
      <c r="F1394" t="s">
        <v>95</v>
      </c>
      <c r="G1394" t="s">
        <v>43</v>
      </c>
      <c r="H1394">
        <v>2019</v>
      </c>
      <c r="I1394" t="s">
        <v>59</v>
      </c>
      <c r="J1394" t="s">
        <v>473</v>
      </c>
      <c r="L1394" t="s">
        <v>99</v>
      </c>
      <c r="AG1394">
        <f t="shared" si="21"/>
        <v>1</v>
      </c>
      <c r="AH1394">
        <f>'TABLA PREVIOS'!E1394</f>
        <v>229</v>
      </c>
      <c r="AI1394">
        <f>VLOOKUP(C1394,ALUMNOS!A:B,2,FALSE)</f>
        <v>746</v>
      </c>
    </row>
    <row r="1395" spans="3:35" x14ac:dyDescent="0.25">
      <c r="C1395">
        <v>46506642</v>
      </c>
      <c r="D1395" t="s">
        <v>528</v>
      </c>
      <c r="E1395" t="s">
        <v>30</v>
      </c>
      <c r="F1395" t="s">
        <v>190</v>
      </c>
      <c r="G1395" t="s">
        <v>43</v>
      </c>
      <c r="H1395">
        <v>2021</v>
      </c>
      <c r="I1395" t="s">
        <v>60</v>
      </c>
      <c r="J1395" t="s">
        <v>473</v>
      </c>
      <c r="L1395" t="s">
        <v>99</v>
      </c>
      <c r="AG1395">
        <f t="shared" si="21"/>
        <v>1</v>
      </c>
      <c r="AH1395">
        <f>'TABLA PREVIOS'!E1395</f>
        <v>260</v>
      </c>
      <c r="AI1395">
        <f>VLOOKUP(C1395,ALUMNOS!A:B,2,FALSE)</f>
        <v>746</v>
      </c>
    </row>
    <row r="1396" spans="3:35" x14ac:dyDescent="0.25">
      <c r="C1396">
        <v>46506642</v>
      </c>
      <c r="D1396" t="s">
        <v>528</v>
      </c>
      <c r="E1396" t="s">
        <v>32</v>
      </c>
      <c r="F1396" t="s">
        <v>190</v>
      </c>
      <c r="G1396" t="s">
        <v>43</v>
      </c>
      <c r="H1396">
        <v>2021</v>
      </c>
      <c r="I1396" t="s">
        <v>60</v>
      </c>
      <c r="J1396" t="s">
        <v>473</v>
      </c>
      <c r="L1396" t="s">
        <v>99</v>
      </c>
      <c r="AG1396">
        <f t="shared" si="21"/>
        <v>1</v>
      </c>
      <c r="AH1396">
        <f>'TABLA PREVIOS'!E1396</f>
        <v>262</v>
      </c>
      <c r="AI1396">
        <f>VLOOKUP(C1396,ALUMNOS!A:B,2,FALSE)</f>
        <v>746</v>
      </c>
    </row>
    <row r="1397" spans="3:35" x14ac:dyDescent="0.25">
      <c r="C1397">
        <v>46506642</v>
      </c>
      <c r="D1397" t="s">
        <v>528</v>
      </c>
      <c r="E1397" t="s">
        <v>31</v>
      </c>
      <c r="F1397" t="s">
        <v>190</v>
      </c>
      <c r="G1397" t="s">
        <v>43</v>
      </c>
      <c r="H1397">
        <v>2021</v>
      </c>
      <c r="I1397" t="s">
        <v>60</v>
      </c>
      <c r="J1397" t="s">
        <v>473</v>
      </c>
      <c r="L1397" t="s">
        <v>99</v>
      </c>
      <c r="AG1397">
        <f t="shared" si="21"/>
        <v>1</v>
      </c>
      <c r="AH1397">
        <f>'TABLA PREVIOS'!E1397</f>
        <v>261</v>
      </c>
      <c r="AI1397">
        <f>VLOOKUP(C1397,ALUMNOS!A:B,2,FALSE)</f>
        <v>746</v>
      </c>
    </row>
    <row r="1398" spans="3:35" x14ac:dyDescent="0.25">
      <c r="C1398">
        <v>46506642</v>
      </c>
      <c r="D1398" t="s">
        <v>528</v>
      </c>
      <c r="E1398" t="s">
        <v>11</v>
      </c>
      <c r="F1398" t="s">
        <v>190</v>
      </c>
      <c r="G1398" t="s">
        <v>43</v>
      </c>
      <c r="H1398">
        <v>2021</v>
      </c>
      <c r="I1398" t="s">
        <v>60</v>
      </c>
      <c r="J1398" t="s">
        <v>473</v>
      </c>
      <c r="L1398" t="s">
        <v>99</v>
      </c>
      <c r="AG1398">
        <f t="shared" si="21"/>
        <v>1</v>
      </c>
      <c r="AH1398">
        <f>'TABLA PREVIOS'!E1398</f>
        <v>251</v>
      </c>
      <c r="AI1398">
        <f>VLOOKUP(C1398,ALUMNOS!A:B,2,FALSE)</f>
        <v>746</v>
      </c>
    </row>
    <row r="1399" spans="3:35" x14ac:dyDescent="0.25">
      <c r="C1399">
        <v>46506642</v>
      </c>
      <c r="D1399" t="s">
        <v>528</v>
      </c>
      <c r="E1399" t="s">
        <v>29</v>
      </c>
      <c r="F1399" t="s">
        <v>190</v>
      </c>
      <c r="G1399" t="s">
        <v>43</v>
      </c>
      <c r="H1399">
        <v>2021</v>
      </c>
      <c r="I1399" t="s">
        <v>60</v>
      </c>
      <c r="J1399" t="s">
        <v>473</v>
      </c>
      <c r="K1399" t="s">
        <v>529</v>
      </c>
      <c r="L1399" t="s">
        <v>99</v>
      </c>
      <c r="AG1399">
        <f t="shared" si="21"/>
        <v>1</v>
      </c>
      <c r="AH1399">
        <f>'TABLA PREVIOS'!E1399</f>
        <v>259</v>
      </c>
      <c r="AI1399">
        <f>VLOOKUP(C1399,ALUMNOS!A:B,2,FALSE)</f>
        <v>746</v>
      </c>
    </row>
    <row r="1400" spans="3:35" x14ac:dyDescent="0.25">
      <c r="C1400">
        <v>48545342</v>
      </c>
      <c r="D1400" t="s">
        <v>530</v>
      </c>
      <c r="E1400" t="s">
        <v>17</v>
      </c>
      <c r="F1400" t="s">
        <v>98</v>
      </c>
      <c r="G1400" t="s">
        <v>43</v>
      </c>
      <c r="H1400">
        <v>2021</v>
      </c>
      <c r="I1400" t="s">
        <v>59</v>
      </c>
      <c r="L1400" t="s">
        <v>99</v>
      </c>
      <c r="AG1400">
        <f t="shared" si="21"/>
        <v>1</v>
      </c>
      <c r="AH1400">
        <f>'TABLA PREVIOS'!E1400</f>
        <v>225</v>
      </c>
      <c r="AI1400">
        <f>VLOOKUP(C1400,ALUMNOS!A:B,2,FALSE)</f>
        <v>749</v>
      </c>
    </row>
    <row r="1401" spans="3:35" x14ac:dyDescent="0.25">
      <c r="C1401">
        <v>48545342</v>
      </c>
      <c r="D1401" t="s">
        <v>530</v>
      </c>
      <c r="E1401" t="s">
        <v>10</v>
      </c>
      <c r="F1401" t="s">
        <v>98</v>
      </c>
      <c r="G1401" t="s">
        <v>43</v>
      </c>
      <c r="H1401">
        <v>2021</v>
      </c>
      <c r="I1401" t="s">
        <v>59</v>
      </c>
      <c r="L1401" t="s">
        <v>99</v>
      </c>
      <c r="AG1401">
        <f t="shared" si="21"/>
        <v>1</v>
      </c>
      <c r="AH1401">
        <f>'TABLA PREVIOS'!E1401</f>
        <v>218</v>
      </c>
      <c r="AI1401">
        <f>VLOOKUP(C1401,ALUMNOS!A:B,2,FALSE)</f>
        <v>749</v>
      </c>
    </row>
    <row r="1402" spans="3:35" x14ac:dyDescent="0.25">
      <c r="C1402">
        <v>48545342</v>
      </c>
      <c r="D1402" t="s">
        <v>530</v>
      </c>
      <c r="E1402" t="s">
        <v>16</v>
      </c>
      <c r="F1402" t="s">
        <v>98</v>
      </c>
      <c r="G1402" t="s">
        <v>43</v>
      </c>
      <c r="H1402">
        <v>2021</v>
      </c>
      <c r="I1402" t="s">
        <v>59</v>
      </c>
      <c r="L1402" t="s">
        <v>99</v>
      </c>
      <c r="AG1402">
        <f t="shared" si="21"/>
        <v>1</v>
      </c>
      <c r="AH1402">
        <f>'TABLA PREVIOS'!E1402</f>
        <v>224</v>
      </c>
      <c r="AI1402">
        <f>VLOOKUP(C1402,ALUMNOS!A:B,2,FALSE)</f>
        <v>749</v>
      </c>
    </row>
    <row r="1403" spans="3:35" x14ac:dyDescent="0.25">
      <c r="C1403">
        <v>47665568</v>
      </c>
      <c r="D1403" t="s">
        <v>531</v>
      </c>
      <c r="E1403" t="s">
        <v>16</v>
      </c>
      <c r="F1403" t="s">
        <v>95</v>
      </c>
      <c r="G1403" t="s">
        <v>43</v>
      </c>
      <c r="H1403">
        <v>2020</v>
      </c>
      <c r="I1403" t="s">
        <v>59</v>
      </c>
      <c r="L1403" t="s">
        <v>99</v>
      </c>
      <c r="AG1403">
        <f t="shared" si="21"/>
        <v>1</v>
      </c>
      <c r="AH1403">
        <f>'TABLA PREVIOS'!E1403</f>
        <v>234</v>
      </c>
      <c r="AI1403">
        <f>VLOOKUP(C1403,ALUMNOS!A:B,2,FALSE)</f>
        <v>767</v>
      </c>
    </row>
    <row r="1404" spans="3:35" x14ac:dyDescent="0.25">
      <c r="C1404">
        <v>47665568</v>
      </c>
      <c r="D1404" t="s">
        <v>531</v>
      </c>
      <c r="E1404" t="s">
        <v>16</v>
      </c>
      <c r="F1404" t="s">
        <v>143</v>
      </c>
      <c r="G1404" t="s">
        <v>43</v>
      </c>
      <c r="H1404">
        <v>2021</v>
      </c>
      <c r="I1404" t="s">
        <v>59</v>
      </c>
      <c r="L1404" t="s">
        <v>99</v>
      </c>
      <c r="AG1404">
        <f t="shared" si="21"/>
        <v>1</v>
      </c>
      <c r="AH1404">
        <f>'TABLA PREVIOS'!E1404</f>
        <v>245</v>
      </c>
      <c r="AI1404">
        <f>VLOOKUP(C1404,ALUMNOS!A:B,2,FALSE)</f>
        <v>767</v>
      </c>
    </row>
    <row r="1405" spans="3:35" x14ac:dyDescent="0.25">
      <c r="C1405">
        <v>47370891</v>
      </c>
      <c r="D1405" t="s">
        <v>532</v>
      </c>
      <c r="E1405" t="s">
        <v>18</v>
      </c>
      <c r="F1405" t="s">
        <v>95</v>
      </c>
      <c r="G1405" t="s">
        <v>43</v>
      </c>
      <c r="H1405">
        <v>2020</v>
      </c>
      <c r="I1405" t="s">
        <v>59</v>
      </c>
      <c r="L1405" t="s">
        <v>99</v>
      </c>
      <c r="AG1405">
        <f t="shared" si="21"/>
        <v>1</v>
      </c>
      <c r="AH1405">
        <f>'TABLA PREVIOS'!E1405</f>
        <v>236</v>
      </c>
      <c r="AI1405">
        <f>VLOOKUP(C1405,ALUMNOS!A:B,2,FALSE)</f>
        <v>787</v>
      </c>
    </row>
    <row r="1406" spans="3:35" x14ac:dyDescent="0.25">
      <c r="C1406">
        <v>47370891</v>
      </c>
      <c r="D1406" t="s">
        <v>532</v>
      </c>
      <c r="E1406" t="s">
        <v>12</v>
      </c>
      <c r="F1406" t="s">
        <v>95</v>
      </c>
      <c r="G1406" t="s">
        <v>43</v>
      </c>
      <c r="H1406">
        <v>2020</v>
      </c>
      <c r="I1406" t="s">
        <v>59</v>
      </c>
      <c r="J1406" t="s">
        <v>372</v>
      </c>
      <c r="L1406" t="s">
        <v>99</v>
      </c>
      <c r="AG1406">
        <f t="shared" si="21"/>
        <v>1</v>
      </c>
      <c r="AH1406">
        <f>'TABLA PREVIOS'!E1406</f>
        <v>230</v>
      </c>
      <c r="AI1406">
        <f>VLOOKUP(C1406,ALUMNOS!A:B,2,FALSE)</f>
        <v>787</v>
      </c>
    </row>
  </sheetData>
  <autoFilter ref="A1:AG1406" xr:uid="{48C36835-2F5E-4309-9B8A-96CBE335E9C7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BBDA9-5EB1-44A7-A124-828ADACDA6D6}">
  <dimension ref="B1:AK1406"/>
  <sheetViews>
    <sheetView workbookViewId="0">
      <selection activeCell="A2" sqref="A2"/>
    </sheetView>
  </sheetViews>
  <sheetFormatPr baseColWidth="10" defaultRowHeight="15" x14ac:dyDescent="0.25"/>
  <cols>
    <col min="3" max="3" width="14" bestFit="1" customWidth="1"/>
    <col min="4" max="4" width="14.7109375" bestFit="1" customWidth="1"/>
    <col min="5" max="5" width="9.5703125" bestFit="1" customWidth="1"/>
    <col min="6" max="6" width="45.42578125" bestFit="1" customWidth="1"/>
    <col min="7" max="7" width="55.28515625" bestFit="1" customWidth="1"/>
    <col min="8" max="8" width="15.7109375" bestFit="1" customWidth="1"/>
    <col min="9" max="9" width="17.28515625" bestFit="1" customWidth="1"/>
    <col min="10" max="10" width="14.5703125" bestFit="1" customWidth="1"/>
    <col min="11" max="11" width="11.85546875" bestFit="1" customWidth="1"/>
    <col min="12" max="12" width="32.42578125" bestFit="1" customWidth="1"/>
    <col min="13" max="13" width="36.28515625" bestFit="1" customWidth="1"/>
    <col min="14" max="14" width="11" bestFit="1" customWidth="1"/>
    <col min="15" max="15" width="17.42578125" bestFit="1" customWidth="1"/>
    <col min="16" max="17" width="16.85546875" bestFit="1" customWidth="1"/>
    <col min="18" max="18" width="17" bestFit="1" customWidth="1"/>
    <col min="19" max="19" width="17.28515625" bestFit="1" customWidth="1"/>
    <col min="20" max="21" width="16.7109375" bestFit="1" customWidth="1"/>
    <col min="22" max="22" width="16.85546875" bestFit="1" customWidth="1"/>
    <col min="23" max="23" width="16.5703125" bestFit="1" customWidth="1"/>
    <col min="24" max="25" width="15.85546875" bestFit="1" customWidth="1"/>
    <col min="26" max="26" width="16.140625" bestFit="1" customWidth="1"/>
    <col min="27" max="27" width="14.5703125" bestFit="1" customWidth="1"/>
    <col min="28" max="29" width="14" bestFit="1" customWidth="1"/>
    <col min="30" max="30" width="14.140625" bestFit="1" customWidth="1"/>
    <col min="31" max="31" width="14.7109375" bestFit="1" customWidth="1"/>
    <col min="32" max="33" width="14.140625" bestFit="1" customWidth="1"/>
    <col min="34" max="34" width="14.28515625" bestFit="1" customWidth="1"/>
    <col min="35" max="35" width="15.85546875" bestFit="1" customWidth="1"/>
  </cols>
  <sheetData>
    <row r="1" spans="2:37" x14ac:dyDescent="0.25"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79</v>
      </c>
      <c r="T1" t="s">
        <v>80</v>
      </c>
      <c r="U1" t="s">
        <v>81</v>
      </c>
      <c r="V1" t="s">
        <v>82</v>
      </c>
      <c r="W1" t="s">
        <v>83</v>
      </c>
      <c r="X1" t="s">
        <v>84</v>
      </c>
      <c r="Y1" t="s">
        <v>85</v>
      </c>
      <c r="Z1" t="s">
        <v>86</v>
      </c>
      <c r="AA1" t="s">
        <v>87</v>
      </c>
      <c r="AB1" t="s">
        <v>88</v>
      </c>
      <c r="AC1" t="s">
        <v>89</v>
      </c>
      <c r="AD1" t="s">
        <v>90</v>
      </c>
      <c r="AE1" t="s">
        <v>91</v>
      </c>
      <c r="AF1" t="s">
        <v>92</v>
      </c>
      <c r="AG1" t="s">
        <v>93</v>
      </c>
      <c r="AH1" t="s">
        <v>94</v>
      </c>
      <c r="AI1" t="s">
        <v>47</v>
      </c>
      <c r="AJ1" t="s">
        <v>7</v>
      </c>
      <c r="AK1" t="s">
        <v>62</v>
      </c>
    </row>
    <row r="2" spans="2:37" x14ac:dyDescent="0.25">
      <c r="B2" t="str">
        <f>E2&amp;G2&amp;H2</f>
        <v>95525571CIENCIAS NATURALES - FÍSICA1º</v>
      </c>
      <c r="C2" t="s">
        <v>95</v>
      </c>
      <c r="D2" t="s">
        <v>96</v>
      </c>
      <c r="E2">
        <v>95525571</v>
      </c>
      <c r="F2" t="s">
        <v>97</v>
      </c>
      <c r="G2" t="s">
        <v>14</v>
      </c>
      <c r="H2" t="s">
        <v>98</v>
      </c>
      <c r="I2" t="s">
        <v>43</v>
      </c>
      <c r="J2">
        <v>2023</v>
      </c>
      <c r="K2" t="s">
        <v>59</v>
      </c>
      <c r="N2" t="s">
        <v>99</v>
      </c>
      <c r="AI2">
        <f>IF(VALUE(MAX(P2,T2,X2,AB2,AE2,))&gt;=7,VALUE(MAX(P2,T2,X2,AB2,AE2,)),1)</f>
        <v>1</v>
      </c>
      <c r="AJ2">
        <f>'TABLA PREVIOS'!E2</f>
        <v>222</v>
      </c>
      <c r="AK2">
        <f>VLOOKUP(E2,ALUMNOS!A:B,2,FALSE)</f>
        <v>77</v>
      </c>
    </row>
    <row r="3" spans="2:37" x14ac:dyDescent="0.25">
      <c r="B3" t="str">
        <f t="shared" ref="B3:B66" si="0">E3&amp;G3&amp;H3</f>
        <v>50683284MATEMÁTICA1º</v>
      </c>
      <c r="C3" t="s">
        <v>95</v>
      </c>
      <c r="D3" t="s">
        <v>96</v>
      </c>
      <c r="E3">
        <v>50683284</v>
      </c>
      <c r="F3" t="s">
        <v>100</v>
      </c>
      <c r="G3" t="s">
        <v>12</v>
      </c>
      <c r="H3" t="s">
        <v>98</v>
      </c>
      <c r="I3" t="s">
        <v>43</v>
      </c>
      <c r="J3">
        <v>2023</v>
      </c>
      <c r="K3" t="s">
        <v>59</v>
      </c>
      <c r="N3" t="s">
        <v>99</v>
      </c>
      <c r="O3">
        <v>45405</v>
      </c>
      <c r="Q3">
        <v>68</v>
      </c>
      <c r="R3">
        <v>29</v>
      </c>
      <c r="S3">
        <v>45474</v>
      </c>
      <c r="T3">
        <v>2</v>
      </c>
      <c r="U3">
        <v>68</v>
      </c>
      <c r="V3">
        <v>60</v>
      </c>
      <c r="AI3">
        <f t="shared" ref="AI3:AI66" si="1">IF(VALUE(MAX(P3,T3,X3,AB3,AE3,))&gt;=7,VALUE(MAX(P3,T3,X3,AB3,AE3,)),1)</f>
        <v>1</v>
      </c>
      <c r="AJ3">
        <f>'TABLA PREVIOS'!E3</f>
        <v>220</v>
      </c>
      <c r="AK3">
        <f>VLOOKUP(E3,ALUMNOS!A:B,2,FALSE)</f>
        <v>266</v>
      </c>
    </row>
    <row r="4" spans="2:37" x14ac:dyDescent="0.25">
      <c r="B4" t="str">
        <f t="shared" si="0"/>
        <v>50598225LENGUA EXTRANJERA - INGLÉS1º</v>
      </c>
      <c r="C4" t="s">
        <v>95</v>
      </c>
      <c r="D4" t="s">
        <v>96</v>
      </c>
      <c r="E4">
        <v>50598225</v>
      </c>
      <c r="F4" t="s">
        <v>102</v>
      </c>
      <c r="G4" t="s">
        <v>16</v>
      </c>
      <c r="H4" t="s">
        <v>98</v>
      </c>
      <c r="I4" t="s">
        <v>43</v>
      </c>
      <c r="J4">
        <v>2023</v>
      </c>
      <c r="K4" t="s">
        <v>59</v>
      </c>
      <c r="N4" t="s">
        <v>99</v>
      </c>
      <c r="O4">
        <v>45406</v>
      </c>
      <c r="P4">
        <v>2</v>
      </c>
      <c r="Q4">
        <v>68</v>
      </c>
      <c r="R4">
        <v>33</v>
      </c>
      <c r="AI4">
        <f t="shared" si="1"/>
        <v>1</v>
      </c>
      <c r="AJ4">
        <f>'TABLA PREVIOS'!E4</f>
        <v>224</v>
      </c>
      <c r="AK4">
        <f>VLOOKUP(E4,ALUMNOS!A:B,2,FALSE)</f>
        <v>328</v>
      </c>
    </row>
    <row r="5" spans="2:37" x14ac:dyDescent="0.25">
      <c r="B5" t="str">
        <f t="shared" si="0"/>
        <v>48951420EDUCACIÓN ARTÍSTICA - ARTES VISUALES1º</v>
      </c>
      <c r="C5" t="s">
        <v>95</v>
      </c>
      <c r="D5" t="s">
        <v>96</v>
      </c>
      <c r="E5">
        <v>48951420</v>
      </c>
      <c r="F5" t="s">
        <v>103</v>
      </c>
      <c r="G5" t="s">
        <v>17</v>
      </c>
      <c r="H5" t="s">
        <v>98</v>
      </c>
      <c r="I5" t="s">
        <v>43</v>
      </c>
      <c r="J5">
        <v>2021</v>
      </c>
      <c r="K5" t="s">
        <v>59</v>
      </c>
      <c r="N5" t="s">
        <v>99</v>
      </c>
      <c r="AI5">
        <f t="shared" si="1"/>
        <v>1</v>
      </c>
      <c r="AJ5">
        <f>'TABLA PREVIOS'!E5</f>
        <v>225</v>
      </c>
      <c r="AK5">
        <f>VLOOKUP(E5,ALUMNOS!A:B,2,FALSE)</f>
        <v>332</v>
      </c>
    </row>
    <row r="6" spans="2:37" x14ac:dyDescent="0.25">
      <c r="B6" t="str">
        <f t="shared" si="0"/>
        <v>48951420EDUCACIÓN FÍSICA1º</v>
      </c>
      <c r="C6" t="s">
        <v>95</v>
      </c>
      <c r="D6" t="s">
        <v>96</v>
      </c>
      <c r="E6">
        <v>48951420</v>
      </c>
      <c r="F6" t="s">
        <v>103</v>
      </c>
      <c r="G6" t="s">
        <v>10</v>
      </c>
      <c r="H6" t="s">
        <v>98</v>
      </c>
      <c r="I6" t="s">
        <v>43</v>
      </c>
      <c r="J6">
        <v>2021</v>
      </c>
      <c r="K6" t="s">
        <v>59</v>
      </c>
      <c r="N6" t="s">
        <v>99</v>
      </c>
      <c r="AI6">
        <f t="shared" si="1"/>
        <v>1</v>
      </c>
      <c r="AJ6">
        <f>'TABLA PREVIOS'!E6</f>
        <v>218</v>
      </c>
      <c r="AK6">
        <f>VLOOKUP(E6,ALUMNOS!A:B,2,FALSE)</f>
        <v>332</v>
      </c>
    </row>
    <row r="7" spans="2:37" x14ac:dyDescent="0.25">
      <c r="B7" t="str">
        <f t="shared" si="0"/>
        <v>48951420MATEMÁTICA1º</v>
      </c>
      <c r="C7" t="s">
        <v>95</v>
      </c>
      <c r="D7" t="s">
        <v>96</v>
      </c>
      <c r="E7">
        <v>48951420</v>
      </c>
      <c r="F7" t="s">
        <v>103</v>
      </c>
      <c r="G7" t="s">
        <v>12</v>
      </c>
      <c r="H7" t="s">
        <v>98</v>
      </c>
      <c r="I7" t="s">
        <v>43</v>
      </c>
      <c r="J7">
        <v>2021</v>
      </c>
      <c r="K7" t="s">
        <v>59</v>
      </c>
      <c r="N7" t="s">
        <v>99</v>
      </c>
      <c r="AI7">
        <f t="shared" si="1"/>
        <v>1</v>
      </c>
      <c r="AJ7">
        <f>'TABLA PREVIOS'!E7</f>
        <v>220</v>
      </c>
      <c r="AK7">
        <f>VLOOKUP(E7,ALUMNOS!A:B,2,FALSE)</f>
        <v>332</v>
      </c>
    </row>
    <row r="8" spans="2:37" x14ac:dyDescent="0.25">
      <c r="B8" t="str">
        <f t="shared" si="0"/>
        <v>47890684EDUCACIÓN TECNOLÓGICA1º</v>
      </c>
      <c r="C8" t="s">
        <v>95</v>
      </c>
      <c r="D8" t="s">
        <v>96</v>
      </c>
      <c r="E8">
        <v>47890684</v>
      </c>
      <c r="F8" t="s">
        <v>104</v>
      </c>
      <c r="G8" t="s">
        <v>18</v>
      </c>
      <c r="H8" t="s">
        <v>98</v>
      </c>
      <c r="I8" t="s">
        <v>43</v>
      </c>
      <c r="J8">
        <v>2021</v>
      </c>
      <c r="K8" t="s">
        <v>59</v>
      </c>
      <c r="L8" t="s">
        <v>105</v>
      </c>
      <c r="N8" t="s">
        <v>99</v>
      </c>
      <c r="AI8">
        <f t="shared" si="1"/>
        <v>1</v>
      </c>
      <c r="AJ8">
        <f>'TABLA PREVIOS'!E8</f>
        <v>226</v>
      </c>
      <c r="AK8">
        <f>VLOOKUP(E8,ALUMNOS!A:B,2,FALSE)</f>
        <v>387</v>
      </c>
    </row>
    <row r="9" spans="2:37" x14ac:dyDescent="0.25">
      <c r="B9" t="str">
        <f t="shared" si="0"/>
        <v>50091999LENGUA EXTRANJERA - INGLÉS1º</v>
      </c>
      <c r="C9" t="s">
        <v>95</v>
      </c>
      <c r="D9" t="s">
        <v>96</v>
      </c>
      <c r="E9">
        <v>50091999</v>
      </c>
      <c r="F9" t="s">
        <v>106</v>
      </c>
      <c r="G9" t="s">
        <v>16</v>
      </c>
      <c r="H9" t="s">
        <v>98</v>
      </c>
      <c r="I9" t="s">
        <v>43</v>
      </c>
      <c r="J9">
        <v>2023</v>
      </c>
      <c r="K9" t="s">
        <v>59</v>
      </c>
      <c r="N9" t="s">
        <v>99</v>
      </c>
      <c r="O9">
        <v>45406</v>
      </c>
      <c r="Q9">
        <v>68</v>
      </c>
      <c r="R9">
        <v>33</v>
      </c>
      <c r="AI9">
        <f t="shared" si="1"/>
        <v>1</v>
      </c>
      <c r="AJ9">
        <f>'TABLA PREVIOS'!E9</f>
        <v>224</v>
      </c>
      <c r="AK9">
        <f>VLOOKUP(E9,ALUMNOS!A:B,2,FALSE)</f>
        <v>425</v>
      </c>
    </row>
    <row r="10" spans="2:37" x14ac:dyDescent="0.25">
      <c r="B10" t="str">
        <f t="shared" si="0"/>
        <v>50091999MATEMÁTICA1º</v>
      </c>
      <c r="C10" t="s">
        <v>95</v>
      </c>
      <c r="D10" t="s">
        <v>96</v>
      </c>
      <c r="E10">
        <v>50091999</v>
      </c>
      <c r="F10" t="s">
        <v>106</v>
      </c>
      <c r="G10" t="s">
        <v>12</v>
      </c>
      <c r="H10" t="s">
        <v>98</v>
      </c>
      <c r="I10" t="s">
        <v>43</v>
      </c>
      <c r="J10">
        <v>2023</v>
      </c>
      <c r="K10" t="s">
        <v>59</v>
      </c>
      <c r="N10" t="s">
        <v>107</v>
      </c>
      <c r="O10">
        <v>45405</v>
      </c>
      <c r="P10">
        <v>7</v>
      </c>
      <c r="Q10">
        <v>68</v>
      </c>
      <c r="R10">
        <v>29</v>
      </c>
      <c r="AI10">
        <f t="shared" si="1"/>
        <v>7</v>
      </c>
      <c r="AJ10">
        <f>'TABLA PREVIOS'!E10</f>
        <v>220</v>
      </c>
      <c r="AK10">
        <f>VLOOKUP(E10,ALUMNOS!A:B,2,FALSE)</f>
        <v>425</v>
      </c>
    </row>
    <row r="11" spans="2:37" x14ac:dyDescent="0.25">
      <c r="B11" t="str">
        <f t="shared" si="0"/>
        <v>49993784LENGUA EXTRANJERA - INGLÉS1º</v>
      </c>
      <c r="C11" t="s">
        <v>95</v>
      </c>
      <c r="D11" t="s">
        <v>96</v>
      </c>
      <c r="E11">
        <v>49993784</v>
      </c>
      <c r="F11" t="s">
        <v>108</v>
      </c>
      <c r="G11" t="s">
        <v>16</v>
      </c>
      <c r="H11" t="s">
        <v>98</v>
      </c>
      <c r="I11" t="s">
        <v>43</v>
      </c>
      <c r="J11">
        <v>2022</v>
      </c>
      <c r="K11" t="s">
        <v>59</v>
      </c>
      <c r="N11" t="s">
        <v>99</v>
      </c>
      <c r="AI11">
        <f t="shared" si="1"/>
        <v>1</v>
      </c>
      <c r="AJ11">
        <f>'TABLA PREVIOS'!E11</f>
        <v>224</v>
      </c>
      <c r="AK11">
        <f>VLOOKUP(E11,ALUMNOS!A:B,2,FALSE)</f>
        <v>748</v>
      </c>
    </row>
    <row r="12" spans="2:37" x14ac:dyDescent="0.25">
      <c r="B12" t="str">
        <f t="shared" si="0"/>
        <v>49993784LENGUA Y LITERATURA1º</v>
      </c>
      <c r="C12" t="s">
        <v>95</v>
      </c>
      <c r="D12" t="s">
        <v>96</v>
      </c>
      <c r="E12">
        <v>49993784</v>
      </c>
      <c r="F12" t="s">
        <v>108</v>
      </c>
      <c r="G12" t="s">
        <v>11</v>
      </c>
      <c r="H12" t="s">
        <v>98</v>
      </c>
      <c r="I12" t="s">
        <v>43</v>
      </c>
      <c r="J12">
        <v>2022</v>
      </c>
      <c r="K12" t="s">
        <v>59</v>
      </c>
      <c r="N12" t="s">
        <v>99</v>
      </c>
      <c r="AI12">
        <f t="shared" si="1"/>
        <v>1</v>
      </c>
      <c r="AJ12">
        <f>'TABLA PREVIOS'!E12</f>
        <v>219</v>
      </c>
      <c r="AK12">
        <f>VLOOKUP(E12,ALUMNOS!A:B,2,FALSE)</f>
        <v>748</v>
      </c>
    </row>
    <row r="13" spans="2:37" x14ac:dyDescent="0.25">
      <c r="B13" t="str">
        <f t="shared" si="0"/>
        <v>48130296LENGUA EXTRANJERA - INGLÉS1º</v>
      </c>
      <c r="C13" t="s">
        <v>95</v>
      </c>
      <c r="D13" t="s">
        <v>109</v>
      </c>
      <c r="E13">
        <v>48130296</v>
      </c>
      <c r="F13" t="s">
        <v>110</v>
      </c>
      <c r="G13" t="s">
        <v>16</v>
      </c>
      <c r="H13" t="s">
        <v>98</v>
      </c>
      <c r="I13" t="s">
        <v>43</v>
      </c>
      <c r="J13">
        <v>2021</v>
      </c>
      <c r="K13" t="s">
        <v>59</v>
      </c>
      <c r="L13" t="s">
        <v>111</v>
      </c>
      <c r="N13" t="s">
        <v>99</v>
      </c>
      <c r="AI13">
        <f t="shared" si="1"/>
        <v>1</v>
      </c>
      <c r="AJ13">
        <f>'TABLA PREVIOS'!E13</f>
        <v>224</v>
      </c>
      <c r="AK13">
        <f>VLOOKUP(E13,ALUMNOS!A:B,2,FALSE)</f>
        <v>115</v>
      </c>
    </row>
    <row r="14" spans="2:37" x14ac:dyDescent="0.25">
      <c r="B14" t="str">
        <f t="shared" si="0"/>
        <v>50836436LENGUA EXTRANJERA - INGLÉS1º</v>
      </c>
      <c r="C14" t="s">
        <v>95</v>
      </c>
      <c r="D14" t="s">
        <v>109</v>
      </c>
      <c r="E14">
        <v>50836436</v>
      </c>
      <c r="F14" t="s">
        <v>112</v>
      </c>
      <c r="G14" t="s">
        <v>16</v>
      </c>
      <c r="H14" t="s">
        <v>98</v>
      </c>
      <c r="I14" t="s">
        <v>43</v>
      </c>
      <c r="J14">
        <v>2023</v>
      </c>
      <c r="K14" t="s">
        <v>59</v>
      </c>
      <c r="N14" t="s">
        <v>99</v>
      </c>
      <c r="AI14">
        <f t="shared" si="1"/>
        <v>1</v>
      </c>
      <c r="AJ14">
        <f>'TABLA PREVIOS'!E14</f>
        <v>224</v>
      </c>
      <c r="AK14">
        <f>VLOOKUP(E14,ALUMNOS!A:B,2,FALSE)</f>
        <v>161</v>
      </c>
    </row>
    <row r="15" spans="2:37" x14ac:dyDescent="0.25">
      <c r="B15" t="str">
        <f t="shared" si="0"/>
        <v>50836436MATEMÁTICA1º</v>
      </c>
      <c r="C15" t="s">
        <v>95</v>
      </c>
      <c r="D15" t="s">
        <v>109</v>
      </c>
      <c r="E15">
        <v>50836436</v>
      </c>
      <c r="F15" t="s">
        <v>112</v>
      </c>
      <c r="G15" t="s">
        <v>12</v>
      </c>
      <c r="H15" t="s">
        <v>98</v>
      </c>
      <c r="I15" t="s">
        <v>43</v>
      </c>
      <c r="J15">
        <v>2023</v>
      </c>
      <c r="K15" t="s">
        <v>59</v>
      </c>
      <c r="N15" t="s">
        <v>99</v>
      </c>
      <c r="O15">
        <v>45405</v>
      </c>
      <c r="P15" t="s">
        <v>50</v>
      </c>
      <c r="Q15">
        <v>68</v>
      </c>
      <c r="R15">
        <v>29</v>
      </c>
      <c r="AI15">
        <f t="shared" si="1"/>
        <v>1</v>
      </c>
      <c r="AJ15">
        <f>'TABLA PREVIOS'!E15</f>
        <v>220</v>
      </c>
      <c r="AK15">
        <f>VLOOKUP(E15,ALUMNOS!A:B,2,FALSE)</f>
        <v>161</v>
      </c>
    </row>
    <row r="16" spans="2:37" x14ac:dyDescent="0.25">
      <c r="B16" t="str">
        <f t="shared" si="0"/>
        <v>50634624CIENCIAS SOCIALES - GEOGRAFÍA1º</v>
      </c>
      <c r="C16" t="s">
        <v>95</v>
      </c>
      <c r="D16" t="s">
        <v>109</v>
      </c>
      <c r="E16">
        <v>50634624</v>
      </c>
      <c r="F16" t="s">
        <v>113</v>
      </c>
      <c r="G16" t="s">
        <v>15</v>
      </c>
      <c r="H16" t="s">
        <v>98</v>
      </c>
      <c r="I16" t="s">
        <v>43</v>
      </c>
      <c r="J16">
        <v>2023</v>
      </c>
      <c r="K16" t="s">
        <v>59</v>
      </c>
      <c r="N16" t="s">
        <v>99</v>
      </c>
      <c r="AI16">
        <f t="shared" si="1"/>
        <v>1</v>
      </c>
      <c r="AJ16">
        <f>'TABLA PREVIOS'!E16</f>
        <v>223</v>
      </c>
      <c r="AK16">
        <f>VLOOKUP(E16,ALUMNOS!A:B,2,FALSE)</f>
        <v>186</v>
      </c>
    </row>
    <row r="17" spans="2:37" x14ac:dyDescent="0.25">
      <c r="B17" t="str">
        <f t="shared" si="0"/>
        <v>50634624MATEMÁTICA1º</v>
      </c>
      <c r="C17" t="s">
        <v>95</v>
      </c>
      <c r="D17" t="s">
        <v>109</v>
      </c>
      <c r="E17">
        <v>50634624</v>
      </c>
      <c r="F17" t="s">
        <v>113</v>
      </c>
      <c r="G17" t="s">
        <v>12</v>
      </c>
      <c r="H17" t="s">
        <v>98</v>
      </c>
      <c r="I17" t="s">
        <v>43</v>
      </c>
      <c r="J17">
        <v>2023</v>
      </c>
      <c r="K17" t="s">
        <v>59</v>
      </c>
      <c r="N17" t="s">
        <v>99</v>
      </c>
      <c r="AI17">
        <f t="shared" si="1"/>
        <v>1</v>
      </c>
      <c r="AJ17">
        <f>'TABLA PREVIOS'!E17</f>
        <v>220</v>
      </c>
      <c r="AK17">
        <f>VLOOKUP(E17,ALUMNOS!A:B,2,FALSE)</f>
        <v>186</v>
      </c>
    </row>
    <row r="18" spans="2:37" x14ac:dyDescent="0.25">
      <c r="B18" t="str">
        <f t="shared" si="0"/>
        <v>48671848EDUCACIÓN TECNOLÓGICA1º</v>
      </c>
      <c r="C18" t="s">
        <v>95</v>
      </c>
      <c r="D18" t="s">
        <v>109</v>
      </c>
      <c r="E18">
        <v>48671848</v>
      </c>
      <c r="F18" t="s">
        <v>114</v>
      </c>
      <c r="G18" t="s">
        <v>18</v>
      </c>
      <c r="H18" t="s">
        <v>98</v>
      </c>
      <c r="I18" t="s">
        <v>43</v>
      </c>
      <c r="J18">
        <v>2021</v>
      </c>
      <c r="K18" t="s">
        <v>59</v>
      </c>
      <c r="N18" t="s">
        <v>99</v>
      </c>
      <c r="AI18">
        <f t="shared" si="1"/>
        <v>1</v>
      </c>
      <c r="AJ18">
        <f>'TABLA PREVIOS'!E18</f>
        <v>226</v>
      </c>
      <c r="AK18">
        <f>VLOOKUP(E18,ALUMNOS!A:B,2,FALSE)</f>
        <v>205</v>
      </c>
    </row>
    <row r="19" spans="2:37" x14ac:dyDescent="0.25">
      <c r="B19" t="str">
        <f t="shared" si="0"/>
        <v>48671848LENGUA Y LITERATURA1º</v>
      </c>
      <c r="C19" t="s">
        <v>95</v>
      </c>
      <c r="D19" t="s">
        <v>109</v>
      </c>
      <c r="E19">
        <v>48671848</v>
      </c>
      <c r="F19" t="s">
        <v>114</v>
      </c>
      <c r="G19" t="s">
        <v>11</v>
      </c>
      <c r="H19" t="s">
        <v>98</v>
      </c>
      <c r="I19" t="s">
        <v>43</v>
      </c>
      <c r="J19">
        <v>2021</v>
      </c>
      <c r="K19" t="s">
        <v>59</v>
      </c>
      <c r="N19" t="s">
        <v>99</v>
      </c>
      <c r="AI19">
        <f t="shared" si="1"/>
        <v>1</v>
      </c>
      <c r="AJ19">
        <f>'TABLA PREVIOS'!E19</f>
        <v>219</v>
      </c>
      <c r="AK19">
        <f>VLOOKUP(E19,ALUMNOS!A:B,2,FALSE)</f>
        <v>205</v>
      </c>
    </row>
    <row r="20" spans="2:37" x14ac:dyDescent="0.25">
      <c r="B20" t="str">
        <f t="shared" si="0"/>
        <v>49766137CIENCIAS NATURALES - BIOLOGÍA1º</v>
      </c>
      <c r="C20" t="s">
        <v>95</v>
      </c>
      <c r="D20" t="s">
        <v>109</v>
      </c>
      <c r="E20">
        <v>49766137</v>
      </c>
      <c r="F20" t="s">
        <v>115</v>
      </c>
      <c r="G20" t="s">
        <v>13</v>
      </c>
      <c r="H20" t="s">
        <v>98</v>
      </c>
      <c r="I20" t="s">
        <v>43</v>
      </c>
      <c r="J20">
        <v>2023</v>
      </c>
      <c r="K20" t="s">
        <v>59</v>
      </c>
      <c r="N20" t="s">
        <v>99</v>
      </c>
      <c r="AI20">
        <f t="shared" si="1"/>
        <v>1</v>
      </c>
      <c r="AJ20">
        <f>'TABLA PREVIOS'!E20</f>
        <v>221</v>
      </c>
      <c r="AK20">
        <f>VLOOKUP(E20,ALUMNOS!A:B,2,FALSE)</f>
        <v>303</v>
      </c>
    </row>
    <row r="21" spans="2:37" x14ac:dyDescent="0.25">
      <c r="B21" t="str">
        <f t="shared" si="0"/>
        <v>49766137CIENCIAS NATURALES - FÍSICA1º</v>
      </c>
      <c r="C21" t="s">
        <v>95</v>
      </c>
      <c r="D21" t="s">
        <v>109</v>
      </c>
      <c r="E21">
        <v>49766137</v>
      </c>
      <c r="F21" t="s">
        <v>115</v>
      </c>
      <c r="G21" t="s">
        <v>14</v>
      </c>
      <c r="H21" t="s">
        <v>98</v>
      </c>
      <c r="I21" t="s">
        <v>43</v>
      </c>
      <c r="J21">
        <v>2023</v>
      </c>
      <c r="K21" t="s">
        <v>59</v>
      </c>
      <c r="N21" t="s">
        <v>99</v>
      </c>
      <c r="AI21">
        <f t="shared" si="1"/>
        <v>1</v>
      </c>
      <c r="AJ21">
        <f>'TABLA PREVIOS'!E21</f>
        <v>222</v>
      </c>
      <c r="AK21">
        <f>VLOOKUP(E21,ALUMNOS!A:B,2,FALSE)</f>
        <v>303</v>
      </c>
    </row>
    <row r="22" spans="2:37" x14ac:dyDescent="0.25">
      <c r="B22" t="str">
        <f t="shared" si="0"/>
        <v>49766137LENGUA Y LITERATURA1º</v>
      </c>
      <c r="C22" t="s">
        <v>95</v>
      </c>
      <c r="D22" t="s">
        <v>109</v>
      </c>
      <c r="E22">
        <v>49766137</v>
      </c>
      <c r="F22" t="s">
        <v>115</v>
      </c>
      <c r="G22" t="s">
        <v>11</v>
      </c>
      <c r="H22" t="s">
        <v>98</v>
      </c>
      <c r="I22" t="s">
        <v>45</v>
      </c>
      <c r="J22">
        <v>2023</v>
      </c>
      <c r="K22" t="s">
        <v>59</v>
      </c>
      <c r="N22" t="s">
        <v>99</v>
      </c>
      <c r="AI22">
        <f t="shared" si="1"/>
        <v>1</v>
      </c>
      <c r="AJ22">
        <f>'TABLA PREVIOS'!E22</f>
        <v>219</v>
      </c>
      <c r="AK22">
        <f>VLOOKUP(E22,ALUMNOS!A:B,2,FALSE)</f>
        <v>303</v>
      </c>
    </row>
    <row r="23" spans="2:37" x14ac:dyDescent="0.25">
      <c r="B23" t="str">
        <f t="shared" si="0"/>
        <v>50971126CIENCIAS SOCIALES - GEOGRAFÍA1º</v>
      </c>
      <c r="C23" t="s">
        <v>95</v>
      </c>
      <c r="D23" t="s">
        <v>109</v>
      </c>
      <c r="E23">
        <v>50971126</v>
      </c>
      <c r="F23" t="s">
        <v>116</v>
      </c>
      <c r="G23" t="s">
        <v>15</v>
      </c>
      <c r="H23" t="s">
        <v>98</v>
      </c>
      <c r="I23" t="s">
        <v>43</v>
      </c>
      <c r="J23">
        <v>2023</v>
      </c>
      <c r="K23" t="s">
        <v>59</v>
      </c>
      <c r="N23" t="s">
        <v>99</v>
      </c>
      <c r="AI23">
        <f t="shared" si="1"/>
        <v>1</v>
      </c>
      <c r="AJ23">
        <f>'TABLA PREVIOS'!E23</f>
        <v>223</v>
      </c>
      <c r="AK23">
        <f>VLOOKUP(E23,ALUMNOS!A:B,2,FALSE)</f>
        <v>327</v>
      </c>
    </row>
    <row r="24" spans="2:37" x14ac:dyDescent="0.25">
      <c r="B24" t="str">
        <f t="shared" si="0"/>
        <v>50971126MATEMÁTICA1º</v>
      </c>
      <c r="C24" t="s">
        <v>95</v>
      </c>
      <c r="D24" t="s">
        <v>109</v>
      </c>
      <c r="E24">
        <v>50971126</v>
      </c>
      <c r="F24" t="s">
        <v>116</v>
      </c>
      <c r="G24" t="s">
        <v>12</v>
      </c>
      <c r="H24" t="s">
        <v>98</v>
      </c>
      <c r="I24" t="s">
        <v>43</v>
      </c>
      <c r="J24">
        <v>2023</v>
      </c>
      <c r="K24" t="s">
        <v>59</v>
      </c>
      <c r="N24" t="s">
        <v>99</v>
      </c>
      <c r="O24">
        <v>45405</v>
      </c>
      <c r="P24" t="s">
        <v>50</v>
      </c>
      <c r="Q24">
        <v>68</v>
      </c>
      <c r="R24">
        <v>29</v>
      </c>
      <c r="AI24">
        <f t="shared" si="1"/>
        <v>1</v>
      </c>
      <c r="AJ24">
        <f>'TABLA PREVIOS'!E24</f>
        <v>220</v>
      </c>
      <c r="AK24">
        <f>VLOOKUP(E24,ALUMNOS!A:B,2,FALSE)</f>
        <v>327</v>
      </c>
    </row>
    <row r="25" spans="2:37" x14ac:dyDescent="0.25">
      <c r="B25" t="str">
        <f t="shared" si="0"/>
        <v>49766453LENGUA Y LITERATURA1º</v>
      </c>
      <c r="C25" t="s">
        <v>95</v>
      </c>
      <c r="D25" t="s">
        <v>109</v>
      </c>
      <c r="E25">
        <v>49766453</v>
      </c>
      <c r="F25" t="s">
        <v>117</v>
      </c>
      <c r="G25" t="s">
        <v>11</v>
      </c>
      <c r="H25" t="s">
        <v>98</v>
      </c>
      <c r="I25" t="s">
        <v>43</v>
      </c>
      <c r="J25">
        <v>2022</v>
      </c>
      <c r="K25" t="s">
        <v>59</v>
      </c>
      <c r="L25" t="s">
        <v>111</v>
      </c>
      <c r="N25" t="s">
        <v>99</v>
      </c>
      <c r="AI25">
        <f t="shared" si="1"/>
        <v>1</v>
      </c>
      <c r="AJ25">
        <f>'TABLA PREVIOS'!E25</f>
        <v>219</v>
      </c>
      <c r="AK25">
        <f>VLOOKUP(E25,ALUMNOS!A:B,2,FALSE)</f>
        <v>426</v>
      </c>
    </row>
    <row r="26" spans="2:37" x14ac:dyDescent="0.25">
      <c r="B26" t="str">
        <f t="shared" si="0"/>
        <v>49766453MATEMÁTICA1º</v>
      </c>
      <c r="C26" t="s">
        <v>95</v>
      </c>
      <c r="D26" t="s">
        <v>109</v>
      </c>
      <c r="E26">
        <v>49766453</v>
      </c>
      <c r="F26" t="s">
        <v>117</v>
      </c>
      <c r="G26" t="s">
        <v>12</v>
      </c>
      <c r="H26" t="s">
        <v>98</v>
      </c>
      <c r="I26" t="s">
        <v>43</v>
      </c>
      <c r="J26">
        <v>2022</v>
      </c>
      <c r="K26" t="s">
        <v>59</v>
      </c>
      <c r="N26" t="s">
        <v>99</v>
      </c>
      <c r="AI26">
        <f t="shared" si="1"/>
        <v>1</v>
      </c>
      <c r="AJ26">
        <f>'TABLA PREVIOS'!E26</f>
        <v>220</v>
      </c>
      <c r="AK26">
        <f>VLOOKUP(E26,ALUMNOS!A:B,2,FALSE)</f>
        <v>426</v>
      </c>
    </row>
    <row r="27" spans="2:37" x14ac:dyDescent="0.25">
      <c r="B27" t="str">
        <f t="shared" si="0"/>
        <v>50634614MATEMÁTICA1º</v>
      </c>
      <c r="C27" t="s">
        <v>95</v>
      </c>
      <c r="D27" t="s">
        <v>109</v>
      </c>
      <c r="E27">
        <v>50634614</v>
      </c>
      <c r="F27" t="s">
        <v>118</v>
      </c>
      <c r="G27" t="s">
        <v>12</v>
      </c>
      <c r="H27" t="s">
        <v>98</v>
      </c>
      <c r="I27" t="s">
        <v>43</v>
      </c>
      <c r="J27">
        <v>2023</v>
      </c>
      <c r="K27" t="s">
        <v>59</v>
      </c>
      <c r="N27" t="s">
        <v>99</v>
      </c>
      <c r="AI27">
        <f t="shared" si="1"/>
        <v>1</v>
      </c>
      <c r="AJ27">
        <f>'TABLA PREVIOS'!E27</f>
        <v>220</v>
      </c>
      <c r="AK27">
        <f>VLOOKUP(E27,ALUMNOS!A:B,2,FALSE)</f>
        <v>429</v>
      </c>
    </row>
    <row r="28" spans="2:37" x14ac:dyDescent="0.25">
      <c r="B28" t="str">
        <f t="shared" si="0"/>
        <v>50634841MATEMÁTICA1º</v>
      </c>
      <c r="C28" t="s">
        <v>95</v>
      </c>
      <c r="D28" t="s">
        <v>109</v>
      </c>
      <c r="E28">
        <v>50634841</v>
      </c>
      <c r="F28" t="s">
        <v>119</v>
      </c>
      <c r="G28" t="s">
        <v>12</v>
      </c>
      <c r="H28" t="s">
        <v>98</v>
      </c>
      <c r="I28" t="s">
        <v>43</v>
      </c>
      <c r="J28">
        <v>2023</v>
      </c>
      <c r="K28" t="s">
        <v>59</v>
      </c>
      <c r="N28" t="s">
        <v>99</v>
      </c>
      <c r="O28">
        <v>45405</v>
      </c>
      <c r="P28">
        <v>2</v>
      </c>
      <c r="Q28">
        <v>68</v>
      </c>
      <c r="R28">
        <v>29</v>
      </c>
      <c r="S28">
        <v>45474</v>
      </c>
      <c r="T28">
        <v>2</v>
      </c>
      <c r="U28">
        <v>68</v>
      </c>
      <c r="V28">
        <v>60</v>
      </c>
      <c r="AI28">
        <f t="shared" si="1"/>
        <v>1</v>
      </c>
      <c r="AJ28">
        <f>'TABLA PREVIOS'!E28</f>
        <v>220</v>
      </c>
      <c r="AK28">
        <f>VLOOKUP(E28,ALUMNOS!A:B,2,FALSE)</f>
        <v>455</v>
      </c>
    </row>
    <row r="29" spans="2:37" x14ac:dyDescent="0.25">
      <c r="B29" t="str">
        <f t="shared" si="0"/>
        <v>50634699CIENCIAS NATURALES - FÍSICA1º</v>
      </c>
      <c r="C29" t="s">
        <v>95</v>
      </c>
      <c r="D29" t="s">
        <v>109</v>
      </c>
      <c r="E29">
        <v>50634699</v>
      </c>
      <c r="F29" t="s">
        <v>120</v>
      </c>
      <c r="G29" t="s">
        <v>14</v>
      </c>
      <c r="H29" t="s">
        <v>98</v>
      </c>
      <c r="I29" t="s">
        <v>45</v>
      </c>
      <c r="J29">
        <v>2023</v>
      </c>
      <c r="K29" t="s">
        <v>59</v>
      </c>
      <c r="N29" t="s">
        <v>99</v>
      </c>
      <c r="AI29">
        <f t="shared" si="1"/>
        <v>1</v>
      </c>
      <c r="AJ29">
        <f>'TABLA PREVIOS'!E29</f>
        <v>222</v>
      </c>
      <c r="AK29">
        <f>VLOOKUP(E29,ALUMNOS!A:B,2,FALSE)</f>
        <v>472</v>
      </c>
    </row>
    <row r="30" spans="2:37" x14ac:dyDescent="0.25">
      <c r="B30" t="str">
        <f t="shared" si="0"/>
        <v>50634699CIENCIAS SOCIALES - GEOGRAFÍA1º</v>
      </c>
      <c r="C30" t="s">
        <v>95</v>
      </c>
      <c r="D30" t="s">
        <v>109</v>
      </c>
      <c r="E30">
        <v>50634699</v>
      </c>
      <c r="F30" t="s">
        <v>120</v>
      </c>
      <c r="G30" t="s">
        <v>15</v>
      </c>
      <c r="H30" t="s">
        <v>98</v>
      </c>
      <c r="I30" t="s">
        <v>43</v>
      </c>
      <c r="J30">
        <v>2023</v>
      </c>
      <c r="K30" t="s">
        <v>59</v>
      </c>
      <c r="N30" t="s">
        <v>99</v>
      </c>
      <c r="O30">
        <v>45404</v>
      </c>
      <c r="P30" t="s">
        <v>50</v>
      </c>
      <c r="Q30">
        <v>68</v>
      </c>
      <c r="R30">
        <v>26</v>
      </c>
      <c r="AI30">
        <f t="shared" si="1"/>
        <v>1</v>
      </c>
      <c r="AJ30">
        <f>'TABLA PREVIOS'!E30</f>
        <v>223</v>
      </c>
      <c r="AK30">
        <f>VLOOKUP(E30,ALUMNOS!A:B,2,FALSE)</f>
        <v>472</v>
      </c>
    </row>
    <row r="31" spans="2:37" x14ac:dyDescent="0.25">
      <c r="B31" t="str">
        <f t="shared" si="0"/>
        <v>50634699MATEMÁTICA1º</v>
      </c>
      <c r="C31" t="s">
        <v>95</v>
      </c>
      <c r="D31" t="s">
        <v>109</v>
      </c>
      <c r="E31">
        <v>50634699</v>
      </c>
      <c r="F31" t="s">
        <v>120</v>
      </c>
      <c r="G31" t="s">
        <v>12</v>
      </c>
      <c r="H31" t="s">
        <v>98</v>
      </c>
      <c r="I31" t="s">
        <v>43</v>
      </c>
      <c r="J31">
        <v>2023</v>
      </c>
      <c r="K31" t="s">
        <v>59</v>
      </c>
      <c r="N31" t="s">
        <v>99</v>
      </c>
      <c r="O31">
        <v>45405</v>
      </c>
      <c r="P31" t="s">
        <v>50</v>
      </c>
      <c r="Q31">
        <v>68</v>
      </c>
      <c r="R31">
        <v>29</v>
      </c>
      <c r="AI31">
        <f t="shared" si="1"/>
        <v>1</v>
      </c>
      <c r="AJ31">
        <f>'TABLA PREVIOS'!E31</f>
        <v>220</v>
      </c>
      <c r="AK31">
        <f>VLOOKUP(E31,ALUMNOS!A:B,2,FALSE)</f>
        <v>472</v>
      </c>
    </row>
    <row r="32" spans="2:37" x14ac:dyDescent="0.25">
      <c r="B32" t="str">
        <f t="shared" si="0"/>
        <v>47989285CIENCIAS NATURALES - BIOLOGÍA1º</v>
      </c>
      <c r="C32" t="s">
        <v>95</v>
      </c>
      <c r="D32" t="s">
        <v>109</v>
      </c>
      <c r="E32">
        <v>47989285</v>
      </c>
      <c r="F32" t="s">
        <v>121</v>
      </c>
      <c r="G32" t="s">
        <v>13</v>
      </c>
      <c r="H32" t="s">
        <v>98</v>
      </c>
      <c r="I32" t="s">
        <v>43</v>
      </c>
      <c r="J32">
        <v>2022</v>
      </c>
      <c r="K32" t="s">
        <v>59</v>
      </c>
      <c r="L32" t="s">
        <v>111</v>
      </c>
      <c r="N32" t="s">
        <v>99</v>
      </c>
      <c r="AI32">
        <f t="shared" si="1"/>
        <v>1</v>
      </c>
      <c r="AJ32">
        <f>'TABLA PREVIOS'!E32</f>
        <v>221</v>
      </c>
      <c r="AK32">
        <f>VLOOKUP(E32,ALUMNOS!A:B,2,FALSE)</f>
        <v>501</v>
      </c>
    </row>
    <row r="33" spans="2:37" x14ac:dyDescent="0.25">
      <c r="B33" t="str">
        <f t="shared" si="0"/>
        <v>47989285CIENCIAS SOCIALES - GEOGRAFÍA1º</v>
      </c>
      <c r="C33" t="s">
        <v>95</v>
      </c>
      <c r="D33" t="s">
        <v>109</v>
      </c>
      <c r="E33">
        <v>47989285</v>
      </c>
      <c r="F33" t="s">
        <v>121</v>
      </c>
      <c r="G33" t="s">
        <v>15</v>
      </c>
      <c r="H33" t="s">
        <v>98</v>
      </c>
      <c r="I33" t="s">
        <v>43</v>
      </c>
      <c r="J33">
        <v>2022</v>
      </c>
      <c r="K33" t="s">
        <v>59</v>
      </c>
      <c r="N33" t="s">
        <v>99</v>
      </c>
      <c r="AI33">
        <f t="shared" si="1"/>
        <v>1</v>
      </c>
      <c r="AJ33">
        <f>'TABLA PREVIOS'!E33</f>
        <v>223</v>
      </c>
      <c r="AK33">
        <f>VLOOKUP(E33,ALUMNOS!A:B,2,FALSE)</f>
        <v>501</v>
      </c>
    </row>
    <row r="34" spans="2:37" x14ac:dyDescent="0.25">
      <c r="B34" t="str">
        <f t="shared" si="0"/>
        <v>47989285LENGUA EXTRANJERA - INGLÉS1º</v>
      </c>
      <c r="C34" t="s">
        <v>95</v>
      </c>
      <c r="D34" t="s">
        <v>109</v>
      </c>
      <c r="E34">
        <v>47989285</v>
      </c>
      <c r="F34" t="s">
        <v>121</v>
      </c>
      <c r="G34" t="s">
        <v>16</v>
      </c>
      <c r="H34" t="s">
        <v>98</v>
      </c>
      <c r="I34" t="s">
        <v>43</v>
      </c>
      <c r="J34">
        <v>2022</v>
      </c>
      <c r="K34" t="s">
        <v>59</v>
      </c>
      <c r="N34" t="s">
        <v>99</v>
      </c>
      <c r="AI34">
        <f t="shared" si="1"/>
        <v>1</v>
      </c>
      <c r="AJ34">
        <f>'TABLA PREVIOS'!E34</f>
        <v>224</v>
      </c>
      <c r="AK34">
        <f>VLOOKUP(E34,ALUMNOS!A:B,2,FALSE)</f>
        <v>501</v>
      </c>
    </row>
    <row r="35" spans="2:37" x14ac:dyDescent="0.25">
      <c r="B35" t="str">
        <f t="shared" si="0"/>
        <v>50091934MATEMÁTICA1º</v>
      </c>
      <c r="C35" t="s">
        <v>95</v>
      </c>
      <c r="D35" t="s">
        <v>109</v>
      </c>
      <c r="E35">
        <v>50091934</v>
      </c>
      <c r="F35" t="s">
        <v>122</v>
      </c>
      <c r="G35" t="s">
        <v>12</v>
      </c>
      <c r="H35" t="s">
        <v>98</v>
      </c>
      <c r="I35" t="s">
        <v>43</v>
      </c>
      <c r="J35">
        <v>2023</v>
      </c>
      <c r="K35" t="s">
        <v>59</v>
      </c>
      <c r="N35" t="s">
        <v>107</v>
      </c>
      <c r="O35">
        <v>45405</v>
      </c>
      <c r="P35">
        <v>2</v>
      </c>
      <c r="Q35">
        <v>68</v>
      </c>
      <c r="R35">
        <v>29</v>
      </c>
      <c r="S35">
        <v>45474</v>
      </c>
      <c r="T35">
        <v>7</v>
      </c>
      <c r="U35">
        <v>68</v>
      </c>
      <c r="V35">
        <v>60</v>
      </c>
      <c r="AI35">
        <f t="shared" si="1"/>
        <v>7</v>
      </c>
      <c r="AJ35">
        <f>'TABLA PREVIOS'!E35</f>
        <v>220</v>
      </c>
      <c r="AK35">
        <f>VLOOKUP(E35,ALUMNOS!A:B,2,FALSE)</f>
        <v>518</v>
      </c>
    </row>
    <row r="36" spans="2:37" x14ac:dyDescent="0.25">
      <c r="B36" t="str">
        <f t="shared" si="0"/>
        <v>50553951LENGUA EXTRANJERA - INGLÉS1º</v>
      </c>
      <c r="C36" t="s">
        <v>95</v>
      </c>
      <c r="D36" t="s">
        <v>109</v>
      </c>
      <c r="E36">
        <v>50553951</v>
      </c>
      <c r="F36" t="s">
        <v>123</v>
      </c>
      <c r="G36" t="s">
        <v>16</v>
      </c>
      <c r="H36" t="s">
        <v>98</v>
      </c>
      <c r="I36" t="s">
        <v>43</v>
      </c>
      <c r="J36">
        <v>2023</v>
      </c>
      <c r="K36" t="s">
        <v>59</v>
      </c>
      <c r="N36" t="s">
        <v>99</v>
      </c>
      <c r="O36">
        <v>45406</v>
      </c>
      <c r="P36" t="s">
        <v>50</v>
      </c>
      <c r="Q36">
        <v>68</v>
      </c>
      <c r="R36">
        <v>33</v>
      </c>
      <c r="AI36">
        <f t="shared" si="1"/>
        <v>1</v>
      </c>
      <c r="AJ36">
        <f>'TABLA PREVIOS'!E36</f>
        <v>224</v>
      </c>
      <c r="AK36">
        <f>VLOOKUP(E36,ALUMNOS!A:B,2,FALSE)</f>
        <v>564</v>
      </c>
    </row>
    <row r="37" spans="2:37" x14ac:dyDescent="0.25">
      <c r="B37" t="str">
        <f t="shared" si="0"/>
        <v>50553951MATEMÁTICA1º</v>
      </c>
      <c r="C37" t="s">
        <v>95</v>
      </c>
      <c r="D37" t="s">
        <v>109</v>
      </c>
      <c r="E37">
        <v>50553951</v>
      </c>
      <c r="F37" t="s">
        <v>123</v>
      </c>
      <c r="G37" t="s">
        <v>12</v>
      </c>
      <c r="H37" t="s">
        <v>98</v>
      </c>
      <c r="I37" t="s">
        <v>43</v>
      </c>
      <c r="J37">
        <v>2023</v>
      </c>
      <c r="K37" t="s">
        <v>59</v>
      </c>
      <c r="N37" t="s">
        <v>99</v>
      </c>
      <c r="O37">
        <v>45405</v>
      </c>
      <c r="P37" t="s">
        <v>50</v>
      </c>
      <c r="Q37">
        <v>68</v>
      </c>
      <c r="R37">
        <v>29</v>
      </c>
      <c r="AI37">
        <f t="shared" si="1"/>
        <v>1</v>
      </c>
      <c r="AJ37">
        <f>'TABLA PREVIOS'!E37</f>
        <v>220</v>
      </c>
      <c r="AK37">
        <f>VLOOKUP(E37,ALUMNOS!A:B,2,FALSE)</f>
        <v>564</v>
      </c>
    </row>
    <row r="38" spans="2:37" x14ac:dyDescent="0.25">
      <c r="B38" t="str">
        <f t="shared" si="0"/>
        <v>13985734MATEMÁTICA1º</v>
      </c>
      <c r="C38" t="s">
        <v>95</v>
      </c>
      <c r="D38" t="s">
        <v>109</v>
      </c>
      <c r="E38">
        <v>13985734</v>
      </c>
      <c r="F38" t="s">
        <v>124</v>
      </c>
      <c r="G38" t="s">
        <v>12</v>
      </c>
      <c r="H38" t="s">
        <v>98</v>
      </c>
      <c r="I38" t="s">
        <v>43</v>
      </c>
      <c r="J38">
        <v>2021</v>
      </c>
      <c r="K38" t="s">
        <v>59</v>
      </c>
      <c r="N38" t="s">
        <v>99</v>
      </c>
      <c r="AI38">
        <f t="shared" si="1"/>
        <v>1</v>
      </c>
      <c r="AJ38">
        <f>'TABLA PREVIOS'!E38</f>
        <v>220</v>
      </c>
      <c r="AK38">
        <f>VLOOKUP(E38,ALUMNOS!A:B,2,FALSE)</f>
        <v>640</v>
      </c>
    </row>
    <row r="39" spans="2:37" x14ac:dyDescent="0.25">
      <c r="B39" t="str">
        <f t="shared" si="0"/>
        <v>47978706CIENCIAS NATURALES - BIOLOGÍA1º</v>
      </c>
      <c r="C39" t="s">
        <v>95</v>
      </c>
      <c r="D39" t="s">
        <v>109</v>
      </c>
      <c r="E39">
        <v>47978706</v>
      </c>
      <c r="F39" t="s">
        <v>125</v>
      </c>
      <c r="G39" t="s">
        <v>13</v>
      </c>
      <c r="H39" t="s">
        <v>98</v>
      </c>
      <c r="I39" t="s">
        <v>43</v>
      </c>
      <c r="J39">
        <v>2021</v>
      </c>
      <c r="K39" t="s">
        <v>59</v>
      </c>
      <c r="L39" t="s">
        <v>126</v>
      </c>
      <c r="N39" t="s">
        <v>99</v>
      </c>
      <c r="AI39">
        <f t="shared" si="1"/>
        <v>1</v>
      </c>
      <c r="AJ39">
        <f>'TABLA PREVIOS'!E39</f>
        <v>221</v>
      </c>
      <c r="AK39">
        <f>VLOOKUP(E39,ALUMNOS!A:B,2,FALSE)</f>
        <v>660</v>
      </c>
    </row>
    <row r="40" spans="2:37" x14ac:dyDescent="0.25">
      <c r="B40" t="str">
        <f t="shared" si="0"/>
        <v>47978706CIENCIAS NATURALES - FÍSICA1º</v>
      </c>
      <c r="C40" t="s">
        <v>95</v>
      </c>
      <c r="D40" t="s">
        <v>109</v>
      </c>
      <c r="E40">
        <v>47978706</v>
      </c>
      <c r="F40" t="s">
        <v>125</v>
      </c>
      <c r="G40" t="s">
        <v>14</v>
      </c>
      <c r="H40" t="s">
        <v>98</v>
      </c>
      <c r="I40" t="s">
        <v>43</v>
      </c>
      <c r="J40">
        <v>2021</v>
      </c>
      <c r="K40" t="s">
        <v>59</v>
      </c>
      <c r="N40" t="s">
        <v>99</v>
      </c>
      <c r="AI40">
        <f t="shared" si="1"/>
        <v>1</v>
      </c>
      <c r="AJ40">
        <f>'TABLA PREVIOS'!E40</f>
        <v>222</v>
      </c>
      <c r="AK40">
        <f>VLOOKUP(E40,ALUMNOS!A:B,2,FALSE)</f>
        <v>660</v>
      </c>
    </row>
    <row r="41" spans="2:37" x14ac:dyDescent="0.25">
      <c r="B41" t="str">
        <f t="shared" si="0"/>
        <v>47978706LENGUA EXTRANJERA - INGLÉS1º</v>
      </c>
      <c r="C41" t="s">
        <v>95</v>
      </c>
      <c r="D41" t="s">
        <v>109</v>
      </c>
      <c r="E41">
        <v>47978706</v>
      </c>
      <c r="F41" t="s">
        <v>125</v>
      </c>
      <c r="G41" t="s">
        <v>16</v>
      </c>
      <c r="H41" t="s">
        <v>98</v>
      </c>
      <c r="I41" t="s">
        <v>43</v>
      </c>
      <c r="J41">
        <v>2021</v>
      </c>
      <c r="K41" t="s">
        <v>59</v>
      </c>
      <c r="N41" t="s">
        <v>99</v>
      </c>
      <c r="AI41">
        <f t="shared" si="1"/>
        <v>1</v>
      </c>
      <c r="AJ41">
        <f>'TABLA PREVIOS'!E41</f>
        <v>224</v>
      </c>
      <c r="AK41">
        <f>VLOOKUP(E41,ALUMNOS!A:B,2,FALSE)</f>
        <v>660</v>
      </c>
    </row>
    <row r="42" spans="2:37" x14ac:dyDescent="0.25">
      <c r="B42" t="str">
        <f t="shared" si="0"/>
        <v>50842190CIENCIAS NATURALES - BIOLOGÍA1º</v>
      </c>
      <c r="C42" t="s">
        <v>95</v>
      </c>
      <c r="D42" t="s">
        <v>109</v>
      </c>
      <c r="E42">
        <v>50842190</v>
      </c>
      <c r="F42" t="s">
        <v>127</v>
      </c>
      <c r="G42" t="s">
        <v>13</v>
      </c>
      <c r="H42" t="s">
        <v>98</v>
      </c>
      <c r="I42" t="s">
        <v>43</v>
      </c>
      <c r="J42">
        <v>2023</v>
      </c>
      <c r="K42" t="s">
        <v>59</v>
      </c>
      <c r="N42" t="s">
        <v>99</v>
      </c>
      <c r="O42">
        <v>45401</v>
      </c>
      <c r="P42" t="s">
        <v>50</v>
      </c>
      <c r="Q42">
        <v>68</v>
      </c>
      <c r="R42">
        <v>24</v>
      </c>
      <c r="AI42">
        <f t="shared" si="1"/>
        <v>1</v>
      </c>
      <c r="AJ42">
        <f>'TABLA PREVIOS'!E42</f>
        <v>221</v>
      </c>
      <c r="AK42">
        <f>VLOOKUP(E42,ALUMNOS!A:B,2,FALSE)</f>
        <v>756</v>
      </c>
    </row>
    <row r="43" spans="2:37" x14ac:dyDescent="0.25">
      <c r="B43" t="str">
        <f t="shared" si="0"/>
        <v>50842190LENGUA EXTRANJERA - INGLÉS1º</v>
      </c>
      <c r="C43" t="s">
        <v>95</v>
      </c>
      <c r="D43" t="s">
        <v>109</v>
      </c>
      <c r="E43">
        <v>50842190</v>
      </c>
      <c r="F43" t="s">
        <v>127</v>
      </c>
      <c r="G43" t="s">
        <v>16</v>
      </c>
      <c r="H43" t="s">
        <v>98</v>
      </c>
      <c r="I43" t="s">
        <v>43</v>
      </c>
      <c r="J43">
        <v>2023</v>
      </c>
      <c r="K43" t="s">
        <v>59</v>
      </c>
      <c r="N43" t="s">
        <v>99</v>
      </c>
      <c r="O43">
        <v>45406</v>
      </c>
      <c r="P43" t="s">
        <v>50</v>
      </c>
      <c r="Q43">
        <v>68</v>
      </c>
      <c r="R43">
        <v>33</v>
      </c>
      <c r="AI43">
        <f t="shared" si="1"/>
        <v>1</v>
      </c>
      <c r="AJ43">
        <f>'TABLA PREVIOS'!E43</f>
        <v>224</v>
      </c>
      <c r="AK43">
        <f>VLOOKUP(E43,ALUMNOS!A:B,2,FALSE)</f>
        <v>756</v>
      </c>
    </row>
    <row r="44" spans="2:37" x14ac:dyDescent="0.25">
      <c r="B44" t="str">
        <f t="shared" si="0"/>
        <v>51013768CIENCIAS SOCIALES - GEOGRAFÍA1º</v>
      </c>
      <c r="C44" t="s">
        <v>95</v>
      </c>
      <c r="D44" t="s">
        <v>128</v>
      </c>
      <c r="E44">
        <v>51013768</v>
      </c>
      <c r="F44" t="s">
        <v>129</v>
      </c>
      <c r="G44" t="s">
        <v>15</v>
      </c>
      <c r="H44" t="s">
        <v>98</v>
      </c>
      <c r="I44" t="s">
        <v>43</v>
      </c>
      <c r="J44">
        <v>2023</v>
      </c>
      <c r="K44" t="s">
        <v>59</v>
      </c>
      <c r="N44" t="s">
        <v>99</v>
      </c>
      <c r="O44">
        <v>45404</v>
      </c>
      <c r="P44" t="s">
        <v>50</v>
      </c>
      <c r="Q44">
        <v>68</v>
      </c>
      <c r="R44">
        <v>26</v>
      </c>
      <c r="AI44">
        <f t="shared" si="1"/>
        <v>1</v>
      </c>
      <c r="AJ44">
        <f>'TABLA PREVIOS'!E44</f>
        <v>223</v>
      </c>
      <c r="AK44">
        <f>VLOOKUP(E44,ALUMNOS!A:B,2,FALSE)</f>
        <v>209</v>
      </c>
    </row>
    <row r="45" spans="2:37" x14ac:dyDescent="0.25">
      <c r="B45" t="str">
        <f t="shared" si="0"/>
        <v>51013768LENGUA Y LITERATURA1º</v>
      </c>
      <c r="C45" t="s">
        <v>95</v>
      </c>
      <c r="D45" t="s">
        <v>128</v>
      </c>
      <c r="E45">
        <v>51013768</v>
      </c>
      <c r="F45" t="s">
        <v>129</v>
      </c>
      <c r="G45" t="s">
        <v>11</v>
      </c>
      <c r="H45" t="s">
        <v>98</v>
      </c>
      <c r="I45" t="s">
        <v>43</v>
      </c>
      <c r="J45">
        <v>2023</v>
      </c>
      <c r="K45" t="s">
        <v>59</v>
      </c>
      <c r="N45" t="s">
        <v>99</v>
      </c>
      <c r="O45">
        <v>45411</v>
      </c>
      <c r="P45">
        <v>3</v>
      </c>
      <c r="Q45">
        <v>68</v>
      </c>
      <c r="R45">
        <v>37</v>
      </c>
      <c r="S45">
        <v>45475</v>
      </c>
      <c r="T45">
        <v>4</v>
      </c>
      <c r="U45">
        <v>68</v>
      </c>
      <c r="V45">
        <v>73</v>
      </c>
      <c r="AI45">
        <f t="shared" si="1"/>
        <v>1</v>
      </c>
      <c r="AJ45">
        <f>'TABLA PREVIOS'!E45</f>
        <v>219</v>
      </c>
      <c r="AK45">
        <f>VLOOKUP(E45,ALUMNOS!A:B,2,FALSE)</f>
        <v>209</v>
      </c>
    </row>
    <row r="46" spans="2:37" x14ac:dyDescent="0.25">
      <c r="B46" t="str">
        <f t="shared" si="0"/>
        <v>51013768MATEMÁTICA1º</v>
      </c>
      <c r="C46" t="s">
        <v>95</v>
      </c>
      <c r="D46" t="s">
        <v>128</v>
      </c>
      <c r="E46">
        <v>51013768</v>
      </c>
      <c r="F46" t="s">
        <v>129</v>
      </c>
      <c r="G46" t="s">
        <v>12</v>
      </c>
      <c r="H46" t="s">
        <v>98</v>
      </c>
      <c r="I46" t="s">
        <v>45</v>
      </c>
      <c r="J46">
        <v>2023</v>
      </c>
      <c r="K46" t="s">
        <v>59</v>
      </c>
      <c r="N46" t="s">
        <v>99</v>
      </c>
      <c r="AI46">
        <f t="shared" si="1"/>
        <v>1</v>
      </c>
      <c r="AJ46">
        <f>'TABLA PREVIOS'!E46</f>
        <v>220</v>
      </c>
      <c r="AK46">
        <f>VLOOKUP(E46,ALUMNOS!A:B,2,FALSE)</f>
        <v>209</v>
      </c>
    </row>
    <row r="47" spans="2:37" x14ac:dyDescent="0.25">
      <c r="B47" t="str">
        <f t="shared" si="0"/>
        <v>51297338MATEMÁTICA1º</v>
      </c>
      <c r="C47" t="s">
        <v>95</v>
      </c>
      <c r="D47" t="s">
        <v>128</v>
      </c>
      <c r="E47">
        <v>51297338</v>
      </c>
      <c r="F47" t="s">
        <v>130</v>
      </c>
      <c r="G47" t="s">
        <v>12</v>
      </c>
      <c r="H47" t="s">
        <v>98</v>
      </c>
      <c r="I47" t="s">
        <v>43</v>
      </c>
      <c r="J47">
        <v>2023</v>
      </c>
      <c r="K47" t="s">
        <v>59</v>
      </c>
      <c r="N47" t="s">
        <v>99</v>
      </c>
      <c r="AI47">
        <f t="shared" si="1"/>
        <v>1</v>
      </c>
      <c r="AJ47">
        <f>'TABLA PREVIOS'!E47</f>
        <v>220</v>
      </c>
      <c r="AK47">
        <f>VLOOKUP(E47,ALUMNOS!A:B,2,FALSE)</f>
        <v>313</v>
      </c>
    </row>
    <row r="48" spans="2:37" x14ac:dyDescent="0.25">
      <c r="B48" t="str">
        <f t="shared" si="0"/>
        <v>48130270LENGUA EXTRANJERA - INGLÉS1º</v>
      </c>
      <c r="C48" t="s">
        <v>95</v>
      </c>
      <c r="D48" t="s">
        <v>128</v>
      </c>
      <c r="E48">
        <v>48130270</v>
      </c>
      <c r="F48" t="s">
        <v>131</v>
      </c>
      <c r="G48" t="s">
        <v>16</v>
      </c>
      <c r="H48" t="s">
        <v>98</v>
      </c>
      <c r="I48" t="s">
        <v>43</v>
      </c>
      <c r="J48">
        <v>2021</v>
      </c>
      <c r="K48" t="s">
        <v>59</v>
      </c>
      <c r="L48" t="s">
        <v>111</v>
      </c>
      <c r="N48" t="s">
        <v>99</v>
      </c>
      <c r="AI48">
        <f t="shared" si="1"/>
        <v>1</v>
      </c>
      <c r="AJ48">
        <f>'TABLA PREVIOS'!E48</f>
        <v>224</v>
      </c>
      <c r="AK48">
        <f>VLOOKUP(E48,ALUMNOS!A:B,2,FALSE)</f>
        <v>326</v>
      </c>
    </row>
    <row r="49" spans="2:37" x14ac:dyDescent="0.25">
      <c r="B49" t="str">
        <f t="shared" si="0"/>
        <v>48130270MATEMÁTICA1º</v>
      </c>
      <c r="C49" t="s">
        <v>95</v>
      </c>
      <c r="D49" t="s">
        <v>128</v>
      </c>
      <c r="E49">
        <v>48130270</v>
      </c>
      <c r="F49" t="s">
        <v>131</v>
      </c>
      <c r="G49" t="s">
        <v>12</v>
      </c>
      <c r="H49" t="s">
        <v>98</v>
      </c>
      <c r="I49" t="s">
        <v>43</v>
      </c>
      <c r="J49">
        <v>2021</v>
      </c>
      <c r="K49" t="s">
        <v>59</v>
      </c>
      <c r="N49" t="s">
        <v>99</v>
      </c>
      <c r="AI49">
        <f t="shared" si="1"/>
        <v>1</v>
      </c>
      <c r="AJ49">
        <f>'TABLA PREVIOS'!E49</f>
        <v>220</v>
      </c>
      <c r="AK49">
        <f>VLOOKUP(E49,ALUMNOS!A:B,2,FALSE)</f>
        <v>326</v>
      </c>
    </row>
    <row r="50" spans="2:37" x14ac:dyDescent="0.25">
      <c r="B50" t="str">
        <f t="shared" si="0"/>
        <v>47989294LENGUA Y LITERATURA1º</v>
      </c>
      <c r="C50" t="s">
        <v>95</v>
      </c>
      <c r="D50" t="s">
        <v>128</v>
      </c>
      <c r="E50">
        <v>47989294</v>
      </c>
      <c r="F50" t="s">
        <v>132</v>
      </c>
      <c r="G50" t="s">
        <v>11</v>
      </c>
      <c r="H50" t="s">
        <v>98</v>
      </c>
      <c r="I50" t="s">
        <v>43</v>
      </c>
      <c r="J50">
        <v>2022</v>
      </c>
      <c r="K50" t="s">
        <v>59</v>
      </c>
      <c r="N50" t="s">
        <v>99</v>
      </c>
      <c r="AI50">
        <f t="shared" si="1"/>
        <v>1</v>
      </c>
      <c r="AJ50">
        <f>'TABLA PREVIOS'!E50</f>
        <v>219</v>
      </c>
      <c r="AK50">
        <f>VLOOKUP(E50,ALUMNOS!A:B,2,FALSE)</f>
        <v>343</v>
      </c>
    </row>
    <row r="51" spans="2:37" x14ac:dyDescent="0.25">
      <c r="B51" t="str">
        <f t="shared" si="0"/>
        <v>47989294MATEMÁTICA1º</v>
      </c>
      <c r="C51" t="s">
        <v>95</v>
      </c>
      <c r="D51" t="s">
        <v>128</v>
      </c>
      <c r="E51">
        <v>47989294</v>
      </c>
      <c r="F51" t="s">
        <v>132</v>
      </c>
      <c r="G51" t="s">
        <v>12</v>
      </c>
      <c r="H51" t="s">
        <v>98</v>
      </c>
      <c r="I51" t="s">
        <v>43</v>
      </c>
      <c r="J51">
        <v>2022</v>
      </c>
      <c r="K51" t="s">
        <v>59</v>
      </c>
      <c r="N51" t="s">
        <v>99</v>
      </c>
      <c r="AI51">
        <f t="shared" si="1"/>
        <v>1</v>
      </c>
      <c r="AJ51">
        <f>'TABLA PREVIOS'!E51</f>
        <v>220</v>
      </c>
      <c r="AK51">
        <f>VLOOKUP(E51,ALUMNOS!A:B,2,FALSE)</f>
        <v>343</v>
      </c>
    </row>
    <row r="52" spans="2:37" x14ac:dyDescent="0.25">
      <c r="B52" t="str">
        <f t="shared" si="0"/>
        <v>6509219LENGUA Y LITERATURA1º</v>
      </c>
      <c r="C52" t="s">
        <v>95</v>
      </c>
      <c r="D52" t="s">
        <v>128</v>
      </c>
      <c r="E52">
        <v>6509219</v>
      </c>
      <c r="F52" t="s">
        <v>133</v>
      </c>
      <c r="G52" t="s">
        <v>11</v>
      </c>
      <c r="H52" t="s">
        <v>98</v>
      </c>
      <c r="I52" t="s">
        <v>43</v>
      </c>
      <c r="J52">
        <v>2023</v>
      </c>
      <c r="K52" t="s">
        <v>59</v>
      </c>
      <c r="N52" t="s">
        <v>99</v>
      </c>
      <c r="O52">
        <v>45411</v>
      </c>
      <c r="P52">
        <v>3</v>
      </c>
      <c r="Q52">
        <v>68</v>
      </c>
      <c r="R52">
        <v>37</v>
      </c>
      <c r="S52">
        <v>45475</v>
      </c>
      <c r="T52">
        <v>2</v>
      </c>
      <c r="U52">
        <v>68</v>
      </c>
      <c r="V52">
        <v>73</v>
      </c>
      <c r="AI52">
        <f t="shared" si="1"/>
        <v>1</v>
      </c>
      <c r="AJ52">
        <f>'TABLA PREVIOS'!E52</f>
        <v>219</v>
      </c>
      <c r="AK52">
        <f>VLOOKUP(E52,ALUMNOS!A:B,2,FALSE)</f>
        <v>376</v>
      </c>
    </row>
    <row r="53" spans="2:37" x14ac:dyDescent="0.25">
      <c r="B53" t="str">
        <f t="shared" si="0"/>
        <v>6509219MATEMÁTICA1º</v>
      </c>
      <c r="C53" t="s">
        <v>95</v>
      </c>
      <c r="D53" t="s">
        <v>128</v>
      </c>
      <c r="E53">
        <v>6509219</v>
      </c>
      <c r="F53" t="s">
        <v>133</v>
      </c>
      <c r="G53" t="s">
        <v>12</v>
      </c>
      <c r="H53" t="s">
        <v>98</v>
      </c>
      <c r="I53" t="s">
        <v>43</v>
      </c>
      <c r="J53">
        <v>2023</v>
      </c>
      <c r="K53" t="s">
        <v>59</v>
      </c>
      <c r="N53" t="s">
        <v>99</v>
      </c>
      <c r="S53">
        <v>45474</v>
      </c>
      <c r="T53" t="s">
        <v>50</v>
      </c>
      <c r="U53">
        <v>68</v>
      </c>
      <c r="V53">
        <v>60</v>
      </c>
      <c r="AI53">
        <f t="shared" si="1"/>
        <v>1</v>
      </c>
      <c r="AJ53">
        <f>'TABLA PREVIOS'!E53</f>
        <v>220</v>
      </c>
      <c r="AK53">
        <f>VLOOKUP(E53,ALUMNOS!A:B,2,FALSE)</f>
        <v>376</v>
      </c>
    </row>
    <row r="54" spans="2:37" x14ac:dyDescent="0.25">
      <c r="B54" t="str">
        <f t="shared" si="0"/>
        <v>49716997CIENCIAS NATURALES - BIOLOGÍA1º</v>
      </c>
      <c r="C54" t="s">
        <v>95</v>
      </c>
      <c r="D54" t="s">
        <v>128</v>
      </c>
      <c r="E54">
        <v>49716997</v>
      </c>
      <c r="F54" t="s">
        <v>134</v>
      </c>
      <c r="G54" t="s">
        <v>13</v>
      </c>
      <c r="H54" t="s">
        <v>98</v>
      </c>
      <c r="I54" t="s">
        <v>43</v>
      </c>
      <c r="J54">
        <v>2022</v>
      </c>
      <c r="K54" t="s">
        <v>59</v>
      </c>
      <c r="L54" t="s">
        <v>111</v>
      </c>
      <c r="N54" t="s">
        <v>99</v>
      </c>
      <c r="AI54">
        <f t="shared" si="1"/>
        <v>1</v>
      </c>
      <c r="AJ54">
        <f>'TABLA PREVIOS'!E54</f>
        <v>221</v>
      </c>
      <c r="AK54">
        <f>VLOOKUP(E54,ALUMNOS!A:B,2,FALSE)</f>
        <v>442</v>
      </c>
    </row>
    <row r="55" spans="2:37" x14ac:dyDescent="0.25">
      <c r="B55" t="str">
        <f t="shared" si="0"/>
        <v>50755633LENGUA Y LITERATURA1º</v>
      </c>
      <c r="C55" t="s">
        <v>95</v>
      </c>
      <c r="D55" t="s">
        <v>128</v>
      </c>
      <c r="E55">
        <v>50755633</v>
      </c>
      <c r="F55" t="s">
        <v>135</v>
      </c>
      <c r="G55" t="s">
        <v>11</v>
      </c>
      <c r="H55" t="s">
        <v>98</v>
      </c>
      <c r="I55" t="s">
        <v>43</v>
      </c>
      <c r="J55">
        <v>2023</v>
      </c>
      <c r="K55" t="s">
        <v>59</v>
      </c>
      <c r="N55" t="s">
        <v>107</v>
      </c>
      <c r="O55">
        <v>45411</v>
      </c>
      <c r="P55">
        <v>4</v>
      </c>
      <c r="Q55">
        <v>68</v>
      </c>
      <c r="R55">
        <v>37</v>
      </c>
      <c r="S55">
        <v>45475</v>
      </c>
      <c r="T55">
        <v>7</v>
      </c>
      <c r="U55">
        <v>68</v>
      </c>
      <c r="V55">
        <v>73</v>
      </c>
      <c r="AI55">
        <f t="shared" si="1"/>
        <v>7</v>
      </c>
      <c r="AJ55">
        <f>'TABLA PREVIOS'!E55</f>
        <v>219</v>
      </c>
      <c r="AK55">
        <f>VLOOKUP(E55,ALUMNOS!A:B,2,FALSE)</f>
        <v>462</v>
      </c>
    </row>
    <row r="56" spans="2:37" x14ac:dyDescent="0.25">
      <c r="B56" t="str">
        <f t="shared" si="0"/>
        <v>49455889MATEMÁTICA1º</v>
      </c>
      <c r="C56" t="s">
        <v>95</v>
      </c>
      <c r="D56" t="s">
        <v>128</v>
      </c>
      <c r="E56">
        <v>49455889</v>
      </c>
      <c r="F56" t="s">
        <v>136</v>
      </c>
      <c r="G56" t="s">
        <v>12</v>
      </c>
      <c r="H56" t="s">
        <v>98</v>
      </c>
      <c r="I56" t="s">
        <v>43</v>
      </c>
      <c r="J56">
        <v>2022</v>
      </c>
      <c r="K56" t="s">
        <v>59</v>
      </c>
      <c r="L56" t="s">
        <v>111</v>
      </c>
      <c r="N56" t="s">
        <v>99</v>
      </c>
      <c r="S56">
        <v>45474</v>
      </c>
      <c r="T56">
        <v>2</v>
      </c>
      <c r="U56">
        <v>68</v>
      </c>
      <c r="V56">
        <v>60</v>
      </c>
      <c r="AI56">
        <f t="shared" si="1"/>
        <v>1</v>
      </c>
      <c r="AJ56">
        <f>'TABLA PREVIOS'!E56</f>
        <v>220</v>
      </c>
      <c r="AK56">
        <f>VLOOKUP(E56,ALUMNOS!A:B,2,FALSE)</f>
        <v>494</v>
      </c>
    </row>
    <row r="57" spans="2:37" x14ac:dyDescent="0.25">
      <c r="B57" t="str">
        <f t="shared" si="0"/>
        <v>50091959MATEMÁTICA1º</v>
      </c>
      <c r="C57" t="s">
        <v>95</v>
      </c>
      <c r="D57" t="s">
        <v>128</v>
      </c>
      <c r="E57">
        <v>50091959</v>
      </c>
      <c r="F57" t="s">
        <v>137</v>
      </c>
      <c r="G57" t="s">
        <v>12</v>
      </c>
      <c r="H57" t="s">
        <v>98</v>
      </c>
      <c r="I57" t="s">
        <v>43</v>
      </c>
      <c r="J57">
        <v>2023</v>
      </c>
      <c r="K57" t="s">
        <v>59</v>
      </c>
      <c r="N57" t="s">
        <v>99</v>
      </c>
      <c r="S57">
        <v>45474</v>
      </c>
      <c r="T57" t="s">
        <v>50</v>
      </c>
      <c r="U57">
        <v>68</v>
      </c>
      <c r="V57">
        <v>60</v>
      </c>
      <c r="AI57">
        <f t="shared" si="1"/>
        <v>1</v>
      </c>
      <c r="AJ57">
        <f>'TABLA PREVIOS'!E57</f>
        <v>220</v>
      </c>
      <c r="AK57">
        <f>VLOOKUP(E57,ALUMNOS!A:B,2,FALSE)</f>
        <v>570</v>
      </c>
    </row>
    <row r="58" spans="2:37" x14ac:dyDescent="0.25">
      <c r="B58" t="str">
        <f t="shared" si="0"/>
        <v>50334173MATEMÁTICA1º</v>
      </c>
      <c r="C58" t="s">
        <v>95</v>
      </c>
      <c r="D58" t="s">
        <v>128</v>
      </c>
      <c r="E58">
        <v>50334173</v>
      </c>
      <c r="F58" t="s">
        <v>138</v>
      </c>
      <c r="G58" t="s">
        <v>12</v>
      </c>
      <c r="H58" t="s">
        <v>98</v>
      </c>
      <c r="I58" t="s">
        <v>43</v>
      </c>
      <c r="J58">
        <v>2023</v>
      </c>
      <c r="K58" t="s">
        <v>59</v>
      </c>
      <c r="N58" t="s">
        <v>99</v>
      </c>
      <c r="S58">
        <v>45474</v>
      </c>
      <c r="T58" t="s">
        <v>50</v>
      </c>
      <c r="U58">
        <v>68</v>
      </c>
      <c r="V58">
        <v>60</v>
      </c>
      <c r="AI58">
        <f t="shared" si="1"/>
        <v>1</v>
      </c>
      <c r="AJ58">
        <f>'TABLA PREVIOS'!E58</f>
        <v>220</v>
      </c>
      <c r="AK58">
        <f>VLOOKUP(E58,ALUMNOS!A:B,2,FALSE)</f>
        <v>600</v>
      </c>
    </row>
    <row r="59" spans="2:37" x14ac:dyDescent="0.25">
      <c r="B59" t="str">
        <f t="shared" si="0"/>
        <v>49661848CIENCIAS NATURALES - BIOLOGÍA1º</v>
      </c>
      <c r="C59" t="s">
        <v>95</v>
      </c>
      <c r="D59" t="s">
        <v>128</v>
      </c>
      <c r="E59">
        <v>49661848</v>
      </c>
      <c r="F59" t="s">
        <v>139</v>
      </c>
      <c r="G59" t="s">
        <v>13</v>
      </c>
      <c r="H59" t="s">
        <v>98</v>
      </c>
      <c r="I59" t="s">
        <v>43</v>
      </c>
      <c r="J59">
        <v>2023</v>
      </c>
      <c r="K59" t="s">
        <v>59</v>
      </c>
      <c r="N59" t="s">
        <v>99</v>
      </c>
      <c r="O59">
        <v>45401</v>
      </c>
      <c r="P59" t="s">
        <v>50</v>
      </c>
      <c r="Q59">
        <v>68</v>
      </c>
      <c r="R59">
        <v>24</v>
      </c>
      <c r="S59">
        <v>45474</v>
      </c>
      <c r="T59" t="s">
        <v>50</v>
      </c>
      <c r="U59">
        <v>68</v>
      </c>
      <c r="V59">
        <v>56</v>
      </c>
      <c r="AI59">
        <f t="shared" si="1"/>
        <v>1</v>
      </c>
      <c r="AJ59">
        <f>'TABLA PREVIOS'!E59</f>
        <v>221</v>
      </c>
      <c r="AK59">
        <f>VLOOKUP(E59,ALUMNOS!A:B,2,FALSE)</f>
        <v>647</v>
      </c>
    </row>
    <row r="60" spans="2:37" x14ac:dyDescent="0.25">
      <c r="B60" t="str">
        <f t="shared" si="0"/>
        <v>49661848MATEMÁTICA1º</v>
      </c>
      <c r="C60" t="s">
        <v>95</v>
      </c>
      <c r="D60" t="s">
        <v>128</v>
      </c>
      <c r="E60">
        <v>49661848</v>
      </c>
      <c r="F60" t="s">
        <v>139</v>
      </c>
      <c r="G60" t="s">
        <v>12</v>
      </c>
      <c r="H60" t="s">
        <v>98</v>
      </c>
      <c r="I60" t="s">
        <v>43</v>
      </c>
      <c r="J60">
        <v>2023</v>
      </c>
      <c r="K60" t="s">
        <v>59</v>
      </c>
      <c r="N60" t="s">
        <v>99</v>
      </c>
      <c r="AI60">
        <f t="shared" si="1"/>
        <v>1</v>
      </c>
      <c r="AJ60">
        <f>'TABLA PREVIOS'!E60</f>
        <v>220</v>
      </c>
      <c r="AK60">
        <f>VLOOKUP(E60,ALUMNOS!A:B,2,FALSE)</f>
        <v>647</v>
      </c>
    </row>
    <row r="61" spans="2:37" x14ac:dyDescent="0.25">
      <c r="B61" t="str">
        <f t="shared" si="0"/>
        <v>49716919CIENCIAS NATURALES - BIOLOGÍA1º</v>
      </c>
      <c r="C61" t="s">
        <v>95</v>
      </c>
      <c r="D61" t="s">
        <v>128</v>
      </c>
      <c r="E61">
        <v>49716919</v>
      </c>
      <c r="F61" t="s">
        <v>140</v>
      </c>
      <c r="G61" t="s">
        <v>13</v>
      </c>
      <c r="H61" t="s">
        <v>98</v>
      </c>
      <c r="I61" t="s">
        <v>43</v>
      </c>
      <c r="J61">
        <v>2022</v>
      </c>
      <c r="K61" t="s">
        <v>59</v>
      </c>
      <c r="N61" t="s">
        <v>99</v>
      </c>
      <c r="O61">
        <v>45401</v>
      </c>
      <c r="P61" t="s">
        <v>50</v>
      </c>
      <c r="Q61">
        <v>68</v>
      </c>
      <c r="R61">
        <v>24</v>
      </c>
      <c r="AI61">
        <f t="shared" si="1"/>
        <v>1</v>
      </c>
      <c r="AJ61">
        <f>'TABLA PREVIOS'!E61</f>
        <v>221</v>
      </c>
      <c r="AK61">
        <f>VLOOKUP(E61,ALUMNOS!A:B,2,FALSE)</f>
        <v>655</v>
      </c>
    </row>
    <row r="62" spans="2:37" x14ac:dyDescent="0.25">
      <c r="B62" t="str">
        <f t="shared" si="0"/>
        <v>49716919EDUCACIÓN ARTÍSTICA - ARTES VISUALES1º</v>
      </c>
      <c r="C62" t="s">
        <v>95</v>
      </c>
      <c r="D62" t="s">
        <v>128</v>
      </c>
      <c r="E62">
        <v>49716919</v>
      </c>
      <c r="F62" t="s">
        <v>140</v>
      </c>
      <c r="G62" t="s">
        <v>17</v>
      </c>
      <c r="H62" t="s">
        <v>98</v>
      </c>
      <c r="I62" t="s">
        <v>43</v>
      </c>
      <c r="J62">
        <v>2022</v>
      </c>
      <c r="K62" t="s">
        <v>59</v>
      </c>
      <c r="N62" t="s">
        <v>99</v>
      </c>
      <c r="O62">
        <v>45399</v>
      </c>
      <c r="P62" t="s">
        <v>50</v>
      </c>
      <c r="Q62">
        <v>68</v>
      </c>
      <c r="R62">
        <v>19</v>
      </c>
      <c r="S62">
        <v>45475</v>
      </c>
      <c r="T62" t="s">
        <v>50</v>
      </c>
      <c r="U62">
        <v>68</v>
      </c>
      <c r="V62">
        <v>69</v>
      </c>
      <c r="AI62">
        <f t="shared" si="1"/>
        <v>1</v>
      </c>
      <c r="AJ62">
        <f>'TABLA PREVIOS'!E62</f>
        <v>225</v>
      </c>
      <c r="AK62">
        <f>VLOOKUP(E62,ALUMNOS!A:B,2,FALSE)</f>
        <v>655</v>
      </c>
    </row>
    <row r="63" spans="2:37" x14ac:dyDescent="0.25">
      <c r="B63" t="str">
        <f t="shared" si="0"/>
        <v>50741969CIENCIAS NATURALES - BIOLOGÍA1º</v>
      </c>
      <c r="C63" t="s">
        <v>95</v>
      </c>
      <c r="D63" t="s">
        <v>128</v>
      </c>
      <c r="E63">
        <v>50741969</v>
      </c>
      <c r="F63" t="s">
        <v>141</v>
      </c>
      <c r="G63" t="s">
        <v>13</v>
      </c>
      <c r="H63" t="s">
        <v>98</v>
      </c>
      <c r="I63" t="s">
        <v>43</v>
      </c>
      <c r="J63">
        <v>2023</v>
      </c>
      <c r="K63" t="s">
        <v>59</v>
      </c>
      <c r="N63" t="s">
        <v>99</v>
      </c>
      <c r="S63">
        <v>45474</v>
      </c>
      <c r="T63" t="s">
        <v>50</v>
      </c>
      <c r="U63">
        <v>68</v>
      </c>
      <c r="V63">
        <v>56</v>
      </c>
      <c r="AI63">
        <f t="shared" si="1"/>
        <v>1</v>
      </c>
      <c r="AJ63">
        <f>'TABLA PREVIOS'!E63</f>
        <v>221</v>
      </c>
      <c r="AK63">
        <f>VLOOKUP(E63,ALUMNOS!A:B,2,FALSE)</f>
        <v>681</v>
      </c>
    </row>
    <row r="64" spans="2:37" x14ac:dyDescent="0.25">
      <c r="B64" t="str">
        <f t="shared" si="0"/>
        <v>50741969LENGUA Y LITERATURA1º</v>
      </c>
      <c r="C64" t="s">
        <v>95</v>
      </c>
      <c r="D64" t="s">
        <v>128</v>
      </c>
      <c r="E64">
        <v>50741969</v>
      </c>
      <c r="F64" t="s">
        <v>141</v>
      </c>
      <c r="G64" t="s">
        <v>11</v>
      </c>
      <c r="H64" t="s">
        <v>98</v>
      </c>
      <c r="I64" t="s">
        <v>43</v>
      </c>
      <c r="J64">
        <v>2023</v>
      </c>
      <c r="K64" t="s">
        <v>59</v>
      </c>
      <c r="N64" t="s">
        <v>99</v>
      </c>
      <c r="AI64">
        <f t="shared" si="1"/>
        <v>1</v>
      </c>
      <c r="AJ64">
        <f>'TABLA PREVIOS'!E64</f>
        <v>219</v>
      </c>
      <c r="AK64">
        <f>VLOOKUP(E64,ALUMNOS!A:B,2,FALSE)</f>
        <v>681</v>
      </c>
    </row>
    <row r="65" spans="2:37" x14ac:dyDescent="0.25">
      <c r="B65" t="str">
        <f t="shared" si="0"/>
        <v>50741969MATEMÁTICA1º</v>
      </c>
      <c r="C65" t="s">
        <v>95</v>
      </c>
      <c r="D65" t="s">
        <v>128</v>
      </c>
      <c r="E65">
        <v>50741969</v>
      </c>
      <c r="F65" t="s">
        <v>141</v>
      </c>
      <c r="G65" t="s">
        <v>12</v>
      </c>
      <c r="H65" t="s">
        <v>98</v>
      </c>
      <c r="I65" t="s">
        <v>45</v>
      </c>
      <c r="J65">
        <v>2023</v>
      </c>
      <c r="K65" t="s">
        <v>59</v>
      </c>
      <c r="N65" t="s">
        <v>99</v>
      </c>
      <c r="AI65">
        <f t="shared" si="1"/>
        <v>1</v>
      </c>
      <c r="AJ65">
        <f>'TABLA PREVIOS'!E65</f>
        <v>220</v>
      </c>
      <c r="AK65">
        <f>VLOOKUP(E65,ALUMNOS!A:B,2,FALSE)</f>
        <v>681</v>
      </c>
    </row>
    <row r="66" spans="2:37" x14ac:dyDescent="0.25">
      <c r="B66" t="str">
        <f t="shared" si="0"/>
        <v>51033873CIENCIAS NATURALES - BIOLOGÍA1º</v>
      </c>
      <c r="C66" t="s">
        <v>95</v>
      </c>
      <c r="D66" t="s">
        <v>128</v>
      </c>
      <c r="E66">
        <v>51033873</v>
      </c>
      <c r="F66" t="s">
        <v>142</v>
      </c>
      <c r="G66" t="s">
        <v>13</v>
      </c>
      <c r="H66" t="s">
        <v>98</v>
      </c>
      <c r="I66" t="s">
        <v>45</v>
      </c>
      <c r="J66">
        <v>2023</v>
      </c>
      <c r="K66" t="s">
        <v>59</v>
      </c>
      <c r="N66" t="s">
        <v>99</v>
      </c>
      <c r="AI66">
        <f t="shared" si="1"/>
        <v>1</v>
      </c>
      <c r="AJ66">
        <f>'TABLA PREVIOS'!E66</f>
        <v>221</v>
      </c>
      <c r="AK66">
        <f>VLOOKUP(E66,ALUMNOS!A:B,2,FALSE)</f>
        <v>747</v>
      </c>
    </row>
    <row r="67" spans="2:37" x14ac:dyDescent="0.25">
      <c r="B67" t="str">
        <f t="shared" ref="B67:B130" si="2">E67&amp;G67&amp;H67</f>
        <v>51033873LENGUA Y LITERATURA1º</v>
      </c>
      <c r="C67" t="s">
        <v>95</v>
      </c>
      <c r="D67" t="s">
        <v>128</v>
      </c>
      <c r="E67">
        <v>51033873</v>
      </c>
      <c r="F67" t="s">
        <v>142</v>
      </c>
      <c r="G67" t="s">
        <v>11</v>
      </c>
      <c r="H67" t="s">
        <v>98</v>
      </c>
      <c r="I67" t="s">
        <v>43</v>
      </c>
      <c r="J67">
        <v>2023</v>
      </c>
      <c r="K67" t="s">
        <v>59</v>
      </c>
      <c r="N67" t="s">
        <v>99</v>
      </c>
      <c r="O67">
        <v>45411</v>
      </c>
      <c r="P67">
        <v>2</v>
      </c>
      <c r="Q67">
        <v>68</v>
      </c>
      <c r="R67">
        <v>37</v>
      </c>
      <c r="S67">
        <v>45475</v>
      </c>
      <c r="T67">
        <v>1</v>
      </c>
      <c r="U67">
        <v>68</v>
      </c>
      <c r="V67">
        <v>73</v>
      </c>
      <c r="AI67">
        <f t="shared" ref="AI67:AI130" si="3">IF(VALUE(MAX(P67,T67,X67,AB67,AE67,))&gt;=7,VALUE(MAX(P67,T67,X67,AB67,AE67,)),1)</f>
        <v>1</v>
      </c>
      <c r="AJ67">
        <f>'TABLA PREVIOS'!E67</f>
        <v>219</v>
      </c>
      <c r="AK67">
        <f>VLOOKUP(E67,ALUMNOS!A:B,2,FALSE)</f>
        <v>747</v>
      </c>
    </row>
    <row r="68" spans="2:37" x14ac:dyDescent="0.25">
      <c r="B68" t="str">
        <f t="shared" si="2"/>
        <v>51033873MATEMÁTICA1º</v>
      </c>
      <c r="C68" t="s">
        <v>95</v>
      </c>
      <c r="D68" t="s">
        <v>128</v>
      </c>
      <c r="E68">
        <v>51033873</v>
      </c>
      <c r="F68" t="s">
        <v>142</v>
      </c>
      <c r="G68" t="s">
        <v>12</v>
      </c>
      <c r="H68" t="s">
        <v>98</v>
      </c>
      <c r="I68" t="s">
        <v>43</v>
      </c>
      <c r="J68">
        <v>2023</v>
      </c>
      <c r="K68" t="s">
        <v>59</v>
      </c>
      <c r="N68" t="s">
        <v>99</v>
      </c>
      <c r="AI68">
        <f t="shared" si="3"/>
        <v>1</v>
      </c>
      <c r="AJ68">
        <f>'TABLA PREVIOS'!E68</f>
        <v>220</v>
      </c>
      <c r="AK68">
        <f>VLOOKUP(E68,ALUMNOS!A:B,2,FALSE)</f>
        <v>747</v>
      </c>
    </row>
    <row r="69" spans="2:37" x14ac:dyDescent="0.25">
      <c r="B69" t="str">
        <f t="shared" si="2"/>
        <v>49144687EDUCACIÓN TECNOLÓGICA2º</v>
      </c>
      <c r="C69" t="s">
        <v>143</v>
      </c>
      <c r="D69" t="s">
        <v>96</v>
      </c>
      <c r="E69">
        <v>49144687</v>
      </c>
      <c r="F69" t="s">
        <v>144</v>
      </c>
      <c r="G69" t="s">
        <v>18</v>
      </c>
      <c r="H69" t="s">
        <v>95</v>
      </c>
      <c r="I69" t="s">
        <v>43</v>
      </c>
      <c r="J69">
        <v>2023</v>
      </c>
      <c r="K69" t="s">
        <v>59</v>
      </c>
      <c r="N69" t="s">
        <v>99</v>
      </c>
      <c r="AI69">
        <f t="shared" si="3"/>
        <v>1</v>
      </c>
      <c r="AJ69">
        <f>'TABLA PREVIOS'!E69</f>
        <v>236</v>
      </c>
      <c r="AK69">
        <f>VLOOKUP(E69,ALUMNOS!A:B,2,FALSE)</f>
        <v>54</v>
      </c>
    </row>
    <row r="70" spans="2:37" x14ac:dyDescent="0.25">
      <c r="B70" t="str">
        <f t="shared" si="2"/>
        <v>49144687LENGUA EXTRANJERA - INGLÉS2º</v>
      </c>
      <c r="C70" t="s">
        <v>143</v>
      </c>
      <c r="D70" t="s">
        <v>96</v>
      </c>
      <c r="E70">
        <v>49144687</v>
      </c>
      <c r="F70" t="s">
        <v>144</v>
      </c>
      <c r="G70" t="s">
        <v>16</v>
      </c>
      <c r="H70" t="s">
        <v>95</v>
      </c>
      <c r="I70" t="s">
        <v>45</v>
      </c>
      <c r="J70">
        <v>2023</v>
      </c>
      <c r="K70" t="s">
        <v>59</v>
      </c>
      <c r="N70" t="s">
        <v>99</v>
      </c>
      <c r="AI70">
        <f t="shared" si="3"/>
        <v>1</v>
      </c>
      <c r="AJ70">
        <f>'TABLA PREVIOS'!E70</f>
        <v>234</v>
      </c>
      <c r="AK70">
        <f>VLOOKUP(E70,ALUMNOS!A:B,2,FALSE)</f>
        <v>54</v>
      </c>
    </row>
    <row r="71" spans="2:37" x14ac:dyDescent="0.25">
      <c r="B71" t="str">
        <f t="shared" si="2"/>
        <v>49144687LENGUA Y LITERATURA2º</v>
      </c>
      <c r="C71" t="s">
        <v>143</v>
      </c>
      <c r="D71" t="s">
        <v>96</v>
      </c>
      <c r="E71">
        <v>49144687</v>
      </c>
      <c r="F71" t="s">
        <v>144</v>
      </c>
      <c r="G71" t="s">
        <v>11</v>
      </c>
      <c r="H71" t="s">
        <v>95</v>
      </c>
      <c r="I71" t="s">
        <v>43</v>
      </c>
      <c r="J71">
        <v>2023</v>
      </c>
      <c r="K71" t="s">
        <v>59</v>
      </c>
      <c r="N71" t="s">
        <v>99</v>
      </c>
      <c r="AI71">
        <f t="shared" si="3"/>
        <v>1</v>
      </c>
      <c r="AJ71">
        <f>'TABLA PREVIOS'!E71</f>
        <v>229</v>
      </c>
      <c r="AK71">
        <f>VLOOKUP(E71,ALUMNOS!A:B,2,FALSE)</f>
        <v>54</v>
      </c>
    </row>
    <row r="72" spans="2:37" x14ac:dyDescent="0.25">
      <c r="B72" t="str">
        <f t="shared" si="2"/>
        <v>49290959LENGUA Y LITERATURA2º</v>
      </c>
      <c r="C72" t="s">
        <v>143</v>
      </c>
      <c r="D72" t="s">
        <v>96</v>
      </c>
      <c r="E72">
        <v>49290959</v>
      </c>
      <c r="F72" t="s">
        <v>145</v>
      </c>
      <c r="G72" t="s">
        <v>11</v>
      </c>
      <c r="H72" t="s">
        <v>95</v>
      </c>
      <c r="I72" t="s">
        <v>43</v>
      </c>
      <c r="J72">
        <v>2023</v>
      </c>
      <c r="K72" t="s">
        <v>59</v>
      </c>
      <c r="N72" t="s">
        <v>99</v>
      </c>
      <c r="O72">
        <v>45411</v>
      </c>
      <c r="P72" t="s">
        <v>50</v>
      </c>
      <c r="Q72">
        <v>68</v>
      </c>
      <c r="R72">
        <v>38</v>
      </c>
      <c r="AI72">
        <f t="shared" si="3"/>
        <v>1</v>
      </c>
      <c r="AJ72">
        <f>'TABLA PREVIOS'!E72</f>
        <v>229</v>
      </c>
      <c r="AK72">
        <f>VLOOKUP(E72,ALUMNOS!A:B,2,FALSE)</f>
        <v>60</v>
      </c>
    </row>
    <row r="73" spans="2:37" x14ac:dyDescent="0.25">
      <c r="B73" t="str">
        <f t="shared" si="2"/>
        <v>49550097CIENCIAS SOCIALES - HISTORIA2º</v>
      </c>
      <c r="C73" t="s">
        <v>143</v>
      </c>
      <c r="D73" t="s">
        <v>96</v>
      </c>
      <c r="E73">
        <v>49550097</v>
      </c>
      <c r="F73" t="s">
        <v>146</v>
      </c>
      <c r="G73" t="s">
        <v>22</v>
      </c>
      <c r="H73" t="s">
        <v>95</v>
      </c>
      <c r="I73" t="s">
        <v>43</v>
      </c>
      <c r="J73">
        <v>2022</v>
      </c>
      <c r="K73" t="s">
        <v>59</v>
      </c>
      <c r="L73" t="s">
        <v>111</v>
      </c>
      <c r="N73" t="s">
        <v>99</v>
      </c>
      <c r="AI73">
        <f t="shared" si="3"/>
        <v>1</v>
      </c>
      <c r="AJ73">
        <f>'TABLA PREVIOS'!E73</f>
        <v>233</v>
      </c>
      <c r="AK73">
        <f>VLOOKUP(E73,ALUMNOS!A:B,2,FALSE)</f>
        <v>64</v>
      </c>
    </row>
    <row r="74" spans="2:37" x14ac:dyDescent="0.25">
      <c r="B74" t="str">
        <f t="shared" si="2"/>
        <v>49550097LENGUA EXTRANJERA - INGLÉS2º</v>
      </c>
      <c r="C74" t="s">
        <v>143</v>
      </c>
      <c r="D74" t="s">
        <v>96</v>
      </c>
      <c r="E74">
        <v>49550097</v>
      </c>
      <c r="F74" t="s">
        <v>146</v>
      </c>
      <c r="G74" t="s">
        <v>16</v>
      </c>
      <c r="H74" t="s">
        <v>95</v>
      </c>
      <c r="I74" t="s">
        <v>43</v>
      </c>
      <c r="J74">
        <v>2022</v>
      </c>
      <c r="K74" t="s">
        <v>59</v>
      </c>
      <c r="N74" t="s">
        <v>99</v>
      </c>
      <c r="AI74">
        <f t="shared" si="3"/>
        <v>1</v>
      </c>
      <c r="AJ74">
        <f>'TABLA PREVIOS'!E74</f>
        <v>234</v>
      </c>
      <c r="AK74">
        <f>VLOOKUP(E74,ALUMNOS!A:B,2,FALSE)</f>
        <v>64</v>
      </c>
    </row>
    <row r="75" spans="2:37" x14ac:dyDescent="0.25">
      <c r="B75" t="str">
        <f t="shared" si="2"/>
        <v>49550097MATEMÁTICA2º</v>
      </c>
      <c r="C75" t="s">
        <v>143</v>
      </c>
      <c r="D75" t="s">
        <v>96</v>
      </c>
      <c r="E75">
        <v>49550097</v>
      </c>
      <c r="F75" t="s">
        <v>146</v>
      </c>
      <c r="G75" t="s">
        <v>12</v>
      </c>
      <c r="H75" t="s">
        <v>95</v>
      </c>
      <c r="I75" t="s">
        <v>45</v>
      </c>
      <c r="J75">
        <v>2022</v>
      </c>
      <c r="K75" t="s">
        <v>59</v>
      </c>
      <c r="N75" t="s">
        <v>99</v>
      </c>
      <c r="AI75">
        <f t="shared" si="3"/>
        <v>1</v>
      </c>
      <c r="AJ75">
        <f>'TABLA PREVIOS'!E75</f>
        <v>230</v>
      </c>
      <c r="AK75">
        <f>VLOOKUP(E75,ALUMNOS!A:B,2,FALSE)</f>
        <v>64</v>
      </c>
    </row>
    <row r="76" spans="2:37" x14ac:dyDescent="0.25">
      <c r="B76" t="str">
        <f t="shared" si="2"/>
        <v>49647778CIENCIAS NATURALES - FÍSICA1º</v>
      </c>
      <c r="C76" t="s">
        <v>143</v>
      </c>
      <c r="D76" t="s">
        <v>96</v>
      </c>
      <c r="E76">
        <v>49647778</v>
      </c>
      <c r="F76" t="s">
        <v>147</v>
      </c>
      <c r="G76" t="s">
        <v>14</v>
      </c>
      <c r="H76" t="s">
        <v>98</v>
      </c>
      <c r="I76" t="s">
        <v>43</v>
      </c>
      <c r="J76">
        <v>2022</v>
      </c>
      <c r="K76" t="s">
        <v>59</v>
      </c>
      <c r="N76" t="s">
        <v>99</v>
      </c>
      <c r="AI76">
        <f t="shared" si="3"/>
        <v>1</v>
      </c>
      <c r="AJ76">
        <f>'TABLA PREVIOS'!E76</f>
        <v>222</v>
      </c>
      <c r="AK76">
        <f>VLOOKUP(E76,ALUMNOS!A:B,2,FALSE)</f>
        <v>281</v>
      </c>
    </row>
    <row r="77" spans="2:37" x14ac:dyDescent="0.25">
      <c r="B77" t="str">
        <f t="shared" si="2"/>
        <v>49647778CIUDADANÍA Y PARTICIPACIÓN1º</v>
      </c>
      <c r="C77" t="s">
        <v>143</v>
      </c>
      <c r="D77" t="s">
        <v>96</v>
      </c>
      <c r="E77">
        <v>49647778</v>
      </c>
      <c r="F77" t="s">
        <v>147</v>
      </c>
      <c r="G77" t="s">
        <v>19</v>
      </c>
      <c r="H77" t="s">
        <v>98</v>
      </c>
      <c r="I77" t="s">
        <v>43</v>
      </c>
      <c r="J77">
        <v>2022</v>
      </c>
      <c r="K77" t="s">
        <v>59</v>
      </c>
      <c r="N77" t="s">
        <v>99</v>
      </c>
      <c r="AI77">
        <f t="shared" si="3"/>
        <v>1</v>
      </c>
      <c r="AJ77">
        <f>'TABLA PREVIOS'!E77</f>
        <v>227</v>
      </c>
      <c r="AK77">
        <f>VLOOKUP(E77,ALUMNOS!A:B,2,FALSE)</f>
        <v>281</v>
      </c>
    </row>
    <row r="78" spans="2:37" x14ac:dyDescent="0.25">
      <c r="B78" t="str">
        <f t="shared" si="2"/>
        <v>49384524MATEMÁTICA1º</v>
      </c>
      <c r="C78" t="s">
        <v>143</v>
      </c>
      <c r="D78" t="s">
        <v>96</v>
      </c>
      <c r="E78">
        <v>49384524</v>
      </c>
      <c r="F78" t="s">
        <v>148</v>
      </c>
      <c r="G78" t="s">
        <v>12</v>
      </c>
      <c r="H78" t="s">
        <v>98</v>
      </c>
      <c r="I78" t="s">
        <v>43</v>
      </c>
      <c r="J78">
        <v>2021</v>
      </c>
      <c r="K78" t="s">
        <v>59</v>
      </c>
      <c r="N78" t="s">
        <v>99</v>
      </c>
      <c r="AI78">
        <f t="shared" si="3"/>
        <v>1</v>
      </c>
      <c r="AJ78">
        <f>'TABLA PREVIOS'!E78</f>
        <v>220</v>
      </c>
      <c r="AK78">
        <f>VLOOKUP(E78,ALUMNOS!A:B,2,FALSE)</f>
        <v>441</v>
      </c>
    </row>
    <row r="79" spans="2:37" x14ac:dyDescent="0.25">
      <c r="B79" t="str">
        <f t="shared" si="2"/>
        <v>49384524LENGUA Y LITERATURA2º</v>
      </c>
      <c r="C79" t="s">
        <v>143</v>
      </c>
      <c r="D79" t="s">
        <v>96</v>
      </c>
      <c r="E79">
        <v>49384524</v>
      </c>
      <c r="F79" t="s">
        <v>148</v>
      </c>
      <c r="G79" t="s">
        <v>11</v>
      </c>
      <c r="H79" t="s">
        <v>95</v>
      </c>
      <c r="I79" t="s">
        <v>43</v>
      </c>
      <c r="J79">
        <v>2022</v>
      </c>
      <c r="K79" t="s">
        <v>59</v>
      </c>
      <c r="N79" t="s">
        <v>99</v>
      </c>
      <c r="AI79">
        <f t="shared" si="3"/>
        <v>1</v>
      </c>
      <c r="AJ79">
        <f>'TABLA PREVIOS'!E79</f>
        <v>229</v>
      </c>
      <c r="AK79">
        <f>VLOOKUP(E79,ALUMNOS!A:B,2,FALSE)</f>
        <v>441</v>
      </c>
    </row>
    <row r="80" spans="2:37" x14ac:dyDescent="0.25">
      <c r="B80" t="str">
        <f t="shared" si="2"/>
        <v>49384524MATEMÁTICA2º</v>
      </c>
      <c r="C80" t="s">
        <v>143</v>
      </c>
      <c r="D80" t="s">
        <v>96</v>
      </c>
      <c r="E80">
        <v>49384524</v>
      </c>
      <c r="F80" t="s">
        <v>148</v>
      </c>
      <c r="G80" t="s">
        <v>12</v>
      </c>
      <c r="H80" t="s">
        <v>95</v>
      </c>
      <c r="I80" t="s">
        <v>45</v>
      </c>
      <c r="J80">
        <v>2022</v>
      </c>
      <c r="K80" t="s">
        <v>59</v>
      </c>
      <c r="N80" t="s">
        <v>99</v>
      </c>
      <c r="AI80">
        <f t="shared" si="3"/>
        <v>1</v>
      </c>
      <c r="AJ80">
        <f>'TABLA PREVIOS'!E80</f>
        <v>230</v>
      </c>
      <c r="AK80">
        <f>VLOOKUP(E80,ALUMNOS!A:B,2,FALSE)</f>
        <v>441</v>
      </c>
    </row>
    <row r="81" spans="2:37" x14ac:dyDescent="0.25">
      <c r="B81" t="str">
        <f t="shared" si="2"/>
        <v>49455858CIENCIAS SOCIALES - HISTORIA2º</v>
      </c>
      <c r="C81" t="s">
        <v>143</v>
      </c>
      <c r="D81" t="s">
        <v>96</v>
      </c>
      <c r="E81">
        <v>49455858</v>
      </c>
      <c r="F81" t="s">
        <v>149</v>
      </c>
      <c r="G81" t="s">
        <v>22</v>
      </c>
      <c r="H81" t="s">
        <v>95</v>
      </c>
      <c r="I81" t="s">
        <v>43</v>
      </c>
      <c r="J81">
        <v>2023</v>
      </c>
      <c r="K81" t="s">
        <v>59</v>
      </c>
      <c r="N81" t="s">
        <v>99</v>
      </c>
      <c r="O81">
        <v>45411</v>
      </c>
      <c r="P81" t="s">
        <v>50</v>
      </c>
      <c r="Q81">
        <v>68</v>
      </c>
      <c r="R81">
        <v>42</v>
      </c>
      <c r="AI81">
        <f t="shared" si="3"/>
        <v>1</v>
      </c>
      <c r="AJ81">
        <f>'TABLA PREVIOS'!E81</f>
        <v>233</v>
      </c>
      <c r="AK81">
        <f>VLOOKUP(E81,ALUMNOS!A:B,2,FALSE)</f>
        <v>553</v>
      </c>
    </row>
    <row r="82" spans="2:37" x14ac:dyDescent="0.25">
      <c r="B82" t="str">
        <f t="shared" si="2"/>
        <v>49455858MATEMÁTICA2º</v>
      </c>
      <c r="C82" t="s">
        <v>143</v>
      </c>
      <c r="D82" t="s">
        <v>96</v>
      </c>
      <c r="E82">
        <v>49455858</v>
      </c>
      <c r="F82" t="s">
        <v>149</v>
      </c>
      <c r="G82" t="s">
        <v>12</v>
      </c>
      <c r="H82" t="s">
        <v>95</v>
      </c>
      <c r="I82" t="s">
        <v>43</v>
      </c>
      <c r="J82">
        <v>2023</v>
      </c>
      <c r="K82" t="s">
        <v>59</v>
      </c>
      <c r="N82" t="s">
        <v>99</v>
      </c>
      <c r="O82">
        <v>45405</v>
      </c>
      <c r="P82" t="s">
        <v>50</v>
      </c>
      <c r="Q82">
        <v>68</v>
      </c>
      <c r="R82">
        <v>30</v>
      </c>
      <c r="AI82">
        <f t="shared" si="3"/>
        <v>1</v>
      </c>
      <c r="AJ82">
        <f>'TABLA PREVIOS'!E82</f>
        <v>230</v>
      </c>
      <c r="AK82">
        <f>VLOOKUP(E82,ALUMNOS!A:B,2,FALSE)</f>
        <v>553</v>
      </c>
    </row>
    <row r="83" spans="2:37" x14ac:dyDescent="0.25">
      <c r="B83" t="str">
        <f t="shared" si="2"/>
        <v>48755690CIENCIAS SOCIALES - HISTORIA2º</v>
      </c>
      <c r="C83" t="s">
        <v>143</v>
      </c>
      <c r="D83" t="s">
        <v>96</v>
      </c>
      <c r="E83">
        <v>48755690</v>
      </c>
      <c r="F83" t="s">
        <v>150</v>
      </c>
      <c r="G83" t="s">
        <v>22</v>
      </c>
      <c r="H83" t="s">
        <v>95</v>
      </c>
      <c r="I83" t="s">
        <v>43</v>
      </c>
      <c r="J83">
        <v>2023</v>
      </c>
      <c r="K83" t="s">
        <v>59</v>
      </c>
      <c r="N83" t="s">
        <v>99</v>
      </c>
      <c r="AI83">
        <f t="shared" si="3"/>
        <v>1</v>
      </c>
      <c r="AJ83">
        <f>'TABLA PREVIOS'!E83</f>
        <v>233</v>
      </c>
      <c r="AK83">
        <f>VLOOKUP(E83,ALUMNOS!A:B,2,FALSE)</f>
        <v>797</v>
      </c>
    </row>
    <row r="84" spans="2:37" x14ac:dyDescent="0.25">
      <c r="B84" t="str">
        <f t="shared" si="2"/>
        <v>48755690MATEMÁTICA2º</v>
      </c>
      <c r="C84" t="s">
        <v>143</v>
      </c>
      <c r="D84" t="s">
        <v>96</v>
      </c>
      <c r="E84">
        <v>48755690</v>
      </c>
      <c r="F84" t="s">
        <v>150</v>
      </c>
      <c r="G84" t="s">
        <v>12</v>
      </c>
      <c r="H84" t="s">
        <v>95</v>
      </c>
      <c r="I84" t="s">
        <v>43</v>
      </c>
      <c r="J84">
        <v>2023</v>
      </c>
      <c r="K84" t="s">
        <v>59</v>
      </c>
      <c r="N84" t="s">
        <v>99</v>
      </c>
      <c r="AI84">
        <f t="shared" si="3"/>
        <v>1</v>
      </c>
      <c r="AJ84">
        <f>'TABLA PREVIOS'!E84</f>
        <v>230</v>
      </c>
      <c r="AK84">
        <f>VLOOKUP(E84,ALUMNOS!A:B,2,FALSE)</f>
        <v>797</v>
      </c>
    </row>
    <row r="85" spans="2:37" x14ac:dyDescent="0.25">
      <c r="B85" t="str">
        <f t="shared" si="2"/>
        <v>47667242CIENCIAS SOCIALES - HISTORIA2º</v>
      </c>
      <c r="C85" t="s">
        <v>143</v>
      </c>
      <c r="D85" t="s">
        <v>96</v>
      </c>
      <c r="E85">
        <v>47667242</v>
      </c>
      <c r="F85" t="s">
        <v>151</v>
      </c>
      <c r="G85" t="s">
        <v>22</v>
      </c>
      <c r="H85" t="s">
        <v>95</v>
      </c>
      <c r="I85" t="s">
        <v>43</v>
      </c>
      <c r="J85">
        <v>2021</v>
      </c>
      <c r="K85" t="s">
        <v>59</v>
      </c>
      <c r="L85" t="s">
        <v>152</v>
      </c>
      <c r="N85" t="s">
        <v>99</v>
      </c>
      <c r="AI85">
        <f t="shared" si="3"/>
        <v>1</v>
      </c>
      <c r="AJ85">
        <f>'TABLA PREVIOS'!E85</f>
        <v>233</v>
      </c>
      <c r="AK85">
        <f>VLOOKUP(E85,ALUMNOS!A:B,2,FALSE)</f>
        <v>601</v>
      </c>
    </row>
    <row r="86" spans="2:37" x14ac:dyDescent="0.25">
      <c r="B86" t="str">
        <f t="shared" si="2"/>
        <v>47667242CIUDADANÍA Y PARTICIPACIÓN2º</v>
      </c>
      <c r="C86" t="s">
        <v>143</v>
      </c>
      <c r="D86" t="s">
        <v>96</v>
      </c>
      <c r="E86">
        <v>47667242</v>
      </c>
      <c r="F86" t="s">
        <v>151</v>
      </c>
      <c r="G86" t="s">
        <v>19</v>
      </c>
      <c r="H86" t="s">
        <v>95</v>
      </c>
      <c r="I86" t="s">
        <v>43</v>
      </c>
      <c r="J86">
        <v>2021</v>
      </c>
      <c r="K86" t="s">
        <v>59</v>
      </c>
      <c r="N86" t="s">
        <v>99</v>
      </c>
      <c r="AI86">
        <f t="shared" si="3"/>
        <v>1</v>
      </c>
      <c r="AJ86">
        <f>'TABLA PREVIOS'!E86</f>
        <v>237</v>
      </c>
      <c r="AK86">
        <f>VLOOKUP(E86,ALUMNOS!A:B,2,FALSE)</f>
        <v>601</v>
      </c>
    </row>
    <row r="87" spans="2:37" x14ac:dyDescent="0.25">
      <c r="B87" t="str">
        <f t="shared" si="2"/>
        <v>47667242EDUCACIÓN TECNOLÓGICA2º</v>
      </c>
      <c r="C87" t="s">
        <v>143</v>
      </c>
      <c r="D87" t="s">
        <v>96</v>
      </c>
      <c r="E87">
        <v>47667242</v>
      </c>
      <c r="F87" t="s">
        <v>151</v>
      </c>
      <c r="G87" t="s">
        <v>18</v>
      </c>
      <c r="H87" t="s">
        <v>95</v>
      </c>
      <c r="I87" t="s">
        <v>43</v>
      </c>
      <c r="J87">
        <v>2021</v>
      </c>
      <c r="K87" t="s">
        <v>59</v>
      </c>
      <c r="N87" t="s">
        <v>99</v>
      </c>
      <c r="AI87">
        <f t="shared" si="3"/>
        <v>1</v>
      </c>
      <c r="AJ87">
        <f>'TABLA PREVIOS'!E87</f>
        <v>236</v>
      </c>
      <c r="AK87">
        <f>VLOOKUP(E87,ALUMNOS!A:B,2,FALSE)</f>
        <v>601</v>
      </c>
    </row>
    <row r="88" spans="2:37" x14ac:dyDescent="0.25">
      <c r="B88" t="str">
        <f t="shared" si="2"/>
        <v>47583497MATEMÁTICA1º</v>
      </c>
      <c r="C88" t="s">
        <v>143</v>
      </c>
      <c r="D88" t="s">
        <v>96</v>
      </c>
      <c r="E88">
        <v>47583497</v>
      </c>
      <c r="F88" t="s">
        <v>153</v>
      </c>
      <c r="G88" t="s">
        <v>12</v>
      </c>
      <c r="H88" t="s">
        <v>98</v>
      </c>
      <c r="I88" t="s">
        <v>43</v>
      </c>
      <c r="J88">
        <v>2021</v>
      </c>
      <c r="K88" t="s">
        <v>59</v>
      </c>
      <c r="L88" t="s">
        <v>154</v>
      </c>
      <c r="N88" t="s">
        <v>99</v>
      </c>
      <c r="AI88">
        <f t="shared" si="3"/>
        <v>1</v>
      </c>
      <c r="AJ88">
        <f>'TABLA PREVIOS'!E88</f>
        <v>220</v>
      </c>
      <c r="AK88">
        <f>VLOOKUP(E88,ALUMNOS!A:B,2,FALSE)</f>
        <v>611</v>
      </c>
    </row>
    <row r="89" spans="2:37" x14ac:dyDescent="0.25">
      <c r="B89" t="str">
        <f t="shared" si="2"/>
        <v>49455878MATEMÁTICA2º</v>
      </c>
      <c r="C89" t="s">
        <v>143</v>
      </c>
      <c r="D89" t="s">
        <v>96</v>
      </c>
      <c r="E89">
        <v>49455878</v>
      </c>
      <c r="F89" t="s">
        <v>155</v>
      </c>
      <c r="G89" t="s">
        <v>12</v>
      </c>
      <c r="H89" t="s">
        <v>95</v>
      </c>
      <c r="I89" t="s">
        <v>43</v>
      </c>
      <c r="J89">
        <v>2023</v>
      </c>
      <c r="K89" t="s">
        <v>59</v>
      </c>
      <c r="N89" t="s">
        <v>99</v>
      </c>
      <c r="O89">
        <v>45405</v>
      </c>
      <c r="P89" t="s">
        <v>50</v>
      </c>
      <c r="Q89">
        <v>68</v>
      </c>
      <c r="R89">
        <v>30</v>
      </c>
      <c r="AI89">
        <f t="shared" si="3"/>
        <v>1</v>
      </c>
      <c r="AJ89">
        <f>'TABLA PREVIOS'!E89</f>
        <v>230</v>
      </c>
      <c r="AK89">
        <f>VLOOKUP(E89,ALUMNOS!A:B,2,FALSE)</f>
        <v>654</v>
      </c>
    </row>
    <row r="90" spans="2:37" x14ac:dyDescent="0.25">
      <c r="B90" t="str">
        <f t="shared" si="2"/>
        <v>49455899LENGUA EXTRANJERA - INGLÉS2º</v>
      </c>
      <c r="C90" t="s">
        <v>143</v>
      </c>
      <c r="D90" t="s">
        <v>96</v>
      </c>
      <c r="E90">
        <v>49455899</v>
      </c>
      <c r="F90" t="s">
        <v>156</v>
      </c>
      <c r="G90" t="s">
        <v>16</v>
      </c>
      <c r="H90" t="s">
        <v>95</v>
      </c>
      <c r="I90" t="s">
        <v>43</v>
      </c>
      <c r="J90">
        <v>2023</v>
      </c>
      <c r="K90" t="s">
        <v>59</v>
      </c>
      <c r="N90" t="s">
        <v>99</v>
      </c>
      <c r="O90">
        <v>45406</v>
      </c>
      <c r="P90">
        <v>4</v>
      </c>
      <c r="Q90">
        <v>68</v>
      </c>
      <c r="R90">
        <v>34</v>
      </c>
      <c r="S90">
        <v>45475</v>
      </c>
      <c r="T90" t="s">
        <v>50</v>
      </c>
      <c r="U90">
        <v>68</v>
      </c>
      <c r="V90">
        <v>70</v>
      </c>
      <c r="AI90">
        <f t="shared" si="3"/>
        <v>1</v>
      </c>
      <c r="AJ90">
        <f>'TABLA PREVIOS'!E90</f>
        <v>234</v>
      </c>
      <c r="AK90">
        <f>VLOOKUP(E90,ALUMNOS!A:B,2,FALSE)</f>
        <v>669</v>
      </c>
    </row>
    <row r="91" spans="2:37" x14ac:dyDescent="0.25">
      <c r="B91" t="str">
        <f t="shared" si="2"/>
        <v>50091901CIENCIAS SOCIALES - HISTORIA2º</v>
      </c>
      <c r="C91" t="s">
        <v>143</v>
      </c>
      <c r="D91" t="s">
        <v>96</v>
      </c>
      <c r="E91">
        <v>50091901</v>
      </c>
      <c r="F91" t="s">
        <v>158</v>
      </c>
      <c r="G91" t="s">
        <v>22</v>
      </c>
      <c r="H91" t="s">
        <v>95</v>
      </c>
      <c r="I91" t="s">
        <v>43</v>
      </c>
      <c r="J91">
        <v>2023</v>
      </c>
      <c r="K91" t="s">
        <v>59</v>
      </c>
      <c r="N91" t="s">
        <v>99</v>
      </c>
      <c r="AI91">
        <f t="shared" si="3"/>
        <v>1</v>
      </c>
      <c r="AJ91">
        <f>'TABLA PREVIOS'!E91</f>
        <v>233</v>
      </c>
      <c r="AK91">
        <f>VLOOKUP(E91,ALUMNOS!A:B,2,FALSE)</f>
        <v>725</v>
      </c>
    </row>
    <row r="92" spans="2:37" x14ac:dyDescent="0.25">
      <c r="B92" t="str">
        <f t="shared" si="2"/>
        <v>50091901EDUCACIÓN ARTÍSTICA - MÚSICA2º</v>
      </c>
      <c r="C92" t="s">
        <v>143</v>
      </c>
      <c r="D92" t="s">
        <v>96</v>
      </c>
      <c r="E92">
        <v>50091901</v>
      </c>
      <c r="F92" t="s">
        <v>158</v>
      </c>
      <c r="G92" t="s">
        <v>23</v>
      </c>
      <c r="H92" t="s">
        <v>95</v>
      </c>
      <c r="I92" t="s">
        <v>43</v>
      </c>
      <c r="J92">
        <v>2023</v>
      </c>
      <c r="K92" t="s">
        <v>59</v>
      </c>
      <c r="N92" t="s">
        <v>107</v>
      </c>
      <c r="O92">
        <v>45399</v>
      </c>
      <c r="P92" t="s">
        <v>50</v>
      </c>
      <c r="Q92">
        <v>68</v>
      </c>
      <c r="R92">
        <v>20</v>
      </c>
      <c r="S92">
        <v>45475</v>
      </c>
      <c r="T92">
        <v>7</v>
      </c>
      <c r="U92">
        <v>68</v>
      </c>
      <c r="V92">
        <v>68</v>
      </c>
      <c r="AI92">
        <f t="shared" si="3"/>
        <v>7</v>
      </c>
      <c r="AJ92">
        <f>'TABLA PREVIOS'!E92</f>
        <v>235</v>
      </c>
      <c r="AK92">
        <f>VLOOKUP(E92,ALUMNOS!A:B,2,FALSE)</f>
        <v>725</v>
      </c>
    </row>
    <row r="93" spans="2:37" x14ac:dyDescent="0.25">
      <c r="B93" t="str">
        <f t="shared" si="2"/>
        <v>50091901MATEMÁTICA2º</v>
      </c>
      <c r="C93" t="s">
        <v>143</v>
      </c>
      <c r="D93" t="s">
        <v>96</v>
      </c>
      <c r="E93">
        <v>50091901</v>
      </c>
      <c r="F93" t="s">
        <v>158</v>
      </c>
      <c r="G93" t="s">
        <v>12</v>
      </c>
      <c r="H93" t="s">
        <v>95</v>
      </c>
      <c r="I93" t="s">
        <v>45</v>
      </c>
      <c r="J93">
        <v>2023</v>
      </c>
      <c r="K93" t="s">
        <v>59</v>
      </c>
      <c r="N93" t="s">
        <v>99</v>
      </c>
      <c r="AI93">
        <f t="shared" si="3"/>
        <v>1</v>
      </c>
      <c r="AJ93">
        <f>'TABLA PREVIOS'!E93</f>
        <v>230</v>
      </c>
      <c r="AK93">
        <f>VLOOKUP(E93,ALUMNOS!A:B,2,FALSE)</f>
        <v>725</v>
      </c>
    </row>
    <row r="94" spans="2:37" x14ac:dyDescent="0.25">
      <c r="B94" t="str">
        <f t="shared" si="2"/>
        <v>49455826MATEMÁTICA1º</v>
      </c>
      <c r="C94" t="s">
        <v>143</v>
      </c>
      <c r="D94" t="s">
        <v>96</v>
      </c>
      <c r="E94">
        <v>49455826</v>
      </c>
      <c r="F94" t="s">
        <v>159</v>
      </c>
      <c r="G94" t="s">
        <v>12</v>
      </c>
      <c r="H94" t="s">
        <v>98</v>
      </c>
      <c r="I94" t="s">
        <v>43</v>
      </c>
      <c r="J94">
        <v>2021</v>
      </c>
      <c r="K94" t="s">
        <v>59</v>
      </c>
      <c r="N94" t="s">
        <v>99</v>
      </c>
      <c r="AI94">
        <f t="shared" si="3"/>
        <v>1</v>
      </c>
      <c r="AJ94">
        <f>'TABLA PREVIOS'!E94</f>
        <v>220</v>
      </c>
      <c r="AK94">
        <f>VLOOKUP(E94,ALUMNOS!A:B,2,FALSE)</f>
        <v>745</v>
      </c>
    </row>
    <row r="95" spans="2:37" x14ac:dyDescent="0.25">
      <c r="B95" t="str">
        <f t="shared" si="2"/>
        <v>49455826MATEMÁTICA2º</v>
      </c>
      <c r="C95" t="s">
        <v>143</v>
      </c>
      <c r="D95" t="s">
        <v>96</v>
      </c>
      <c r="E95">
        <v>49455826</v>
      </c>
      <c r="F95" t="s">
        <v>159</v>
      </c>
      <c r="G95" t="s">
        <v>12</v>
      </c>
      <c r="H95" t="s">
        <v>95</v>
      </c>
      <c r="I95" t="s">
        <v>43</v>
      </c>
      <c r="J95">
        <v>2023</v>
      </c>
      <c r="K95" t="s">
        <v>59</v>
      </c>
      <c r="N95" t="s">
        <v>99</v>
      </c>
      <c r="AI95">
        <f t="shared" si="3"/>
        <v>1</v>
      </c>
      <c r="AJ95">
        <f>'TABLA PREVIOS'!E95</f>
        <v>230</v>
      </c>
      <c r="AK95">
        <f>VLOOKUP(E95,ALUMNOS!A:B,2,FALSE)</f>
        <v>745</v>
      </c>
    </row>
    <row r="96" spans="2:37" x14ac:dyDescent="0.25">
      <c r="B96" t="str">
        <f t="shared" si="2"/>
        <v>47989251BIOLOGÍA2º</v>
      </c>
      <c r="C96" t="s">
        <v>143</v>
      </c>
      <c r="D96" t="s">
        <v>109</v>
      </c>
      <c r="E96">
        <v>47989251</v>
      </c>
      <c r="F96" t="s">
        <v>160</v>
      </c>
      <c r="G96" t="s">
        <v>21</v>
      </c>
      <c r="H96" t="s">
        <v>95</v>
      </c>
      <c r="I96" t="s">
        <v>45</v>
      </c>
      <c r="J96">
        <v>2023</v>
      </c>
      <c r="K96" t="s">
        <v>59</v>
      </c>
      <c r="N96" t="s">
        <v>99</v>
      </c>
      <c r="AI96">
        <f t="shared" si="3"/>
        <v>1</v>
      </c>
      <c r="AJ96">
        <f>'TABLA PREVIOS'!E96</f>
        <v>232</v>
      </c>
      <c r="AK96">
        <f>VLOOKUP(E96,ALUMNOS!A:B,2,FALSE)</f>
        <v>16</v>
      </c>
    </row>
    <row r="97" spans="2:37" x14ac:dyDescent="0.25">
      <c r="B97" t="str">
        <f t="shared" si="2"/>
        <v>47989251CIUDADANÍA Y PARTICIPACIÓN2º</v>
      </c>
      <c r="C97" t="s">
        <v>143</v>
      </c>
      <c r="D97" t="s">
        <v>109</v>
      </c>
      <c r="E97">
        <v>47989251</v>
      </c>
      <c r="F97" t="s">
        <v>160</v>
      </c>
      <c r="G97" t="s">
        <v>19</v>
      </c>
      <c r="H97" t="s">
        <v>95</v>
      </c>
      <c r="I97" t="s">
        <v>43</v>
      </c>
      <c r="J97">
        <v>2023</v>
      </c>
      <c r="K97" t="s">
        <v>59</v>
      </c>
      <c r="N97" t="s">
        <v>99</v>
      </c>
      <c r="O97">
        <v>45404</v>
      </c>
      <c r="P97" t="s">
        <v>50</v>
      </c>
      <c r="Q97">
        <v>68</v>
      </c>
      <c r="R97">
        <v>28</v>
      </c>
      <c r="S97">
        <v>45474</v>
      </c>
      <c r="T97" t="s">
        <v>50</v>
      </c>
      <c r="U97">
        <v>68</v>
      </c>
      <c r="V97">
        <v>52</v>
      </c>
      <c r="AI97">
        <f t="shared" si="3"/>
        <v>1</v>
      </c>
      <c r="AJ97">
        <f>'TABLA PREVIOS'!E97</f>
        <v>237</v>
      </c>
      <c r="AK97">
        <f>VLOOKUP(E97,ALUMNOS!A:B,2,FALSE)</f>
        <v>16</v>
      </c>
    </row>
    <row r="98" spans="2:37" x14ac:dyDescent="0.25">
      <c r="B98" t="str">
        <f t="shared" si="2"/>
        <v>47989251MATEMÁTICA2º</v>
      </c>
      <c r="C98" t="s">
        <v>143</v>
      </c>
      <c r="D98" t="s">
        <v>109</v>
      </c>
      <c r="E98">
        <v>47989251</v>
      </c>
      <c r="F98" t="s">
        <v>160</v>
      </c>
      <c r="G98" t="s">
        <v>12</v>
      </c>
      <c r="H98" t="s">
        <v>95</v>
      </c>
      <c r="I98" t="s">
        <v>43</v>
      </c>
      <c r="J98">
        <v>2023</v>
      </c>
      <c r="K98" t="s">
        <v>59</v>
      </c>
      <c r="N98" t="s">
        <v>99</v>
      </c>
      <c r="AI98">
        <f t="shared" si="3"/>
        <v>1</v>
      </c>
      <c r="AJ98">
        <f>'TABLA PREVIOS'!E98</f>
        <v>230</v>
      </c>
      <c r="AK98">
        <f>VLOOKUP(E98,ALUMNOS!A:B,2,FALSE)</f>
        <v>16</v>
      </c>
    </row>
    <row r="99" spans="2:37" x14ac:dyDescent="0.25">
      <c r="B99" t="str">
        <f t="shared" si="2"/>
        <v>49455882BIOLOGÍA2º</v>
      </c>
      <c r="C99" t="s">
        <v>143</v>
      </c>
      <c r="D99" t="s">
        <v>109</v>
      </c>
      <c r="E99">
        <v>49455882</v>
      </c>
      <c r="F99" t="s">
        <v>161</v>
      </c>
      <c r="G99" t="s">
        <v>21</v>
      </c>
      <c r="H99" t="s">
        <v>95</v>
      </c>
      <c r="I99" t="s">
        <v>43</v>
      </c>
      <c r="J99">
        <v>2023</v>
      </c>
      <c r="K99" t="s">
        <v>59</v>
      </c>
      <c r="N99" t="s">
        <v>107</v>
      </c>
      <c r="S99">
        <v>45474</v>
      </c>
      <c r="T99">
        <v>7</v>
      </c>
      <c r="U99">
        <v>68</v>
      </c>
      <c r="V99">
        <v>57</v>
      </c>
      <c r="AI99">
        <f t="shared" si="3"/>
        <v>7</v>
      </c>
      <c r="AJ99">
        <f>'TABLA PREVIOS'!E99</f>
        <v>232</v>
      </c>
      <c r="AK99">
        <f>VLOOKUP(E99,ALUMNOS!A:B,2,FALSE)</f>
        <v>816</v>
      </c>
    </row>
    <row r="100" spans="2:37" x14ac:dyDescent="0.25">
      <c r="B100" t="str">
        <f t="shared" si="2"/>
        <v>49768712LENGUA Y LITERATURA2º</v>
      </c>
      <c r="C100" t="s">
        <v>143</v>
      </c>
      <c r="D100" t="s">
        <v>109</v>
      </c>
      <c r="E100">
        <v>49768712</v>
      </c>
      <c r="F100" t="s">
        <v>162</v>
      </c>
      <c r="G100" t="s">
        <v>11</v>
      </c>
      <c r="H100" t="s">
        <v>95</v>
      </c>
      <c r="I100" t="s">
        <v>43</v>
      </c>
      <c r="J100">
        <v>2023</v>
      </c>
      <c r="K100" t="s">
        <v>59</v>
      </c>
      <c r="N100" t="s">
        <v>99</v>
      </c>
      <c r="O100">
        <v>45411</v>
      </c>
      <c r="P100">
        <v>3</v>
      </c>
      <c r="Q100">
        <v>68</v>
      </c>
      <c r="R100">
        <v>38</v>
      </c>
      <c r="AI100">
        <f t="shared" si="3"/>
        <v>1</v>
      </c>
      <c r="AJ100">
        <f>'TABLA PREVIOS'!E100</f>
        <v>229</v>
      </c>
      <c r="AK100">
        <f>VLOOKUP(E100,ALUMNOS!A:B,2,FALSE)</f>
        <v>793</v>
      </c>
    </row>
    <row r="101" spans="2:37" x14ac:dyDescent="0.25">
      <c r="B101" t="str">
        <f t="shared" si="2"/>
        <v>50262337CIENCIAS SOCIALES - GEOGRAFÍA1º</v>
      </c>
      <c r="C101" t="s">
        <v>143</v>
      </c>
      <c r="D101" t="s">
        <v>109</v>
      </c>
      <c r="E101">
        <v>50262337</v>
      </c>
      <c r="F101" t="s">
        <v>163</v>
      </c>
      <c r="G101" t="s">
        <v>15</v>
      </c>
      <c r="H101" t="s">
        <v>98</v>
      </c>
      <c r="I101" t="s">
        <v>45</v>
      </c>
      <c r="J101">
        <v>2022</v>
      </c>
      <c r="K101" t="s">
        <v>59</v>
      </c>
      <c r="N101" t="s">
        <v>99</v>
      </c>
      <c r="AI101">
        <f t="shared" si="3"/>
        <v>1</v>
      </c>
      <c r="AJ101">
        <f>'TABLA PREVIOS'!E101</f>
        <v>223</v>
      </c>
      <c r="AK101">
        <f>VLOOKUP(E101,ALUMNOS!A:B,2,FALSE)</f>
        <v>75</v>
      </c>
    </row>
    <row r="102" spans="2:37" x14ac:dyDescent="0.25">
      <c r="B102" t="str">
        <f t="shared" si="2"/>
        <v>50262337LENGUA Y LITERATURA1º</v>
      </c>
      <c r="C102" t="s">
        <v>143</v>
      </c>
      <c r="D102" t="s">
        <v>109</v>
      </c>
      <c r="E102">
        <v>50262337</v>
      </c>
      <c r="F102" t="s">
        <v>163</v>
      </c>
      <c r="G102" t="s">
        <v>11</v>
      </c>
      <c r="H102" t="s">
        <v>98</v>
      </c>
      <c r="I102" t="s">
        <v>43</v>
      </c>
      <c r="J102">
        <v>2022</v>
      </c>
      <c r="K102" t="s">
        <v>59</v>
      </c>
      <c r="N102" t="s">
        <v>99</v>
      </c>
      <c r="S102">
        <v>45475</v>
      </c>
      <c r="T102">
        <v>2</v>
      </c>
      <c r="U102">
        <v>68</v>
      </c>
      <c r="V102">
        <v>73</v>
      </c>
      <c r="AI102">
        <f t="shared" si="3"/>
        <v>1</v>
      </c>
      <c r="AJ102">
        <f>'TABLA PREVIOS'!E102</f>
        <v>219</v>
      </c>
      <c r="AK102">
        <f>VLOOKUP(E102,ALUMNOS!A:B,2,FALSE)</f>
        <v>75</v>
      </c>
    </row>
    <row r="103" spans="2:37" x14ac:dyDescent="0.25">
      <c r="B103" t="str">
        <f t="shared" si="2"/>
        <v>50262337MATEMÁTICA2º</v>
      </c>
      <c r="C103" t="s">
        <v>143</v>
      </c>
      <c r="D103" t="s">
        <v>109</v>
      </c>
      <c r="E103">
        <v>50262337</v>
      </c>
      <c r="F103" t="s">
        <v>163</v>
      </c>
      <c r="G103" t="s">
        <v>12</v>
      </c>
      <c r="H103" t="s">
        <v>95</v>
      </c>
      <c r="I103" t="s">
        <v>43</v>
      </c>
      <c r="J103">
        <v>2023</v>
      </c>
      <c r="K103" t="s">
        <v>59</v>
      </c>
      <c r="N103" t="s">
        <v>99</v>
      </c>
      <c r="AI103">
        <f t="shared" si="3"/>
        <v>1</v>
      </c>
      <c r="AJ103">
        <f>'TABLA PREVIOS'!E103</f>
        <v>230</v>
      </c>
      <c r="AK103">
        <f>VLOOKUP(E103,ALUMNOS!A:B,2,FALSE)</f>
        <v>75</v>
      </c>
    </row>
    <row r="104" spans="2:37" x14ac:dyDescent="0.25">
      <c r="B104" t="str">
        <f t="shared" si="2"/>
        <v>49716986MATEMÁTICA2º</v>
      </c>
      <c r="C104" t="s">
        <v>143</v>
      </c>
      <c r="D104" t="s">
        <v>109</v>
      </c>
      <c r="E104">
        <v>49716986</v>
      </c>
      <c r="F104" t="s">
        <v>164</v>
      </c>
      <c r="G104" t="s">
        <v>12</v>
      </c>
      <c r="H104" t="s">
        <v>95</v>
      </c>
      <c r="I104" t="s">
        <v>43</v>
      </c>
      <c r="J104">
        <v>2023</v>
      </c>
      <c r="K104" t="s">
        <v>59</v>
      </c>
      <c r="N104" t="s">
        <v>99</v>
      </c>
      <c r="O104">
        <v>45405</v>
      </c>
      <c r="P104" t="s">
        <v>101</v>
      </c>
      <c r="Q104">
        <v>68</v>
      </c>
      <c r="R104">
        <v>30</v>
      </c>
      <c r="S104">
        <v>45474</v>
      </c>
      <c r="T104">
        <v>4</v>
      </c>
      <c r="U104">
        <v>68</v>
      </c>
      <c r="V104">
        <v>61</v>
      </c>
      <c r="AI104">
        <f t="shared" si="3"/>
        <v>1</v>
      </c>
      <c r="AJ104">
        <f>'TABLA PREVIOS'!E104</f>
        <v>230</v>
      </c>
      <c r="AK104">
        <f>VLOOKUP(E104,ALUMNOS!A:B,2,FALSE)</f>
        <v>248</v>
      </c>
    </row>
    <row r="105" spans="2:37" x14ac:dyDescent="0.25">
      <c r="B105" t="str">
        <f t="shared" si="2"/>
        <v>48538123BIOLOGÍA2º</v>
      </c>
      <c r="C105" t="s">
        <v>143</v>
      </c>
      <c r="D105" t="s">
        <v>109</v>
      </c>
      <c r="E105">
        <v>48538123</v>
      </c>
      <c r="F105" t="s">
        <v>165</v>
      </c>
      <c r="G105" t="s">
        <v>21</v>
      </c>
      <c r="H105" t="s">
        <v>95</v>
      </c>
      <c r="I105" t="s">
        <v>45</v>
      </c>
      <c r="J105">
        <v>2023</v>
      </c>
      <c r="K105" t="s">
        <v>59</v>
      </c>
      <c r="N105" t="s">
        <v>99</v>
      </c>
      <c r="AI105">
        <f t="shared" si="3"/>
        <v>1</v>
      </c>
      <c r="AJ105">
        <f>'TABLA PREVIOS'!E105</f>
        <v>232</v>
      </c>
      <c r="AK105">
        <f>VLOOKUP(E105,ALUMNOS!A:B,2,FALSE)</f>
        <v>276</v>
      </c>
    </row>
    <row r="106" spans="2:37" x14ac:dyDescent="0.25">
      <c r="B106" t="str">
        <f t="shared" si="2"/>
        <v>48538123LENGUA Y LITERATURA2º</v>
      </c>
      <c r="C106" t="s">
        <v>143</v>
      </c>
      <c r="D106" t="s">
        <v>109</v>
      </c>
      <c r="E106">
        <v>48538123</v>
      </c>
      <c r="F106" t="s">
        <v>165</v>
      </c>
      <c r="G106" t="s">
        <v>11</v>
      </c>
      <c r="H106" t="s">
        <v>95</v>
      </c>
      <c r="I106" t="s">
        <v>43</v>
      </c>
      <c r="J106">
        <v>2023</v>
      </c>
      <c r="K106" t="s">
        <v>59</v>
      </c>
      <c r="N106" t="s">
        <v>99</v>
      </c>
      <c r="AI106">
        <f t="shared" si="3"/>
        <v>1</v>
      </c>
      <c r="AJ106">
        <f>'TABLA PREVIOS'!E106</f>
        <v>229</v>
      </c>
      <c r="AK106">
        <f>VLOOKUP(E106,ALUMNOS!A:B,2,FALSE)</f>
        <v>276</v>
      </c>
    </row>
    <row r="107" spans="2:37" x14ac:dyDescent="0.25">
      <c r="B107" t="str">
        <f t="shared" si="2"/>
        <v>48538123MATEMÁTICA2º</v>
      </c>
      <c r="C107" t="s">
        <v>143</v>
      </c>
      <c r="D107" t="s">
        <v>109</v>
      </c>
      <c r="E107">
        <v>48538123</v>
      </c>
      <c r="F107" t="s">
        <v>165</v>
      </c>
      <c r="G107" t="s">
        <v>12</v>
      </c>
      <c r="H107" t="s">
        <v>95</v>
      </c>
      <c r="I107" t="s">
        <v>43</v>
      </c>
      <c r="J107">
        <v>2023</v>
      </c>
      <c r="K107" t="s">
        <v>59</v>
      </c>
      <c r="N107" t="s">
        <v>99</v>
      </c>
      <c r="AI107">
        <f t="shared" si="3"/>
        <v>1</v>
      </c>
      <c r="AJ107">
        <f>'TABLA PREVIOS'!E107</f>
        <v>230</v>
      </c>
      <c r="AK107">
        <f>VLOOKUP(E107,ALUMNOS!A:B,2,FALSE)</f>
        <v>276</v>
      </c>
    </row>
    <row r="108" spans="2:37" x14ac:dyDescent="0.25">
      <c r="B108" t="str">
        <f t="shared" si="2"/>
        <v>49455865MATEMÁTICA2º</v>
      </c>
      <c r="C108" t="s">
        <v>143</v>
      </c>
      <c r="D108" t="s">
        <v>109</v>
      </c>
      <c r="E108">
        <v>49455865</v>
      </c>
      <c r="F108" t="s">
        <v>166</v>
      </c>
      <c r="G108" t="s">
        <v>12</v>
      </c>
      <c r="H108" t="s">
        <v>95</v>
      </c>
      <c r="I108" t="s">
        <v>43</v>
      </c>
      <c r="J108">
        <v>2023</v>
      </c>
      <c r="K108" t="s">
        <v>59</v>
      </c>
      <c r="N108" t="s">
        <v>99</v>
      </c>
      <c r="AI108">
        <f t="shared" si="3"/>
        <v>1</v>
      </c>
      <c r="AJ108">
        <f>'TABLA PREVIOS'!E108</f>
        <v>230</v>
      </c>
      <c r="AK108">
        <f>VLOOKUP(E108,ALUMNOS!A:B,2,FALSE)</f>
        <v>290</v>
      </c>
    </row>
    <row r="109" spans="2:37" x14ac:dyDescent="0.25">
      <c r="B109" t="str">
        <f t="shared" si="2"/>
        <v>49324876MATEMÁTICA1º</v>
      </c>
      <c r="C109" t="s">
        <v>143</v>
      </c>
      <c r="D109" t="s">
        <v>109</v>
      </c>
      <c r="E109">
        <v>49324876</v>
      </c>
      <c r="F109" t="s">
        <v>167</v>
      </c>
      <c r="G109" t="s">
        <v>12</v>
      </c>
      <c r="H109" t="s">
        <v>98</v>
      </c>
      <c r="I109" t="s">
        <v>43</v>
      </c>
      <c r="J109">
        <v>2021</v>
      </c>
      <c r="K109" t="s">
        <v>59</v>
      </c>
      <c r="N109" t="s">
        <v>99</v>
      </c>
      <c r="O109">
        <v>45405</v>
      </c>
      <c r="P109" t="s">
        <v>50</v>
      </c>
      <c r="Q109">
        <v>68</v>
      </c>
      <c r="R109">
        <v>29</v>
      </c>
      <c r="AI109">
        <f t="shared" si="3"/>
        <v>1</v>
      </c>
      <c r="AJ109">
        <f>'TABLA PREVIOS'!E109</f>
        <v>220</v>
      </c>
      <c r="AK109">
        <f>VLOOKUP(E109,ALUMNOS!A:B,2,FALSE)</f>
        <v>339</v>
      </c>
    </row>
    <row r="110" spans="2:37" x14ac:dyDescent="0.25">
      <c r="B110" t="str">
        <f t="shared" si="2"/>
        <v>49324876CIENCIAS SOCIALES - HISTORIA2º</v>
      </c>
      <c r="C110" t="s">
        <v>143</v>
      </c>
      <c r="D110" t="s">
        <v>109</v>
      </c>
      <c r="E110">
        <v>49324876</v>
      </c>
      <c r="F110" t="s">
        <v>167</v>
      </c>
      <c r="G110" t="s">
        <v>22</v>
      </c>
      <c r="H110" t="s">
        <v>95</v>
      </c>
      <c r="I110" t="s">
        <v>45</v>
      </c>
      <c r="J110">
        <v>2022</v>
      </c>
      <c r="K110" t="s">
        <v>59</v>
      </c>
      <c r="N110" t="s">
        <v>99</v>
      </c>
      <c r="AI110">
        <f t="shared" si="3"/>
        <v>1</v>
      </c>
      <c r="AJ110">
        <f>'TABLA PREVIOS'!E110</f>
        <v>233</v>
      </c>
      <c r="AK110">
        <f>VLOOKUP(E110,ALUMNOS!A:B,2,FALSE)</f>
        <v>339</v>
      </c>
    </row>
    <row r="111" spans="2:37" x14ac:dyDescent="0.25">
      <c r="B111" t="str">
        <f t="shared" si="2"/>
        <v>49324876MATEMÁTICA2º</v>
      </c>
      <c r="C111" t="s">
        <v>143</v>
      </c>
      <c r="D111" t="s">
        <v>109</v>
      </c>
      <c r="E111">
        <v>49324876</v>
      </c>
      <c r="F111" t="s">
        <v>167</v>
      </c>
      <c r="G111" t="s">
        <v>12</v>
      </c>
      <c r="H111" t="s">
        <v>95</v>
      </c>
      <c r="I111" t="s">
        <v>43</v>
      </c>
      <c r="J111">
        <v>2022</v>
      </c>
      <c r="K111" t="s">
        <v>59</v>
      </c>
      <c r="N111" t="s">
        <v>107</v>
      </c>
      <c r="O111">
        <v>45405</v>
      </c>
      <c r="P111" t="s">
        <v>50</v>
      </c>
      <c r="Q111">
        <v>68</v>
      </c>
      <c r="R111">
        <v>30</v>
      </c>
      <c r="S111">
        <v>45474</v>
      </c>
      <c r="T111">
        <v>7</v>
      </c>
      <c r="U111">
        <v>68</v>
      </c>
      <c r="V111">
        <v>61</v>
      </c>
      <c r="AI111">
        <f t="shared" si="3"/>
        <v>7</v>
      </c>
      <c r="AJ111">
        <f>'TABLA PREVIOS'!E111</f>
        <v>230</v>
      </c>
      <c r="AK111">
        <f>VLOOKUP(E111,ALUMNOS!A:B,2,FALSE)</f>
        <v>339</v>
      </c>
    </row>
    <row r="112" spans="2:37" x14ac:dyDescent="0.25">
      <c r="B112" t="str">
        <f t="shared" si="2"/>
        <v>48592905CIENCIAS SOCIALES - HISTORIA2º</v>
      </c>
      <c r="C112" t="s">
        <v>143</v>
      </c>
      <c r="D112" t="s">
        <v>109</v>
      </c>
      <c r="E112">
        <v>48592905</v>
      </c>
      <c r="F112" t="s">
        <v>168</v>
      </c>
      <c r="G112" t="s">
        <v>22</v>
      </c>
      <c r="H112" t="s">
        <v>95</v>
      </c>
      <c r="I112" t="s">
        <v>43</v>
      </c>
      <c r="J112">
        <v>2022</v>
      </c>
      <c r="K112" t="s">
        <v>59</v>
      </c>
      <c r="L112" t="s">
        <v>111</v>
      </c>
      <c r="N112" t="s">
        <v>99</v>
      </c>
      <c r="AI112">
        <f t="shared" si="3"/>
        <v>1</v>
      </c>
      <c r="AJ112">
        <f>'TABLA PREVIOS'!E112</f>
        <v>233</v>
      </c>
      <c r="AK112">
        <f>VLOOKUP(E112,ALUMNOS!A:B,2,FALSE)</f>
        <v>520</v>
      </c>
    </row>
    <row r="113" spans="2:37" x14ac:dyDescent="0.25">
      <c r="B113" t="str">
        <f t="shared" si="2"/>
        <v>48592905LENGUA EXTRANJERA - INGLÉS2º</v>
      </c>
      <c r="C113" t="s">
        <v>143</v>
      </c>
      <c r="D113" t="s">
        <v>109</v>
      </c>
      <c r="E113">
        <v>48592905</v>
      </c>
      <c r="F113" t="s">
        <v>168</v>
      </c>
      <c r="G113" t="s">
        <v>16</v>
      </c>
      <c r="H113" t="s">
        <v>95</v>
      </c>
      <c r="I113" t="s">
        <v>45</v>
      </c>
      <c r="J113">
        <v>2022</v>
      </c>
      <c r="K113" t="s">
        <v>59</v>
      </c>
      <c r="N113" t="s">
        <v>99</v>
      </c>
      <c r="AI113">
        <f t="shared" si="3"/>
        <v>1</v>
      </c>
      <c r="AJ113">
        <f>'TABLA PREVIOS'!E113</f>
        <v>234</v>
      </c>
      <c r="AK113">
        <f>VLOOKUP(E113,ALUMNOS!A:B,2,FALSE)</f>
        <v>520</v>
      </c>
    </row>
    <row r="114" spans="2:37" x14ac:dyDescent="0.25">
      <c r="B114" t="str">
        <f t="shared" si="2"/>
        <v>48592905MATEMÁTICA2º</v>
      </c>
      <c r="C114" t="s">
        <v>143</v>
      </c>
      <c r="D114" t="s">
        <v>109</v>
      </c>
      <c r="E114">
        <v>48592905</v>
      </c>
      <c r="F114" t="s">
        <v>168</v>
      </c>
      <c r="G114" t="s">
        <v>12</v>
      </c>
      <c r="H114" t="s">
        <v>95</v>
      </c>
      <c r="I114" t="s">
        <v>43</v>
      </c>
      <c r="J114">
        <v>2022</v>
      </c>
      <c r="K114" t="s">
        <v>59</v>
      </c>
      <c r="N114" t="s">
        <v>99</v>
      </c>
      <c r="S114">
        <v>45474</v>
      </c>
      <c r="T114" t="s">
        <v>50</v>
      </c>
      <c r="U114">
        <v>68</v>
      </c>
      <c r="V114">
        <v>61</v>
      </c>
      <c r="AI114">
        <f t="shared" si="3"/>
        <v>1</v>
      </c>
      <c r="AJ114">
        <f>'TABLA PREVIOS'!E114</f>
        <v>230</v>
      </c>
      <c r="AK114">
        <f>VLOOKUP(E114,ALUMNOS!A:B,2,FALSE)</f>
        <v>520</v>
      </c>
    </row>
    <row r="115" spans="2:37" x14ac:dyDescent="0.25">
      <c r="B115" t="str">
        <f t="shared" si="2"/>
        <v>49455809CIENCIAS SOCIALES - HISTORIA2º</v>
      </c>
      <c r="C115" t="s">
        <v>143</v>
      </c>
      <c r="D115" t="s">
        <v>109</v>
      </c>
      <c r="E115">
        <v>49455809</v>
      </c>
      <c r="F115" t="s">
        <v>169</v>
      </c>
      <c r="G115" t="s">
        <v>22</v>
      </c>
      <c r="H115" t="s">
        <v>95</v>
      </c>
      <c r="I115" t="s">
        <v>43</v>
      </c>
      <c r="J115">
        <v>2022</v>
      </c>
      <c r="K115" t="s">
        <v>59</v>
      </c>
      <c r="L115" t="s">
        <v>111</v>
      </c>
      <c r="N115" t="s">
        <v>99</v>
      </c>
      <c r="AI115">
        <f t="shared" si="3"/>
        <v>1</v>
      </c>
      <c r="AJ115">
        <f>'TABLA PREVIOS'!E115</f>
        <v>233</v>
      </c>
      <c r="AK115">
        <f>VLOOKUP(E115,ALUMNOS!A:B,2,FALSE)</f>
        <v>534</v>
      </c>
    </row>
    <row r="116" spans="2:37" x14ac:dyDescent="0.25">
      <c r="B116" t="str">
        <f t="shared" si="2"/>
        <v>49455809LENGUA EXTRANJERA - INGLÉS2º</v>
      </c>
      <c r="C116" t="s">
        <v>143</v>
      </c>
      <c r="D116" t="s">
        <v>109</v>
      </c>
      <c r="E116">
        <v>49455809</v>
      </c>
      <c r="F116" t="s">
        <v>169</v>
      </c>
      <c r="G116" t="s">
        <v>16</v>
      </c>
      <c r="H116" t="s">
        <v>95</v>
      </c>
      <c r="I116" t="s">
        <v>45</v>
      </c>
      <c r="J116">
        <v>2022</v>
      </c>
      <c r="K116" t="s">
        <v>59</v>
      </c>
      <c r="N116" t="s">
        <v>99</v>
      </c>
      <c r="AI116">
        <f t="shared" si="3"/>
        <v>1</v>
      </c>
      <c r="AJ116">
        <f>'TABLA PREVIOS'!E116</f>
        <v>234</v>
      </c>
      <c r="AK116">
        <f>VLOOKUP(E116,ALUMNOS!A:B,2,FALSE)</f>
        <v>534</v>
      </c>
    </row>
    <row r="117" spans="2:37" x14ac:dyDescent="0.25">
      <c r="B117" t="str">
        <f t="shared" si="2"/>
        <v>49455809MATEMÁTICA2º</v>
      </c>
      <c r="C117" t="s">
        <v>143</v>
      </c>
      <c r="D117" t="s">
        <v>109</v>
      </c>
      <c r="E117">
        <v>49455809</v>
      </c>
      <c r="F117" t="s">
        <v>169</v>
      </c>
      <c r="G117" t="s">
        <v>12</v>
      </c>
      <c r="H117" t="s">
        <v>95</v>
      </c>
      <c r="I117" t="s">
        <v>43</v>
      </c>
      <c r="J117">
        <v>2022</v>
      </c>
      <c r="K117" t="s">
        <v>59</v>
      </c>
      <c r="N117" t="s">
        <v>99</v>
      </c>
      <c r="S117">
        <v>45474</v>
      </c>
      <c r="T117" t="s">
        <v>50</v>
      </c>
      <c r="U117">
        <v>68</v>
      </c>
      <c r="V117">
        <v>61</v>
      </c>
      <c r="AI117">
        <f t="shared" si="3"/>
        <v>1</v>
      </c>
      <c r="AJ117">
        <f>'TABLA PREVIOS'!E117</f>
        <v>230</v>
      </c>
      <c r="AK117">
        <f>VLOOKUP(E117,ALUMNOS!A:B,2,FALSE)</f>
        <v>534</v>
      </c>
    </row>
    <row r="118" spans="2:37" x14ac:dyDescent="0.25">
      <c r="B118" t="str">
        <f t="shared" si="2"/>
        <v>50033525EDUCACIÓN ARTÍSTICA - MÚSICA2º</v>
      </c>
      <c r="C118" t="s">
        <v>143</v>
      </c>
      <c r="D118" t="s">
        <v>109</v>
      </c>
      <c r="E118">
        <v>50033525</v>
      </c>
      <c r="F118" t="s">
        <v>170</v>
      </c>
      <c r="G118" t="s">
        <v>23</v>
      </c>
      <c r="H118" t="s">
        <v>95</v>
      </c>
      <c r="I118" t="s">
        <v>43</v>
      </c>
      <c r="J118">
        <v>2023</v>
      </c>
      <c r="K118" t="s">
        <v>59</v>
      </c>
      <c r="N118" t="s">
        <v>99</v>
      </c>
      <c r="O118">
        <v>45399</v>
      </c>
      <c r="P118" t="s">
        <v>50</v>
      </c>
      <c r="Q118">
        <v>68</v>
      </c>
      <c r="R118">
        <v>20</v>
      </c>
      <c r="AI118">
        <f t="shared" si="3"/>
        <v>1</v>
      </c>
      <c r="AJ118">
        <f>'TABLA PREVIOS'!E118</f>
        <v>235</v>
      </c>
      <c r="AK118">
        <f>VLOOKUP(E118,ALUMNOS!A:B,2,FALSE)</f>
        <v>796</v>
      </c>
    </row>
    <row r="119" spans="2:37" x14ac:dyDescent="0.25">
      <c r="B119" t="str">
        <f t="shared" si="2"/>
        <v>50033525MATEMÁTICA2º</v>
      </c>
      <c r="C119" t="s">
        <v>143</v>
      </c>
      <c r="D119" t="s">
        <v>109</v>
      </c>
      <c r="E119">
        <v>50033525</v>
      </c>
      <c r="F119" t="s">
        <v>170</v>
      </c>
      <c r="G119" t="s">
        <v>12</v>
      </c>
      <c r="H119" t="s">
        <v>95</v>
      </c>
      <c r="I119" t="s">
        <v>43</v>
      </c>
      <c r="J119">
        <v>2023</v>
      </c>
      <c r="K119" t="s">
        <v>59</v>
      </c>
      <c r="N119" t="s">
        <v>99</v>
      </c>
      <c r="AI119">
        <f t="shared" si="3"/>
        <v>1</v>
      </c>
      <c r="AJ119">
        <f>'TABLA PREVIOS'!E119</f>
        <v>230</v>
      </c>
      <c r="AK119">
        <f>VLOOKUP(E119,ALUMNOS!A:B,2,FALSE)</f>
        <v>796</v>
      </c>
    </row>
    <row r="120" spans="2:37" x14ac:dyDescent="0.25">
      <c r="B120" t="str">
        <f t="shared" si="2"/>
        <v>47989208CIENCIAS NATURALES - BIOLOGÍA1º</v>
      </c>
      <c r="C120" t="s">
        <v>143</v>
      </c>
      <c r="D120" t="s">
        <v>109</v>
      </c>
      <c r="E120">
        <v>47989208</v>
      </c>
      <c r="F120" t="s">
        <v>171</v>
      </c>
      <c r="G120" t="s">
        <v>13</v>
      </c>
      <c r="H120" t="s">
        <v>98</v>
      </c>
      <c r="I120" t="s">
        <v>43</v>
      </c>
      <c r="J120">
        <v>2020</v>
      </c>
      <c r="K120" t="s">
        <v>59</v>
      </c>
      <c r="L120" t="s">
        <v>105</v>
      </c>
      <c r="N120" t="s">
        <v>99</v>
      </c>
      <c r="AI120">
        <f t="shared" si="3"/>
        <v>1</v>
      </c>
      <c r="AJ120">
        <f>'TABLA PREVIOS'!E120</f>
        <v>221</v>
      </c>
      <c r="AK120">
        <f>VLOOKUP(E120,ALUMNOS!A:B,2,FALSE)</f>
        <v>630</v>
      </c>
    </row>
    <row r="121" spans="2:37" x14ac:dyDescent="0.25">
      <c r="B121" t="str">
        <f t="shared" si="2"/>
        <v>47989208MATEMÁTICA1º</v>
      </c>
      <c r="C121" t="s">
        <v>143</v>
      </c>
      <c r="D121" t="s">
        <v>109</v>
      </c>
      <c r="E121">
        <v>47989208</v>
      </c>
      <c r="F121" t="s">
        <v>171</v>
      </c>
      <c r="G121" t="s">
        <v>12</v>
      </c>
      <c r="H121" t="s">
        <v>98</v>
      </c>
      <c r="I121" t="s">
        <v>43</v>
      </c>
      <c r="J121">
        <v>2020</v>
      </c>
      <c r="K121" t="s">
        <v>59</v>
      </c>
      <c r="N121" t="s">
        <v>99</v>
      </c>
      <c r="AI121">
        <f t="shared" si="3"/>
        <v>1</v>
      </c>
      <c r="AJ121">
        <f>'TABLA PREVIOS'!E121</f>
        <v>220</v>
      </c>
      <c r="AK121">
        <f>VLOOKUP(E121,ALUMNOS!A:B,2,FALSE)</f>
        <v>630</v>
      </c>
    </row>
    <row r="122" spans="2:37" x14ac:dyDescent="0.25">
      <c r="B122" t="str">
        <f t="shared" si="2"/>
        <v>47989208MATEMÁTICA2º</v>
      </c>
      <c r="C122" t="s">
        <v>143</v>
      </c>
      <c r="D122" t="s">
        <v>109</v>
      </c>
      <c r="E122">
        <v>47989208</v>
      </c>
      <c r="F122" t="s">
        <v>171</v>
      </c>
      <c r="G122" t="s">
        <v>12</v>
      </c>
      <c r="H122" t="s">
        <v>95</v>
      </c>
      <c r="I122" t="s">
        <v>43</v>
      </c>
      <c r="J122">
        <v>2021</v>
      </c>
      <c r="K122" t="s">
        <v>59</v>
      </c>
      <c r="M122" t="s">
        <v>172</v>
      </c>
      <c r="N122" t="s">
        <v>99</v>
      </c>
      <c r="AI122">
        <f t="shared" si="3"/>
        <v>1</v>
      </c>
      <c r="AJ122">
        <f>'TABLA PREVIOS'!E122</f>
        <v>230</v>
      </c>
      <c r="AK122">
        <f>VLOOKUP(E122,ALUMNOS!A:B,2,FALSE)</f>
        <v>630</v>
      </c>
    </row>
    <row r="123" spans="2:37" x14ac:dyDescent="0.25">
      <c r="B123" t="str">
        <f t="shared" si="2"/>
        <v>49323628LENGUA Y LITERATURA2º</v>
      </c>
      <c r="C123" t="s">
        <v>143</v>
      </c>
      <c r="D123" t="s">
        <v>109</v>
      </c>
      <c r="E123">
        <v>49323628</v>
      </c>
      <c r="F123" t="s">
        <v>173</v>
      </c>
      <c r="G123" t="s">
        <v>11</v>
      </c>
      <c r="H123" t="s">
        <v>95</v>
      </c>
      <c r="I123" t="s">
        <v>43</v>
      </c>
      <c r="J123">
        <v>2023</v>
      </c>
      <c r="K123" t="s">
        <v>59</v>
      </c>
      <c r="N123" t="s">
        <v>99</v>
      </c>
      <c r="AI123">
        <f t="shared" si="3"/>
        <v>1</v>
      </c>
      <c r="AJ123">
        <f>'TABLA PREVIOS'!E123</f>
        <v>229</v>
      </c>
      <c r="AK123">
        <f>VLOOKUP(E123,ALUMNOS!A:B,2,FALSE)</f>
        <v>668</v>
      </c>
    </row>
    <row r="124" spans="2:37" x14ac:dyDescent="0.25">
      <c r="B124" t="str">
        <f t="shared" si="2"/>
        <v>49323628MATEMÁTICA2º</v>
      </c>
      <c r="C124" t="s">
        <v>143</v>
      </c>
      <c r="D124" t="s">
        <v>109</v>
      </c>
      <c r="E124">
        <v>49323628</v>
      </c>
      <c r="F124" t="s">
        <v>173</v>
      </c>
      <c r="G124" t="s">
        <v>12</v>
      </c>
      <c r="H124" t="s">
        <v>95</v>
      </c>
      <c r="I124" t="s">
        <v>43</v>
      </c>
      <c r="J124">
        <v>2023</v>
      </c>
      <c r="K124" t="s">
        <v>59</v>
      </c>
      <c r="N124" t="s">
        <v>99</v>
      </c>
      <c r="AI124">
        <f t="shared" si="3"/>
        <v>1</v>
      </c>
      <c r="AJ124">
        <f>'TABLA PREVIOS'!E124</f>
        <v>230</v>
      </c>
      <c r="AK124">
        <f>VLOOKUP(E124,ALUMNOS!A:B,2,FALSE)</f>
        <v>668</v>
      </c>
    </row>
    <row r="125" spans="2:37" x14ac:dyDescent="0.25">
      <c r="B125" t="str">
        <f t="shared" si="2"/>
        <v>49766174MATEMÁTICA1º</v>
      </c>
      <c r="C125" t="s">
        <v>143</v>
      </c>
      <c r="D125" t="s">
        <v>109</v>
      </c>
      <c r="E125">
        <v>49766174</v>
      </c>
      <c r="F125" t="s">
        <v>174</v>
      </c>
      <c r="G125" t="s">
        <v>12</v>
      </c>
      <c r="H125" t="s">
        <v>98</v>
      </c>
      <c r="I125" t="s">
        <v>43</v>
      </c>
      <c r="J125">
        <v>2022</v>
      </c>
      <c r="K125" t="s">
        <v>59</v>
      </c>
      <c r="N125" t="s">
        <v>99</v>
      </c>
      <c r="O125">
        <v>45405</v>
      </c>
      <c r="P125" t="s">
        <v>101</v>
      </c>
      <c r="Q125">
        <v>68</v>
      </c>
      <c r="R125">
        <v>29</v>
      </c>
      <c r="AI125">
        <f t="shared" si="3"/>
        <v>1</v>
      </c>
      <c r="AJ125">
        <f>'TABLA PREVIOS'!E125</f>
        <v>220</v>
      </c>
      <c r="AK125">
        <f>VLOOKUP(E125,ALUMNOS!A:B,2,FALSE)</f>
        <v>665</v>
      </c>
    </row>
    <row r="126" spans="2:37" x14ac:dyDescent="0.25">
      <c r="B126" t="str">
        <f t="shared" si="2"/>
        <v>49766174LENGUA Y LITERATURA2º</v>
      </c>
      <c r="C126" t="s">
        <v>143</v>
      </c>
      <c r="D126" t="s">
        <v>109</v>
      </c>
      <c r="E126">
        <v>49766174</v>
      </c>
      <c r="F126" t="s">
        <v>174</v>
      </c>
      <c r="G126" t="s">
        <v>11</v>
      </c>
      <c r="H126" t="s">
        <v>95</v>
      </c>
      <c r="I126" t="s">
        <v>45</v>
      </c>
      <c r="J126">
        <v>2023</v>
      </c>
      <c r="K126" t="s">
        <v>59</v>
      </c>
      <c r="N126" t="s">
        <v>99</v>
      </c>
      <c r="AI126">
        <f t="shared" si="3"/>
        <v>1</v>
      </c>
      <c r="AJ126">
        <f>'TABLA PREVIOS'!E126</f>
        <v>229</v>
      </c>
      <c r="AK126">
        <f>VLOOKUP(E126,ALUMNOS!A:B,2,FALSE)</f>
        <v>665</v>
      </c>
    </row>
    <row r="127" spans="2:37" x14ac:dyDescent="0.25">
      <c r="B127" t="str">
        <f t="shared" si="2"/>
        <v>49766174MATEMÁTICA2º</v>
      </c>
      <c r="C127" t="s">
        <v>143</v>
      </c>
      <c r="D127" t="s">
        <v>109</v>
      </c>
      <c r="E127">
        <v>49766174</v>
      </c>
      <c r="F127" t="s">
        <v>174</v>
      </c>
      <c r="G127" t="s">
        <v>12</v>
      </c>
      <c r="H127" t="s">
        <v>95</v>
      </c>
      <c r="I127" t="s">
        <v>43</v>
      </c>
      <c r="J127">
        <v>2023</v>
      </c>
      <c r="K127" t="s">
        <v>59</v>
      </c>
      <c r="N127" t="s">
        <v>99</v>
      </c>
      <c r="O127">
        <v>45405</v>
      </c>
      <c r="P127" t="s">
        <v>101</v>
      </c>
      <c r="Q127">
        <v>68</v>
      </c>
      <c r="R127">
        <v>30</v>
      </c>
      <c r="AI127">
        <f t="shared" si="3"/>
        <v>1</v>
      </c>
      <c r="AJ127">
        <f>'TABLA PREVIOS'!E127</f>
        <v>230</v>
      </c>
      <c r="AK127">
        <f>VLOOKUP(E127,ALUMNOS!A:B,2,FALSE)</f>
        <v>665</v>
      </c>
    </row>
    <row r="128" spans="2:37" x14ac:dyDescent="0.25">
      <c r="B128" t="str">
        <f t="shared" si="2"/>
        <v>47665564EDUCACIÓN ARTÍSTICA - ARTES VISUALES1º</v>
      </c>
      <c r="C128" t="s">
        <v>143</v>
      </c>
      <c r="D128" t="s">
        <v>109</v>
      </c>
      <c r="E128">
        <v>47665564</v>
      </c>
      <c r="F128" t="s">
        <v>175</v>
      </c>
      <c r="G128" t="s">
        <v>17</v>
      </c>
      <c r="H128" t="s">
        <v>98</v>
      </c>
      <c r="I128" t="s">
        <v>43</v>
      </c>
      <c r="J128">
        <v>2020</v>
      </c>
      <c r="K128" t="s">
        <v>59</v>
      </c>
      <c r="L128" t="s">
        <v>176</v>
      </c>
      <c r="N128" t="s">
        <v>99</v>
      </c>
      <c r="O128">
        <v>45399</v>
      </c>
      <c r="P128" t="s">
        <v>50</v>
      </c>
      <c r="Q128">
        <v>68</v>
      </c>
      <c r="R128">
        <v>19</v>
      </c>
      <c r="AI128">
        <f t="shared" si="3"/>
        <v>1</v>
      </c>
      <c r="AJ128">
        <f>'TABLA PREVIOS'!E128</f>
        <v>225</v>
      </c>
      <c r="AK128">
        <f>VLOOKUP(E128,ALUMNOS!A:B,2,FALSE)</f>
        <v>736</v>
      </c>
    </row>
    <row r="129" spans="2:37" x14ac:dyDescent="0.25">
      <c r="B129" t="str">
        <f t="shared" si="2"/>
        <v>47665564LENGUA EXTRANJERA - INGLÉS2º</v>
      </c>
      <c r="C129" t="s">
        <v>143</v>
      </c>
      <c r="D129" t="s">
        <v>109</v>
      </c>
      <c r="E129">
        <v>47665564</v>
      </c>
      <c r="F129" t="s">
        <v>175</v>
      </c>
      <c r="G129" t="s">
        <v>16</v>
      </c>
      <c r="H129" t="s">
        <v>95</v>
      </c>
      <c r="I129" t="s">
        <v>43</v>
      </c>
      <c r="J129">
        <v>2021</v>
      </c>
      <c r="K129" t="s">
        <v>59</v>
      </c>
      <c r="L129" t="s">
        <v>176</v>
      </c>
      <c r="N129" t="s">
        <v>99</v>
      </c>
      <c r="S129">
        <v>45475</v>
      </c>
      <c r="T129" t="s">
        <v>50</v>
      </c>
      <c r="U129">
        <v>68</v>
      </c>
      <c r="V129">
        <v>70</v>
      </c>
      <c r="AI129">
        <f t="shared" si="3"/>
        <v>1</v>
      </c>
      <c r="AJ129">
        <f>'TABLA PREVIOS'!E129</f>
        <v>234</v>
      </c>
      <c r="AK129">
        <f>VLOOKUP(E129,ALUMNOS!A:B,2,FALSE)</f>
        <v>736</v>
      </c>
    </row>
    <row r="130" spans="2:37" x14ac:dyDescent="0.25">
      <c r="B130" t="str">
        <f t="shared" si="2"/>
        <v>47352900MATEMÁTICA1º</v>
      </c>
      <c r="C130" t="s">
        <v>143</v>
      </c>
      <c r="D130" t="s">
        <v>109</v>
      </c>
      <c r="E130">
        <v>47352900</v>
      </c>
      <c r="F130" t="s">
        <v>177</v>
      </c>
      <c r="G130" t="s">
        <v>12</v>
      </c>
      <c r="H130" t="s">
        <v>98</v>
      </c>
      <c r="I130" t="s">
        <v>43</v>
      </c>
      <c r="J130">
        <v>2020</v>
      </c>
      <c r="K130" t="s">
        <v>59</v>
      </c>
      <c r="L130" t="s">
        <v>176</v>
      </c>
      <c r="N130" t="s">
        <v>99</v>
      </c>
      <c r="AI130">
        <f t="shared" si="3"/>
        <v>1</v>
      </c>
      <c r="AJ130">
        <f>'TABLA PREVIOS'!E130</f>
        <v>220</v>
      </c>
      <c r="AK130">
        <f>VLOOKUP(E130,ALUMNOS!A:B,2,FALSE)</f>
        <v>742</v>
      </c>
    </row>
    <row r="131" spans="2:37" x14ac:dyDescent="0.25">
      <c r="B131" t="str">
        <f t="shared" ref="B131:B194" si="4">E131&amp;G131&amp;H131</f>
        <v>47352900LENGUA EXTRANJERA - INGLÉS2º</v>
      </c>
      <c r="C131" t="s">
        <v>143</v>
      </c>
      <c r="D131" t="s">
        <v>109</v>
      </c>
      <c r="E131">
        <v>47352900</v>
      </c>
      <c r="F131" t="s">
        <v>177</v>
      </c>
      <c r="G131" t="s">
        <v>16</v>
      </c>
      <c r="H131" t="s">
        <v>95</v>
      </c>
      <c r="I131" t="s">
        <v>43</v>
      </c>
      <c r="J131">
        <v>2021</v>
      </c>
      <c r="K131" t="s">
        <v>59</v>
      </c>
      <c r="L131" t="s">
        <v>176</v>
      </c>
      <c r="N131" t="s">
        <v>99</v>
      </c>
      <c r="AI131">
        <f t="shared" ref="AI131:AI194" si="5">IF(VALUE(MAX(P131,T131,X131,AB131,AE131,))&gt;=7,VALUE(MAX(P131,T131,X131,AB131,AE131,)),1)</f>
        <v>1</v>
      </c>
      <c r="AJ131">
        <f>'TABLA PREVIOS'!E131</f>
        <v>234</v>
      </c>
      <c r="AK131">
        <f>VLOOKUP(E131,ALUMNOS!A:B,2,FALSE)</f>
        <v>742</v>
      </c>
    </row>
    <row r="132" spans="2:37" x14ac:dyDescent="0.25">
      <c r="B132" t="str">
        <f t="shared" si="4"/>
        <v>49455812MATEMÁTICA1º</v>
      </c>
      <c r="C132" t="s">
        <v>143</v>
      </c>
      <c r="D132" t="s">
        <v>128</v>
      </c>
      <c r="E132">
        <v>49455812</v>
      </c>
      <c r="F132" t="s">
        <v>178</v>
      </c>
      <c r="G132" t="s">
        <v>12</v>
      </c>
      <c r="H132" t="s">
        <v>98</v>
      </c>
      <c r="I132" t="s">
        <v>43</v>
      </c>
      <c r="J132">
        <v>2021</v>
      </c>
      <c r="K132" t="s">
        <v>59</v>
      </c>
      <c r="N132" t="s">
        <v>99</v>
      </c>
      <c r="AI132">
        <f t="shared" si="5"/>
        <v>1</v>
      </c>
      <c r="AJ132">
        <f>'TABLA PREVIOS'!E132</f>
        <v>220</v>
      </c>
      <c r="AK132">
        <f>VLOOKUP(E132,ALUMNOS!A:B,2,FALSE)</f>
        <v>5</v>
      </c>
    </row>
    <row r="133" spans="2:37" x14ac:dyDescent="0.25">
      <c r="B133" t="str">
        <f t="shared" si="4"/>
        <v>49455812MATEMÁTICA2º</v>
      </c>
      <c r="C133" t="s">
        <v>143</v>
      </c>
      <c r="D133" t="s">
        <v>128</v>
      </c>
      <c r="E133">
        <v>49455812</v>
      </c>
      <c r="F133" t="s">
        <v>178</v>
      </c>
      <c r="G133" t="s">
        <v>12</v>
      </c>
      <c r="H133" t="s">
        <v>95</v>
      </c>
      <c r="I133" t="s">
        <v>43</v>
      </c>
      <c r="J133">
        <v>2023</v>
      </c>
      <c r="K133" t="s">
        <v>59</v>
      </c>
      <c r="N133" t="s">
        <v>99</v>
      </c>
      <c r="AI133">
        <f t="shared" si="5"/>
        <v>1</v>
      </c>
      <c r="AJ133">
        <f>'TABLA PREVIOS'!E133</f>
        <v>230</v>
      </c>
      <c r="AK133">
        <f>VLOOKUP(E133,ALUMNOS!A:B,2,FALSE)</f>
        <v>5</v>
      </c>
    </row>
    <row r="134" spans="2:37" x14ac:dyDescent="0.25">
      <c r="B134" t="str">
        <f t="shared" si="4"/>
        <v>49716956LENGUA Y LITERATURA2º</v>
      </c>
      <c r="C134" t="s">
        <v>143</v>
      </c>
      <c r="D134" t="s">
        <v>128</v>
      </c>
      <c r="E134">
        <v>49716956</v>
      </c>
      <c r="F134" t="s">
        <v>179</v>
      </c>
      <c r="G134" t="s">
        <v>11</v>
      </c>
      <c r="H134" t="s">
        <v>95</v>
      </c>
      <c r="I134" t="s">
        <v>43</v>
      </c>
      <c r="J134">
        <v>2023</v>
      </c>
      <c r="K134" t="s">
        <v>59</v>
      </c>
      <c r="N134" t="s">
        <v>99</v>
      </c>
      <c r="S134">
        <v>45475</v>
      </c>
      <c r="T134">
        <v>2</v>
      </c>
      <c r="U134">
        <v>68</v>
      </c>
      <c r="V134">
        <v>74</v>
      </c>
      <c r="AI134">
        <f t="shared" si="5"/>
        <v>1</v>
      </c>
      <c r="AJ134">
        <f>'TABLA PREVIOS'!E134</f>
        <v>229</v>
      </c>
      <c r="AK134">
        <f>VLOOKUP(E134,ALUMNOS!A:B,2,FALSE)</f>
        <v>97</v>
      </c>
    </row>
    <row r="135" spans="2:37" x14ac:dyDescent="0.25">
      <c r="B135" t="str">
        <f t="shared" si="4"/>
        <v>49716956MATEMÁTICA2º</v>
      </c>
      <c r="C135" t="s">
        <v>143</v>
      </c>
      <c r="D135" t="s">
        <v>128</v>
      </c>
      <c r="E135">
        <v>49716956</v>
      </c>
      <c r="F135" t="s">
        <v>179</v>
      </c>
      <c r="G135" t="s">
        <v>12</v>
      </c>
      <c r="H135" t="s">
        <v>95</v>
      </c>
      <c r="I135" t="s">
        <v>43</v>
      </c>
      <c r="J135">
        <v>2023</v>
      </c>
      <c r="K135" t="s">
        <v>59</v>
      </c>
      <c r="N135" t="s">
        <v>107</v>
      </c>
      <c r="S135">
        <v>45474</v>
      </c>
      <c r="T135">
        <v>7</v>
      </c>
      <c r="U135">
        <v>68</v>
      </c>
      <c r="V135">
        <v>61</v>
      </c>
      <c r="AI135">
        <f t="shared" si="5"/>
        <v>7</v>
      </c>
      <c r="AJ135">
        <f>'TABLA PREVIOS'!E135</f>
        <v>230</v>
      </c>
      <c r="AK135">
        <f>VLOOKUP(E135,ALUMNOS!A:B,2,FALSE)</f>
        <v>97</v>
      </c>
    </row>
    <row r="136" spans="2:37" x14ac:dyDescent="0.25">
      <c r="B136" t="str">
        <f t="shared" si="4"/>
        <v>48754197LENGUA EXTRANJERA - INGLÉS2º</v>
      </c>
      <c r="C136" t="s">
        <v>143</v>
      </c>
      <c r="D136" t="s">
        <v>128</v>
      </c>
      <c r="E136">
        <v>48754197</v>
      </c>
      <c r="F136" t="s">
        <v>180</v>
      </c>
      <c r="G136" t="s">
        <v>16</v>
      </c>
      <c r="H136" t="s">
        <v>95</v>
      </c>
      <c r="I136" t="s">
        <v>43</v>
      </c>
      <c r="J136">
        <v>2021</v>
      </c>
      <c r="K136" t="s">
        <v>59</v>
      </c>
      <c r="L136" t="s">
        <v>181</v>
      </c>
      <c r="N136" t="s">
        <v>99</v>
      </c>
      <c r="AI136">
        <f t="shared" si="5"/>
        <v>1</v>
      </c>
      <c r="AJ136">
        <f>'TABLA PREVIOS'!E136</f>
        <v>234</v>
      </c>
      <c r="AK136">
        <f>VLOOKUP(E136,ALUMNOS!A:B,2,FALSE)</f>
        <v>227</v>
      </c>
    </row>
    <row r="137" spans="2:37" x14ac:dyDescent="0.25">
      <c r="B137" t="str">
        <f t="shared" si="4"/>
        <v>48754197MATEMÁTICA2º</v>
      </c>
      <c r="C137" t="s">
        <v>143</v>
      </c>
      <c r="D137" t="s">
        <v>128</v>
      </c>
      <c r="E137">
        <v>48754197</v>
      </c>
      <c r="F137" t="s">
        <v>180</v>
      </c>
      <c r="G137" t="s">
        <v>12</v>
      </c>
      <c r="H137" t="s">
        <v>95</v>
      </c>
      <c r="I137" t="s">
        <v>43</v>
      </c>
      <c r="J137">
        <v>2021</v>
      </c>
      <c r="K137" t="s">
        <v>59</v>
      </c>
      <c r="N137" t="s">
        <v>99</v>
      </c>
      <c r="AI137">
        <f t="shared" si="5"/>
        <v>1</v>
      </c>
      <c r="AJ137">
        <f>'TABLA PREVIOS'!E137</f>
        <v>230</v>
      </c>
      <c r="AK137">
        <f>VLOOKUP(E137,ALUMNOS!A:B,2,FALSE)</f>
        <v>227</v>
      </c>
    </row>
    <row r="138" spans="2:37" x14ac:dyDescent="0.25">
      <c r="B138" t="str">
        <f t="shared" si="4"/>
        <v>48755117LENGUA Y LITERATURA2º</v>
      </c>
      <c r="C138" t="s">
        <v>143</v>
      </c>
      <c r="D138" t="s">
        <v>128</v>
      </c>
      <c r="E138">
        <v>48755117</v>
      </c>
      <c r="F138" t="s">
        <v>182</v>
      </c>
      <c r="G138" t="s">
        <v>11</v>
      </c>
      <c r="H138" t="s">
        <v>95</v>
      </c>
      <c r="I138" t="s">
        <v>43</v>
      </c>
      <c r="J138">
        <v>2023</v>
      </c>
      <c r="K138" t="s">
        <v>59</v>
      </c>
      <c r="N138" t="s">
        <v>99</v>
      </c>
      <c r="AI138">
        <f t="shared" si="5"/>
        <v>1</v>
      </c>
      <c r="AJ138">
        <f>'TABLA PREVIOS'!E138</f>
        <v>229</v>
      </c>
      <c r="AK138">
        <f>VLOOKUP(E138,ALUMNOS!A:B,2,FALSE)</f>
        <v>356</v>
      </c>
    </row>
    <row r="139" spans="2:37" x14ac:dyDescent="0.25">
      <c r="B139" t="str">
        <f t="shared" si="4"/>
        <v>48755117MATEMÁTICA2º</v>
      </c>
      <c r="C139" t="s">
        <v>143</v>
      </c>
      <c r="D139" t="s">
        <v>128</v>
      </c>
      <c r="E139">
        <v>48755117</v>
      </c>
      <c r="F139" t="s">
        <v>182</v>
      </c>
      <c r="G139" t="s">
        <v>12</v>
      </c>
      <c r="H139" t="s">
        <v>95</v>
      </c>
      <c r="I139" t="s">
        <v>43</v>
      </c>
      <c r="J139">
        <v>2023</v>
      </c>
      <c r="K139" t="s">
        <v>59</v>
      </c>
      <c r="N139" t="s">
        <v>99</v>
      </c>
      <c r="AI139">
        <f t="shared" si="5"/>
        <v>1</v>
      </c>
      <c r="AJ139">
        <f>'TABLA PREVIOS'!E139</f>
        <v>230</v>
      </c>
      <c r="AK139">
        <f>VLOOKUP(E139,ALUMNOS!A:B,2,FALSE)</f>
        <v>356</v>
      </c>
    </row>
    <row r="140" spans="2:37" x14ac:dyDescent="0.25">
      <c r="B140" t="str">
        <f t="shared" si="4"/>
        <v>48537999MATEMÁTICA1º</v>
      </c>
      <c r="C140" t="s">
        <v>143</v>
      </c>
      <c r="D140" t="s">
        <v>128</v>
      </c>
      <c r="E140">
        <v>48537999</v>
      </c>
      <c r="F140" t="s">
        <v>183</v>
      </c>
      <c r="G140" t="s">
        <v>12</v>
      </c>
      <c r="H140" t="s">
        <v>98</v>
      </c>
      <c r="I140" t="s">
        <v>43</v>
      </c>
      <c r="J140">
        <v>2021</v>
      </c>
      <c r="K140" t="s">
        <v>59</v>
      </c>
      <c r="N140" t="s">
        <v>99</v>
      </c>
      <c r="AI140">
        <f t="shared" si="5"/>
        <v>1</v>
      </c>
      <c r="AJ140">
        <f>'TABLA PREVIOS'!E140</f>
        <v>220</v>
      </c>
      <c r="AK140">
        <f>VLOOKUP(E140,ALUMNOS!A:B,2,FALSE)</f>
        <v>391</v>
      </c>
    </row>
    <row r="141" spans="2:37" x14ac:dyDescent="0.25">
      <c r="B141" t="str">
        <f t="shared" si="4"/>
        <v>48537999LENGUA Y LITERATURA2º</v>
      </c>
      <c r="C141" t="s">
        <v>143</v>
      </c>
      <c r="D141" t="s">
        <v>128</v>
      </c>
      <c r="E141">
        <v>48537999</v>
      </c>
      <c r="F141" t="s">
        <v>183</v>
      </c>
      <c r="G141" t="s">
        <v>11</v>
      </c>
      <c r="H141" t="s">
        <v>95</v>
      </c>
      <c r="I141" t="s">
        <v>43</v>
      </c>
      <c r="J141">
        <v>2023</v>
      </c>
      <c r="K141" t="s">
        <v>59</v>
      </c>
      <c r="N141" t="s">
        <v>99</v>
      </c>
      <c r="AI141">
        <f t="shared" si="5"/>
        <v>1</v>
      </c>
      <c r="AJ141">
        <f>'TABLA PREVIOS'!E141</f>
        <v>229</v>
      </c>
      <c r="AK141">
        <f>VLOOKUP(E141,ALUMNOS!A:B,2,FALSE)</f>
        <v>391</v>
      </c>
    </row>
    <row r="142" spans="2:37" x14ac:dyDescent="0.25">
      <c r="B142" t="str">
        <f t="shared" si="4"/>
        <v>48537999MATEMÁTICA2º</v>
      </c>
      <c r="C142" t="s">
        <v>143</v>
      </c>
      <c r="D142" t="s">
        <v>128</v>
      </c>
      <c r="E142">
        <v>48537999</v>
      </c>
      <c r="F142" t="s">
        <v>183</v>
      </c>
      <c r="G142" t="s">
        <v>12</v>
      </c>
      <c r="H142" t="s">
        <v>95</v>
      </c>
      <c r="I142" t="s">
        <v>43</v>
      </c>
      <c r="J142">
        <v>2023</v>
      </c>
      <c r="K142" t="s">
        <v>59</v>
      </c>
      <c r="N142" t="s">
        <v>99</v>
      </c>
      <c r="AI142">
        <f t="shared" si="5"/>
        <v>1</v>
      </c>
      <c r="AJ142">
        <f>'TABLA PREVIOS'!E142</f>
        <v>230</v>
      </c>
      <c r="AK142">
        <f>VLOOKUP(E142,ALUMNOS!A:B,2,FALSE)</f>
        <v>391</v>
      </c>
    </row>
    <row r="143" spans="2:37" x14ac:dyDescent="0.25">
      <c r="B143" t="str">
        <f t="shared" si="4"/>
        <v>48816281MATEMÁTICA2º</v>
      </c>
      <c r="C143" t="s">
        <v>143</v>
      </c>
      <c r="D143" t="s">
        <v>128</v>
      </c>
      <c r="E143">
        <v>48816281</v>
      </c>
      <c r="F143" t="s">
        <v>184</v>
      </c>
      <c r="G143" t="s">
        <v>12</v>
      </c>
      <c r="H143" t="s">
        <v>95</v>
      </c>
      <c r="I143" t="s">
        <v>43</v>
      </c>
      <c r="J143">
        <v>2023</v>
      </c>
      <c r="K143" t="s">
        <v>59</v>
      </c>
      <c r="N143" t="s">
        <v>99</v>
      </c>
      <c r="S143">
        <v>45474</v>
      </c>
      <c r="T143">
        <v>2</v>
      </c>
      <c r="U143">
        <v>68</v>
      </c>
      <c r="V143">
        <v>61</v>
      </c>
      <c r="AI143">
        <f t="shared" si="5"/>
        <v>1</v>
      </c>
      <c r="AJ143">
        <f>'TABLA PREVIOS'!E143</f>
        <v>230</v>
      </c>
      <c r="AK143">
        <f>VLOOKUP(E143,ALUMNOS!A:B,2,FALSE)</f>
        <v>490</v>
      </c>
    </row>
    <row r="144" spans="2:37" x14ac:dyDescent="0.25">
      <c r="B144" t="str">
        <f t="shared" si="4"/>
        <v>49241916MATEMÁTICA2º</v>
      </c>
      <c r="C144" t="s">
        <v>143</v>
      </c>
      <c r="D144" t="s">
        <v>128</v>
      </c>
      <c r="E144">
        <v>49241916</v>
      </c>
      <c r="F144" t="s">
        <v>185</v>
      </c>
      <c r="G144" t="s">
        <v>12</v>
      </c>
      <c r="H144" t="s">
        <v>95</v>
      </c>
      <c r="I144" t="s">
        <v>43</v>
      </c>
      <c r="J144">
        <v>2023</v>
      </c>
      <c r="K144" t="s">
        <v>59</v>
      </c>
      <c r="N144" t="s">
        <v>99</v>
      </c>
      <c r="AI144">
        <f t="shared" si="5"/>
        <v>1</v>
      </c>
      <c r="AJ144">
        <f>'TABLA PREVIOS'!E144</f>
        <v>230</v>
      </c>
      <c r="AK144">
        <f>VLOOKUP(E144,ALUMNOS!A:B,2,FALSE)</f>
        <v>558</v>
      </c>
    </row>
    <row r="145" spans="2:37" x14ac:dyDescent="0.25">
      <c r="B145" t="str">
        <f t="shared" si="4"/>
        <v>49716973LENGUA Y LITERATURA2º</v>
      </c>
      <c r="C145" t="s">
        <v>143</v>
      </c>
      <c r="D145" t="s">
        <v>128</v>
      </c>
      <c r="E145">
        <v>49716973</v>
      </c>
      <c r="F145" t="s">
        <v>186</v>
      </c>
      <c r="G145" t="s">
        <v>11</v>
      </c>
      <c r="H145" t="s">
        <v>95</v>
      </c>
      <c r="I145" t="s">
        <v>43</v>
      </c>
      <c r="J145">
        <v>2023</v>
      </c>
      <c r="K145" t="s">
        <v>59</v>
      </c>
      <c r="N145" t="s">
        <v>99</v>
      </c>
      <c r="O145">
        <v>45411</v>
      </c>
      <c r="P145" t="s">
        <v>50</v>
      </c>
      <c r="Q145">
        <v>68</v>
      </c>
      <c r="R145">
        <v>38</v>
      </c>
      <c r="AI145">
        <f t="shared" si="5"/>
        <v>1</v>
      </c>
      <c r="AJ145">
        <f>'TABLA PREVIOS'!E145</f>
        <v>229</v>
      </c>
      <c r="AK145">
        <f>VLOOKUP(E145,ALUMNOS!A:B,2,FALSE)</f>
        <v>563</v>
      </c>
    </row>
    <row r="146" spans="2:37" x14ac:dyDescent="0.25">
      <c r="B146" t="str">
        <f t="shared" si="4"/>
        <v>49716973MATEMÁTICA2º</v>
      </c>
      <c r="C146" t="s">
        <v>143</v>
      </c>
      <c r="D146" t="s">
        <v>128</v>
      </c>
      <c r="E146">
        <v>49716973</v>
      </c>
      <c r="F146" t="s">
        <v>186</v>
      </c>
      <c r="G146" t="s">
        <v>12</v>
      </c>
      <c r="H146" t="s">
        <v>95</v>
      </c>
      <c r="I146" t="s">
        <v>43</v>
      </c>
      <c r="J146">
        <v>2023</v>
      </c>
      <c r="K146" t="s">
        <v>59</v>
      </c>
      <c r="N146" t="s">
        <v>99</v>
      </c>
      <c r="AI146">
        <f t="shared" si="5"/>
        <v>1</v>
      </c>
      <c r="AJ146">
        <f>'TABLA PREVIOS'!E146</f>
        <v>230</v>
      </c>
      <c r="AK146">
        <f>VLOOKUP(E146,ALUMNOS!A:B,2,FALSE)</f>
        <v>563</v>
      </c>
    </row>
    <row r="147" spans="2:37" x14ac:dyDescent="0.25">
      <c r="B147" t="str">
        <f t="shared" si="4"/>
        <v>49964540MATEMÁTICA2º</v>
      </c>
      <c r="C147" t="s">
        <v>143</v>
      </c>
      <c r="D147" t="s">
        <v>128</v>
      </c>
      <c r="E147">
        <v>49964540</v>
      </c>
      <c r="F147" t="s">
        <v>187</v>
      </c>
      <c r="G147" t="s">
        <v>12</v>
      </c>
      <c r="H147" t="s">
        <v>95</v>
      </c>
      <c r="I147" t="s">
        <v>43</v>
      </c>
      <c r="J147">
        <v>2023</v>
      </c>
      <c r="K147" t="s">
        <v>59</v>
      </c>
      <c r="N147" t="s">
        <v>107</v>
      </c>
      <c r="O147">
        <v>45405</v>
      </c>
      <c r="P147">
        <v>2</v>
      </c>
      <c r="Q147">
        <v>68</v>
      </c>
      <c r="R147">
        <v>30</v>
      </c>
      <c r="S147">
        <v>45474</v>
      </c>
      <c r="T147">
        <v>7</v>
      </c>
      <c r="U147">
        <v>68</v>
      </c>
      <c r="V147">
        <v>61</v>
      </c>
      <c r="AI147">
        <f t="shared" si="5"/>
        <v>7</v>
      </c>
      <c r="AJ147">
        <f>'TABLA PREVIOS'!E147</f>
        <v>230</v>
      </c>
      <c r="AK147">
        <f>VLOOKUP(E147,ALUMNOS!A:B,2,FALSE)</f>
        <v>610</v>
      </c>
    </row>
    <row r="148" spans="2:37" x14ac:dyDescent="0.25">
      <c r="B148" t="str">
        <f t="shared" si="4"/>
        <v>48816287LENGUA Y LITERATURA2º</v>
      </c>
      <c r="C148" t="s">
        <v>143</v>
      </c>
      <c r="D148" t="s">
        <v>128</v>
      </c>
      <c r="E148">
        <v>48816287</v>
      </c>
      <c r="F148" t="s">
        <v>188</v>
      </c>
      <c r="G148" t="s">
        <v>11</v>
      </c>
      <c r="H148" t="s">
        <v>95</v>
      </c>
      <c r="I148" t="s">
        <v>43</v>
      </c>
      <c r="J148">
        <v>2023</v>
      </c>
      <c r="K148" t="s">
        <v>59</v>
      </c>
      <c r="N148" t="s">
        <v>99</v>
      </c>
      <c r="AI148">
        <f t="shared" si="5"/>
        <v>1</v>
      </c>
      <c r="AJ148">
        <f>'TABLA PREVIOS'!E148</f>
        <v>229</v>
      </c>
      <c r="AK148">
        <f>VLOOKUP(E148,ALUMNOS!A:B,2,FALSE)</f>
        <v>799</v>
      </c>
    </row>
    <row r="149" spans="2:37" x14ac:dyDescent="0.25">
      <c r="B149" t="str">
        <f t="shared" si="4"/>
        <v>48816287MATEMÁTICA2º</v>
      </c>
      <c r="C149" t="s">
        <v>143</v>
      </c>
      <c r="D149" t="s">
        <v>128</v>
      </c>
      <c r="E149">
        <v>48816287</v>
      </c>
      <c r="F149" t="s">
        <v>188</v>
      </c>
      <c r="G149" t="s">
        <v>12</v>
      </c>
      <c r="H149" t="s">
        <v>95</v>
      </c>
      <c r="I149" t="s">
        <v>43</v>
      </c>
      <c r="J149">
        <v>2023</v>
      </c>
      <c r="K149" t="s">
        <v>59</v>
      </c>
      <c r="N149" t="s">
        <v>99</v>
      </c>
      <c r="AI149">
        <f t="shared" si="5"/>
        <v>1</v>
      </c>
      <c r="AJ149">
        <f>'TABLA PREVIOS'!E149</f>
        <v>230</v>
      </c>
      <c r="AK149">
        <f>VLOOKUP(E149,ALUMNOS!A:B,2,FALSE)</f>
        <v>799</v>
      </c>
    </row>
    <row r="150" spans="2:37" x14ac:dyDescent="0.25">
      <c r="B150" t="str">
        <f t="shared" si="4"/>
        <v>49585033MATEMÁTICA1º</v>
      </c>
      <c r="C150" t="s">
        <v>143</v>
      </c>
      <c r="D150" t="s">
        <v>128</v>
      </c>
      <c r="E150">
        <v>49585033</v>
      </c>
      <c r="F150" t="s">
        <v>189</v>
      </c>
      <c r="G150" t="s">
        <v>12</v>
      </c>
      <c r="H150" t="s">
        <v>98</v>
      </c>
      <c r="I150" t="s">
        <v>43</v>
      </c>
      <c r="J150">
        <v>2022</v>
      </c>
      <c r="K150" t="s">
        <v>59</v>
      </c>
      <c r="N150" t="s">
        <v>99</v>
      </c>
      <c r="AI150">
        <f t="shared" si="5"/>
        <v>1</v>
      </c>
      <c r="AJ150">
        <f>'TABLA PREVIOS'!E150</f>
        <v>220</v>
      </c>
      <c r="AK150">
        <f>VLOOKUP(E150,ALUMNOS!A:B,2,FALSE)</f>
        <v>741</v>
      </c>
    </row>
    <row r="151" spans="2:37" x14ac:dyDescent="0.25">
      <c r="B151" t="str">
        <f t="shared" si="4"/>
        <v>49585033MATEMÁTICA2º</v>
      </c>
      <c r="C151" t="s">
        <v>143</v>
      </c>
      <c r="D151" t="s">
        <v>128</v>
      </c>
      <c r="E151">
        <v>49585033</v>
      </c>
      <c r="F151" t="s">
        <v>189</v>
      </c>
      <c r="G151" t="s">
        <v>12</v>
      </c>
      <c r="H151" t="s">
        <v>95</v>
      </c>
      <c r="I151" t="s">
        <v>43</v>
      </c>
      <c r="J151">
        <v>2023</v>
      </c>
      <c r="K151" t="s">
        <v>59</v>
      </c>
      <c r="N151" t="s">
        <v>99</v>
      </c>
      <c r="AI151">
        <f t="shared" si="5"/>
        <v>1</v>
      </c>
      <c r="AJ151">
        <f>'TABLA PREVIOS'!E151</f>
        <v>230</v>
      </c>
      <c r="AK151">
        <f>VLOOKUP(E151,ALUMNOS!A:B,2,FALSE)</f>
        <v>741</v>
      </c>
    </row>
    <row r="152" spans="2:37" x14ac:dyDescent="0.25">
      <c r="B152" t="str">
        <f t="shared" si="4"/>
        <v>47053448CIENCIAS SOCIALES - GEOGRAFÍA1º</v>
      </c>
      <c r="C152" t="s">
        <v>190</v>
      </c>
      <c r="D152" t="s">
        <v>96</v>
      </c>
      <c r="E152">
        <v>47053448</v>
      </c>
      <c r="F152" t="s">
        <v>191</v>
      </c>
      <c r="G152" t="s">
        <v>15</v>
      </c>
      <c r="H152" t="s">
        <v>98</v>
      </c>
      <c r="I152" t="s">
        <v>43</v>
      </c>
      <c r="J152">
        <v>2018</v>
      </c>
      <c r="K152" t="s">
        <v>59</v>
      </c>
      <c r="L152" t="s">
        <v>111</v>
      </c>
      <c r="N152" t="s">
        <v>99</v>
      </c>
      <c r="AI152">
        <f t="shared" si="5"/>
        <v>1</v>
      </c>
      <c r="AJ152">
        <f>'TABLA PREVIOS'!E152</f>
        <v>223</v>
      </c>
      <c r="AK152">
        <f>VLOOKUP(E152,ALUMNOS!A:B,2,FALSE)</f>
        <v>23</v>
      </c>
    </row>
    <row r="153" spans="2:37" x14ac:dyDescent="0.25">
      <c r="B153" t="str">
        <f t="shared" si="4"/>
        <v>47053448MATEMÁTICA3º</v>
      </c>
      <c r="C153" t="s">
        <v>190</v>
      </c>
      <c r="D153" t="s">
        <v>96</v>
      </c>
      <c r="E153">
        <v>47053448</v>
      </c>
      <c r="F153" t="s">
        <v>191</v>
      </c>
      <c r="G153" t="s">
        <v>12</v>
      </c>
      <c r="H153" t="s">
        <v>143</v>
      </c>
      <c r="I153" t="s">
        <v>43</v>
      </c>
      <c r="J153">
        <v>2021</v>
      </c>
      <c r="K153" t="s">
        <v>59</v>
      </c>
      <c r="N153" t="s">
        <v>99</v>
      </c>
      <c r="AI153">
        <f t="shared" si="5"/>
        <v>1</v>
      </c>
      <c r="AJ153">
        <f>'TABLA PREVIOS'!E153</f>
        <v>240</v>
      </c>
      <c r="AK153">
        <f>VLOOKUP(E153,ALUMNOS!A:B,2,FALSE)</f>
        <v>23</v>
      </c>
    </row>
    <row r="154" spans="2:37" x14ac:dyDescent="0.25">
      <c r="B154" t="str">
        <f t="shared" si="4"/>
        <v>48816239MATEMÁTICA3º</v>
      </c>
      <c r="C154" t="s">
        <v>190</v>
      </c>
      <c r="D154" t="s">
        <v>96</v>
      </c>
      <c r="E154">
        <v>48816239</v>
      </c>
      <c r="F154" t="s">
        <v>192</v>
      </c>
      <c r="G154" t="s">
        <v>12</v>
      </c>
      <c r="H154" t="s">
        <v>143</v>
      </c>
      <c r="I154" t="s">
        <v>43</v>
      </c>
      <c r="J154">
        <v>2023</v>
      </c>
      <c r="K154" t="s">
        <v>59</v>
      </c>
      <c r="N154" t="s">
        <v>99</v>
      </c>
      <c r="AI154">
        <f t="shared" si="5"/>
        <v>1</v>
      </c>
      <c r="AJ154">
        <f>'TABLA PREVIOS'!E154</f>
        <v>240</v>
      </c>
      <c r="AK154">
        <f>VLOOKUP(E154,ALUMNOS!A:B,2,FALSE)</f>
        <v>81</v>
      </c>
    </row>
    <row r="155" spans="2:37" x14ac:dyDescent="0.25">
      <c r="B155" t="str">
        <f t="shared" si="4"/>
        <v>48653201LENGUA EXTRANJERA - INGLÉS2º</v>
      </c>
      <c r="C155" t="s">
        <v>190</v>
      </c>
      <c r="D155" t="s">
        <v>96</v>
      </c>
      <c r="E155">
        <v>48653201</v>
      </c>
      <c r="F155" t="s">
        <v>193</v>
      </c>
      <c r="G155" t="s">
        <v>16</v>
      </c>
      <c r="H155" t="s">
        <v>95</v>
      </c>
      <c r="I155" t="s">
        <v>43</v>
      </c>
      <c r="J155">
        <v>2021</v>
      </c>
      <c r="K155" t="s">
        <v>59</v>
      </c>
      <c r="N155" t="s">
        <v>99</v>
      </c>
      <c r="AI155">
        <f t="shared" si="5"/>
        <v>1</v>
      </c>
      <c r="AJ155">
        <f>'TABLA PREVIOS'!E155</f>
        <v>234</v>
      </c>
      <c r="AK155">
        <f>VLOOKUP(E155,ALUMNOS!A:B,2,FALSE)</f>
        <v>110</v>
      </c>
    </row>
    <row r="156" spans="2:37" x14ac:dyDescent="0.25">
      <c r="B156" t="str">
        <f t="shared" si="4"/>
        <v>48653201MATEMÁTICA2º</v>
      </c>
      <c r="C156" t="s">
        <v>190</v>
      </c>
      <c r="D156" t="s">
        <v>96</v>
      </c>
      <c r="E156">
        <v>48653201</v>
      </c>
      <c r="F156" t="s">
        <v>193</v>
      </c>
      <c r="G156" t="s">
        <v>12</v>
      </c>
      <c r="H156" t="s">
        <v>95</v>
      </c>
      <c r="I156" t="s">
        <v>43</v>
      </c>
      <c r="J156">
        <v>2021</v>
      </c>
      <c r="K156" t="s">
        <v>59</v>
      </c>
      <c r="N156" t="s">
        <v>99</v>
      </c>
      <c r="AI156">
        <f t="shared" si="5"/>
        <v>1</v>
      </c>
      <c r="AJ156">
        <f>'TABLA PREVIOS'!E156</f>
        <v>230</v>
      </c>
      <c r="AK156">
        <f>VLOOKUP(E156,ALUMNOS!A:B,2,FALSE)</f>
        <v>110</v>
      </c>
    </row>
    <row r="157" spans="2:37" x14ac:dyDescent="0.25">
      <c r="B157" t="str">
        <f t="shared" si="4"/>
        <v>48653201MATEMÁTICA3º</v>
      </c>
      <c r="C157" t="s">
        <v>190</v>
      </c>
      <c r="D157" t="s">
        <v>96</v>
      </c>
      <c r="E157">
        <v>48653201</v>
      </c>
      <c r="F157" t="s">
        <v>193</v>
      </c>
      <c r="G157" t="s">
        <v>12</v>
      </c>
      <c r="H157" t="s">
        <v>143</v>
      </c>
      <c r="I157" t="s">
        <v>45</v>
      </c>
      <c r="J157">
        <v>2023</v>
      </c>
      <c r="K157" t="s">
        <v>59</v>
      </c>
      <c r="N157" t="s">
        <v>99</v>
      </c>
      <c r="AI157">
        <f t="shared" si="5"/>
        <v>1</v>
      </c>
      <c r="AJ157">
        <f>'TABLA PREVIOS'!E157</f>
        <v>240</v>
      </c>
      <c r="AK157">
        <f>VLOOKUP(E157,ALUMNOS!A:B,2,FALSE)</f>
        <v>110</v>
      </c>
    </row>
    <row r="158" spans="2:37" x14ac:dyDescent="0.25">
      <c r="B158" t="str">
        <f t="shared" si="4"/>
        <v>47304107LENGUA EXTRANJERA - INGLÉS2º</v>
      </c>
      <c r="C158" t="s">
        <v>190</v>
      </c>
      <c r="D158" t="s">
        <v>96</v>
      </c>
      <c r="E158">
        <v>47304107</v>
      </c>
      <c r="F158" t="s">
        <v>194</v>
      </c>
      <c r="G158" t="s">
        <v>16</v>
      </c>
      <c r="H158" t="s">
        <v>95</v>
      </c>
      <c r="I158" t="s">
        <v>43</v>
      </c>
      <c r="J158">
        <v>2022</v>
      </c>
      <c r="K158" t="s">
        <v>59</v>
      </c>
      <c r="N158" t="s">
        <v>99</v>
      </c>
      <c r="AI158">
        <f t="shared" si="5"/>
        <v>1</v>
      </c>
      <c r="AJ158">
        <f>'TABLA PREVIOS'!E158</f>
        <v>234</v>
      </c>
      <c r="AK158">
        <f>VLOOKUP(E158,ALUMNOS!A:B,2,FALSE)</f>
        <v>131</v>
      </c>
    </row>
    <row r="159" spans="2:37" x14ac:dyDescent="0.25">
      <c r="B159" t="str">
        <f t="shared" si="4"/>
        <v>47304107LENGUA EXTRANJERA - INGLÉS3º</v>
      </c>
      <c r="C159" t="s">
        <v>190</v>
      </c>
      <c r="D159" t="s">
        <v>96</v>
      </c>
      <c r="E159">
        <v>47304107</v>
      </c>
      <c r="F159" t="s">
        <v>194</v>
      </c>
      <c r="G159" t="s">
        <v>16</v>
      </c>
      <c r="H159" t="s">
        <v>143</v>
      </c>
      <c r="I159" t="s">
        <v>43</v>
      </c>
      <c r="J159">
        <v>2023</v>
      </c>
      <c r="K159" t="s">
        <v>59</v>
      </c>
      <c r="N159" t="s">
        <v>99</v>
      </c>
      <c r="AI159">
        <f t="shared" si="5"/>
        <v>1</v>
      </c>
      <c r="AJ159">
        <f>'TABLA PREVIOS'!E159</f>
        <v>245</v>
      </c>
      <c r="AK159">
        <f>VLOOKUP(E159,ALUMNOS!A:B,2,FALSE)</f>
        <v>131</v>
      </c>
    </row>
    <row r="160" spans="2:37" x14ac:dyDescent="0.25">
      <c r="B160" t="str">
        <f t="shared" si="4"/>
        <v>47304107MATEMÁTICA3º</v>
      </c>
      <c r="C160" t="s">
        <v>190</v>
      </c>
      <c r="D160" t="s">
        <v>96</v>
      </c>
      <c r="E160">
        <v>47304107</v>
      </c>
      <c r="F160" t="s">
        <v>194</v>
      </c>
      <c r="G160" t="s">
        <v>12</v>
      </c>
      <c r="H160" t="s">
        <v>143</v>
      </c>
      <c r="I160" t="s">
        <v>45</v>
      </c>
      <c r="J160">
        <v>2023</v>
      </c>
      <c r="K160" t="s">
        <v>59</v>
      </c>
      <c r="N160" t="s">
        <v>99</v>
      </c>
      <c r="AI160">
        <f t="shared" si="5"/>
        <v>1</v>
      </c>
      <c r="AJ160">
        <f>'TABLA PREVIOS'!E160</f>
        <v>240</v>
      </c>
      <c r="AK160">
        <f>VLOOKUP(E160,ALUMNOS!A:B,2,FALSE)</f>
        <v>131</v>
      </c>
    </row>
    <row r="161" spans="2:37" x14ac:dyDescent="0.25">
      <c r="B161" t="str">
        <f t="shared" si="4"/>
        <v>47802365LENGUA Y LITERATURA2º</v>
      </c>
      <c r="C161" t="s">
        <v>190</v>
      </c>
      <c r="D161" t="s">
        <v>96</v>
      </c>
      <c r="E161">
        <v>47802365</v>
      </c>
      <c r="F161" t="s">
        <v>195</v>
      </c>
      <c r="G161" t="s">
        <v>11</v>
      </c>
      <c r="H161" t="s">
        <v>95</v>
      </c>
      <c r="I161" t="s">
        <v>43</v>
      </c>
      <c r="J161">
        <v>2020</v>
      </c>
      <c r="K161" t="s">
        <v>59</v>
      </c>
      <c r="N161" t="s">
        <v>99</v>
      </c>
      <c r="S161">
        <v>45475</v>
      </c>
      <c r="T161">
        <v>1</v>
      </c>
      <c r="U161">
        <v>68</v>
      </c>
      <c r="V161">
        <v>74</v>
      </c>
      <c r="AI161">
        <f t="shared" si="5"/>
        <v>1</v>
      </c>
      <c r="AJ161">
        <f>'TABLA PREVIOS'!E161</f>
        <v>229</v>
      </c>
      <c r="AK161">
        <f>VLOOKUP(E161,ALUMNOS!A:B,2,FALSE)</f>
        <v>133</v>
      </c>
    </row>
    <row r="162" spans="2:37" x14ac:dyDescent="0.25">
      <c r="B162" t="str">
        <f t="shared" si="4"/>
        <v>47802365GEOGRAFÍA3º</v>
      </c>
      <c r="C162" t="s">
        <v>190</v>
      </c>
      <c r="D162" t="s">
        <v>96</v>
      </c>
      <c r="E162">
        <v>47802365</v>
      </c>
      <c r="F162" t="s">
        <v>195</v>
      </c>
      <c r="G162" t="s">
        <v>26</v>
      </c>
      <c r="H162" t="s">
        <v>143</v>
      </c>
      <c r="I162" t="s">
        <v>43</v>
      </c>
      <c r="J162">
        <v>2021</v>
      </c>
      <c r="K162" t="s">
        <v>59</v>
      </c>
      <c r="N162" t="s">
        <v>99</v>
      </c>
      <c r="AI162">
        <f t="shared" si="5"/>
        <v>1</v>
      </c>
      <c r="AJ162">
        <f>'TABLA PREVIOS'!E162</f>
        <v>243</v>
      </c>
      <c r="AK162">
        <f>VLOOKUP(E162,ALUMNOS!A:B,2,FALSE)</f>
        <v>133</v>
      </c>
    </row>
    <row r="163" spans="2:37" x14ac:dyDescent="0.25">
      <c r="B163" t="str">
        <f t="shared" si="4"/>
        <v>47802365HISTORIA3º</v>
      </c>
      <c r="C163" t="s">
        <v>190</v>
      </c>
      <c r="D163" t="s">
        <v>96</v>
      </c>
      <c r="E163">
        <v>47802365</v>
      </c>
      <c r="F163" t="s">
        <v>195</v>
      </c>
      <c r="G163" t="s">
        <v>27</v>
      </c>
      <c r="H163" t="s">
        <v>143</v>
      </c>
      <c r="I163" t="s">
        <v>45</v>
      </c>
      <c r="J163">
        <v>2021</v>
      </c>
      <c r="K163" t="s">
        <v>59</v>
      </c>
      <c r="N163" t="s">
        <v>99</v>
      </c>
      <c r="AI163">
        <f t="shared" si="5"/>
        <v>1</v>
      </c>
      <c r="AJ163">
        <f>'TABLA PREVIOS'!E163</f>
        <v>244</v>
      </c>
      <c r="AK163">
        <f>VLOOKUP(E163,ALUMNOS!A:B,2,FALSE)</f>
        <v>133</v>
      </c>
    </row>
    <row r="164" spans="2:37" x14ac:dyDescent="0.25">
      <c r="B164" t="str">
        <f t="shared" si="4"/>
        <v>47665543MATEMÁTICA3º</v>
      </c>
      <c r="C164" t="s">
        <v>190</v>
      </c>
      <c r="D164" t="s">
        <v>96</v>
      </c>
      <c r="E164">
        <v>47665543</v>
      </c>
      <c r="F164" t="s">
        <v>196</v>
      </c>
      <c r="G164" t="s">
        <v>12</v>
      </c>
      <c r="H164" t="s">
        <v>143</v>
      </c>
      <c r="I164" t="s">
        <v>43</v>
      </c>
      <c r="J164">
        <v>2021</v>
      </c>
      <c r="K164" t="s">
        <v>59</v>
      </c>
      <c r="L164" t="s">
        <v>111</v>
      </c>
      <c r="N164" t="s">
        <v>99</v>
      </c>
      <c r="O164">
        <v>45405</v>
      </c>
      <c r="P164" t="s">
        <v>101</v>
      </c>
      <c r="Q164">
        <v>68</v>
      </c>
      <c r="R164">
        <v>31</v>
      </c>
      <c r="S164">
        <v>45474</v>
      </c>
      <c r="T164">
        <v>2</v>
      </c>
      <c r="U164">
        <v>68</v>
      </c>
      <c r="V164">
        <v>62</v>
      </c>
      <c r="AI164">
        <f t="shared" si="5"/>
        <v>1</v>
      </c>
      <c r="AJ164">
        <f>'TABLA PREVIOS'!E164</f>
        <v>240</v>
      </c>
      <c r="AK164">
        <f>VLOOKUP(E164,ALUMNOS!A:B,2,FALSE)</f>
        <v>143</v>
      </c>
    </row>
    <row r="165" spans="2:37" x14ac:dyDescent="0.25">
      <c r="B165" t="str">
        <f t="shared" si="4"/>
        <v>49318740MATEMÁTICA3º</v>
      </c>
      <c r="C165" t="s">
        <v>190</v>
      </c>
      <c r="D165" t="s">
        <v>96</v>
      </c>
      <c r="E165">
        <v>49318740</v>
      </c>
      <c r="F165" t="s">
        <v>197</v>
      </c>
      <c r="G165" t="s">
        <v>12</v>
      </c>
      <c r="H165" t="s">
        <v>143</v>
      </c>
      <c r="I165" t="s">
        <v>43</v>
      </c>
      <c r="J165">
        <v>2023</v>
      </c>
      <c r="K165" t="s">
        <v>59</v>
      </c>
      <c r="N165" t="s">
        <v>99</v>
      </c>
      <c r="S165">
        <v>45474</v>
      </c>
      <c r="T165">
        <v>2</v>
      </c>
      <c r="U165">
        <v>68</v>
      </c>
      <c r="V165">
        <v>62</v>
      </c>
      <c r="AI165">
        <f t="shared" si="5"/>
        <v>1</v>
      </c>
      <c r="AJ165">
        <f>'TABLA PREVIOS'!E165</f>
        <v>240</v>
      </c>
      <c r="AK165">
        <f>VLOOKUP(E165,ALUMNOS!A:B,2,FALSE)</f>
        <v>285</v>
      </c>
    </row>
    <row r="166" spans="2:37" x14ac:dyDescent="0.25">
      <c r="B166" t="str">
        <f t="shared" si="4"/>
        <v>48538137LENGUA Y LITERATURA2º</v>
      </c>
      <c r="C166" t="s">
        <v>190</v>
      </c>
      <c r="D166" t="s">
        <v>96</v>
      </c>
      <c r="E166">
        <v>48538137</v>
      </c>
      <c r="F166" t="s">
        <v>198</v>
      </c>
      <c r="G166" t="s">
        <v>11</v>
      </c>
      <c r="H166" t="s">
        <v>95</v>
      </c>
      <c r="I166" t="s">
        <v>43</v>
      </c>
      <c r="J166">
        <v>2022</v>
      </c>
      <c r="K166" t="s">
        <v>59</v>
      </c>
      <c r="N166" t="s">
        <v>99</v>
      </c>
      <c r="AI166">
        <f t="shared" si="5"/>
        <v>1</v>
      </c>
      <c r="AJ166">
        <f>'TABLA PREVIOS'!E166</f>
        <v>229</v>
      </c>
      <c r="AK166">
        <f>VLOOKUP(E166,ALUMNOS!A:B,2,FALSE)</f>
        <v>377</v>
      </c>
    </row>
    <row r="167" spans="2:37" x14ac:dyDescent="0.25">
      <c r="B167" t="str">
        <f t="shared" si="4"/>
        <v>49112591HISTORIA3º</v>
      </c>
      <c r="C167" t="s">
        <v>190</v>
      </c>
      <c r="D167" t="s">
        <v>96</v>
      </c>
      <c r="E167">
        <v>49112591</v>
      </c>
      <c r="F167" t="s">
        <v>199</v>
      </c>
      <c r="G167" t="s">
        <v>27</v>
      </c>
      <c r="H167" t="s">
        <v>143</v>
      </c>
      <c r="I167" t="s">
        <v>43</v>
      </c>
      <c r="J167">
        <v>2023</v>
      </c>
      <c r="K167" t="s">
        <v>59</v>
      </c>
      <c r="N167" t="s">
        <v>99</v>
      </c>
      <c r="AI167">
        <f t="shared" si="5"/>
        <v>1</v>
      </c>
      <c r="AJ167">
        <f>'TABLA PREVIOS'!E167</f>
        <v>244</v>
      </c>
      <c r="AK167">
        <f>VLOOKUP(E167,ALUMNOS!A:B,2,FALSE)</f>
        <v>420</v>
      </c>
    </row>
    <row r="168" spans="2:37" x14ac:dyDescent="0.25">
      <c r="B168" t="str">
        <f t="shared" si="4"/>
        <v>49112591MATEMÁTICA3º</v>
      </c>
      <c r="C168" t="s">
        <v>190</v>
      </c>
      <c r="D168" t="s">
        <v>96</v>
      </c>
      <c r="E168">
        <v>49112591</v>
      </c>
      <c r="F168" t="s">
        <v>199</v>
      </c>
      <c r="G168" t="s">
        <v>12</v>
      </c>
      <c r="H168" t="s">
        <v>143</v>
      </c>
      <c r="I168" t="s">
        <v>43</v>
      </c>
      <c r="J168">
        <v>2023</v>
      </c>
      <c r="K168" t="s">
        <v>59</v>
      </c>
      <c r="N168" t="s">
        <v>99</v>
      </c>
      <c r="AI168">
        <f t="shared" si="5"/>
        <v>1</v>
      </c>
      <c r="AJ168">
        <f>'TABLA PREVIOS'!E168</f>
        <v>240</v>
      </c>
      <c r="AK168">
        <f>VLOOKUP(E168,ALUMNOS!A:B,2,FALSE)</f>
        <v>420</v>
      </c>
    </row>
    <row r="169" spans="2:37" x14ac:dyDescent="0.25">
      <c r="B169" t="str">
        <f t="shared" si="4"/>
        <v>48816237GEOGRAFÍA3º</v>
      </c>
      <c r="C169" t="s">
        <v>190</v>
      </c>
      <c r="D169" t="s">
        <v>96</v>
      </c>
      <c r="E169">
        <v>48816237</v>
      </c>
      <c r="F169" t="s">
        <v>200</v>
      </c>
      <c r="G169" t="s">
        <v>26</v>
      </c>
      <c r="H169" t="s">
        <v>143</v>
      </c>
      <c r="I169" t="s">
        <v>45</v>
      </c>
      <c r="J169">
        <v>2023</v>
      </c>
      <c r="K169" t="s">
        <v>59</v>
      </c>
      <c r="N169" t="s">
        <v>99</v>
      </c>
      <c r="AI169">
        <f t="shared" si="5"/>
        <v>1</v>
      </c>
      <c r="AJ169">
        <f>'TABLA PREVIOS'!E169</f>
        <v>243</v>
      </c>
      <c r="AK169">
        <f>VLOOKUP(E169,ALUMNOS!A:B,2,FALSE)</f>
        <v>475</v>
      </c>
    </row>
    <row r="170" spans="2:37" x14ac:dyDescent="0.25">
      <c r="B170" t="str">
        <f t="shared" si="4"/>
        <v>48816237LENGUA EXTRANJERA - INGLÉS3º</v>
      </c>
      <c r="C170" t="s">
        <v>190</v>
      </c>
      <c r="D170" t="s">
        <v>96</v>
      </c>
      <c r="E170">
        <v>48816237</v>
      </c>
      <c r="F170" t="s">
        <v>200</v>
      </c>
      <c r="G170" t="s">
        <v>16</v>
      </c>
      <c r="H170" t="s">
        <v>143</v>
      </c>
      <c r="I170" t="s">
        <v>43</v>
      </c>
      <c r="J170">
        <v>2023</v>
      </c>
      <c r="K170" t="s">
        <v>59</v>
      </c>
      <c r="N170" t="s">
        <v>107</v>
      </c>
      <c r="S170">
        <v>45475</v>
      </c>
      <c r="T170">
        <v>7</v>
      </c>
      <c r="U170">
        <v>68</v>
      </c>
      <c r="V170">
        <v>71</v>
      </c>
      <c r="AI170">
        <f t="shared" si="5"/>
        <v>7</v>
      </c>
      <c r="AJ170">
        <f>'TABLA PREVIOS'!E170</f>
        <v>245</v>
      </c>
      <c r="AK170">
        <f>VLOOKUP(E170,ALUMNOS!A:B,2,FALSE)</f>
        <v>475</v>
      </c>
    </row>
    <row r="171" spans="2:37" x14ac:dyDescent="0.25">
      <c r="B171" t="str">
        <f t="shared" si="4"/>
        <v>48816237MATEMÁTICA3º</v>
      </c>
      <c r="C171" t="s">
        <v>190</v>
      </c>
      <c r="D171" t="s">
        <v>96</v>
      </c>
      <c r="E171">
        <v>48816237</v>
      </c>
      <c r="F171" t="s">
        <v>200</v>
      </c>
      <c r="G171" t="s">
        <v>12</v>
      </c>
      <c r="H171" t="s">
        <v>143</v>
      </c>
      <c r="I171" t="s">
        <v>43</v>
      </c>
      <c r="J171">
        <v>2023</v>
      </c>
      <c r="K171" t="s">
        <v>59</v>
      </c>
      <c r="N171" t="s">
        <v>107</v>
      </c>
      <c r="O171">
        <v>45405</v>
      </c>
      <c r="P171">
        <v>7</v>
      </c>
      <c r="Q171">
        <v>68</v>
      </c>
      <c r="R171">
        <v>31</v>
      </c>
      <c r="AI171">
        <f t="shared" si="5"/>
        <v>7</v>
      </c>
      <c r="AJ171">
        <f>'TABLA PREVIOS'!E171</f>
        <v>240</v>
      </c>
      <c r="AK171">
        <f>VLOOKUP(E171,ALUMNOS!A:B,2,FALSE)</f>
        <v>475</v>
      </c>
    </row>
    <row r="172" spans="2:37" x14ac:dyDescent="0.25">
      <c r="B172" t="str">
        <f t="shared" si="4"/>
        <v>49319118LENGUA Y LITERATURA2º</v>
      </c>
      <c r="C172" t="s">
        <v>190</v>
      </c>
      <c r="D172" t="s">
        <v>96</v>
      </c>
      <c r="E172">
        <v>49319118</v>
      </c>
      <c r="F172" t="s">
        <v>201</v>
      </c>
      <c r="G172" t="s">
        <v>11</v>
      </c>
      <c r="H172" t="s">
        <v>95</v>
      </c>
      <c r="I172" t="s">
        <v>43</v>
      </c>
      <c r="J172">
        <v>2022</v>
      </c>
      <c r="K172" t="s">
        <v>59</v>
      </c>
      <c r="N172" t="s">
        <v>99</v>
      </c>
      <c r="O172">
        <v>45411</v>
      </c>
      <c r="P172" t="s">
        <v>157</v>
      </c>
      <c r="Q172">
        <v>68</v>
      </c>
      <c r="R172">
        <v>38</v>
      </c>
      <c r="S172">
        <v>45475</v>
      </c>
      <c r="T172">
        <v>3</v>
      </c>
      <c r="U172">
        <v>68</v>
      </c>
      <c r="V172">
        <v>74</v>
      </c>
      <c r="AI172">
        <f t="shared" si="5"/>
        <v>1</v>
      </c>
      <c r="AJ172">
        <f>'TABLA PREVIOS'!E172</f>
        <v>229</v>
      </c>
      <c r="AK172">
        <f>VLOOKUP(E172,ALUMNOS!A:B,2,FALSE)</f>
        <v>643</v>
      </c>
    </row>
    <row r="173" spans="2:37" x14ac:dyDescent="0.25">
      <c r="B173" t="str">
        <f t="shared" si="4"/>
        <v>49319118LENGUA Y LITERATURA3º</v>
      </c>
      <c r="C173" t="s">
        <v>190</v>
      </c>
      <c r="D173" t="s">
        <v>96</v>
      </c>
      <c r="E173">
        <v>49319118</v>
      </c>
      <c r="F173" t="s">
        <v>201</v>
      </c>
      <c r="G173" t="s">
        <v>11</v>
      </c>
      <c r="H173" t="s">
        <v>143</v>
      </c>
      <c r="I173" t="s">
        <v>43</v>
      </c>
      <c r="J173">
        <v>2023</v>
      </c>
      <c r="K173" t="s">
        <v>59</v>
      </c>
      <c r="N173" t="s">
        <v>99</v>
      </c>
      <c r="O173">
        <v>45411</v>
      </c>
      <c r="P173" t="s">
        <v>50</v>
      </c>
      <c r="Q173">
        <v>68</v>
      </c>
      <c r="R173">
        <v>39</v>
      </c>
      <c r="AI173">
        <f t="shared" si="5"/>
        <v>1</v>
      </c>
      <c r="AJ173">
        <f>'TABLA PREVIOS'!E173</f>
        <v>239</v>
      </c>
      <c r="AK173">
        <f>VLOOKUP(E173,ALUMNOS!A:B,2,FALSE)</f>
        <v>643</v>
      </c>
    </row>
    <row r="174" spans="2:37" x14ac:dyDescent="0.25">
      <c r="B174" t="str">
        <f t="shared" si="4"/>
        <v>49319118MATEMÁTICA3º</v>
      </c>
      <c r="C174" t="s">
        <v>190</v>
      </c>
      <c r="D174" t="s">
        <v>96</v>
      </c>
      <c r="E174">
        <v>49319118</v>
      </c>
      <c r="F174" t="s">
        <v>201</v>
      </c>
      <c r="G174" t="s">
        <v>12</v>
      </c>
      <c r="H174" t="s">
        <v>143</v>
      </c>
      <c r="I174" t="s">
        <v>45</v>
      </c>
      <c r="J174">
        <v>2023</v>
      </c>
      <c r="K174" t="s">
        <v>59</v>
      </c>
      <c r="N174" t="s">
        <v>99</v>
      </c>
      <c r="AI174">
        <f t="shared" si="5"/>
        <v>1</v>
      </c>
      <c r="AJ174">
        <f>'TABLA PREVIOS'!E174</f>
        <v>240</v>
      </c>
      <c r="AK174">
        <f>VLOOKUP(E174,ALUMNOS!A:B,2,FALSE)</f>
        <v>643</v>
      </c>
    </row>
    <row r="175" spans="2:37" x14ac:dyDescent="0.25">
      <c r="B175" t="str">
        <f t="shared" si="4"/>
        <v>48538110LENGUA EXTRANJERA - INGLÉS3º</v>
      </c>
      <c r="C175" t="s">
        <v>190</v>
      </c>
      <c r="D175" t="s">
        <v>96</v>
      </c>
      <c r="E175">
        <v>48538110</v>
      </c>
      <c r="F175" t="s">
        <v>202</v>
      </c>
      <c r="G175" t="s">
        <v>16</v>
      </c>
      <c r="H175" t="s">
        <v>143</v>
      </c>
      <c r="I175" t="s">
        <v>43</v>
      </c>
      <c r="J175">
        <v>2022</v>
      </c>
      <c r="K175" t="s">
        <v>59</v>
      </c>
      <c r="L175" t="s">
        <v>111</v>
      </c>
      <c r="N175" t="s">
        <v>99</v>
      </c>
      <c r="AI175">
        <f t="shared" si="5"/>
        <v>1</v>
      </c>
      <c r="AJ175">
        <f>'TABLA PREVIOS'!E175</f>
        <v>245</v>
      </c>
      <c r="AK175">
        <f>VLOOKUP(E175,ALUMNOS!A:B,2,FALSE)</f>
        <v>726</v>
      </c>
    </row>
    <row r="176" spans="2:37" x14ac:dyDescent="0.25">
      <c r="B176" t="str">
        <f t="shared" si="4"/>
        <v>48538110LENGUA Y LITERATURA3º</v>
      </c>
      <c r="C176" t="s">
        <v>190</v>
      </c>
      <c r="D176" t="s">
        <v>96</v>
      </c>
      <c r="E176">
        <v>48538110</v>
      </c>
      <c r="F176" t="s">
        <v>202</v>
      </c>
      <c r="G176" t="s">
        <v>11</v>
      </c>
      <c r="H176" t="s">
        <v>143</v>
      </c>
      <c r="I176" t="s">
        <v>43</v>
      </c>
      <c r="J176">
        <v>2022</v>
      </c>
      <c r="K176" t="s">
        <v>59</v>
      </c>
      <c r="N176" t="s">
        <v>99</v>
      </c>
      <c r="AI176">
        <f t="shared" si="5"/>
        <v>1</v>
      </c>
      <c r="AJ176">
        <f>'TABLA PREVIOS'!E176</f>
        <v>239</v>
      </c>
      <c r="AK176">
        <f>VLOOKUP(E176,ALUMNOS!A:B,2,FALSE)</f>
        <v>726</v>
      </c>
    </row>
    <row r="177" spans="2:37" x14ac:dyDescent="0.25">
      <c r="B177" t="str">
        <f t="shared" si="4"/>
        <v>49455838MATEMÁTICA2º</v>
      </c>
      <c r="C177" t="s">
        <v>190</v>
      </c>
      <c r="D177" t="s">
        <v>96</v>
      </c>
      <c r="E177">
        <v>49455838</v>
      </c>
      <c r="F177" t="s">
        <v>203</v>
      </c>
      <c r="G177" t="s">
        <v>12</v>
      </c>
      <c r="H177" t="s">
        <v>95</v>
      </c>
      <c r="I177" t="s">
        <v>43</v>
      </c>
      <c r="J177">
        <v>2022</v>
      </c>
      <c r="K177" t="s">
        <v>59</v>
      </c>
      <c r="N177" t="s">
        <v>99</v>
      </c>
      <c r="S177">
        <v>45474</v>
      </c>
      <c r="T177" t="s">
        <v>50</v>
      </c>
      <c r="U177">
        <v>68</v>
      </c>
      <c r="V177">
        <v>61</v>
      </c>
      <c r="AI177">
        <f t="shared" si="5"/>
        <v>1</v>
      </c>
      <c r="AJ177">
        <f>'TABLA PREVIOS'!E177</f>
        <v>230</v>
      </c>
      <c r="AK177">
        <f>VLOOKUP(E177,ALUMNOS!A:B,2,FALSE)</f>
        <v>766</v>
      </c>
    </row>
    <row r="178" spans="2:37" x14ac:dyDescent="0.25">
      <c r="B178" t="str">
        <f t="shared" si="4"/>
        <v>49455838HISTORIA3º</v>
      </c>
      <c r="C178" t="s">
        <v>190</v>
      </c>
      <c r="D178" t="s">
        <v>96</v>
      </c>
      <c r="E178">
        <v>49455838</v>
      </c>
      <c r="F178" t="s">
        <v>203</v>
      </c>
      <c r="G178" t="s">
        <v>27</v>
      </c>
      <c r="H178" t="s">
        <v>143</v>
      </c>
      <c r="I178" t="s">
        <v>43</v>
      </c>
      <c r="J178">
        <v>2023</v>
      </c>
      <c r="K178" t="s">
        <v>59</v>
      </c>
      <c r="N178" t="s">
        <v>99</v>
      </c>
      <c r="AI178">
        <f t="shared" si="5"/>
        <v>1</v>
      </c>
      <c r="AJ178">
        <f>'TABLA PREVIOS'!E178</f>
        <v>244</v>
      </c>
      <c r="AK178">
        <f>VLOOKUP(E178,ALUMNOS!A:B,2,FALSE)</f>
        <v>766</v>
      </c>
    </row>
    <row r="179" spans="2:37" x14ac:dyDescent="0.25">
      <c r="B179" t="str">
        <f t="shared" si="4"/>
        <v>49455838MATEMÁTICA3º</v>
      </c>
      <c r="C179" t="s">
        <v>190</v>
      </c>
      <c r="D179" t="s">
        <v>96</v>
      </c>
      <c r="E179">
        <v>49455838</v>
      </c>
      <c r="F179" t="s">
        <v>203</v>
      </c>
      <c r="G179" t="s">
        <v>12</v>
      </c>
      <c r="H179" t="s">
        <v>143</v>
      </c>
      <c r="I179" t="s">
        <v>45</v>
      </c>
      <c r="J179">
        <v>2023</v>
      </c>
      <c r="K179" t="s">
        <v>59</v>
      </c>
      <c r="N179" t="s">
        <v>99</v>
      </c>
      <c r="AI179">
        <f t="shared" si="5"/>
        <v>1</v>
      </c>
      <c r="AJ179">
        <f>'TABLA PREVIOS'!E179</f>
        <v>240</v>
      </c>
      <c r="AK179">
        <f>VLOOKUP(E179,ALUMNOS!A:B,2,FALSE)</f>
        <v>766</v>
      </c>
    </row>
    <row r="180" spans="2:37" x14ac:dyDescent="0.25">
      <c r="B180" t="str">
        <f t="shared" si="4"/>
        <v>48600258GEOGRAFÍA3º</v>
      </c>
      <c r="C180" t="s">
        <v>190</v>
      </c>
      <c r="D180" t="s">
        <v>109</v>
      </c>
      <c r="E180">
        <v>48600258</v>
      </c>
      <c r="F180" t="s">
        <v>204</v>
      </c>
      <c r="G180" t="s">
        <v>26</v>
      </c>
      <c r="H180" t="s">
        <v>143</v>
      </c>
      <c r="I180" t="s">
        <v>43</v>
      </c>
      <c r="J180">
        <v>2023</v>
      </c>
      <c r="K180" t="s">
        <v>59</v>
      </c>
      <c r="N180" t="s">
        <v>99</v>
      </c>
      <c r="AI180">
        <f t="shared" si="5"/>
        <v>1</v>
      </c>
      <c r="AJ180">
        <f>'TABLA PREVIOS'!E180</f>
        <v>243</v>
      </c>
      <c r="AK180">
        <f>VLOOKUP(E180,ALUMNOS!A:B,2,FALSE)</f>
        <v>271</v>
      </c>
    </row>
    <row r="181" spans="2:37" x14ac:dyDescent="0.25">
      <c r="B181" t="str">
        <f t="shared" si="4"/>
        <v>48253150MATEMÁTICA2º</v>
      </c>
      <c r="C181" t="s">
        <v>190</v>
      </c>
      <c r="D181" t="s">
        <v>109</v>
      </c>
      <c r="E181">
        <v>48253150</v>
      </c>
      <c r="F181" t="s">
        <v>205</v>
      </c>
      <c r="G181" t="s">
        <v>12</v>
      </c>
      <c r="H181" t="s">
        <v>95</v>
      </c>
      <c r="I181" t="s">
        <v>43</v>
      </c>
      <c r="J181">
        <v>2021</v>
      </c>
      <c r="K181" t="s">
        <v>59</v>
      </c>
      <c r="L181" t="s">
        <v>111</v>
      </c>
      <c r="N181" t="s">
        <v>99</v>
      </c>
      <c r="AI181">
        <f t="shared" si="5"/>
        <v>1</v>
      </c>
      <c r="AJ181">
        <f>'TABLA PREVIOS'!E181</f>
        <v>230</v>
      </c>
      <c r="AK181">
        <f>VLOOKUP(E181,ALUMNOS!A:B,2,FALSE)</f>
        <v>317</v>
      </c>
    </row>
    <row r="182" spans="2:37" x14ac:dyDescent="0.25">
      <c r="B182" t="str">
        <f t="shared" si="4"/>
        <v>48253150EDUCACIÓN FÍSICA3º</v>
      </c>
      <c r="C182" t="s">
        <v>190</v>
      </c>
      <c r="D182" t="s">
        <v>109</v>
      </c>
      <c r="E182">
        <v>48253150</v>
      </c>
      <c r="F182" t="s">
        <v>205</v>
      </c>
      <c r="G182" t="s">
        <v>10</v>
      </c>
      <c r="H182" t="s">
        <v>143</v>
      </c>
      <c r="I182" t="s">
        <v>43</v>
      </c>
      <c r="J182">
        <v>2022</v>
      </c>
      <c r="K182" t="s">
        <v>59</v>
      </c>
      <c r="N182" t="s">
        <v>99</v>
      </c>
      <c r="AI182">
        <f t="shared" si="5"/>
        <v>1</v>
      </c>
      <c r="AJ182">
        <f>'TABLA PREVIOS'!E182</f>
        <v>238</v>
      </c>
      <c r="AK182">
        <f>VLOOKUP(E182,ALUMNOS!A:B,2,FALSE)</f>
        <v>317</v>
      </c>
    </row>
    <row r="183" spans="2:37" x14ac:dyDescent="0.25">
      <c r="B183" t="str">
        <f t="shared" si="4"/>
        <v>48253150LENGUA EXTRANJERA - INGLÉS3º</v>
      </c>
      <c r="C183" t="s">
        <v>190</v>
      </c>
      <c r="D183" t="s">
        <v>109</v>
      </c>
      <c r="E183">
        <v>48253150</v>
      </c>
      <c r="F183" t="s">
        <v>205</v>
      </c>
      <c r="G183" t="s">
        <v>16</v>
      </c>
      <c r="H183" t="s">
        <v>143</v>
      </c>
      <c r="I183" t="s">
        <v>45</v>
      </c>
      <c r="J183">
        <v>2022</v>
      </c>
      <c r="K183" t="s">
        <v>59</v>
      </c>
      <c r="N183" t="s">
        <v>99</v>
      </c>
      <c r="AI183">
        <f t="shared" si="5"/>
        <v>1</v>
      </c>
      <c r="AJ183">
        <f>'TABLA PREVIOS'!E183</f>
        <v>245</v>
      </c>
      <c r="AK183">
        <f>VLOOKUP(E183,ALUMNOS!A:B,2,FALSE)</f>
        <v>317</v>
      </c>
    </row>
    <row r="184" spans="2:37" x14ac:dyDescent="0.25">
      <c r="B184" t="str">
        <f t="shared" si="4"/>
        <v>48538136MATEMÁTICA3º</v>
      </c>
      <c r="C184" t="s">
        <v>190</v>
      </c>
      <c r="D184" t="s">
        <v>109</v>
      </c>
      <c r="E184">
        <v>48538136</v>
      </c>
      <c r="F184" t="s">
        <v>206</v>
      </c>
      <c r="G184" t="s">
        <v>12</v>
      </c>
      <c r="H184" t="s">
        <v>143</v>
      </c>
      <c r="I184" t="s">
        <v>43</v>
      </c>
      <c r="J184">
        <v>2023</v>
      </c>
      <c r="K184" t="s">
        <v>59</v>
      </c>
      <c r="N184" t="s">
        <v>99</v>
      </c>
      <c r="AI184">
        <f t="shared" si="5"/>
        <v>1</v>
      </c>
      <c r="AJ184">
        <f>'TABLA PREVIOS'!E184</f>
        <v>240</v>
      </c>
      <c r="AK184">
        <f>VLOOKUP(E184,ALUMNOS!A:B,2,FALSE)</f>
        <v>319</v>
      </c>
    </row>
    <row r="185" spans="2:37" x14ac:dyDescent="0.25">
      <c r="B185" t="str">
        <f t="shared" si="4"/>
        <v>49128349MATEMÁTICA1º</v>
      </c>
      <c r="C185" t="s">
        <v>190</v>
      </c>
      <c r="D185" t="s">
        <v>109</v>
      </c>
      <c r="E185">
        <v>49128349</v>
      </c>
      <c r="F185" t="s">
        <v>207</v>
      </c>
      <c r="G185" t="s">
        <v>12</v>
      </c>
      <c r="H185" t="s">
        <v>98</v>
      </c>
      <c r="I185" t="s">
        <v>43</v>
      </c>
      <c r="J185">
        <v>2021</v>
      </c>
      <c r="K185" t="s">
        <v>59</v>
      </c>
      <c r="N185" t="s">
        <v>99</v>
      </c>
      <c r="AI185">
        <f t="shared" si="5"/>
        <v>1</v>
      </c>
      <c r="AJ185">
        <f>'TABLA PREVIOS'!E185</f>
        <v>220</v>
      </c>
      <c r="AK185">
        <f>VLOOKUP(E185,ALUMNOS!A:B,2,FALSE)</f>
        <v>602</v>
      </c>
    </row>
    <row r="186" spans="2:37" x14ac:dyDescent="0.25">
      <c r="B186" t="str">
        <f t="shared" si="4"/>
        <v>49459557EDUCACIÓN TECNOLÓGICA3º</v>
      </c>
      <c r="C186" t="s">
        <v>190</v>
      </c>
      <c r="D186" t="s">
        <v>109</v>
      </c>
      <c r="E186">
        <v>49459557</v>
      </c>
      <c r="F186" t="s">
        <v>208</v>
      </c>
      <c r="G186" t="s">
        <v>18</v>
      </c>
      <c r="H186" t="s">
        <v>143</v>
      </c>
      <c r="I186" t="s">
        <v>43</v>
      </c>
      <c r="J186">
        <v>2023</v>
      </c>
      <c r="K186" t="s">
        <v>59</v>
      </c>
      <c r="N186" t="s">
        <v>99</v>
      </c>
      <c r="AI186">
        <f t="shared" si="5"/>
        <v>1</v>
      </c>
      <c r="AJ186">
        <f>'TABLA PREVIOS'!E186</f>
        <v>248</v>
      </c>
      <c r="AK186">
        <f>VLOOKUP(E186,ALUMNOS!A:B,2,FALSE)</f>
        <v>754</v>
      </c>
    </row>
    <row r="187" spans="2:37" x14ac:dyDescent="0.25">
      <c r="B187" t="str">
        <f t="shared" si="4"/>
        <v>49459557LENGUA EXTRANJERA - INGLÉS3º</v>
      </c>
      <c r="C187" t="s">
        <v>190</v>
      </c>
      <c r="D187" t="s">
        <v>109</v>
      </c>
      <c r="E187">
        <v>49459557</v>
      </c>
      <c r="F187" t="s">
        <v>208</v>
      </c>
      <c r="G187" t="s">
        <v>16</v>
      </c>
      <c r="H187" t="s">
        <v>143</v>
      </c>
      <c r="I187" t="s">
        <v>43</v>
      </c>
      <c r="J187">
        <v>2023</v>
      </c>
      <c r="K187" t="s">
        <v>59</v>
      </c>
      <c r="N187" t="s">
        <v>99</v>
      </c>
      <c r="AI187">
        <f t="shared" si="5"/>
        <v>1</v>
      </c>
      <c r="AJ187">
        <f>'TABLA PREVIOS'!E187</f>
        <v>245</v>
      </c>
      <c r="AK187">
        <f>VLOOKUP(E187,ALUMNOS!A:B,2,FALSE)</f>
        <v>754</v>
      </c>
    </row>
    <row r="188" spans="2:37" x14ac:dyDescent="0.25">
      <c r="B188" t="str">
        <f t="shared" si="4"/>
        <v>48269974MATEMÁTICA3º</v>
      </c>
      <c r="C188" t="s">
        <v>190</v>
      </c>
      <c r="D188" t="s">
        <v>109</v>
      </c>
      <c r="E188">
        <v>48269974</v>
      </c>
      <c r="F188" t="s">
        <v>209</v>
      </c>
      <c r="G188" t="s">
        <v>12</v>
      </c>
      <c r="H188" t="s">
        <v>143</v>
      </c>
      <c r="I188" t="s">
        <v>43</v>
      </c>
      <c r="J188">
        <v>2022</v>
      </c>
      <c r="K188" t="s">
        <v>59</v>
      </c>
      <c r="N188" t="s">
        <v>107</v>
      </c>
      <c r="O188">
        <v>45405</v>
      </c>
      <c r="P188">
        <v>7</v>
      </c>
      <c r="Q188">
        <v>68</v>
      </c>
      <c r="R188">
        <v>31</v>
      </c>
      <c r="AI188">
        <f t="shared" si="5"/>
        <v>7</v>
      </c>
      <c r="AJ188">
        <f>'TABLA PREVIOS'!E188</f>
        <v>240</v>
      </c>
      <c r="AK188">
        <f>VLOOKUP(E188,ALUMNOS!A:B,2,FALSE)</f>
        <v>757</v>
      </c>
    </row>
    <row r="189" spans="2:37" x14ac:dyDescent="0.25">
      <c r="B189" t="str">
        <f t="shared" si="4"/>
        <v>48816208MATEMÁTICA3º</v>
      </c>
      <c r="C189" t="s">
        <v>190</v>
      </c>
      <c r="D189" t="s">
        <v>128</v>
      </c>
      <c r="E189">
        <v>48816208</v>
      </c>
      <c r="F189" t="s">
        <v>210</v>
      </c>
      <c r="G189" t="s">
        <v>12</v>
      </c>
      <c r="H189" t="s">
        <v>143</v>
      </c>
      <c r="I189" t="s">
        <v>43</v>
      </c>
      <c r="J189">
        <v>2023</v>
      </c>
      <c r="K189" t="s">
        <v>59</v>
      </c>
      <c r="N189" t="s">
        <v>99</v>
      </c>
      <c r="AI189">
        <f t="shared" si="5"/>
        <v>1</v>
      </c>
      <c r="AJ189">
        <f>'TABLA PREVIOS'!E189</f>
        <v>240</v>
      </c>
      <c r="AK189">
        <f>VLOOKUP(E189,ALUMNOS!A:B,2,FALSE)</f>
        <v>35</v>
      </c>
    </row>
    <row r="190" spans="2:37" x14ac:dyDescent="0.25">
      <c r="B190" t="str">
        <f t="shared" si="4"/>
        <v>48755113CIENCIAS SOCIALES - HISTORIA2º</v>
      </c>
      <c r="C190" t="s">
        <v>190</v>
      </c>
      <c r="D190" t="s">
        <v>128</v>
      </c>
      <c r="E190">
        <v>48755113</v>
      </c>
      <c r="F190" t="s">
        <v>211</v>
      </c>
      <c r="G190" t="s">
        <v>22</v>
      </c>
      <c r="H190" t="s">
        <v>95</v>
      </c>
      <c r="I190" t="s">
        <v>43</v>
      </c>
      <c r="J190">
        <v>2022</v>
      </c>
      <c r="K190" t="s">
        <v>59</v>
      </c>
      <c r="N190" t="s">
        <v>99</v>
      </c>
      <c r="AI190">
        <f t="shared" si="5"/>
        <v>1</v>
      </c>
      <c r="AJ190">
        <f>'TABLA PREVIOS'!E190</f>
        <v>233</v>
      </c>
      <c r="AK190">
        <f>VLOOKUP(E190,ALUMNOS!A:B,2,FALSE)</f>
        <v>94</v>
      </c>
    </row>
    <row r="191" spans="2:37" x14ac:dyDescent="0.25">
      <c r="B191" t="str">
        <f t="shared" si="4"/>
        <v>48755113GEOGRAFÍA3º</v>
      </c>
      <c r="C191" t="s">
        <v>190</v>
      </c>
      <c r="D191" t="s">
        <v>128</v>
      </c>
      <c r="E191">
        <v>48755113</v>
      </c>
      <c r="F191" t="s">
        <v>211</v>
      </c>
      <c r="G191" t="s">
        <v>26</v>
      </c>
      <c r="H191" t="s">
        <v>143</v>
      </c>
      <c r="I191" t="s">
        <v>43</v>
      </c>
      <c r="J191">
        <v>2023</v>
      </c>
      <c r="K191" t="s">
        <v>59</v>
      </c>
      <c r="N191" t="s">
        <v>99</v>
      </c>
      <c r="AI191">
        <f t="shared" si="5"/>
        <v>1</v>
      </c>
      <c r="AJ191">
        <f>'TABLA PREVIOS'!E191</f>
        <v>243</v>
      </c>
      <c r="AK191">
        <f>VLOOKUP(E191,ALUMNOS!A:B,2,FALSE)</f>
        <v>94</v>
      </c>
    </row>
    <row r="192" spans="2:37" x14ac:dyDescent="0.25">
      <c r="B192" t="str">
        <f t="shared" si="4"/>
        <v>48755113LENGUA EXTRANJERA - INGLÉS3º</v>
      </c>
      <c r="C192" t="s">
        <v>190</v>
      </c>
      <c r="D192" t="s">
        <v>128</v>
      </c>
      <c r="E192">
        <v>48755113</v>
      </c>
      <c r="F192" t="s">
        <v>211</v>
      </c>
      <c r="G192" t="s">
        <v>16</v>
      </c>
      <c r="H192" t="s">
        <v>143</v>
      </c>
      <c r="I192" t="s">
        <v>45</v>
      </c>
      <c r="J192">
        <v>2023</v>
      </c>
      <c r="K192" t="s">
        <v>59</v>
      </c>
      <c r="N192" t="s">
        <v>99</v>
      </c>
      <c r="AI192">
        <f t="shared" si="5"/>
        <v>1</v>
      </c>
      <c r="AJ192">
        <f>'TABLA PREVIOS'!E192</f>
        <v>245</v>
      </c>
      <c r="AK192">
        <f>VLOOKUP(E192,ALUMNOS!A:B,2,FALSE)</f>
        <v>94</v>
      </c>
    </row>
    <row r="193" spans="2:37" x14ac:dyDescent="0.25">
      <c r="B193" t="str">
        <f t="shared" si="4"/>
        <v>48496669MATEMÁTICA3º</v>
      </c>
      <c r="C193" t="s">
        <v>190</v>
      </c>
      <c r="D193" t="s">
        <v>128</v>
      </c>
      <c r="E193">
        <v>48496669</v>
      </c>
      <c r="F193" t="s">
        <v>212</v>
      </c>
      <c r="G193" t="s">
        <v>12</v>
      </c>
      <c r="H193" t="s">
        <v>143</v>
      </c>
      <c r="I193" t="s">
        <v>43</v>
      </c>
      <c r="J193">
        <v>2023</v>
      </c>
      <c r="K193" t="s">
        <v>59</v>
      </c>
      <c r="N193" t="s">
        <v>107</v>
      </c>
      <c r="O193">
        <v>45405</v>
      </c>
      <c r="P193">
        <v>7</v>
      </c>
      <c r="Q193">
        <v>68</v>
      </c>
      <c r="R193">
        <v>31</v>
      </c>
      <c r="AI193">
        <f t="shared" si="5"/>
        <v>7</v>
      </c>
      <c r="AJ193">
        <f>'TABLA PREVIOS'!E193</f>
        <v>240</v>
      </c>
      <c r="AK193">
        <f>VLOOKUP(E193,ALUMNOS!A:B,2,FALSE)</f>
        <v>805</v>
      </c>
    </row>
    <row r="194" spans="2:37" x14ac:dyDescent="0.25">
      <c r="B194" t="str">
        <f t="shared" si="4"/>
        <v>49458710HISTORIA3º</v>
      </c>
      <c r="C194" t="s">
        <v>190</v>
      </c>
      <c r="D194" t="s">
        <v>128</v>
      </c>
      <c r="E194">
        <v>49458710</v>
      </c>
      <c r="F194" t="s">
        <v>213</v>
      </c>
      <c r="G194" t="s">
        <v>27</v>
      </c>
      <c r="H194" t="s">
        <v>143</v>
      </c>
      <c r="I194" t="s">
        <v>43</v>
      </c>
      <c r="J194">
        <v>2023</v>
      </c>
      <c r="K194" t="s">
        <v>59</v>
      </c>
      <c r="N194" t="s">
        <v>99</v>
      </c>
      <c r="O194">
        <v>45411</v>
      </c>
      <c r="P194">
        <v>4</v>
      </c>
      <c r="Q194">
        <v>68</v>
      </c>
      <c r="R194">
        <v>43</v>
      </c>
      <c r="S194">
        <v>45474</v>
      </c>
      <c r="T194">
        <v>2</v>
      </c>
      <c r="U194">
        <v>68</v>
      </c>
      <c r="V194">
        <v>67</v>
      </c>
      <c r="AI194">
        <f t="shared" si="5"/>
        <v>1</v>
      </c>
      <c r="AJ194">
        <f>'TABLA PREVIOS'!E194</f>
        <v>244</v>
      </c>
      <c r="AK194">
        <f>VLOOKUP(E194,ALUMNOS!A:B,2,FALSE)</f>
        <v>806</v>
      </c>
    </row>
    <row r="195" spans="2:37" x14ac:dyDescent="0.25">
      <c r="B195" t="str">
        <f t="shared" ref="B195:B258" si="6">E195&amp;G195&amp;H195</f>
        <v>49458710MATEMÁTICA3º</v>
      </c>
      <c r="C195" t="s">
        <v>190</v>
      </c>
      <c r="D195" t="s">
        <v>128</v>
      </c>
      <c r="E195">
        <v>49458710</v>
      </c>
      <c r="F195" t="s">
        <v>213</v>
      </c>
      <c r="G195" t="s">
        <v>12</v>
      </c>
      <c r="H195" t="s">
        <v>143</v>
      </c>
      <c r="I195" t="s">
        <v>43</v>
      </c>
      <c r="J195">
        <v>2023</v>
      </c>
      <c r="K195" t="s">
        <v>59</v>
      </c>
      <c r="N195" t="s">
        <v>107</v>
      </c>
      <c r="O195">
        <v>45405</v>
      </c>
      <c r="P195">
        <v>7</v>
      </c>
      <c r="Q195">
        <v>68</v>
      </c>
      <c r="R195">
        <v>31</v>
      </c>
      <c r="AI195">
        <f t="shared" ref="AI195:AI258" si="7">IF(VALUE(MAX(P195,T195,X195,AB195,AE195,))&gt;=7,VALUE(MAX(P195,T195,X195,AB195,AE195,)),1)</f>
        <v>7</v>
      </c>
      <c r="AJ195">
        <f>'TABLA PREVIOS'!E195</f>
        <v>240</v>
      </c>
      <c r="AK195">
        <f>VLOOKUP(E195,ALUMNOS!A:B,2,FALSE)</f>
        <v>806</v>
      </c>
    </row>
    <row r="196" spans="2:37" x14ac:dyDescent="0.25">
      <c r="B196" t="str">
        <f t="shared" si="6"/>
        <v>48905277MATEMÁTICA2º</v>
      </c>
      <c r="C196" t="s">
        <v>190</v>
      </c>
      <c r="D196" t="s">
        <v>128</v>
      </c>
      <c r="E196">
        <v>48905277</v>
      </c>
      <c r="F196" t="s">
        <v>214</v>
      </c>
      <c r="G196" t="s">
        <v>12</v>
      </c>
      <c r="H196" t="s">
        <v>95</v>
      </c>
      <c r="I196" t="s">
        <v>43</v>
      </c>
      <c r="J196">
        <v>2022</v>
      </c>
      <c r="K196" t="s">
        <v>59</v>
      </c>
      <c r="N196" t="s">
        <v>99</v>
      </c>
      <c r="O196">
        <v>45405</v>
      </c>
      <c r="P196" t="s">
        <v>101</v>
      </c>
      <c r="Q196">
        <v>68</v>
      </c>
      <c r="R196">
        <v>30</v>
      </c>
      <c r="AI196">
        <f t="shared" si="7"/>
        <v>1</v>
      </c>
      <c r="AJ196">
        <f>'TABLA PREVIOS'!E196</f>
        <v>230</v>
      </c>
      <c r="AK196">
        <f>VLOOKUP(E196,ALUMNOS!A:B,2,FALSE)</f>
        <v>561</v>
      </c>
    </row>
    <row r="197" spans="2:37" x14ac:dyDescent="0.25">
      <c r="B197" t="str">
        <f t="shared" si="6"/>
        <v>48905277FORMACIÓN PARA LA VIDA Y EL TRABAJO3º</v>
      </c>
      <c r="C197" t="s">
        <v>190</v>
      </c>
      <c r="D197" t="s">
        <v>128</v>
      </c>
      <c r="E197">
        <v>48905277</v>
      </c>
      <c r="F197" t="s">
        <v>214</v>
      </c>
      <c r="G197" t="s">
        <v>28</v>
      </c>
      <c r="H197" t="s">
        <v>143</v>
      </c>
      <c r="I197" t="s">
        <v>43</v>
      </c>
      <c r="J197">
        <v>2023</v>
      </c>
      <c r="K197" t="s">
        <v>59</v>
      </c>
      <c r="N197" t="s">
        <v>99</v>
      </c>
      <c r="AI197">
        <f t="shared" si="7"/>
        <v>1</v>
      </c>
      <c r="AJ197">
        <f>'TABLA PREVIOS'!E197</f>
        <v>249</v>
      </c>
      <c r="AK197">
        <f>VLOOKUP(E197,ALUMNOS!A:B,2,FALSE)</f>
        <v>561</v>
      </c>
    </row>
    <row r="198" spans="2:37" x14ac:dyDescent="0.25">
      <c r="B198" t="str">
        <f t="shared" si="6"/>
        <v>48905277LENGUA Y LITERATURA3º</v>
      </c>
      <c r="C198" t="s">
        <v>190</v>
      </c>
      <c r="D198" t="s">
        <v>128</v>
      </c>
      <c r="E198">
        <v>48905277</v>
      </c>
      <c r="F198" t="s">
        <v>214</v>
      </c>
      <c r="G198" t="s">
        <v>11</v>
      </c>
      <c r="H198" t="s">
        <v>143</v>
      </c>
      <c r="I198" t="s">
        <v>45</v>
      </c>
      <c r="J198">
        <v>2023</v>
      </c>
      <c r="K198" t="s">
        <v>59</v>
      </c>
      <c r="N198" t="s">
        <v>99</v>
      </c>
      <c r="AI198">
        <f t="shared" si="7"/>
        <v>1</v>
      </c>
      <c r="AJ198">
        <f>'TABLA PREVIOS'!E198</f>
        <v>239</v>
      </c>
      <c r="AK198">
        <f>VLOOKUP(E198,ALUMNOS!A:B,2,FALSE)</f>
        <v>561</v>
      </c>
    </row>
    <row r="199" spans="2:37" x14ac:dyDescent="0.25">
      <c r="B199" t="str">
        <f t="shared" si="6"/>
        <v>48952605LENGUA EXTRANJERA - INGLÉS2º</v>
      </c>
      <c r="C199" t="s">
        <v>190</v>
      </c>
      <c r="D199" t="s">
        <v>128</v>
      </c>
      <c r="E199">
        <v>48952605</v>
      </c>
      <c r="F199" t="s">
        <v>215</v>
      </c>
      <c r="G199" t="s">
        <v>16</v>
      </c>
      <c r="H199" t="s">
        <v>95</v>
      </c>
      <c r="I199" t="s">
        <v>43</v>
      </c>
      <c r="J199">
        <v>2020</v>
      </c>
      <c r="K199" t="s">
        <v>59</v>
      </c>
      <c r="L199" t="s">
        <v>111</v>
      </c>
      <c r="M199" t="s">
        <v>216</v>
      </c>
      <c r="N199" t="s">
        <v>99</v>
      </c>
      <c r="AI199">
        <f t="shared" si="7"/>
        <v>1</v>
      </c>
      <c r="AJ199">
        <f>'TABLA PREVIOS'!E199</f>
        <v>234</v>
      </c>
      <c r="AK199">
        <f>VLOOKUP(E199,ALUMNOS!A:B,2,FALSE)</f>
        <v>646</v>
      </c>
    </row>
    <row r="200" spans="2:37" x14ac:dyDescent="0.25">
      <c r="B200" t="str">
        <f t="shared" si="6"/>
        <v>48952605EDUCACIÓN ARTÍSTICA - ARTES VISUALES3º</v>
      </c>
      <c r="C200" t="s">
        <v>190</v>
      </c>
      <c r="D200" t="s">
        <v>128</v>
      </c>
      <c r="E200">
        <v>48952605</v>
      </c>
      <c r="F200" t="s">
        <v>215</v>
      </c>
      <c r="G200" t="s">
        <v>17</v>
      </c>
      <c r="H200" t="s">
        <v>143</v>
      </c>
      <c r="I200" t="s">
        <v>43</v>
      </c>
      <c r="J200">
        <v>2021</v>
      </c>
      <c r="K200" t="s">
        <v>59</v>
      </c>
      <c r="N200" t="s">
        <v>99</v>
      </c>
      <c r="AI200">
        <f t="shared" si="7"/>
        <v>1</v>
      </c>
      <c r="AJ200">
        <f>'TABLA PREVIOS'!E200</f>
        <v>246</v>
      </c>
      <c r="AK200">
        <f>VLOOKUP(E200,ALUMNOS!A:B,2,FALSE)</f>
        <v>646</v>
      </c>
    </row>
    <row r="201" spans="2:37" x14ac:dyDescent="0.25">
      <c r="B201" t="str">
        <f t="shared" si="6"/>
        <v>48952605EDUCACIÓN ARTÍSTICA - MÚSICA3º</v>
      </c>
      <c r="C201" t="s">
        <v>190</v>
      </c>
      <c r="D201" t="s">
        <v>128</v>
      </c>
      <c r="E201">
        <v>48952605</v>
      </c>
      <c r="F201" t="s">
        <v>215</v>
      </c>
      <c r="G201" t="s">
        <v>23</v>
      </c>
      <c r="H201" t="s">
        <v>143</v>
      </c>
      <c r="I201" t="s">
        <v>43</v>
      </c>
      <c r="J201">
        <v>2021</v>
      </c>
      <c r="K201" t="s">
        <v>59</v>
      </c>
      <c r="N201" t="s">
        <v>99</v>
      </c>
      <c r="AI201">
        <f t="shared" si="7"/>
        <v>1</v>
      </c>
      <c r="AJ201">
        <f>'TABLA PREVIOS'!E201</f>
        <v>247</v>
      </c>
      <c r="AK201">
        <f>VLOOKUP(E201,ALUMNOS!A:B,2,FALSE)</f>
        <v>646</v>
      </c>
    </row>
    <row r="202" spans="2:37" x14ac:dyDescent="0.25">
      <c r="B202" t="str">
        <f t="shared" si="6"/>
        <v>48952605EDUCACIÓN FÍSICA3º</v>
      </c>
      <c r="C202" t="s">
        <v>190</v>
      </c>
      <c r="D202" t="s">
        <v>128</v>
      </c>
      <c r="E202">
        <v>48952605</v>
      </c>
      <c r="F202" t="s">
        <v>215</v>
      </c>
      <c r="G202" t="s">
        <v>10</v>
      </c>
      <c r="H202" t="s">
        <v>143</v>
      </c>
      <c r="I202" t="s">
        <v>43</v>
      </c>
      <c r="J202">
        <v>2021</v>
      </c>
      <c r="K202" t="s">
        <v>59</v>
      </c>
      <c r="N202" t="s">
        <v>99</v>
      </c>
      <c r="AI202">
        <f t="shared" si="7"/>
        <v>1</v>
      </c>
      <c r="AJ202">
        <f>'TABLA PREVIOS'!E202</f>
        <v>238</v>
      </c>
      <c r="AK202">
        <f>VLOOKUP(E202,ALUMNOS!A:B,2,FALSE)</f>
        <v>646</v>
      </c>
    </row>
    <row r="203" spans="2:37" x14ac:dyDescent="0.25">
      <c r="B203" t="str">
        <f t="shared" si="6"/>
        <v>49497126FORMACIÓN PARA LA VIDA Y EL TRABAJO3º</v>
      </c>
      <c r="C203" t="s">
        <v>190</v>
      </c>
      <c r="D203" t="s">
        <v>128</v>
      </c>
      <c r="E203">
        <v>49497126</v>
      </c>
      <c r="F203" t="s">
        <v>217</v>
      </c>
      <c r="G203" t="s">
        <v>28</v>
      </c>
      <c r="H203" t="s">
        <v>143</v>
      </c>
      <c r="I203" t="s">
        <v>43</v>
      </c>
      <c r="J203">
        <v>2023</v>
      </c>
      <c r="K203" t="s">
        <v>59</v>
      </c>
      <c r="N203" t="s">
        <v>107</v>
      </c>
      <c r="S203">
        <v>45474</v>
      </c>
      <c r="T203">
        <v>7</v>
      </c>
      <c r="U203">
        <v>68</v>
      </c>
      <c r="V203">
        <v>53</v>
      </c>
      <c r="AI203">
        <f t="shared" si="7"/>
        <v>7</v>
      </c>
      <c r="AJ203">
        <f>'TABLA PREVIOS'!E203</f>
        <v>249</v>
      </c>
      <c r="AK203">
        <f>VLOOKUP(E203,ALUMNOS!A:B,2,FALSE)</f>
        <v>723</v>
      </c>
    </row>
    <row r="204" spans="2:37" x14ac:dyDescent="0.25">
      <c r="B204" t="str">
        <f t="shared" si="6"/>
        <v>49497126GEOGRAFÍA3º</v>
      </c>
      <c r="C204" t="s">
        <v>190</v>
      </c>
      <c r="D204" t="s">
        <v>128</v>
      </c>
      <c r="E204">
        <v>49497126</v>
      </c>
      <c r="F204" t="s">
        <v>217</v>
      </c>
      <c r="G204" t="s">
        <v>26</v>
      </c>
      <c r="H204" t="s">
        <v>143</v>
      </c>
      <c r="I204" t="s">
        <v>43</v>
      </c>
      <c r="J204">
        <v>2023</v>
      </c>
      <c r="K204" t="s">
        <v>59</v>
      </c>
      <c r="N204" t="s">
        <v>107</v>
      </c>
      <c r="O204">
        <v>45404</v>
      </c>
      <c r="P204">
        <v>7</v>
      </c>
      <c r="Q204">
        <v>68</v>
      </c>
      <c r="R204">
        <v>27</v>
      </c>
      <c r="AI204">
        <f t="shared" si="7"/>
        <v>7</v>
      </c>
      <c r="AJ204">
        <f>'TABLA PREVIOS'!E204</f>
        <v>243</v>
      </c>
      <c r="AK204">
        <f>VLOOKUP(E204,ALUMNOS!A:B,2,FALSE)</f>
        <v>723</v>
      </c>
    </row>
    <row r="205" spans="2:37" x14ac:dyDescent="0.25">
      <c r="B205" t="str">
        <f t="shared" si="6"/>
        <v>49497126MATEMÁTICA3º</v>
      </c>
      <c r="C205" t="s">
        <v>190</v>
      </c>
      <c r="D205" t="s">
        <v>128</v>
      </c>
      <c r="E205">
        <v>49497126</v>
      </c>
      <c r="F205" t="s">
        <v>217</v>
      </c>
      <c r="G205" t="s">
        <v>12</v>
      </c>
      <c r="H205" t="s">
        <v>143</v>
      </c>
      <c r="I205" t="s">
        <v>45</v>
      </c>
      <c r="J205">
        <v>2023</v>
      </c>
      <c r="K205" t="s">
        <v>59</v>
      </c>
      <c r="N205" t="s">
        <v>99</v>
      </c>
      <c r="AI205">
        <f t="shared" si="7"/>
        <v>1</v>
      </c>
      <c r="AJ205">
        <f>'TABLA PREVIOS'!E205</f>
        <v>240</v>
      </c>
      <c r="AK205">
        <f>VLOOKUP(E205,ALUMNOS!A:B,2,FALSE)</f>
        <v>723</v>
      </c>
    </row>
    <row r="206" spans="2:37" x14ac:dyDescent="0.25">
      <c r="B206" t="str">
        <f t="shared" si="6"/>
        <v>48755672MATEMÁTICA3º</v>
      </c>
      <c r="C206" t="s">
        <v>190</v>
      </c>
      <c r="D206" t="s">
        <v>128</v>
      </c>
      <c r="E206">
        <v>48755672</v>
      </c>
      <c r="F206" t="s">
        <v>218</v>
      </c>
      <c r="G206" t="s">
        <v>12</v>
      </c>
      <c r="H206" t="s">
        <v>143</v>
      </c>
      <c r="I206" t="s">
        <v>43</v>
      </c>
      <c r="J206">
        <v>2023</v>
      </c>
      <c r="K206" t="s">
        <v>59</v>
      </c>
      <c r="N206" t="s">
        <v>99</v>
      </c>
      <c r="AI206">
        <f t="shared" si="7"/>
        <v>1</v>
      </c>
      <c r="AJ206">
        <f>'TABLA PREVIOS'!E206</f>
        <v>240</v>
      </c>
      <c r="AK206">
        <f>VLOOKUP(E206,ALUMNOS!A:B,2,FALSE)</f>
        <v>763</v>
      </c>
    </row>
    <row r="207" spans="2:37" x14ac:dyDescent="0.25">
      <c r="B207" t="str">
        <f t="shared" si="6"/>
        <v>49455843LENGUA Y LITERATURA2º</v>
      </c>
      <c r="C207" t="s">
        <v>190</v>
      </c>
      <c r="D207" t="s">
        <v>128</v>
      </c>
      <c r="E207">
        <v>49455843</v>
      </c>
      <c r="F207" t="s">
        <v>219</v>
      </c>
      <c r="G207" t="s">
        <v>11</v>
      </c>
      <c r="H207" t="s">
        <v>95</v>
      </c>
      <c r="I207" t="s">
        <v>43</v>
      </c>
      <c r="J207">
        <v>2022</v>
      </c>
      <c r="K207" t="s">
        <v>59</v>
      </c>
      <c r="N207" t="s">
        <v>99</v>
      </c>
      <c r="O207">
        <v>45411</v>
      </c>
      <c r="P207" t="s">
        <v>50</v>
      </c>
      <c r="Q207">
        <v>68</v>
      </c>
      <c r="R207">
        <v>38</v>
      </c>
      <c r="AI207">
        <f t="shared" si="7"/>
        <v>1</v>
      </c>
      <c r="AJ207">
        <f>'TABLA PREVIOS'!E207</f>
        <v>229</v>
      </c>
      <c r="AK207">
        <f>VLOOKUP(E207,ALUMNOS!A:B,2,FALSE)</f>
        <v>780</v>
      </c>
    </row>
    <row r="208" spans="2:37" x14ac:dyDescent="0.25">
      <c r="B208" t="str">
        <f t="shared" si="6"/>
        <v>49455843GEOGRAFÍA3º</v>
      </c>
      <c r="C208" t="s">
        <v>190</v>
      </c>
      <c r="D208" t="s">
        <v>128</v>
      </c>
      <c r="E208">
        <v>49455843</v>
      </c>
      <c r="F208" t="s">
        <v>219</v>
      </c>
      <c r="G208" t="s">
        <v>26</v>
      </c>
      <c r="H208" t="s">
        <v>143</v>
      </c>
      <c r="I208" t="s">
        <v>43</v>
      </c>
      <c r="J208">
        <v>2023</v>
      </c>
      <c r="K208" t="s">
        <v>59</v>
      </c>
      <c r="N208" t="s">
        <v>99</v>
      </c>
      <c r="AI208">
        <f t="shared" si="7"/>
        <v>1</v>
      </c>
      <c r="AJ208">
        <f>'TABLA PREVIOS'!E208</f>
        <v>243</v>
      </c>
      <c r="AK208">
        <f>VLOOKUP(E208,ALUMNOS!A:B,2,FALSE)</f>
        <v>780</v>
      </c>
    </row>
    <row r="209" spans="2:37" x14ac:dyDescent="0.25">
      <c r="B209" t="str">
        <f t="shared" si="6"/>
        <v>47734199EDUCACIÓN TECNOLÓGICA2º</v>
      </c>
      <c r="C209" t="s">
        <v>220</v>
      </c>
      <c r="D209" t="s">
        <v>96</v>
      </c>
      <c r="E209">
        <v>47734199</v>
      </c>
      <c r="F209" t="s">
        <v>221</v>
      </c>
      <c r="G209" t="s">
        <v>18</v>
      </c>
      <c r="H209" t="s">
        <v>95</v>
      </c>
      <c r="I209" t="s">
        <v>43</v>
      </c>
      <c r="J209">
        <v>2020</v>
      </c>
      <c r="K209" t="s">
        <v>59</v>
      </c>
      <c r="N209" t="s">
        <v>99</v>
      </c>
      <c r="AI209">
        <f t="shared" si="7"/>
        <v>1</v>
      </c>
      <c r="AJ209">
        <f>'TABLA PREVIOS'!E209</f>
        <v>236</v>
      </c>
      <c r="AK209">
        <f>VLOOKUP(E209,ALUMNOS!A:B,2,FALSE)</f>
        <v>41</v>
      </c>
    </row>
    <row r="210" spans="2:37" x14ac:dyDescent="0.25">
      <c r="B210" t="str">
        <f t="shared" si="6"/>
        <v>47734199LENGUA Y LITERATURA2º</v>
      </c>
      <c r="C210" t="s">
        <v>220</v>
      </c>
      <c r="D210" t="s">
        <v>96</v>
      </c>
      <c r="E210">
        <v>47734199</v>
      </c>
      <c r="F210" t="s">
        <v>221</v>
      </c>
      <c r="G210" t="s">
        <v>11</v>
      </c>
      <c r="H210" t="s">
        <v>95</v>
      </c>
      <c r="I210" t="s">
        <v>45</v>
      </c>
      <c r="J210">
        <v>2020</v>
      </c>
      <c r="K210" t="s">
        <v>59</v>
      </c>
      <c r="N210" t="s">
        <v>99</v>
      </c>
      <c r="AI210">
        <f t="shared" si="7"/>
        <v>1</v>
      </c>
      <c r="AJ210">
        <f>'TABLA PREVIOS'!E210</f>
        <v>229</v>
      </c>
      <c r="AK210">
        <f>VLOOKUP(E210,ALUMNOS!A:B,2,FALSE)</f>
        <v>41</v>
      </c>
    </row>
    <row r="211" spans="2:37" x14ac:dyDescent="0.25">
      <c r="B211" t="str">
        <f t="shared" si="6"/>
        <v>47734199EDUCACIÓN TECNOLÓGICA3º</v>
      </c>
      <c r="C211" t="s">
        <v>220</v>
      </c>
      <c r="D211" t="s">
        <v>96</v>
      </c>
      <c r="E211">
        <v>47734199</v>
      </c>
      <c r="F211" t="s">
        <v>221</v>
      </c>
      <c r="G211" t="s">
        <v>18</v>
      </c>
      <c r="H211" t="s">
        <v>143</v>
      </c>
      <c r="I211" t="s">
        <v>43</v>
      </c>
      <c r="J211">
        <v>2021</v>
      </c>
      <c r="K211" t="s">
        <v>59</v>
      </c>
      <c r="N211" t="s">
        <v>99</v>
      </c>
      <c r="AI211">
        <f t="shared" si="7"/>
        <v>1</v>
      </c>
      <c r="AJ211">
        <f>'TABLA PREVIOS'!E211</f>
        <v>248</v>
      </c>
      <c r="AK211">
        <f>VLOOKUP(E211,ALUMNOS!A:B,2,FALSE)</f>
        <v>41</v>
      </c>
    </row>
    <row r="212" spans="2:37" x14ac:dyDescent="0.25">
      <c r="B212" t="str">
        <f t="shared" si="6"/>
        <v>47975092SISTEMAS DE INFORMACIÓN CONTABLE4º</v>
      </c>
      <c r="C212" t="s">
        <v>220</v>
      </c>
      <c r="D212" t="s">
        <v>96</v>
      </c>
      <c r="E212">
        <v>47975092</v>
      </c>
      <c r="F212" t="s">
        <v>222</v>
      </c>
      <c r="G212" t="s">
        <v>29</v>
      </c>
      <c r="H212" t="s">
        <v>190</v>
      </c>
      <c r="I212" t="s">
        <v>43</v>
      </c>
      <c r="J212">
        <v>2023</v>
      </c>
      <c r="K212" t="s">
        <v>60</v>
      </c>
      <c r="N212" t="s">
        <v>99</v>
      </c>
      <c r="AI212">
        <f t="shared" si="7"/>
        <v>1</v>
      </c>
      <c r="AJ212">
        <f>'TABLA PREVIOS'!E212</f>
        <v>259</v>
      </c>
      <c r="AK212">
        <f>VLOOKUP(E212,ALUMNOS!A:B,2,FALSE)</f>
        <v>57</v>
      </c>
    </row>
    <row r="213" spans="2:37" x14ac:dyDescent="0.25">
      <c r="B213" t="str">
        <f t="shared" si="6"/>
        <v>47618809BIOLOGÍA2º</v>
      </c>
      <c r="C213" t="s">
        <v>220</v>
      </c>
      <c r="D213" t="s">
        <v>96</v>
      </c>
      <c r="E213">
        <v>47618809</v>
      </c>
      <c r="F213" t="s">
        <v>223</v>
      </c>
      <c r="G213" t="s">
        <v>21</v>
      </c>
      <c r="H213" t="s">
        <v>95</v>
      </c>
      <c r="I213" t="s">
        <v>43</v>
      </c>
      <c r="J213">
        <v>2021</v>
      </c>
      <c r="K213" t="s">
        <v>59</v>
      </c>
      <c r="N213" t="s">
        <v>99</v>
      </c>
      <c r="O213">
        <v>45401</v>
      </c>
      <c r="P213" t="s">
        <v>50</v>
      </c>
      <c r="Q213">
        <v>68</v>
      </c>
      <c r="R213">
        <v>25</v>
      </c>
      <c r="AI213">
        <f t="shared" si="7"/>
        <v>1</v>
      </c>
      <c r="AJ213">
        <f>'TABLA PREVIOS'!E213</f>
        <v>232</v>
      </c>
      <c r="AK213">
        <f>VLOOKUP(E213,ALUMNOS!A:B,2,FALSE)</f>
        <v>355</v>
      </c>
    </row>
    <row r="214" spans="2:37" x14ac:dyDescent="0.25">
      <c r="B214" t="str">
        <f t="shared" si="6"/>
        <v>47618809FORMACIÓN PARA LA VIDA Y EL TRABAJO4º</v>
      </c>
      <c r="C214" t="s">
        <v>220</v>
      </c>
      <c r="D214" t="s">
        <v>96</v>
      </c>
      <c r="E214">
        <v>47618809</v>
      </c>
      <c r="F214" t="s">
        <v>223</v>
      </c>
      <c r="G214" t="s">
        <v>28</v>
      </c>
      <c r="H214" t="s">
        <v>190</v>
      </c>
      <c r="I214" t="s">
        <v>43</v>
      </c>
      <c r="J214">
        <v>2023</v>
      </c>
      <c r="K214" t="s">
        <v>60</v>
      </c>
      <c r="N214" t="s">
        <v>99</v>
      </c>
      <c r="AI214">
        <f t="shared" si="7"/>
        <v>1</v>
      </c>
      <c r="AJ214">
        <f>'TABLA PREVIOS'!E214</f>
        <v>258</v>
      </c>
      <c r="AK214">
        <f>VLOOKUP(E214,ALUMNOS!A:B,2,FALSE)</f>
        <v>355</v>
      </c>
    </row>
    <row r="215" spans="2:37" x14ac:dyDescent="0.25">
      <c r="B215" t="str">
        <f t="shared" si="6"/>
        <v>47618809MATEMÁTICA4º</v>
      </c>
      <c r="C215" t="s">
        <v>220</v>
      </c>
      <c r="D215" t="s">
        <v>96</v>
      </c>
      <c r="E215">
        <v>47618809</v>
      </c>
      <c r="F215" t="s">
        <v>223</v>
      </c>
      <c r="G215" t="s">
        <v>12</v>
      </c>
      <c r="H215" t="s">
        <v>190</v>
      </c>
      <c r="I215" t="s">
        <v>45</v>
      </c>
      <c r="J215">
        <v>2023</v>
      </c>
      <c r="K215" t="s">
        <v>60</v>
      </c>
      <c r="N215" t="s">
        <v>99</v>
      </c>
      <c r="AI215">
        <f t="shared" si="7"/>
        <v>1</v>
      </c>
      <c r="AJ215">
        <f>'TABLA PREVIOS'!E215</f>
        <v>252</v>
      </c>
      <c r="AK215">
        <f>VLOOKUP(E215,ALUMNOS!A:B,2,FALSE)</f>
        <v>355</v>
      </c>
    </row>
    <row r="216" spans="2:37" x14ac:dyDescent="0.25">
      <c r="B216" t="str">
        <f t="shared" si="6"/>
        <v>48130240ADMINISTRACIÓN4º</v>
      </c>
      <c r="C216" t="s">
        <v>220</v>
      </c>
      <c r="D216" t="s">
        <v>96</v>
      </c>
      <c r="E216">
        <v>48130240</v>
      </c>
      <c r="F216" t="s">
        <v>224</v>
      </c>
      <c r="G216" t="s">
        <v>30</v>
      </c>
      <c r="H216" t="s">
        <v>190</v>
      </c>
      <c r="I216" t="s">
        <v>44</v>
      </c>
      <c r="J216">
        <v>2024</v>
      </c>
      <c r="K216" t="s">
        <v>60</v>
      </c>
      <c r="N216" t="s">
        <v>99</v>
      </c>
      <c r="AI216">
        <f t="shared" si="7"/>
        <v>1</v>
      </c>
      <c r="AJ216">
        <f>'TABLA PREVIOS'!E216</f>
        <v>260</v>
      </c>
      <c r="AK216">
        <f>VLOOKUP(E216,ALUMNOS!A:B,2,FALSE)</f>
        <v>814</v>
      </c>
    </row>
    <row r="217" spans="2:37" x14ac:dyDescent="0.25">
      <c r="B217" t="str">
        <f t="shared" si="6"/>
        <v>48130240SISTEMAS DE INFORMACIÓN CONTABLE4º</v>
      </c>
      <c r="C217" t="s">
        <v>220</v>
      </c>
      <c r="D217" t="s">
        <v>96</v>
      </c>
      <c r="E217">
        <v>48130240</v>
      </c>
      <c r="F217" t="s">
        <v>224</v>
      </c>
      <c r="G217" t="s">
        <v>29</v>
      </c>
      <c r="H217" t="s">
        <v>190</v>
      </c>
      <c r="I217" t="s">
        <v>44</v>
      </c>
      <c r="J217">
        <v>2024</v>
      </c>
      <c r="K217" t="s">
        <v>60</v>
      </c>
      <c r="N217" t="s">
        <v>99</v>
      </c>
      <c r="AI217">
        <f t="shared" si="7"/>
        <v>1</v>
      </c>
      <c r="AJ217">
        <f>'TABLA PREVIOS'!E217</f>
        <v>259</v>
      </c>
      <c r="AK217">
        <f>VLOOKUP(E217,ALUMNOS!A:B,2,FALSE)</f>
        <v>814</v>
      </c>
    </row>
    <row r="218" spans="2:37" x14ac:dyDescent="0.25">
      <c r="B218" t="str">
        <f t="shared" si="6"/>
        <v>47632747FORMACIÓN PARA LA VIDA Y EL TRABAJO4º</v>
      </c>
      <c r="C218" t="s">
        <v>220</v>
      </c>
      <c r="D218" t="s">
        <v>96</v>
      </c>
      <c r="E218">
        <v>47632747</v>
      </c>
      <c r="F218" t="s">
        <v>225</v>
      </c>
      <c r="G218" t="s">
        <v>28</v>
      </c>
      <c r="H218" t="s">
        <v>190</v>
      </c>
      <c r="I218" t="s">
        <v>43</v>
      </c>
      <c r="J218">
        <v>2023</v>
      </c>
      <c r="K218" t="s">
        <v>60</v>
      </c>
      <c r="N218" t="s">
        <v>99</v>
      </c>
      <c r="AI218">
        <f t="shared" si="7"/>
        <v>1</v>
      </c>
      <c r="AJ218">
        <f>'TABLA PREVIOS'!E218</f>
        <v>258</v>
      </c>
      <c r="AK218">
        <f>VLOOKUP(E218,ALUMNOS!A:B,2,FALSE)</f>
        <v>694</v>
      </c>
    </row>
    <row r="219" spans="2:37" x14ac:dyDescent="0.25">
      <c r="B219" t="str">
        <f t="shared" si="6"/>
        <v>47632747LENGUA EXTRANJERA - INGLÉS4º</v>
      </c>
      <c r="C219" t="s">
        <v>220</v>
      </c>
      <c r="D219" t="s">
        <v>96</v>
      </c>
      <c r="E219">
        <v>47632747</v>
      </c>
      <c r="F219" t="s">
        <v>225</v>
      </c>
      <c r="G219" t="s">
        <v>16</v>
      </c>
      <c r="H219" t="s">
        <v>190</v>
      </c>
      <c r="I219" t="s">
        <v>43</v>
      </c>
      <c r="J219">
        <v>2023</v>
      </c>
      <c r="K219" t="s">
        <v>60</v>
      </c>
      <c r="N219" t="s">
        <v>107</v>
      </c>
      <c r="O219">
        <v>45406</v>
      </c>
      <c r="P219">
        <v>7</v>
      </c>
      <c r="Q219">
        <v>68</v>
      </c>
      <c r="R219">
        <v>36</v>
      </c>
      <c r="AI219">
        <f t="shared" si="7"/>
        <v>7</v>
      </c>
      <c r="AJ219">
        <f>'TABLA PREVIOS'!E219</f>
        <v>256</v>
      </c>
      <c r="AK219">
        <f>VLOOKUP(E219,ALUMNOS!A:B,2,FALSE)</f>
        <v>694</v>
      </c>
    </row>
    <row r="220" spans="2:37" x14ac:dyDescent="0.25">
      <c r="B220" t="str">
        <f t="shared" si="6"/>
        <v>46722168MATEMÁTICA3º</v>
      </c>
      <c r="C220" t="s">
        <v>220</v>
      </c>
      <c r="D220" t="s">
        <v>109</v>
      </c>
      <c r="E220">
        <v>46722168</v>
      </c>
      <c r="F220" t="s">
        <v>226</v>
      </c>
      <c r="G220" t="s">
        <v>12</v>
      </c>
      <c r="H220" t="s">
        <v>143</v>
      </c>
      <c r="I220" t="s">
        <v>43</v>
      </c>
      <c r="J220">
        <v>2022</v>
      </c>
      <c r="K220" t="s">
        <v>59</v>
      </c>
      <c r="N220" t="s">
        <v>99</v>
      </c>
      <c r="AI220">
        <f t="shared" si="7"/>
        <v>1</v>
      </c>
      <c r="AJ220">
        <f>'TABLA PREVIOS'!E220</f>
        <v>240</v>
      </c>
      <c r="AK220">
        <f>VLOOKUP(E220,ALUMNOS!A:B,2,FALSE)</f>
        <v>811</v>
      </c>
    </row>
    <row r="221" spans="2:37" x14ac:dyDescent="0.25">
      <c r="B221" t="str">
        <f t="shared" si="6"/>
        <v>46722168MATEMÁTICA4º</v>
      </c>
      <c r="C221" t="s">
        <v>220</v>
      </c>
      <c r="D221" t="s">
        <v>109</v>
      </c>
      <c r="E221">
        <v>46722168</v>
      </c>
      <c r="F221" t="s">
        <v>226</v>
      </c>
      <c r="G221" t="s">
        <v>12</v>
      </c>
      <c r="H221" t="s">
        <v>190</v>
      </c>
      <c r="I221" t="s">
        <v>43</v>
      </c>
      <c r="J221">
        <v>2023</v>
      </c>
      <c r="K221" t="s">
        <v>60</v>
      </c>
      <c r="N221" t="s">
        <v>99</v>
      </c>
      <c r="AI221">
        <f t="shared" si="7"/>
        <v>1</v>
      </c>
      <c r="AJ221">
        <f>'TABLA PREVIOS'!E221</f>
        <v>252</v>
      </c>
      <c r="AK221">
        <f>VLOOKUP(E221,ALUMNOS!A:B,2,FALSE)</f>
        <v>811</v>
      </c>
    </row>
    <row r="222" spans="2:37" x14ac:dyDescent="0.25">
      <c r="B222" t="str">
        <f t="shared" si="6"/>
        <v>47987537MATEMÁTICA2º</v>
      </c>
      <c r="C222" t="s">
        <v>220</v>
      </c>
      <c r="D222" t="s">
        <v>109</v>
      </c>
      <c r="E222">
        <v>47987537</v>
      </c>
      <c r="F222" t="s">
        <v>227</v>
      </c>
      <c r="G222" t="s">
        <v>12</v>
      </c>
      <c r="H222" t="s">
        <v>95</v>
      </c>
      <c r="I222" t="s">
        <v>43</v>
      </c>
      <c r="J222">
        <v>2021</v>
      </c>
      <c r="K222" t="s">
        <v>59</v>
      </c>
      <c r="N222" t="s">
        <v>99</v>
      </c>
      <c r="AI222">
        <f t="shared" si="7"/>
        <v>1</v>
      </c>
      <c r="AJ222">
        <f>'TABLA PREVIOS'!E222</f>
        <v>230</v>
      </c>
      <c r="AK222">
        <f>VLOOKUP(E222,ALUMNOS!A:B,2,FALSE)</f>
        <v>176</v>
      </c>
    </row>
    <row r="223" spans="2:37" x14ac:dyDescent="0.25">
      <c r="B223" t="str">
        <f t="shared" si="6"/>
        <v>47987537LENGUA EXTRANJERA - INGLÉS3º</v>
      </c>
      <c r="C223" t="s">
        <v>220</v>
      </c>
      <c r="D223" t="s">
        <v>109</v>
      </c>
      <c r="E223">
        <v>47987537</v>
      </c>
      <c r="F223" t="s">
        <v>227</v>
      </c>
      <c r="G223" t="s">
        <v>16</v>
      </c>
      <c r="H223" t="s">
        <v>143</v>
      </c>
      <c r="I223" t="s">
        <v>43</v>
      </c>
      <c r="J223">
        <v>2022</v>
      </c>
      <c r="K223" t="s">
        <v>59</v>
      </c>
      <c r="N223" t="s">
        <v>99</v>
      </c>
      <c r="AI223">
        <f t="shared" si="7"/>
        <v>1</v>
      </c>
      <c r="AJ223">
        <f>'TABLA PREVIOS'!E223</f>
        <v>245</v>
      </c>
      <c r="AK223">
        <f>VLOOKUP(E223,ALUMNOS!A:B,2,FALSE)</f>
        <v>176</v>
      </c>
    </row>
    <row r="224" spans="2:37" x14ac:dyDescent="0.25">
      <c r="B224" t="str">
        <f t="shared" si="6"/>
        <v>47665548EDUCACIÓN FÍSICA2º</v>
      </c>
      <c r="C224" t="s">
        <v>220</v>
      </c>
      <c r="D224" t="s">
        <v>109</v>
      </c>
      <c r="E224">
        <v>47665548</v>
      </c>
      <c r="F224" t="s">
        <v>228</v>
      </c>
      <c r="G224" t="s">
        <v>10</v>
      </c>
      <c r="H224" t="s">
        <v>95</v>
      </c>
      <c r="I224" t="s">
        <v>43</v>
      </c>
      <c r="J224">
        <v>2020</v>
      </c>
      <c r="K224" t="s">
        <v>59</v>
      </c>
      <c r="N224" t="s">
        <v>99</v>
      </c>
      <c r="AI224">
        <f t="shared" si="7"/>
        <v>1</v>
      </c>
      <c r="AJ224">
        <f>'TABLA PREVIOS'!E224</f>
        <v>228</v>
      </c>
      <c r="AK224">
        <f>VLOOKUP(E224,ALUMNOS!A:B,2,FALSE)</f>
        <v>226</v>
      </c>
    </row>
    <row r="225" spans="2:37" x14ac:dyDescent="0.25">
      <c r="B225" t="str">
        <f t="shared" si="6"/>
        <v>47665548LENGUA EXTRANJERA - INGLÉS3º</v>
      </c>
      <c r="C225" t="s">
        <v>220</v>
      </c>
      <c r="D225" t="s">
        <v>109</v>
      </c>
      <c r="E225">
        <v>47665548</v>
      </c>
      <c r="F225" t="s">
        <v>228</v>
      </c>
      <c r="G225" t="s">
        <v>16</v>
      </c>
      <c r="H225" t="s">
        <v>143</v>
      </c>
      <c r="I225" t="s">
        <v>43</v>
      </c>
      <c r="J225">
        <v>2021</v>
      </c>
      <c r="K225" t="s">
        <v>59</v>
      </c>
      <c r="N225" t="s">
        <v>99</v>
      </c>
      <c r="AI225">
        <f t="shared" si="7"/>
        <v>1</v>
      </c>
      <c r="AJ225">
        <f>'TABLA PREVIOS'!E225</f>
        <v>245</v>
      </c>
      <c r="AK225">
        <f>VLOOKUP(E225,ALUMNOS!A:B,2,FALSE)</f>
        <v>226</v>
      </c>
    </row>
    <row r="226" spans="2:37" x14ac:dyDescent="0.25">
      <c r="B226" t="str">
        <f t="shared" si="6"/>
        <v>47665548LENGUA Y LITERATURA3º</v>
      </c>
      <c r="C226" t="s">
        <v>220</v>
      </c>
      <c r="D226" t="s">
        <v>109</v>
      </c>
      <c r="E226">
        <v>47665548</v>
      </c>
      <c r="F226" t="s">
        <v>228</v>
      </c>
      <c r="G226" t="s">
        <v>11</v>
      </c>
      <c r="H226" t="s">
        <v>143</v>
      </c>
      <c r="I226" t="s">
        <v>45</v>
      </c>
      <c r="J226">
        <v>2021</v>
      </c>
      <c r="K226" t="s">
        <v>59</v>
      </c>
      <c r="M226" t="s">
        <v>229</v>
      </c>
      <c r="N226" t="s">
        <v>99</v>
      </c>
      <c r="AI226">
        <f t="shared" si="7"/>
        <v>1</v>
      </c>
      <c r="AJ226">
        <f>'TABLA PREVIOS'!E226</f>
        <v>239</v>
      </c>
      <c r="AK226">
        <f>VLOOKUP(E226,ALUMNOS!A:B,2,FALSE)</f>
        <v>226</v>
      </c>
    </row>
    <row r="227" spans="2:37" x14ac:dyDescent="0.25">
      <c r="B227" t="str">
        <f t="shared" si="6"/>
        <v>47653252MATEMÁTICA3º</v>
      </c>
      <c r="C227" t="s">
        <v>220</v>
      </c>
      <c r="D227" t="s">
        <v>109</v>
      </c>
      <c r="E227">
        <v>47653252</v>
      </c>
      <c r="F227" t="s">
        <v>230</v>
      </c>
      <c r="G227" t="s">
        <v>12</v>
      </c>
      <c r="H227" t="s">
        <v>143</v>
      </c>
      <c r="I227" t="s">
        <v>43</v>
      </c>
      <c r="J227">
        <v>2021</v>
      </c>
      <c r="K227" t="s">
        <v>59</v>
      </c>
      <c r="N227" t="s">
        <v>107</v>
      </c>
      <c r="O227">
        <v>45405</v>
      </c>
      <c r="P227" t="s">
        <v>50</v>
      </c>
      <c r="Q227">
        <v>68</v>
      </c>
      <c r="R227">
        <v>31</v>
      </c>
      <c r="S227">
        <v>45474</v>
      </c>
      <c r="T227">
        <v>7</v>
      </c>
      <c r="U227">
        <v>68</v>
      </c>
      <c r="V227">
        <v>62</v>
      </c>
      <c r="AI227">
        <f t="shared" si="7"/>
        <v>7</v>
      </c>
      <c r="AJ227">
        <f>'TABLA PREVIOS'!E227</f>
        <v>240</v>
      </c>
      <c r="AK227">
        <f>VLOOKUP(E227,ALUMNOS!A:B,2,FALSE)</f>
        <v>341</v>
      </c>
    </row>
    <row r="228" spans="2:37" x14ac:dyDescent="0.25">
      <c r="B228" t="str">
        <f t="shared" si="6"/>
        <v>47989224LENGUA EXTRANJERA - INGLÉS3º</v>
      </c>
      <c r="C228" t="s">
        <v>220</v>
      </c>
      <c r="D228" t="s">
        <v>109</v>
      </c>
      <c r="E228">
        <v>47989224</v>
      </c>
      <c r="F228" t="s">
        <v>231</v>
      </c>
      <c r="G228" t="s">
        <v>16</v>
      </c>
      <c r="H228" t="s">
        <v>143</v>
      </c>
      <c r="I228" t="s">
        <v>43</v>
      </c>
      <c r="J228">
        <v>2021</v>
      </c>
      <c r="K228" t="s">
        <v>59</v>
      </c>
      <c r="N228" t="s">
        <v>99</v>
      </c>
      <c r="AI228">
        <f t="shared" si="7"/>
        <v>1</v>
      </c>
      <c r="AJ228">
        <f>'TABLA PREVIOS'!E228</f>
        <v>245</v>
      </c>
      <c r="AK228">
        <f>VLOOKUP(E228,ALUMNOS!A:B,2,FALSE)</f>
        <v>579</v>
      </c>
    </row>
    <row r="229" spans="2:37" x14ac:dyDescent="0.25">
      <c r="B229" t="str">
        <f t="shared" si="6"/>
        <v>47989224LENGUA EXTRANJERA - INGLÉS4º</v>
      </c>
      <c r="C229" t="s">
        <v>220</v>
      </c>
      <c r="D229" t="s">
        <v>109</v>
      </c>
      <c r="E229">
        <v>47989224</v>
      </c>
      <c r="F229" t="s">
        <v>231</v>
      </c>
      <c r="G229" t="s">
        <v>16</v>
      </c>
      <c r="H229" t="s">
        <v>190</v>
      </c>
      <c r="I229" t="s">
        <v>43</v>
      </c>
      <c r="J229">
        <v>2023</v>
      </c>
      <c r="K229" t="s">
        <v>60</v>
      </c>
      <c r="N229" t="s">
        <v>99</v>
      </c>
      <c r="AI229">
        <f t="shared" si="7"/>
        <v>1</v>
      </c>
      <c r="AJ229">
        <f>'TABLA PREVIOS'!E229</f>
        <v>256</v>
      </c>
      <c r="AK229">
        <f>VLOOKUP(E229,ALUMNOS!A:B,2,FALSE)</f>
        <v>579</v>
      </c>
    </row>
    <row r="230" spans="2:37" x14ac:dyDescent="0.25">
      <c r="B230" t="str">
        <f t="shared" si="6"/>
        <v>47989224MATEMÁTICA4º</v>
      </c>
      <c r="C230" t="s">
        <v>220</v>
      </c>
      <c r="D230" t="s">
        <v>109</v>
      </c>
      <c r="E230">
        <v>47989224</v>
      </c>
      <c r="F230" t="s">
        <v>231</v>
      </c>
      <c r="G230" t="s">
        <v>12</v>
      </c>
      <c r="H230" t="s">
        <v>190</v>
      </c>
      <c r="I230" t="s">
        <v>45</v>
      </c>
      <c r="J230">
        <v>2023</v>
      </c>
      <c r="K230" t="s">
        <v>60</v>
      </c>
      <c r="N230" t="s">
        <v>99</v>
      </c>
      <c r="AI230">
        <f t="shared" si="7"/>
        <v>1</v>
      </c>
      <c r="AJ230">
        <f>'TABLA PREVIOS'!E230</f>
        <v>252</v>
      </c>
      <c r="AK230">
        <f>VLOOKUP(E230,ALUMNOS!A:B,2,FALSE)</f>
        <v>579</v>
      </c>
    </row>
    <row r="231" spans="2:37" x14ac:dyDescent="0.25">
      <c r="B231" t="str">
        <f t="shared" si="6"/>
        <v>46509037LENGUA EXTRANJERA - INGLÉS3º</v>
      </c>
      <c r="C231" t="s">
        <v>220</v>
      </c>
      <c r="D231" t="s">
        <v>109</v>
      </c>
      <c r="E231">
        <v>46509037</v>
      </c>
      <c r="F231" t="s">
        <v>232</v>
      </c>
      <c r="G231" t="s">
        <v>16</v>
      </c>
      <c r="H231" t="s">
        <v>143</v>
      </c>
      <c r="I231" t="s">
        <v>43</v>
      </c>
      <c r="J231">
        <v>2021</v>
      </c>
      <c r="K231" t="s">
        <v>59</v>
      </c>
      <c r="N231" t="s">
        <v>99</v>
      </c>
      <c r="AI231">
        <f t="shared" si="7"/>
        <v>1</v>
      </c>
      <c r="AJ231">
        <f>'TABLA PREVIOS'!E231</f>
        <v>245</v>
      </c>
      <c r="AK231">
        <f>VLOOKUP(E231,ALUMNOS!A:B,2,FALSE)</f>
        <v>682</v>
      </c>
    </row>
    <row r="232" spans="2:37" x14ac:dyDescent="0.25">
      <c r="B232" t="str">
        <f t="shared" si="6"/>
        <v>46509037GEOGRAFÍA4º</v>
      </c>
      <c r="C232" t="s">
        <v>220</v>
      </c>
      <c r="D232" t="s">
        <v>109</v>
      </c>
      <c r="E232">
        <v>46509037</v>
      </c>
      <c r="F232" t="s">
        <v>232</v>
      </c>
      <c r="G232" t="s">
        <v>26</v>
      </c>
      <c r="H232" t="s">
        <v>190</v>
      </c>
      <c r="I232" t="s">
        <v>43</v>
      </c>
      <c r="J232">
        <v>2023</v>
      </c>
      <c r="K232" t="s">
        <v>60</v>
      </c>
      <c r="N232" t="s">
        <v>99</v>
      </c>
      <c r="AI232">
        <f t="shared" si="7"/>
        <v>1</v>
      </c>
      <c r="AJ232">
        <f>'TABLA PREVIOS'!E232</f>
        <v>254</v>
      </c>
      <c r="AK232">
        <f>VLOOKUP(E232,ALUMNOS!A:B,2,FALSE)</f>
        <v>682</v>
      </c>
    </row>
    <row r="233" spans="2:37" x14ac:dyDescent="0.25">
      <c r="B233" t="str">
        <f t="shared" si="6"/>
        <v>46509037LENGUA EXTRANJERA - INGLÉS4º</v>
      </c>
      <c r="C233" t="s">
        <v>220</v>
      </c>
      <c r="D233" t="s">
        <v>109</v>
      </c>
      <c r="E233">
        <v>46509037</v>
      </c>
      <c r="F233" t="s">
        <v>232</v>
      </c>
      <c r="G233" t="s">
        <v>16</v>
      </c>
      <c r="H233" t="s">
        <v>190</v>
      </c>
      <c r="I233" t="s">
        <v>45</v>
      </c>
      <c r="J233">
        <v>2023</v>
      </c>
      <c r="K233" t="s">
        <v>60</v>
      </c>
      <c r="N233" t="s">
        <v>99</v>
      </c>
      <c r="AI233">
        <f t="shared" si="7"/>
        <v>1</v>
      </c>
      <c r="AJ233">
        <f>'TABLA PREVIOS'!E233</f>
        <v>256</v>
      </c>
      <c r="AK233">
        <f>VLOOKUP(E233,ALUMNOS!A:B,2,FALSE)</f>
        <v>682</v>
      </c>
    </row>
    <row r="234" spans="2:37" x14ac:dyDescent="0.25">
      <c r="B234" t="str">
        <f t="shared" si="6"/>
        <v>48607958ADMINISTRACIÓN4º</v>
      </c>
      <c r="C234" t="s">
        <v>220</v>
      </c>
      <c r="D234" t="s">
        <v>109</v>
      </c>
      <c r="E234">
        <v>48607958</v>
      </c>
      <c r="F234" t="s">
        <v>233</v>
      </c>
      <c r="G234" t="s">
        <v>30</v>
      </c>
      <c r="H234" t="s">
        <v>190</v>
      </c>
      <c r="I234" t="s">
        <v>44</v>
      </c>
      <c r="J234">
        <v>2024</v>
      </c>
      <c r="K234" t="s">
        <v>60</v>
      </c>
      <c r="N234" t="s">
        <v>107</v>
      </c>
      <c r="O234">
        <v>45411</v>
      </c>
      <c r="P234">
        <v>9</v>
      </c>
      <c r="Q234">
        <v>58</v>
      </c>
      <c r="R234">
        <v>197</v>
      </c>
      <c r="AI234">
        <f t="shared" si="7"/>
        <v>9</v>
      </c>
      <c r="AJ234">
        <f>'TABLA PREVIOS'!E234</f>
        <v>260</v>
      </c>
      <c r="AK234">
        <f>VLOOKUP(E234,ALUMNOS!A:B,2,FALSE)</f>
        <v>815</v>
      </c>
    </row>
    <row r="235" spans="2:37" x14ac:dyDescent="0.25">
      <c r="B235" t="str">
        <f t="shared" si="6"/>
        <v>48607958SISTEMAS DE INFORMACIÓN CONTABLE4º</v>
      </c>
      <c r="C235" t="s">
        <v>220</v>
      </c>
      <c r="D235" t="s">
        <v>109</v>
      </c>
      <c r="E235">
        <v>48607958</v>
      </c>
      <c r="F235" t="s">
        <v>233</v>
      </c>
      <c r="G235" t="s">
        <v>29</v>
      </c>
      <c r="H235" t="s">
        <v>190</v>
      </c>
      <c r="I235" t="s">
        <v>44</v>
      </c>
      <c r="J235">
        <v>2024</v>
      </c>
      <c r="K235" t="s">
        <v>60</v>
      </c>
      <c r="N235" t="s">
        <v>107</v>
      </c>
      <c r="O235">
        <v>45411</v>
      </c>
      <c r="P235">
        <v>9</v>
      </c>
      <c r="Q235">
        <v>58</v>
      </c>
      <c r="R235">
        <v>198</v>
      </c>
      <c r="AI235">
        <f t="shared" si="7"/>
        <v>9</v>
      </c>
      <c r="AJ235">
        <f>'TABLA PREVIOS'!E235</f>
        <v>259</v>
      </c>
      <c r="AK235">
        <f>VLOOKUP(E235,ALUMNOS!A:B,2,FALSE)</f>
        <v>815</v>
      </c>
    </row>
    <row r="236" spans="2:37" x14ac:dyDescent="0.25">
      <c r="B236" t="str">
        <f t="shared" si="6"/>
        <v>47469192ADMINISTRACIÓN4º</v>
      </c>
      <c r="C236" t="s">
        <v>220</v>
      </c>
      <c r="D236" t="s">
        <v>128</v>
      </c>
      <c r="E236">
        <v>47469192</v>
      </c>
      <c r="F236" t="s">
        <v>234</v>
      </c>
      <c r="G236" t="s">
        <v>30</v>
      </c>
      <c r="H236" t="s">
        <v>190</v>
      </c>
      <c r="I236" t="s">
        <v>44</v>
      </c>
      <c r="J236">
        <v>2024</v>
      </c>
      <c r="K236" t="s">
        <v>60</v>
      </c>
      <c r="N236" t="s">
        <v>99</v>
      </c>
      <c r="O236">
        <v>45411</v>
      </c>
      <c r="P236" t="s">
        <v>50</v>
      </c>
      <c r="Q236">
        <v>58</v>
      </c>
      <c r="R236">
        <v>197</v>
      </c>
      <c r="AI236">
        <f t="shared" si="7"/>
        <v>1</v>
      </c>
      <c r="AJ236">
        <f>'TABLA PREVIOS'!E236</f>
        <v>260</v>
      </c>
      <c r="AK236">
        <f>VLOOKUP(E236,ALUMNOS!A:B,2,FALSE)</f>
        <v>813</v>
      </c>
    </row>
    <row r="237" spans="2:37" x14ac:dyDescent="0.25">
      <c r="B237" t="str">
        <f t="shared" si="6"/>
        <v>47469192SISTEMAS DE INFORMACIÓN CONTABLE4º</v>
      </c>
      <c r="C237" t="s">
        <v>220</v>
      </c>
      <c r="D237" t="s">
        <v>128</v>
      </c>
      <c r="E237">
        <v>47469192</v>
      </c>
      <c r="F237" t="s">
        <v>234</v>
      </c>
      <c r="G237" t="s">
        <v>29</v>
      </c>
      <c r="H237" t="s">
        <v>190</v>
      </c>
      <c r="I237" t="s">
        <v>44</v>
      </c>
      <c r="J237">
        <v>2024</v>
      </c>
      <c r="K237" t="s">
        <v>60</v>
      </c>
      <c r="N237" t="s">
        <v>99</v>
      </c>
      <c r="AI237">
        <f t="shared" si="7"/>
        <v>1</v>
      </c>
      <c r="AJ237">
        <f>'TABLA PREVIOS'!E237</f>
        <v>259</v>
      </c>
      <c r="AK237">
        <f>VLOOKUP(E237,ALUMNOS!A:B,2,FALSE)</f>
        <v>813</v>
      </c>
    </row>
    <row r="238" spans="2:37" x14ac:dyDescent="0.25">
      <c r="B238" t="str">
        <f t="shared" si="6"/>
        <v>47578494LENGUA EXTRANJERA - INGLÉS4º</v>
      </c>
      <c r="C238" t="s">
        <v>220</v>
      </c>
      <c r="D238" t="s">
        <v>128</v>
      </c>
      <c r="E238">
        <v>47578494</v>
      </c>
      <c r="F238" t="s">
        <v>235</v>
      </c>
      <c r="G238" t="s">
        <v>16</v>
      </c>
      <c r="H238" t="s">
        <v>190</v>
      </c>
      <c r="I238" t="s">
        <v>43</v>
      </c>
      <c r="J238">
        <v>2023</v>
      </c>
      <c r="K238" t="s">
        <v>60</v>
      </c>
      <c r="N238" t="s">
        <v>99</v>
      </c>
      <c r="AI238">
        <f t="shared" si="7"/>
        <v>1</v>
      </c>
      <c r="AJ238">
        <f>'TABLA PREVIOS'!E238</f>
        <v>256</v>
      </c>
      <c r="AK238">
        <f>VLOOKUP(E238,ALUMNOS!A:B,2,FALSE)</f>
        <v>202</v>
      </c>
    </row>
    <row r="239" spans="2:37" x14ac:dyDescent="0.25">
      <c r="B239" t="str">
        <f t="shared" si="6"/>
        <v>48264989MATEMÁTICA2º</v>
      </c>
      <c r="C239" t="s">
        <v>220</v>
      </c>
      <c r="D239" t="s">
        <v>128</v>
      </c>
      <c r="E239">
        <v>48264989</v>
      </c>
      <c r="F239" t="s">
        <v>236</v>
      </c>
      <c r="G239" t="s">
        <v>12</v>
      </c>
      <c r="H239" t="s">
        <v>95</v>
      </c>
      <c r="I239" t="s">
        <v>43</v>
      </c>
      <c r="J239">
        <v>2021</v>
      </c>
      <c r="K239" t="s">
        <v>59</v>
      </c>
      <c r="N239" t="s">
        <v>99</v>
      </c>
      <c r="O239">
        <v>45405</v>
      </c>
      <c r="P239" t="s">
        <v>50</v>
      </c>
      <c r="Q239">
        <v>68</v>
      </c>
      <c r="R239">
        <v>30</v>
      </c>
      <c r="AI239">
        <f t="shared" si="7"/>
        <v>1</v>
      </c>
      <c r="AJ239">
        <f>'TABLA PREVIOS'!E239</f>
        <v>230</v>
      </c>
      <c r="AK239">
        <f>VLOOKUP(E239,ALUMNOS!A:B,2,FALSE)</f>
        <v>275</v>
      </c>
    </row>
    <row r="240" spans="2:37" x14ac:dyDescent="0.25">
      <c r="B240" t="str">
        <f t="shared" si="6"/>
        <v>48264989MATEMÁTICA3º</v>
      </c>
      <c r="C240" t="s">
        <v>220</v>
      </c>
      <c r="D240" t="s">
        <v>128</v>
      </c>
      <c r="E240">
        <v>48264989</v>
      </c>
      <c r="F240" t="s">
        <v>236</v>
      </c>
      <c r="G240" t="s">
        <v>12</v>
      </c>
      <c r="H240" t="s">
        <v>143</v>
      </c>
      <c r="I240" t="s">
        <v>43</v>
      </c>
      <c r="J240">
        <v>2022</v>
      </c>
      <c r="K240" t="s">
        <v>59</v>
      </c>
      <c r="N240" t="s">
        <v>99</v>
      </c>
      <c r="AI240">
        <f t="shared" si="7"/>
        <v>1</v>
      </c>
      <c r="AJ240">
        <f>'TABLA PREVIOS'!E240</f>
        <v>240</v>
      </c>
      <c r="AK240">
        <f>VLOOKUP(E240,ALUMNOS!A:B,2,FALSE)</f>
        <v>275</v>
      </c>
    </row>
    <row r="241" spans="2:37" x14ac:dyDescent="0.25">
      <c r="B241" t="str">
        <f t="shared" si="6"/>
        <v>48264989ECONOMÍA Y DESARROLLO SUSTENTABLE4º</v>
      </c>
      <c r="C241" t="s">
        <v>220</v>
      </c>
      <c r="D241" t="s">
        <v>128</v>
      </c>
      <c r="E241">
        <v>48264989</v>
      </c>
      <c r="F241" t="s">
        <v>236</v>
      </c>
      <c r="G241" t="s">
        <v>31</v>
      </c>
      <c r="H241" t="s">
        <v>190</v>
      </c>
      <c r="I241" t="s">
        <v>45</v>
      </c>
      <c r="J241">
        <v>2023</v>
      </c>
      <c r="K241" t="s">
        <v>60</v>
      </c>
      <c r="N241" t="s">
        <v>99</v>
      </c>
      <c r="AI241">
        <f t="shared" si="7"/>
        <v>1</v>
      </c>
      <c r="AJ241">
        <f>'TABLA PREVIOS'!E241</f>
        <v>261</v>
      </c>
      <c r="AK241">
        <f>VLOOKUP(E241,ALUMNOS!A:B,2,FALSE)</f>
        <v>275</v>
      </c>
    </row>
    <row r="242" spans="2:37" x14ac:dyDescent="0.25">
      <c r="B242" t="str">
        <f t="shared" si="6"/>
        <v>46509010MATEMÁTICA2º</v>
      </c>
      <c r="C242" t="s">
        <v>220</v>
      </c>
      <c r="D242" t="s">
        <v>128</v>
      </c>
      <c r="E242">
        <v>46509010</v>
      </c>
      <c r="F242" t="s">
        <v>237</v>
      </c>
      <c r="G242" t="s">
        <v>12</v>
      </c>
      <c r="H242" t="s">
        <v>95</v>
      </c>
      <c r="I242" t="s">
        <v>43</v>
      </c>
      <c r="J242">
        <v>2020</v>
      </c>
      <c r="K242" t="s">
        <v>59</v>
      </c>
      <c r="N242" t="s">
        <v>99</v>
      </c>
      <c r="AI242">
        <f t="shared" si="7"/>
        <v>1</v>
      </c>
      <c r="AJ242">
        <f>'TABLA PREVIOS'!E242</f>
        <v>230</v>
      </c>
      <c r="AK242">
        <f>VLOOKUP(E242,ALUMNOS!A:B,2,FALSE)</f>
        <v>282</v>
      </c>
    </row>
    <row r="243" spans="2:37" x14ac:dyDescent="0.25">
      <c r="B243" t="str">
        <f t="shared" si="6"/>
        <v>46509010MATEMÁTICA3º</v>
      </c>
      <c r="C243" t="s">
        <v>220</v>
      </c>
      <c r="D243" t="s">
        <v>128</v>
      </c>
      <c r="E243">
        <v>46509010</v>
      </c>
      <c r="F243" t="s">
        <v>237</v>
      </c>
      <c r="G243" t="s">
        <v>12</v>
      </c>
      <c r="H243" t="s">
        <v>143</v>
      </c>
      <c r="I243" t="s">
        <v>43</v>
      </c>
      <c r="J243">
        <v>2021</v>
      </c>
      <c r="K243" t="s">
        <v>59</v>
      </c>
      <c r="N243" t="s">
        <v>99</v>
      </c>
      <c r="AI243">
        <f t="shared" si="7"/>
        <v>1</v>
      </c>
      <c r="AJ243">
        <f>'TABLA PREVIOS'!E243</f>
        <v>240</v>
      </c>
      <c r="AK243">
        <f>VLOOKUP(E243,ALUMNOS!A:B,2,FALSE)</f>
        <v>282</v>
      </c>
    </row>
    <row r="244" spans="2:37" x14ac:dyDescent="0.25">
      <c r="B244" t="str">
        <f t="shared" si="6"/>
        <v>46509010MATEMÁTICA4º</v>
      </c>
      <c r="C244" t="s">
        <v>220</v>
      </c>
      <c r="D244" t="s">
        <v>128</v>
      </c>
      <c r="E244">
        <v>46509010</v>
      </c>
      <c r="F244" t="s">
        <v>237</v>
      </c>
      <c r="G244" t="s">
        <v>12</v>
      </c>
      <c r="H244" t="s">
        <v>190</v>
      </c>
      <c r="I244" t="s">
        <v>45</v>
      </c>
      <c r="J244">
        <v>2023</v>
      </c>
      <c r="K244" t="s">
        <v>60</v>
      </c>
      <c r="N244" t="s">
        <v>99</v>
      </c>
      <c r="AI244">
        <f t="shared" si="7"/>
        <v>1</v>
      </c>
      <c r="AJ244">
        <f>'TABLA PREVIOS'!E244</f>
        <v>252</v>
      </c>
      <c r="AK244">
        <f>VLOOKUP(E244,ALUMNOS!A:B,2,FALSE)</f>
        <v>282</v>
      </c>
    </row>
    <row r="245" spans="2:37" x14ac:dyDescent="0.25">
      <c r="B245" t="str">
        <f t="shared" si="6"/>
        <v>47989279LENGUA EXTRANJERA - INGLÉS3º</v>
      </c>
      <c r="C245" t="s">
        <v>220</v>
      </c>
      <c r="D245" t="s">
        <v>128</v>
      </c>
      <c r="E245">
        <v>47989279</v>
      </c>
      <c r="F245" t="s">
        <v>238</v>
      </c>
      <c r="G245" t="s">
        <v>16</v>
      </c>
      <c r="H245" t="s">
        <v>143</v>
      </c>
      <c r="I245" t="s">
        <v>43</v>
      </c>
      <c r="J245">
        <v>2022</v>
      </c>
      <c r="K245" t="s">
        <v>59</v>
      </c>
      <c r="N245" t="s">
        <v>99</v>
      </c>
      <c r="AI245">
        <f t="shared" si="7"/>
        <v>1</v>
      </c>
      <c r="AJ245">
        <f>'TABLA PREVIOS'!E245</f>
        <v>245</v>
      </c>
      <c r="AK245">
        <f>VLOOKUP(E245,ALUMNOS!A:B,2,FALSE)</f>
        <v>289</v>
      </c>
    </row>
    <row r="246" spans="2:37" x14ac:dyDescent="0.25">
      <c r="B246" t="str">
        <f t="shared" si="6"/>
        <v>47985739EDUCACIÓN FÍSICA2º</v>
      </c>
      <c r="C246" t="s">
        <v>220</v>
      </c>
      <c r="D246" t="s">
        <v>128</v>
      </c>
      <c r="E246">
        <v>47985739</v>
      </c>
      <c r="F246" t="s">
        <v>239</v>
      </c>
      <c r="G246" t="s">
        <v>10</v>
      </c>
      <c r="H246" t="s">
        <v>95</v>
      </c>
      <c r="I246" t="s">
        <v>43</v>
      </c>
      <c r="J246">
        <v>2020</v>
      </c>
      <c r="K246" t="s">
        <v>59</v>
      </c>
      <c r="L246" t="s">
        <v>176</v>
      </c>
      <c r="N246" t="s">
        <v>99</v>
      </c>
      <c r="AI246">
        <f t="shared" si="7"/>
        <v>1</v>
      </c>
      <c r="AJ246">
        <f>'TABLA PREVIOS'!E246</f>
        <v>228</v>
      </c>
      <c r="AK246">
        <f>VLOOKUP(E246,ALUMNOS!A:B,2,FALSE)</f>
        <v>316</v>
      </c>
    </row>
    <row r="247" spans="2:37" x14ac:dyDescent="0.25">
      <c r="B247" t="str">
        <f t="shared" si="6"/>
        <v>47985739LENGUA Y LITERATURA2º</v>
      </c>
      <c r="C247" t="s">
        <v>220</v>
      </c>
      <c r="D247" t="s">
        <v>128</v>
      </c>
      <c r="E247">
        <v>47985739</v>
      </c>
      <c r="F247" t="s">
        <v>239</v>
      </c>
      <c r="G247" t="s">
        <v>11</v>
      </c>
      <c r="H247" t="s">
        <v>95</v>
      </c>
      <c r="I247" t="s">
        <v>43</v>
      </c>
      <c r="J247">
        <v>2020</v>
      </c>
      <c r="K247" t="s">
        <v>59</v>
      </c>
      <c r="L247" t="s">
        <v>176</v>
      </c>
      <c r="N247" t="s">
        <v>99</v>
      </c>
      <c r="AI247">
        <f t="shared" si="7"/>
        <v>1</v>
      </c>
      <c r="AJ247">
        <f>'TABLA PREVIOS'!E247</f>
        <v>229</v>
      </c>
      <c r="AK247">
        <f>VLOOKUP(E247,ALUMNOS!A:B,2,FALSE)</f>
        <v>316</v>
      </c>
    </row>
    <row r="248" spans="2:37" x14ac:dyDescent="0.25">
      <c r="B248" t="str">
        <f t="shared" si="6"/>
        <v>47985739MATEMÁTICA3º</v>
      </c>
      <c r="C248" t="s">
        <v>220</v>
      </c>
      <c r="D248" t="s">
        <v>128</v>
      </c>
      <c r="E248">
        <v>47985739</v>
      </c>
      <c r="F248" t="s">
        <v>239</v>
      </c>
      <c r="G248" t="s">
        <v>12</v>
      </c>
      <c r="H248" t="s">
        <v>143</v>
      </c>
      <c r="I248" t="s">
        <v>45</v>
      </c>
      <c r="J248">
        <v>2022</v>
      </c>
      <c r="K248" t="s">
        <v>59</v>
      </c>
      <c r="N248" t="s">
        <v>99</v>
      </c>
      <c r="AI248">
        <f t="shared" si="7"/>
        <v>1</v>
      </c>
      <c r="AJ248">
        <f>'TABLA PREVIOS'!E248</f>
        <v>240</v>
      </c>
      <c r="AK248">
        <f>VLOOKUP(E248,ALUMNOS!A:B,2,FALSE)</f>
        <v>316</v>
      </c>
    </row>
    <row r="249" spans="2:37" x14ac:dyDescent="0.25">
      <c r="B249" t="str">
        <f t="shared" si="6"/>
        <v>47824103ADMINISTRACIÓN4º</v>
      </c>
      <c r="C249" t="s">
        <v>220</v>
      </c>
      <c r="D249" t="s">
        <v>128</v>
      </c>
      <c r="E249">
        <v>47824103</v>
      </c>
      <c r="F249" t="s">
        <v>240</v>
      </c>
      <c r="G249" t="s">
        <v>30</v>
      </c>
      <c r="H249" t="s">
        <v>190</v>
      </c>
      <c r="I249" t="s">
        <v>43</v>
      </c>
      <c r="J249">
        <v>2023</v>
      </c>
      <c r="K249" t="s">
        <v>60</v>
      </c>
      <c r="N249" t="s">
        <v>99</v>
      </c>
      <c r="AI249">
        <f t="shared" si="7"/>
        <v>1</v>
      </c>
      <c r="AJ249">
        <f>'TABLA PREVIOS'!E249</f>
        <v>260</v>
      </c>
      <c r="AK249">
        <f>VLOOKUP(E249,ALUMNOS!A:B,2,FALSE)</f>
        <v>390</v>
      </c>
    </row>
    <row r="250" spans="2:37" x14ac:dyDescent="0.25">
      <c r="B250" t="str">
        <f t="shared" si="6"/>
        <v>47824103FORMACIÓN PARA LA VIDA Y EL TRABAJO4º</v>
      </c>
      <c r="C250" t="s">
        <v>220</v>
      </c>
      <c r="D250" t="s">
        <v>128</v>
      </c>
      <c r="E250">
        <v>47824103</v>
      </c>
      <c r="F250" t="s">
        <v>240</v>
      </c>
      <c r="G250" t="s">
        <v>28</v>
      </c>
      <c r="H250" t="s">
        <v>190</v>
      </c>
      <c r="I250" t="s">
        <v>43</v>
      </c>
      <c r="J250">
        <v>2023</v>
      </c>
      <c r="K250" t="s">
        <v>60</v>
      </c>
      <c r="N250" t="s">
        <v>99</v>
      </c>
      <c r="AI250">
        <f t="shared" si="7"/>
        <v>1</v>
      </c>
      <c r="AJ250">
        <f>'TABLA PREVIOS'!E250</f>
        <v>258</v>
      </c>
      <c r="AK250">
        <f>VLOOKUP(E250,ALUMNOS!A:B,2,FALSE)</f>
        <v>390</v>
      </c>
    </row>
    <row r="251" spans="2:37" x14ac:dyDescent="0.25">
      <c r="B251" t="str">
        <f t="shared" si="6"/>
        <v>47824103LENGUA Y LITERATURA4º</v>
      </c>
      <c r="C251" t="s">
        <v>220</v>
      </c>
      <c r="D251" t="s">
        <v>128</v>
      </c>
      <c r="E251">
        <v>47824103</v>
      </c>
      <c r="F251" t="s">
        <v>240</v>
      </c>
      <c r="G251" t="s">
        <v>11</v>
      </c>
      <c r="H251" t="s">
        <v>190</v>
      </c>
      <c r="I251" t="s">
        <v>45</v>
      </c>
      <c r="J251">
        <v>2023</v>
      </c>
      <c r="K251" t="s">
        <v>60</v>
      </c>
      <c r="N251" t="s">
        <v>99</v>
      </c>
      <c r="AI251">
        <f t="shared" si="7"/>
        <v>1</v>
      </c>
      <c r="AJ251">
        <f>'TABLA PREVIOS'!E251</f>
        <v>251</v>
      </c>
      <c r="AK251">
        <f>VLOOKUP(E251,ALUMNOS!A:B,2,FALSE)</f>
        <v>390</v>
      </c>
    </row>
    <row r="252" spans="2:37" x14ac:dyDescent="0.25">
      <c r="B252" t="str">
        <f t="shared" si="6"/>
        <v>48492866LENGUA Y LITERATURA3º</v>
      </c>
      <c r="C252" t="s">
        <v>220</v>
      </c>
      <c r="D252" t="s">
        <v>128</v>
      </c>
      <c r="E252">
        <v>48492866</v>
      </c>
      <c r="F252" t="s">
        <v>241</v>
      </c>
      <c r="G252" t="s">
        <v>11</v>
      </c>
      <c r="H252" t="s">
        <v>143</v>
      </c>
      <c r="I252" t="s">
        <v>43</v>
      </c>
      <c r="J252">
        <v>2022</v>
      </c>
      <c r="K252" t="s">
        <v>59</v>
      </c>
      <c r="N252" t="s">
        <v>99</v>
      </c>
      <c r="AI252">
        <f t="shared" si="7"/>
        <v>1</v>
      </c>
      <c r="AJ252">
        <f>'TABLA PREVIOS'!E252</f>
        <v>239</v>
      </c>
      <c r="AK252">
        <f>VLOOKUP(E252,ALUMNOS!A:B,2,FALSE)</f>
        <v>416</v>
      </c>
    </row>
    <row r="253" spans="2:37" x14ac:dyDescent="0.25">
      <c r="B253" t="str">
        <f t="shared" si="6"/>
        <v>48492866ECONOMÍA Y DESARROLLO SUSTENTABLE4º</v>
      </c>
      <c r="C253" t="s">
        <v>220</v>
      </c>
      <c r="D253" t="s">
        <v>128</v>
      </c>
      <c r="E253">
        <v>48492866</v>
      </c>
      <c r="F253" t="s">
        <v>241</v>
      </c>
      <c r="G253" t="s">
        <v>31</v>
      </c>
      <c r="H253" t="s">
        <v>190</v>
      </c>
      <c r="I253" t="s">
        <v>43</v>
      </c>
      <c r="J253">
        <v>2023</v>
      </c>
      <c r="K253" t="s">
        <v>60</v>
      </c>
      <c r="N253" t="s">
        <v>99</v>
      </c>
      <c r="AI253">
        <f t="shared" si="7"/>
        <v>1</v>
      </c>
      <c r="AJ253">
        <f>'TABLA PREVIOS'!E253</f>
        <v>261</v>
      </c>
      <c r="AK253">
        <f>VLOOKUP(E253,ALUMNOS!A:B,2,FALSE)</f>
        <v>416</v>
      </c>
    </row>
    <row r="254" spans="2:37" x14ac:dyDescent="0.25">
      <c r="B254" t="str">
        <f t="shared" si="6"/>
        <v>48040092EDUCACIÓN TECNOLÓGICA3º</v>
      </c>
      <c r="C254" t="s">
        <v>220</v>
      </c>
      <c r="D254" t="s">
        <v>128</v>
      </c>
      <c r="E254">
        <v>48040092</v>
      </c>
      <c r="F254" t="s">
        <v>242</v>
      </c>
      <c r="G254" t="s">
        <v>18</v>
      </c>
      <c r="H254" t="s">
        <v>143</v>
      </c>
      <c r="I254" t="s">
        <v>43</v>
      </c>
      <c r="J254">
        <v>2022</v>
      </c>
      <c r="K254" t="s">
        <v>59</v>
      </c>
      <c r="N254" t="s">
        <v>99</v>
      </c>
      <c r="AI254">
        <f t="shared" si="7"/>
        <v>1</v>
      </c>
      <c r="AJ254">
        <f>'TABLA PREVIOS'!E254</f>
        <v>248</v>
      </c>
      <c r="AK254">
        <f>VLOOKUP(E254,ALUMNOS!A:B,2,FALSE)</f>
        <v>511</v>
      </c>
    </row>
    <row r="255" spans="2:37" x14ac:dyDescent="0.25">
      <c r="B255" t="str">
        <f t="shared" si="6"/>
        <v>48040092LENGUA EXTRANJERA - INGLÉS3º</v>
      </c>
      <c r="C255" t="s">
        <v>220</v>
      </c>
      <c r="D255" t="s">
        <v>128</v>
      </c>
      <c r="E255">
        <v>48040092</v>
      </c>
      <c r="F255" t="s">
        <v>242</v>
      </c>
      <c r="G255" t="s">
        <v>16</v>
      </c>
      <c r="H255" t="s">
        <v>143</v>
      </c>
      <c r="I255" t="s">
        <v>43</v>
      </c>
      <c r="J255">
        <v>2022</v>
      </c>
      <c r="K255" t="s">
        <v>59</v>
      </c>
      <c r="N255" t="s">
        <v>99</v>
      </c>
      <c r="AI255">
        <f t="shared" si="7"/>
        <v>1</v>
      </c>
      <c r="AJ255">
        <f>'TABLA PREVIOS'!E255</f>
        <v>245</v>
      </c>
      <c r="AK255">
        <f>VLOOKUP(E255,ALUMNOS!A:B,2,FALSE)</f>
        <v>511</v>
      </c>
    </row>
    <row r="256" spans="2:37" x14ac:dyDescent="0.25">
      <c r="B256" t="str">
        <f t="shared" si="6"/>
        <v>48040092LENGUA Y LITERATURA4º</v>
      </c>
      <c r="C256" t="s">
        <v>220</v>
      </c>
      <c r="D256" t="s">
        <v>128</v>
      </c>
      <c r="E256">
        <v>48040092</v>
      </c>
      <c r="F256" t="s">
        <v>242</v>
      </c>
      <c r="G256" t="s">
        <v>11</v>
      </c>
      <c r="H256" t="s">
        <v>190</v>
      </c>
      <c r="I256" t="s">
        <v>45</v>
      </c>
      <c r="J256">
        <v>2023</v>
      </c>
      <c r="K256" t="s">
        <v>60</v>
      </c>
      <c r="N256" t="s">
        <v>99</v>
      </c>
      <c r="AI256">
        <f t="shared" si="7"/>
        <v>1</v>
      </c>
      <c r="AJ256">
        <f>'TABLA PREVIOS'!E256</f>
        <v>251</v>
      </c>
      <c r="AK256">
        <f>VLOOKUP(E256,ALUMNOS!A:B,2,FALSE)</f>
        <v>511</v>
      </c>
    </row>
    <row r="257" spans="2:37" x14ac:dyDescent="0.25">
      <c r="B257" t="str">
        <f t="shared" si="6"/>
        <v>47989230MATEMÁTICA2º</v>
      </c>
      <c r="C257" t="s">
        <v>220</v>
      </c>
      <c r="D257" t="s">
        <v>128</v>
      </c>
      <c r="E257">
        <v>47989230</v>
      </c>
      <c r="F257" t="s">
        <v>243</v>
      </c>
      <c r="G257" t="s">
        <v>12</v>
      </c>
      <c r="H257" t="s">
        <v>95</v>
      </c>
      <c r="I257" t="s">
        <v>43</v>
      </c>
      <c r="J257">
        <v>2021</v>
      </c>
      <c r="K257" t="s">
        <v>59</v>
      </c>
      <c r="N257" t="s">
        <v>99</v>
      </c>
      <c r="AI257">
        <f t="shared" si="7"/>
        <v>1</v>
      </c>
      <c r="AJ257">
        <f>'TABLA PREVIOS'!E257</f>
        <v>230</v>
      </c>
      <c r="AK257">
        <f>VLOOKUP(E257,ALUMNOS!A:B,2,FALSE)</f>
        <v>519</v>
      </c>
    </row>
    <row r="258" spans="2:37" x14ac:dyDescent="0.25">
      <c r="B258" t="str">
        <f t="shared" si="6"/>
        <v>47989230MATEMÁTICA3º</v>
      </c>
      <c r="C258" t="s">
        <v>220</v>
      </c>
      <c r="D258" t="s">
        <v>128</v>
      </c>
      <c r="E258">
        <v>47989230</v>
      </c>
      <c r="F258" t="s">
        <v>243</v>
      </c>
      <c r="G258" t="s">
        <v>12</v>
      </c>
      <c r="H258" t="s">
        <v>143</v>
      </c>
      <c r="I258" t="s">
        <v>43</v>
      </c>
      <c r="J258">
        <v>2022</v>
      </c>
      <c r="K258" t="s">
        <v>59</v>
      </c>
      <c r="N258" t="s">
        <v>99</v>
      </c>
      <c r="AI258">
        <f t="shared" si="7"/>
        <v>1</v>
      </c>
      <c r="AJ258">
        <f>'TABLA PREVIOS'!E258</f>
        <v>240</v>
      </c>
      <c r="AK258">
        <f>VLOOKUP(E258,ALUMNOS!A:B,2,FALSE)</f>
        <v>519</v>
      </c>
    </row>
    <row r="259" spans="2:37" x14ac:dyDescent="0.25">
      <c r="B259" t="str">
        <f t="shared" ref="B259:B322" si="8">E259&amp;G259&amp;H259</f>
        <v>47989230MATEMÁTICA4º</v>
      </c>
      <c r="C259" t="s">
        <v>220</v>
      </c>
      <c r="D259" t="s">
        <v>128</v>
      </c>
      <c r="E259">
        <v>47989230</v>
      </c>
      <c r="F259" t="s">
        <v>243</v>
      </c>
      <c r="G259" t="s">
        <v>12</v>
      </c>
      <c r="H259" t="s">
        <v>190</v>
      </c>
      <c r="I259" t="s">
        <v>45</v>
      </c>
      <c r="J259">
        <v>2023</v>
      </c>
      <c r="K259" t="s">
        <v>60</v>
      </c>
      <c r="N259" t="s">
        <v>99</v>
      </c>
      <c r="AI259">
        <f t="shared" ref="AI259:AI322" si="9">IF(VALUE(MAX(P259,T259,X259,AB259,AE259,))&gt;=7,VALUE(MAX(P259,T259,X259,AB259,AE259,)),1)</f>
        <v>1</v>
      </c>
      <c r="AJ259">
        <f>'TABLA PREVIOS'!E259</f>
        <v>252</v>
      </c>
      <c r="AK259">
        <f>VLOOKUP(E259,ALUMNOS!A:B,2,FALSE)</f>
        <v>519</v>
      </c>
    </row>
    <row r="260" spans="2:37" x14ac:dyDescent="0.25">
      <c r="B260" t="str">
        <f t="shared" si="8"/>
        <v>45154756LENGUA EXTRANJERA - INGLÉS4º</v>
      </c>
      <c r="C260" t="s">
        <v>220</v>
      </c>
      <c r="D260" t="s">
        <v>128</v>
      </c>
      <c r="E260">
        <v>45154756</v>
      </c>
      <c r="F260" t="s">
        <v>244</v>
      </c>
      <c r="G260" t="s">
        <v>16</v>
      </c>
      <c r="H260" t="s">
        <v>190</v>
      </c>
      <c r="I260" t="s">
        <v>43</v>
      </c>
      <c r="J260">
        <v>2023</v>
      </c>
      <c r="K260" t="s">
        <v>60</v>
      </c>
      <c r="N260" t="s">
        <v>99</v>
      </c>
      <c r="AI260">
        <f t="shared" si="9"/>
        <v>1</v>
      </c>
      <c r="AJ260">
        <f>'TABLA PREVIOS'!E260</f>
        <v>256</v>
      </c>
      <c r="AK260">
        <f>VLOOKUP(E260,ALUMNOS!A:B,2,FALSE)</f>
        <v>781</v>
      </c>
    </row>
    <row r="261" spans="2:37" x14ac:dyDescent="0.25">
      <c r="B261" t="str">
        <f t="shared" si="8"/>
        <v>45154756MATEMÁTICA4º</v>
      </c>
      <c r="C261" t="s">
        <v>220</v>
      </c>
      <c r="D261" t="s">
        <v>128</v>
      </c>
      <c r="E261">
        <v>45154756</v>
      </c>
      <c r="F261" t="s">
        <v>244</v>
      </c>
      <c r="G261" t="s">
        <v>12</v>
      </c>
      <c r="H261" t="s">
        <v>190</v>
      </c>
      <c r="I261" t="s">
        <v>45</v>
      </c>
      <c r="J261">
        <v>2023</v>
      </c>
      <c r="K261" t="s">
        <v>60</v>
      </c>
      <c r="N261" t="s">
        <v>99</v>
      </c>
      <c r="AI261">
        <f t="shared" si="9"/>
        <v>1</v>
      </c>
      <c r="AJ261">
        <f>'TABLA PREVIOS'!E261</f>
        <v>252</v>
      </c>
      <c r="AK261">
        <f>VLOOKUP(E261,ALUMNOS!A:B,2,FALSE)</f>
        <v>781</v>
      </c>
    </row>
    <row r="262" spans="2:37" x14ac:dyDescent="0.25">
      <c r="B262" t="str">
        <f t="shared" si="8"/>
        <v>45154756SISTEMAS DE INFORMACIÓN CONTABLE4º</v>
      </c>
      <c r="C262" t="s">
        <v>220</v>
      </c>
      <c r="D262" t="s">
        <v>128</v>
      </c>
      <c r="E262">
        <v>45154756</v>
      </c>
      <c r="F262" t="s">
        <v>244</v>
      </c>
      <c r="G262" t="s">
        <v>29</v>
      </c>
      <c r="H262" t="s">
        <v>190</v>
      </c>
      <c r="I262" t="s">
        <v>43</v>
      </c>
      <c r="J262">
        <v>2023</v>
      </c>
      <c r="K262" t="s">
        <v>60</v>
      </c>
      <c r="N262" t="s">
        <v>99</v>
      </c>
      <c r="AI262">
        <f t="shared" si="9"/>
        <v>1</v>
      </c>
      <c r="AJ262">
        <f>'TABLA PREVIOS'!E262</f>
        <v>259</v>
      </c>
      <c r="AK262">
        <f>VLOOKUP(E262,ALUMNOS!A:B,2,FALSE)</f>
        <v>781</v>
      </c>
    </row>
    <row r="263" spans="2:37" x14ac:dyDescent="0.25">
      <c r="B263" t="str">
        <f t="shared" si="8"/>
        <v>47891707SISTEMAS DE INFORMACIÓN CONTABLE4º</v>
      </c>
      <c r="C263" t="s">
        <v>245</v>
      </c>
      <c r="D263" t="s">
        <v>96</v>
      </c>
      <c r="E263">
        <v>47891707</v>
      </c>
      <c r="F263" t="s">
        <v>246</v>
      </c>
      <c r="G263" t="s">
        <v>29</v>
      </c>
      <c r="H263" t="s">
        <v>190</v>
      </c>
      <c r="I263" t="s">
        <v>43</v>
      </c>
      <c r="J263">
        <v>2022</v>
      </c>
      <c r="K263" t="s">
        <v>60</v>
      </c>
      <c r="N263" t="s">
        <v>99</v>
      </c>
      <c r="AI263">
        <f t="shared" si="9"/>
        <v>1</v>
      </c>
      <c r="AJ263">
        <f>'TABLA PREVIOS'!E263</f>
        <v>259</v>
      </c>
      <c r="AK263">
        <f>VLOOKUP(E263,ALUMNOS!A:B,2,FALSE)</f>
        <v>49</v>
      </c>
    </row>
    <row r="264" spans="2:37" x14ac:dyDescent="0.25">
      <c r="B264" t="str">
        <f t="shared" si="8"/>
        <v>48370926MATEMÁTICA4º</v>
      </c>
      <c r="C264" t="s">
        <v>245</v>
      </c>
      <c r="D264" t="s">
        <v>96</v>
      </c>
      <c r="E264">
        <v>48370926</v>
      </c>
      <c r="F264" t="s">
        <v>247</v>
      </c>
      <c r="G264" t="s">
        <v>12</v>
      </c>
      <c r="H264" t="s">
        <v>190</v>
      </c>
      <c r="I264" t="s">
        <v>43</v>
      </c>
      <c r="J264">
        <v>2022</v>
      </c>
      <c r="K264" t="s">
        <v>60</v>
      </c>
      <c r="N264" t="s">
        <v>99</v>
      </c>
      <c r="AI264">
        <f t="shared" si="9"/>
        <v>1</v>
      </c>
      <c r="AJ264">
        <f>'TABLA PREVIOS'!E264</f>
        <v>252</v>
      </c>
      <c r="AK264">
        <f>VLOOKUP(E264,ALUMNOS!A:B,2,FALSE)</f>
        <v>204</v>
      </c>
    </row>
    <row r="265" spans="2:37" x14ac:dyDescent="0.25">
      <c r="B265" t="str">
        <f t="shared" si="8"/>
        <v>48370926LENGUA EXTRANJERA - INGLÉS5º</v>
      </c>
      <c r="C265" t="s">
        <v>245</v>
      </c>
      <c r="D265" t="s">
        <v>96</v>
      </c>
      <c r="E265">
        <v>48370926</v>
      </c>
      <c r="F265" t="s">
        <v>247</v>
      </c>
      <c r="G265" t="s">
        <v>16</v>
      </c>
      <c r="H265" t="s">
        <v>220</v>
      </c>
      <c r="I265" t="s">
        <v>45</v>
      </c>
      <c r="J265">
        <v>2023</v>
      </c>
      <c r="K265" t="s">
        <v>60</v>
      </c>
      <c r="N265" t="s">
        <v>99</v>
      </c>
      <c r="AI265">
        <f t="shared" si="9"/>
        <v>1</v>
      </c>
      <c r="AJ265">
        <f>'TABLA PREVIOS'!E265</f>
        <v>269</v>
      </c>
      <c r="AK265">
        <f>VLOOKUP(E265,ALUMNOS!A:B,2,FALSE)</f>
        <v>204</v>
      </c>
    </row>
    <row r="266" spans="2:37" x14ac:dyDescent="0.25">
      <c r="B266" t="str">
        <f t="shared" si="8"/>
        <v>48370926MATEMÁTICA5º</v>
      </c>
      <c r="C266" t="s">
        <v>245</v>
      </c>
      <c r="D266" t="s">
        <v>96</v>
      </c>
      <c r="E266">
        <v>48370926</v>
      </c>
      <c r="F266" t="s">
        <v>247</v>
      </c>
      <c r="G266" t="s">
        <v>12</v>
      </c>
      <c r="H266" t="s">
        <v>220</v>
      </c>
      <c r="I266" t="s">
        <v>43</v>
      </c>
      <c r="J266">
        <v>2023</v>
      </c>
      <c r="K266" t="s">
        <v>60</v>
      </c>
      <c r="N266" t="s">
        <v>99</v>
      </c>
      <c r="AI266">
        <f t="shared" si="9"/>
        <v>1</v>
      </c>
      <c r="AJ266">
        <f>'TABLA PREVIOS'!E266</f>
        <v>265</v>
      </c>
      <c r="AK266">
        <f>VLOOKUP(E266,ALUMNOS!A:B,2,FALSE)</f>
        <v>204</v>
      </c>
    </row>
    <row r="267" spans="2:37" x14ac:dyDescent="0.25">
      <c r="B267" t="str">
        <f t="shared" si="8"/>
        <v>47665545MATEMÁTICA5º</v>
      </c>
      <c r="C267" t="s">
        <v>245</v>
      </c>
      <c r="D267" t="s">
        <v>96</v>
      </c>
      <c r="E267">
        <v>47665545</v>
      </c>
      <c r="F267" t="s">
        <v>248</v>
      </c>
      <c r="G267" t="s">
        <v>12</v>
      </c>
      <c r="H267" t="s">
        <v>220</v>
      </c>
      <c r="I267" t="s">
        <v>43</v>
      </c>
      <c r="J267">
        <v>2023</v>
      </c>
      <c r="K267" t="s">
        <v>60</v>
      </c>
      <c r="N267" t="s">
        <v>107</v>
      </c>
      <c r="O267">
        <v>45405</v>
      </c>
      <c r="P267">
        <v>7</v>
      </c>
      <c r="Q267">
        <v>68</v>
      </c>
      <c r="R267">
        <v>32</v>
      </c>
      <c r="AI267">
        <f t="shared" si="9"/>
        <v>7</v>
      </c>
      <c r="AJ267">
        <f>'TABLA PREVIOS'!E267</f>
        <v>265</v>
      </c>
      <c r="AK267">
        <f>VLOOKUP(E267,ALUMNOS!A:B,2,FALSE)</f>
        <v>250</v>
      </c>
    </row>
    <row r="268" spans="2:37" x14ac:dyDescent="0.25">
      <c r="B268" t="str">
        <f t="shared" si="8"/>
        <v>46722025MATEMÁTICA5º</v>
      </c>
      <c r="C268" t="s">
        <v>245</v>
      </c>
      <c r="D268" t="s">
        <v>96</v>
      </c>
      <c r="E268">
        <v>46722025</v>
      </c>
      <c r="F268" t="s">
        <v>249</v>
      </c>
      <c r="G268" t="s">
        <v>12</v>
      </c>
      <c r="H268" t="s">
        <v>220</v>
      </c>
      <c r="I268" t="s">
        <v>43</v>
      </c>
      <c r="J268">
        <v>2023</v>
      </c>
      <c r="K268" t="s">
        <v>60</v>
      </c>
      <c r="N268" t="s">
        <v>99</v>
      </c>
      <c r="AI268">
        <f t="shared" si="9"/>
        <v>1</v>
      </c>
      <c r="AJ268">
        <f>'TABLA PREVIOS'!E268</f>
        <v>265</v>
      </c>
      <c r="AK268">
        <f>VLOOKUP(E268,ALUMNOS!A:B,2,FALSE)</f>
        <v>295</v>
      </c>
    </row>
    <row r="269" spans="2:37" x14ac:dyDescent="0.25">
      <c r="B269" t="str">
        <f t="shared" si="8"/>
        <v>46722025SISTEMAS DE INFORMACIÓN CONTABLE5º</v>
      </c>
      <c r="C269" t="s">
        <v>245</v>
      </c>
      <c r="D269" t="s">
        <v>96</v>
      </c>
      <c r="E269">
        <v>46722025</v>
      </c>
      <c r="F269" t="s">
        <v>249</v>
      </c>
      <c r="G269" t="s">
        <v>29</v>
      </c>
      <c r="H269" t="s">
        <v>220</v>
      </c>
      <c r="I269" t="s">
        <v>43</v>
      </c>
      <c r="J269">
        <v>2023</v>
      </c>
      <c r="K269" t="s">
        <v>60</v>
      </c>
      <c r="N269" t="s">
        <v>99</v>
      </c>
      <c r="AI269">
        <f t="shared" si="9"/>
        <v>1</v>
      </c>
      <c r="AJ269">
        <f>'TABLA PREVIOS'!E269</f>
        <v>273</v>
      </c>
      <c r="AK269">
        <f>VLOOKUP(E269,ALUMNOS!A:B,2,FALSE)</f>
        <v>295</v>
      </c>
    </row>
    <row r="270" spans="2:37" x14ac:dyDescent="0.25">
      <c r="B270" t="str">
        <f t="shared" si="8"/>
        <v>47900897MATEMÁTICA5º</v>
      </c>
      <c r="C270" t="s">
        <v>245</v>
      </c>
      <c r="D270" t="s">
        <v>96</v>
      </c>
      <c r="E270">
        <v>47900897</v>
      </c>
      <c r="F270" t="s">
        <v>250</v>
      </c>
      <c r="G270" t="s">
        <v>12</v>
      </c>
      <c r="H270" t="s">
        <v>220</v>
      </c>
      <c r="I270" t="s">
        <v>43</v>
      </c>
      <c r="J270">
        <v>2023</v>
      </c>
      <c r="K270" t="s">
        <v>60</v>
      </c>
      <c r="N270" t="s">
        <v>107</v>
      </c>
      <c r="O270">
        <v>45405</v>
      </c>
      <c r="P270">
        <v>7</v>
      </c>
      <c r="Q270">
        <v>68</v>
      </c>
      <c r="R270">
        <v>32</v>
      </c>
      <c r="AI270">
        <f t="shared" si="9"/>
        <v>7</v>
      </c>
      <c r="AJ270">
        <f>'TABLA PREVIOS'!E270</f>
        <v>265</v>
      </c>
      <c r="AK270">
        <f>VLOOKUP(E270,ALUMNOS!A:B,2,FALSE)</f>
        <v>395</v>
      </c>
    </row>
    <row r="271" spans="2:37" x14ac:dyDescent="0.25">
      <c r="B271" t="str">
        <f t="shared" si="8"/>
        <v>46037023MATEMÁTICA5º</v>
      </c>
      <c r="C271" t="s">
        <v>245</v>
      </c>
      <c r="D271" t="s">
        <v>96</v>
      </c>
      <c r="E271">
        <v>46037023</v>
      </c>
      <c r="F271" t="s">
        <v>251</v>
      </c>
      <c r="G271" t="s">
        <v>12</v>
      </c>
      <c r="H271" t="s">
        <v>220</v>
      </c>
      <c r="I271" t="s">
        <v>43</v>
      </c>
      <c r="J271">
        <v>2023</v>
      </c>
      <c r="K271" t="s">
        <v>60</v>
      </c>
      <c r="N271" t="s">
        <v>99</v>
      </c>
      <c r="AI271">
        <f t="shared" si="9"/>
        <v>1</v>
      </c>
      <c r="AJ271">
        <f>'TABLA PREVIOS'!E271</f>
        <v>265</v>
      </c>
      <c r="AK271">
        <f>VLOOKUP(E271,ALUMNOS!A:B,2,FALSE)</f>
        <v>532</v>
      </c>
    </row>
    <row r="272" spans="2:37" x14ac:dyDescent="0.25">
      <c r="B272" t="str">
        <f t="shared" si="8"/>
        <v>46037023SISTEMAS DE INFORMACIÓN CONTABLE5º</v>
      </c>
      <c r="C272" t="s">
        <v>245</v>
      </c>
      <c r="D272" t="s">
        <v>96</v>
      </c>
      <c r="E272">
        <v>46037023</v>
      </c>
      <c r="F272" t="s">
        <v>251</v>
      </c>
      <c r="G272" t="s">
        <v>29</v>
      </c>
      <c r="H272" t="s">
        <v>220</v>
      </c>
      <c r="I272" t="s">
        <v>43</v>
      </c>
      <c r="J272">
        <v>2023</v>
      </c>
      <c r="K272" t="s">
        <v>60</v>
      </c>
      <c r="N272" t="s">
        <v>99</v>
      </c>
      <c r="O272">
        <v>45411</v>
      </c>
      <c r="P272" t="s">
        <v>50</v>
      </c>
      <c r="Q272">
        <v>68</v>
      </c>
      <c r="R272">
        <v>45</v>
      </c>
      <c r="AI272">
        <f t="shared" si="9"/>
        <v>1</v>
      </c>
      <c r="AJ272">
        <f>'TABLA PREVIOS'!E272</f>
        <v>273</v>
      </c>
      <c r="AK272">
        <f>VLOOKUP(E272,ALUMNOS!A:B,2,FALSE)</f>
        <v>532</v>
      </c>
    </row>
    <row r="273" spans="2:37" x14ac:dyDescent="0.25">
      <c r="B273" t="str">
        <f t="shared" si="8"/>
        <v>48130212MATEMÁTICA5º</v>
      </c>
      <c r="C273" t="s">
        <v>245</v>
      </c>
      <c r="D273" t="s">
        <v>96</v>
      </c>
      <c r="E273">
        <v>48130212</v>
      </c>
      <c r="F273" t="s">
        <v>252</v>
      </c>
      <c r="G273" t="s">
        <v>12</v>
      </c>
      <c r="H273" t="s">
        <v>220</v>
      </c>
      <c r="I273" t="s">
        <v>43</v>
      </c>
      <c r="J273">
        <v>2023</v>
      </c>
      <c r="K273" t="s">
        <v>60</v>
      </c>
      <c r="N273" t="s">
        <v>99</v>
      </c>
      <c r="O273">
        <v>45405</v>
      </c>
      <c r="P273" t="s">
        <v>50</v>
      </c>
      <c r="Q273">
        <v>68</v>
      </c>
      <c r="R273">
        <v>32</v>
      </c>
      <c r="S273">
        <v>45474</v>
      </c>
      <c r="T273">
        <v>4</v>
      </c>
      <c r="U273">
        <v>68</v>
      </c>
      <c r="V273">
        <v>64</v>
      </c>
      <c r="AI273">
        <f t="shared" si="9"/>
        <v>1</v>
      </c>
      <c r="AJ273">
        <f>'TABLA PREVIOS'!E273</f>
        <v>265</v>
      </c>
      <c r="AK273">
        <f>VLOOKUP(E273,ALUMNOS!A:B,2,FALSE)</f>
        <v>585</v>
      </c>
    </row>
    <row r="274" spans="2:37" x14ac:dyDescent="0.25">
      <c r="B274" t="str">
        <f t="shared" si="8"/>
        <v>47907085ADMINISTRACIÓN4º</v>
      </c>
      <c r="C274" t="s">
        <v>245</v>
      </c>
      <c r="D274" t="s">
        <v>96</v>
      </c>
      <c r="E274">
        <v>47907085</v>
      </c>
      <c r="F274" t="s">
        <v>253</v>
      </c>
      <c r="G274" t="s">
        <v>30</v>
      </c>
      <c r="H274" t="s">
        <v>190</v>
      </c>
      <c r="I274" t="s">
        <v>44</v>
      </c>
      <c r="J274">
        <v>2024</v>
      </c>
      <c r="K274" t="s">
        <v>60</v>
      </c>
      <c r="N274" t="s">
        <v>107</v>
      </c>
      <c r="O274">
        <v>45411</v>
      </c>
      <c r="P274">
        <v>7</v>
      </c>
      <c r="Q274">
        <v>58</v>
      </c>
      <c r="R274">
        <v>197</v>
      </c>
      <c r="AI274">
        <f t="shared" si="9"/>
        <v>7</v>
      </c>
      <c r="AJ274">
        <f>'TABLA PREVIOS'!E274</f>
        <v>260</v>
      </c>
      <c r="AK274">
        <f>VLOOKUP(E274,ALUMNOS!A:B,2,FALSE)</f>
        <v>727</v>
      </c>
    </row>
    <row r="275" spans="2:37" x14ac:dyDescent="0.25">
      <c r="B275" t="str">
        <f t="shared" si="8"/>
        <v>47907085SISTEMAS DE INFORMACIÓN CONTABLE4º</v>
      </c>
      <c r="C275" t="s">
        <v>245</v>
      </c>
      <c r="D275" t="s">
        <v>96</v>
      </c>
      <c r="E275">
        <v>47907085</v>
      </c>
      <c r="F275" t="s">
        <v>253</v>
      </c>
      <c r="G275" t="s">
        <v>29</v>
      </c>
      <c r="H275" t="s">
        <v>190</v>
      </c>
      <c r="I275" t="s">
        <v>44</v>
      </c>
      <c r="J275">
        <v>2024</v>
      </c>
      <c r="K275" t="s">
        <v>60</v>
      </c>
      <c r="N275" t="s">
        <v>107</v>
      </c>
      <c r="O275">
        <v>45411</v>
      </c>
      <c r="P275">
        <v>2</v>
      </c>
      <c r="Q275">
        <v>58</v>
      </c>
      <c r="R275">
        <v>198</v>
      </c>
      <c r="S275">
        <v>45475</v>
      </c>
      <c r="T275">
        <v>7</v>
      </c>
      <c r="U275">
        <v>70</v>
      </c>
      <c r="V275">
        <v>2</v>
      </c>
      <c r="AI275">
        <f t="shared" si="9"/>
        <v>7</v>
      </c>
      <c r="AJ275">
        <f>'TABLA PREVIOS'!E275</f>
        <v>259</v>
      </c>
      <c r="AK275">
        <f>VLOOKUP(E275,ALUMNOS!A:B,2,FALSE)</f>
        <v>727</v>
      </c>
    </row>
    <row r="276" spans="2:37" x14ac:dyDescent="0.25">
      <c r="B276" t="str">
        <f t="shared" si="8"/>
        <v>47907085ADMINISTRACIÓN5º</v>
      </c>
      <c r="C276" t="s">
        <v>245</v>
      </c>
      <c r="D276" t="s">
        <v>96</v>
      </c>
      <c r="E276">
        <v>47907085</v>
      </c>
      <c r="F276" t="s">
        <v>253</v>
      </c>
      <c r="G276" t="s">
        <v>30</v>
      </c>
      <c r="H276" t="s">
        <v>220</v>
      </c>
      <c r="I276" t="s">
        <v>44</v>
      </c>
      <c r="J276">
        <v>2024</v>
      </c>
      <c r="K276" t="s">
        <v>60</v>
      </c>
      <c r="N276" t="s">
        <v>107</v>
      </c>
      <c r="S276">
        <v>45475</v>
      </c>
      <c r="T276">
        <v>7</v>
      </c>
      <c r="U276">
        <v>70</v>
      </c>
      <c r="V276">
        <v>1</v>
      </c>
      <c r="AI276">
        <f t="shared" si="9"/>
        <v>7</v>
      </c>
      <c r="AJ276">
        <f>'TABLA PREVIOS'!E276</f>
        <v>274</v>
      </c>
      <c r="AK276">
        <f>VLOOKUP(E276,ALUMNOS!A:B,2,FALSE)</f>
        <v>727</v>
      </c>
    </row>
    <row r="277" spans="2:37" x14ac:dyDescent="0.25">
      <c r="B277" t="str">
        <f t="shared" si="8"/>
        <v>47907085ECONOMÍA5º</v>
      </c>
      <c r="C277" t="s">
        <v>245</v>
      </c>
      <c r="D277" t="s">
        <v>96</v>
      </c>
      <c r="E277">
        <v>47907085</v>
      </c>
      <c r="F277" t="s">
        <v>253</v>
      </c>
      <c r="G277" t="s">
        <v>34</v>
      </c>
      <c r="H277" t="s">
        <v>220</v>
      </c>
      <c r="I277" t="s">
        <v>44</v>
      </c>
      <c r="J277">
        <v>2024</v>
      </c>
      <c r="K277" t="s">
        <v>60</v>
      </c>
      <c r="N277" t="s">
        <v>99</v>
      </c>
      <c r="S277">
        <v>45475</v>
      </c>
      <c r="T277">
        <v>2</v>
      </c>
      <c r="U277">
        <v>70</v>
      </c>
      <c r="V277">
        <v>3</v>
      </c>
      <c r="AI277">
        <f t="shared" si="9"/>
        <v>1</v>
      </c>
      <c r="AJ277">
        <f>'TABLA PREVIOS'!E277</f>
        <v>275</v>
      </c>
      <c r="AK277">
        <f>VLOOKUP(E277,ALUMNOS!A:B,2,FALSE)</f>
        <v>727</v>
      </c>
    </row>
    <row r="278" spans="2:37" x14ac:dyDescent="0.25">
      <c r="B278" t="str">
        <f t="shared" si="8"/>
        <v>47907085SISTEMAS DE INFORMACIÓN CONTABLE5º</v>
      </c>
      <c r="C278" t="s">
        <v>245</v>
      </c>
      <c r="D278" t="s">
        <v>96</v>
      </c>
      <c r="E278">
        <v>47907085</v>
      </c>
      <c r="F278" t="s">
        <v>253</v>
      </c>
      <c r="G278" t="s">
        <v>29</v>
      </c>
      <c r="H278" t="s">
        <v>220</v>
      </c>
      <c r="I278" t="s">
        <v>44</v>
      </c>
      <c r="J278">
        <v>2024</v>
      </c>
      <c r="K278" t="s">
        <v>60</v>
      </c>
      <c r="N278" t="s">
        <v>99</v>
      </c>
      <c r="AI278">
        <f t="shared" si="9"/>
        <v>1</v>
      </c>
      <c r="AJ278">
        <f>'TABLA PREVIOS'!E278</f>
        <v>273</v>
      </c>
      <c r="AK278">
        <f>VLOOKUP(E278,ALUMNOS!A:B,2,FALSE)</f>
        <v>727</v>
      </c>
    </row>
    <row r="279" spans="2:37" x14ac:dyDescent="0.25">
      <c r="B279" t="str">
        <f t="shared" si="8"/>
        <v>47670177SISTEMAS DE INFORMACIÓN CONTABLE4º</v>
      </c>
      <c r="C279" t="s">
        <v>245</v>
      </c>
      <c r="D279" t="s">
        <v>109</v>
      </c>
      <c r="E279">
        <v>47670177</v>
      </c>
      <c r="F279" t="s">
        <v>254</v>
      </c>
      <c r="G279" t="s">
        <v>29</v>
      </c>
      <c r="H279" t="s">
        <v>190</v>
      </c>
      <c r="I279" t="s">
        <v>43</v>
      </c>
      <c r="J279">
        <v>2022</v>
      </c>
      <c r="K279" t="s">
        <v>60</v>
      </c>
      <c r="N279" t="s">
        <v>99</v>
      </c>
      <c r="O279">
        <v>45411</v>
      </c>
      <c r="P279" t="s">
        <v>50</v>
      </c>
      <c r="Q279">
        <v>68</v>
      </c>
      <c r="R279">
        <v>44</v>
      </c>
      <c r="AI279">
        <f t="shared" si="9"/>
        <v>1</v>
      </c>
      <c r="AJ279">
        <f>'TABLA PREVIOS'!E279</f>
        <v>259</v>
      </c>
      <c r="AK279">
        <f>VLOOKUP(E279,ALUMNOS!A:B,2,FALSE)</f>
        <v>487</v>
      </c>
    </row>
    <row r="280" spans="2:37" x14ac:dyDescent="0.25">
      <c r="B280" t="str">
        <f t="shared" si="8"/>
        <v>47670177ADMINISTRACIÓN DE LA PRODUCCIÓN Y COMERCIALIZACIÓN5º</v>
      </c>
      <c r="C280" t="s">
        <v>245</v>
      </c>
      <c r="D280" t="s">
        <v>109</v>
      </c>
      <c r="E280">
        <v>47670177</v>
      </c>
      <c r="F280" t="s">
        <v>254</v>
      </c>
      <c r="G280" t="s">
        <v>32</v>
      </c>
      <c r="H280" t="s">
        <v>220</v>
      </c>
      <c r="I280" t="s">
        <v>43</v>
      </c>
      <c r="J280">
        <v>2023</v>
      </c>
      <c r="K280" t="s">
        <v>60</v>
      </c>
      <c r="N280" t="s">
        <v>99</v>
      </c>
      <c r="S280">
        <v>45475</v>
      </c>
      <c r="T280">
        <v>3</v>
      </c>
      <c r="U280">
        <v>68</v>
      </c>
      <c r="V280">
        <v>78</v>
      </c>
      <c r="AI280">
        <f t="shared" si="9"/>
        <v>1</v>
      </c>
      <c r="AJ280">
        <f>'TABLA PREVIOS'!E280</f>
        <v>277</v>
      </c>
      <c r="AK280">
        <f>VLOOKUP(E280,ALUMNOS!A:B,2,FALSE)</f>
        <v>487</v>
      </c>
    </row>
    <row r="281" spans="2:37" x14ac:dyDescent="0.25">
      <c r="B281" t="str">
        <f t="shared" si="8"/>
        <v>47670177MATEMÁTICA5º</v>
      </c>
      <c r="C281" t="s">
        <v>245</v>
      </c>
      <c r="D281" t="s">
        <v>109</v>
      </c>
      <c r="E281">
        <v>47670177</v>
      </c>
      <c r="F281" t="s">
        <v>254</v>
      </c>
      <c r="G281" t="s">
        <v>12</v>
      </c>
      <c r="H281" t="s">
        <v>220</v>
      </c>
      <c r="I281" t="s">
        <v>45</v>
      </c>
      <c r="J281">
        <v>2023</v>
      </c>
      <c r="K281" t="s">
        <v>60</v>
      </c>
      <c r="N281" t="s">
        <v>99</v>
      </c>
      <c r="AI281">
        <f t="shared" si="9"/>
        <v>1</v>
      </c>
      <c r="AJ281">
        <f>'TABLA PREVIOS'!E281</f>
        <v>265</v>
      </c>
      <c r="AK281">
        <f>VLOOKUP(E281,ALUMNOS!A:B,2,FALSE)</f>
        <v>487</v>
      </c>
    </row>
    <row r="282" spans="2:37" x14ac:dyDescent="0.25">
      <c r="B282" t="str">
        <f t="shared" si="8"/>
        <v>47305406SISTEMAS DE INFORMACIÓN CONTABLE5º</v>
      </c>
      <c r="C282" t="s">
        <v>245</v>
      </c>
      <c r="D282" t="s">
        <v>128</v>
      </c>
      <c r="E282">
        <v>47305406</v>
      </c>
      <c r="F282" t="s">
        <v>255</v>
      </c>
      <c r="G282" t="s">
        <v>29</v>
      </c>
      <c r="H282" t="s">
        <v>220</v>
      </c>
      <c r="I282" t="s">
        <v>43</v>
      </c>
      <c r="J282">
        <v>2023</v>
      </c>
      <c r="K282" t="s">
        <v>60</v>
      </c>
      <c r="N282" t="s">
        <v>99</v>
      </c>
      <c r="AI282">
        <f t="shared" si="9"/>
        <v>1</v>
      </c>
      <c r="AJ282">
        <f>'TABLA PREVIOS'!E282</f>
        <v>273</v>
      </c>
      <c r="AK282">
        <f>VLOOKUP(E282,ALUMNOS!A:B,2,FALSE)</f>
        <v>40</v>
      </c>
    </row>
    <row r="283" spans="2:37" x14ac:dyDescent="0.25">
      <c r="B283" t="str">
        <f t="shared" si="8"/>
        <v>46768242LENGUA EXTRANJERA - INGLÉS2º</v>
      </c>
      <c r="C283" t="s">
        <v>245</v>
      </c>
      <c r="D283" t="s">
        <v>128</v>
      </c>
      <c r="E283">
        <v>46768242</v>
      </c>
      <c r="F283" t="s">
        <v>256</v>
      </c>
      <c r="G283" t="s">
        <v>16</v>
      </c>
      <c r="H283" t="s">
        <v>95</v>
      </c>
      <c r="I283" t="s">
        <v>43</v>
      </c>
      <c r="J283">
        <v>2020</v>
      </c>
      <c r="K283" t="s">
        <v>59</v>
      </c>
      <c r="M283" t="s">
        <v>216</v>
      </c>
      <c r="N283" t="s">
        <v>99</v>
      </c>
      <c r="AI283">
        <f t="shared" si="9"/>
        <v>1</v>
      </c>
      <c r="AJ283">
        <f>'TABLA PREVIOS'!E283</f>
        <v>234</v>
      </c>
      <c r="AK283">
        <f>VLOOKUP(E283,ALUMNOS!A:B,2,FALSE)</f>
        <v>91</v>
      </c>
    </row>
    <row r="284" spans="2:37" x14ac:dyDescent="0.25">
      <c r="B284" t="str">
        <f t="shared" si="8"/>
        <v>46768242LENGUA EXTRANJERA - INGLÉS4º</v>
      </c>
      <c r="C284" t="s">
        <v>245</v>
      </c>
      <c r="D284" t="s">
        <v>128</v>
      </c>
      <c r="E284">
        <v>46768242</v>
      </c>
      <c r="F284" t="s">
        <v>256</v>
      </c>
      <c r="G284" t="s">
        <v>16</v>
      </c>
      <c r="H284" t="s">
        <v>190</v>
      </c>
      <c r="I284" t="s">
        <v>43</v>
      </c>
      <c r="J284">
        <v>2022</v>
      </c>
      <c r="K284" t="s">
        <v>60</v>
      </c>
      <c r="N284" t="s">
        <v>99</v>
      </c>
      <c r="AI284">
        <f t="shared" si="9"/>
        <v>1</v>
      </c>
      <c r="AJ284">
        <f>'TABLA PREVIOS'!E284</f>
        <v>256</v>
      </c>
      <c r="AK284">
        <f>VLOOKUP(E284,ALUMNOS!A:B,2,FALSE)</f>
        <v>91</v>
      </c>
    </row>
    <row r="285" spans="2:37" x14ac:dyDescent="0.25">
      <c r="B285" t="str">
        <f t="shared" si="8"/>
        <v>46035160LENGUA EXTRANJERA - INGLÉS3º</v>
      </c>
      <c r="C285" t="s">
        <v>245</v>
      </c>
      <c r="D285" t="s">
        <v>128</v>
      </c>
      <c r="E285">
        <v>46035160</v>
      </c>
      <c r="F285" t="s">
        <v>257</v>
      </c>
      <c r="G285" t="s">
        <v>16</v>
      </c>
      <c r="H285" t="s">
        <v>143</v>
      </c>
      <c r="I285" t="s">
        <v>43</v>
      </c>
      <c r="J285">
        <v>2021</v>
      </c>
      <c r="K285" t="s">
        <v>59</v>
      </c>
      <c r="N285" t="s">
        <v>99</v>
      </c>
      <c r="AI285">
        <f t="shared" si="9"/>
        <v>1</v>
      </c>
      <c r="AJ285">
        <f>'TABLA PREVIOS'!E285</f>
        <v>245</v>
      </c>
      <c r="AK285">
        <f>VLOOKUP(E285,ALUMNOS!A:B,2,FALSE)</f>
        <v>122</v>
      </c>
    </row>
    <row r="286" spans="2:37" x14ac:dyDescent="0.25">
      <c r="B286" t="str">
        <f t="shared" si="8"/>
        <v>48538499SISTEMAS DE INFORMACIÓN CONTABLE5º</v>
      </c>
      <c r="C286" t="s">
        <v>245</v>
      </c>
      <c r="D286" t="s">
        <v>128</v>
      </c>
      <c r="E286">
        <v>48538499</v>
      </c>
      <c r="F286" t="s">
        <v>258</v>
      </c>
      <c r="G286" t="s">
        <v>29</v>
      </c>
      <c r="H286" t="s">
        <v>220</v>
      </c>
      <c r="I286" t="s">
        <v>43</v>
      </c>
      <c r="J286">
        <v>2023</v>
      </c>
      <c r="K286" t="s">
        <v>60</v>
      </c>
      <c r="N286" t="s">
        <v>99</v>
      </c>
      <c r="AI286">
        <f t="shared" si="9"/>
        <v>1</v>
      </c>
      <c r="AJ286">
        <f>'TABLA PREVIOS'!E286</f>
        <v>273</v>
      </c>
      <c r="AK286">
        <f>VLOOKUP(E286,ALUMNOS!A:B,2,FALSE)</f>
        <v>284</v>
      </c>
    </row>
    <row r="287" spans="2:37" x14ac:dyDescent="0.25">
      <c r="B287" t="str">
        <f t="shared" si="8"/>
        <v>46509049CIENCIAS SOCIALES - HISTORIA2º</v>
      </c>
      <c r="C287" t="s">
        <v>245</v>
      </c>
      <c r="D287" t="s">
        <v>128</v>
      </c>
      <c r="E287">
        <v>46509049</v>
      </c>
      <c r="F287" t="s">
        <v>259</v>
      </c>
      <c r="G287" t="s">
        <v>22</v>
      </c>
      <c r="H287" t="s">
        <v>95</v>
      </c>
      <c r="I287" t="s">
        <v>45</v>
      </c>
      <c r="J287">
        <v>2020</v>
      </c>
      <c r="K287" t="s">
        <v>59</v>
      </c>
      <c r="N287" t="s">
        <v>99</v>
      </c>
      <c r="AI287">
        <f t="shared" si="9"/>
        <v>1</v>
      </c>
      <c r="AJ287">
        <f>'TABLA PREVIOS'!E287</f>
        <v>233</v>
      </c>
      <c r="AK287">
        <f>VLOOKUP(E287,ALUMNOS!A:B,2,FALSE)</f>
        <v>398</v>
      </c>
    </row>
    <row r="288" spans="2:37" x14ac:dyDescent="0.25">
      <c r="B288" t="str">
        <f t="shared" si="8"/>
        <v>46509049MATEMÁTICA2º</v>
      </c>
      <c r="C288" t="s">
        <v>245</v>
      </c>
      <c r="D288" t="s">
        <v>128</v>
      </c>
      <c r="E288">
        <v>46509049</v>
      </c>
      <c r="F288" t="s">
        <v>259</v>
      </c>
      <c r="G288" t="s">
        <v>12</v>
      </c>
      <c r="H288" t="s">
        <v>95</v>
      </c>
      <c r="I288" t="s">
        <v>43</v>
      </c>
      <c r="J288">
        <v>2020</v>
      </c>
      <c r="K288" t="s">
        <v>59</v>
      </c>
      <c r="N288" t="s">
        <v>99</v>
      </c>
      <c r="AI288">
        <f t="shared" si="9"/>
        <v>1</v>
      </c>
      <c r="AJ288">
        <f>'TABLA PREVIOS'!E288</f>
        <v>230</v>
      </c>
      <c r="AK288">
        <f>VLOOKUP(E288,ALUMNOS!A:B,2,FALSE)</f>
        <v>398</v>
      </c>
    </row>
    <row r="289" spans="2:37" x14ac:dyDescent="0.25">
      <c r="B289" t="str">
        <f t="shared" si="8"/>
        <v>46509049LENGUA EXTRANJERA - INGLÉS3º</v>
      </c>
      <c r="C289" t="s">
        <v>245</v>
      </c>
      <c r="D289" t="s">
        <v>128</v>
      </c>
      <c r="E289">
        <v>46509049</v>
      </c>
      <c r="F289" t="s">
        <v>259</v>
      </c>
      <c r="G289" t="s">
        <v>16</v>
      </c>
      <c r="H289" t="s">
        <v>143</v>
      </c>
      <c r="I289" t="s">
        <v>43</v>
      </c>
      <c r="J289">
        <v>2021</v>
      </c>
      <c r="K289" t="s">
        <v>59</v>
      </c>
      <c r="M289" t="s">
        <v>260</v>
      </c>
      <c r="N289" t="s">
        <v>99</v>
      </c>
      <c r="AI289">
        <f t="shared" si="9"/>
        <v>1</v>
      </c>
      <c r="AJ289">
        <f>'TABLA PREVIOS'!E289</f>
        <v>245</v>
      </c>
      <c r="AK289">
        <f>VLOOKUP(E289,ALUMNOS!A:B,2,FALSE)</f>
        <v>398</v>
      </c>
    </row>
    <row r="290" spans="2:37" x14ac:dyDescent="0.25">
      <c r="B290" t="str">
        <f t="shared" si="8"/>
        <v>47727928ADMINISTRACIÓN4º</v>
      </c>
      <c r="C290" t="s">
        <v>245</v>
      </c>
      <c r="D290" t="s">
        <v>128</v>
      </c>
      <c r="E290">
        <v>47727928</v>
      </c>
      <c r="F290" t="s">
        <v>261</v>
      </c>
      <c r="G290" t="s">
        <v>30</v>
      </c>
      <c r="H290" t="s">
        <v>190</v>
      </c>
      <c r="I290" t="s">
        <v>44</v>
      </c>
      <c r="J290">
        <v>2023</v>
      </c>
      <c r="K290" t="s">
        <v>60</v>
      </c>
      <c r="N290" t="s">
        <v>107</v>
      </c>
      <c r="S290">
        <v>45475</v>
      </c>
      <c r="T290">
        <v>7</v>
      </c>
      <c r="U290">
        <v>58</v>
      </c>
      <c r="V290">
        <v>200</v>
      </c>
      <c r="AI290">
        <f t="shared" si="9"/>
        <v>7</v>
      </c>
      <c r="AJ290">
        <f>'TABLA PREVIOS'!E290</f>
        <v>260</v>
      </c>
      <c r="AK290">
        <f>VLOOKUP(E290,ALUMNOS!A:B,2,FALSE)</f>
        <v>443</v>
      </c>
    </row>
    <row r="291" spans="2:37" x14ac:dyDescent="0.25">
      <c r="B291" t="str">
        <f t="shared" si="8"/>
        <v>47250892ADMINISTRACIÓN4º</v>
      </c>
      <c r="C291" t="s">
        <v>245</v>
      </c>
      <c r="D291" t="s">
        <v>128</v>
      </c>
      <c r="E291">
        <v>47250892</v>
      </c>
      <c r="F291" t="s">
        <v>262</v>
      </c>
      <c r="G291" t="s">
        <v>30</v>
      </c>
      <c r="H291" t="s">
        <v>190</v>
      </c>
      <c r="I291" t="s">
        <v>43</v>
      </c>
      <c r="J291">
        <v>2022</v>
      </c>
      <c r="K291" t="s">
        <v>60</v>
      </c>
      <c r="N291" t="s">
        <v>99</v>
      </c>
      <c r="AI291">
        <f t="shared" si="9"/>
        <v>1</v>
      </c>
      <c r="AJ291">
        <f>'TABLA PREVIOS'!E291</f>
        <v>260</v>
      </c>
      <c r="AK291">
        <f>VLOOKUP(E291,ALUMNOS!A:B,2,FALSE)</f>
        <v>473</v>
      </c>
    </row>
    <row r="292" spans="2:37" x14ac:dyDescent="0.25">
      <c r="B292" t="str">
        <f t="shared" si="8"/>
        <v>47250892FORMACIÓN PARA LA VIDA Y EL TRABAJO4º</v>
      </c>
      <c r="C292" t="s">
        <v>245</v>
      </c>
      <c r="D292" t="s">
        <v>128</v>
      </c>
      <c r="E292">
        <v>47250892</v>
      </c>
      <c r="F292" t="s">
        <v>262</v>
      </c>
      <c r="G292" t="s">
        <v>28</v>
      </c>
      <c r="H292" t="s">
        <v>190</v>
      </c>
      <c r="I292" t="s">
        <v>43</v>
      </c>
      <c r="J292">
        <v>2022</v>
      </c>
      <c r="K292" t="s">
        <v>60</v>
      </c>
      <c r="N292" t="s">
        <v>99</v>
      </c>
      <c r="O292">
        <v>45400</v>
      </c>
      <c r="P292" t="s">
        <v>263</v>
      </c>
      <c r="Q292">
        <v>68</v>
      </c>
      <c r="R292">
        <v>21</v>
      </c>
      <c r="AI292">
        <f t="shared" si="9"/>
        <v>1</v>
      </c>
      <c r="AJ292">
        <f>'TABLA PREVIOS'!E292</f>
        <v>258</v>
      </c>
      <c r="AK292">
        <f>VLOOKUP(E292,ALUMNOS!A:B,2,FALSE)</f>
        <v>473</v>
      </c>
    </row>
    <row r="293" spans="2:37" x14ac:dyDescent="0.25">
      <c r="B293" t="str">
        <f t="shared" si="8"/>
        <v>47989209ADMINISTRACIÓN4º</v>
      </c>
      <c r="C293" t="s">
        <v>245</v>
      </c>
      <c r="D293" t="s">
        <v>128</v>
      </c>
      <c r="E293">
        <v>47989209</v>
      </c>
      <c r="F293" t="s">
        <v>264</v>
      </c>
      <c r="G293" t="s">
        <v>30</v>
      </c>
      <c r="H293" t="s">
        <v>190</v>
      </c>
      <c r="I293" t="s">
        <v>43</v>
      </c>
      <c r="J293">
        <v>2022</v>
      </c>
      <c r="K293" t="s">
        <v>60</v>
      </c>
      <c r="N293" t="s">
        <v>99</v>
      </c>
      <c r="AI293">
        <f t="shared" si="9"/>
        <v>1</v>
      </c>
      <c r="AJ293">
        <f>'TABLA PREVIOS'!E293</f>
        <v>260</v>
      </c>
      <c r="AK293">
        <f>VLOOKUP(E293,ALUMNOS!A:B,2,FALSE)</f>
        <v>498</v>
      </c>
    </row>
    <row r="294" spans="2:37" x14ac:dyDescent="0.25">
      <c r="B294" t="str">
        <f t="shared" si="8"/>
        <v>47250824BIOLOGÍA2º</v>
      </c>
      <c r="C294" t="s">
        <v>245</v>
      </c>
      <c r="D294" t="s">
        <v>128</v>
      </c>
      <c r="E294">
        <v>47250824</v>
      </c>
      <c r="F294" t="s">
        <v>265</v>
      </c>
      <c r="G294" t="s">
        <v>21</v>
      </c>
      <c r="H294" t="s">
        <v>95</v>
      </c>
      <c r="I294" t="s">
        <v>43</v>
      </c>
      <c r="J294">
        <v>2020</v>
      </c>
      <c r="K294" t="s">
        <v>59</v>
      </c>
      <c r="N294" t="s">
        <v>99</v>
      </c>
      <c r="AI294">
        <f t="shared" si="9"/>
        <v>1</v>
      </c>
      <c r="AJ294">
        <f>'TABLA PREVIOS'!E294</f>
        <v>232</v>
      </c>
      <c r="AK294">
        <f>VLOOKUP(E294,ALUMNOS!A:B,2,FALSE)</f>
        <v>550</v>
      </c>
    </row>
    <row r="295" spans="2:37" x14ac:dyDescent="0.25">
      <c r="B295" t="str">
        <f t="shared" si="8"/>
        <v>47250824LENGUA Y LITERATURA2º</v>
      </c>
      <c r="C295" t="s">
        <v>245</v>
      </c>
      <c r="D295" t="s">
        <v>128</v>
      </c>
      <c r="E295">
        <v>47250824</v>
      </c>
      <c r="F295" t="s">
        <v>265</v>
      </c>
      <c r="G295" t="s">
        <v>11</v>
      </c>
      <c r="H295" t="s">
        <v>95</v>
      </c>
      <c r="I295" t="s">
        <v>43</v>
      </c>
      <c r="J295">
        <v>2020</v>
      </c>
      <c r="K295" t="s">
        <v>59</v>
      </c>
      <c r="N295" t="s">
        <v>99</v>
      </c>
      <c r="AI295">
        <f t="shared" si="9"/>
        <v>1</v>
      </c>
      <c r="AJ295">
        <f>'TABLA PREVIOS'!E295</f>
        <v>229</v>
      </c>
      <c r="AK295">
        <f>VLOOKUP(E295,ALUMNOS!A:B,2,FALSE)</f>
        <v>550</v>
      </c>
    </row>
    <row r="296" spans="2:37" x14ac:dyDescent="0.25">
      <c r="B296" t="str">
        <f t="shared" si="8"/>
        <v>47250824FORMACIÓN PARA LA VIDA Y EL TRABAJO5º</v>
      </c>
      <c r="C296" t="s">
        <v>245</v>
      </c>
      <c r="D296" t="s">
        <v>128</v>
      </c>
      <c r="E296">
        <v>47250824</v>
      </c>
      <c r="F296" t="s">
        <v>265</v>
      </c>
      <c r="G296" t="s">
        <v>28</v>
      </c>
      <c r="H296" t="s">
        <v>220</v>
      </c>
      <c r="I296" t="s">
        <v>43</v>
      </c>
      <c r="J296">
        <v>2023</v>
      </c>
      <c r="K296" t="s">
        <v>60</v>
      </c>
      <c r="N296" t="s">
        <v>99</v>
      </c>
      <c r="AI296">
        <f t="shared" si="9"/>
        <v>1</v>
      </c>
      <c r="AJ296">
        <f>'TABLA PREVIOS'!E296</f>
        <v>272</v>
      </c>
      <c r="AK296">
        <f>VLOOKUP(E296,ALUMNOS!A:B,2,FALSE)</f>
        <v>550</v>
      </c>
    </row>
    <row r="297" spans="2:37" x14ac:dyDescent="0.25">
      <c r="B297" t="str">
        <f t="shared" si="8"/>
        <v>47570651MATEMÁTICA3º</v>
      </c>
      <c r="C297" t="s">
        <v>245</v>
      </c>
      <c r="D297" t="s">
        <v>128</v>
      </c>
      <c r="E297">
        <v>47570651</v>
      </c>
      <c r="F297" t="s">
        <v>266</v>
      </c>
      <c r="G297" t="s">
        <v>12</v>
      </c>
      <c r="H297" t="s">
        <v>143</v>
      </c>
      <c r="I297" t="s">
        <v>43</v>
      </c>
      <c r="J297">
        <v>2021</v>
      </c>
      <c r="K297" t="s">
        <v>59</v>
      </c>
      <c r="L297" t="s">
        <v>267</v>
      </c>
      <c r="N297" t="s">
        <v>99</v>
      </c>
      <c r="AI297">
        <f t="shared" si="9"/>
        <v>1</v>
      </c>
      <c r="AJ297">
        <f>'TABLA PREVIOS'!E297</f>
        <v>240</v>
      </c>
      <c r="AK297">
        <f>VLOOKUP(E297,ALUMNOS!A:B,2,FALSE)</f>
        <v>642</v>
      </c>
    </row>
    <row r="298" spans="2:37" x14ac:dyDescent="0.25">
      <c r="B298" t="str">
        <f t="shared" si="8"/>
        <v>47570651SISTEMAS DE INFORMACIÓN CONTABLE5º</v>
      </c>
      <c r="C298" t="s">
        <v>245</v>
      </c>
      <c r="D298" t="s">
        <v>128</v>
      </c>
      <c r="E298">
        <v>47570651</v>
      </c>
      <c r="F298" t="s">
        <v>266</v>
      </c>
      <c r="G298" t="s">
        <v>29</v>
      </c>
      <c r="H298" t="s">
        <v>220</v>
      </c>
      <c r="I298" t="s">
        <v>43</v>
      </c>
      <c r="J298">
        <v>2023</v>
      </c>
      <c r="K298" t="s">
        <v>60</v>
      </c>
      <c r="N298" t="s">
        <v>99</v>
      </c>
      <c r="S298">
        <v>45475</v>
      </c>
      <c r="T298" t="s">
        <v>50</v>
      </c>
      <c r="U298">
        <v>68</v>
      </c>
      <c r="V298">
        <v>79</v>
      </c>
      <c r="AI298">
        <f t="shared" si="9"/>
        <v>1</v>
      </c>
      <c r="AJ298">
        <f>'TABLA PREVIOS'!E298</f>
        <v>273</v>
      </c>
      <c r="AK298">
        <f>VLOOKUP(E298,ALUMNOS!A:B,2,FALSE)</f>
        <v>642</v>
      </c>
    </row>
    <row r="299" spans="2:37" x14ac:dyDescent="0.25">
      <c r="B299" t="str">
        <f t="shared" si="8"/>
        <v>47665588HISTORIA4º</v>
      </c>
      <c r="C299" t="s">
        <v>245</v>
      </c>
      <c r="D299" t="s">
        <v>128</v>
      </c>
      <c r="E299">
        <v>47665588</v>
      </c>
      <c r="F299" t="s">
        <v>268</v>
      </c>
      <c r="G299" t="s">
        <v>27</v>
      </c>
      <c r="H299" t="s">
        <v>190</v>
      </c>
      <c r="I299" t="s">
        <v>43</v>
      </c>
      <c r="J299">
        <v>2022</v>
      </c>
      <c r="K299" t="s">
        <v>60</v>
      </c>
      <c r="N299" t="s">
        <v>99</v>
      </c>
      <c r="AI299">
        <f t="shared" si="9"/>
        <v>1</v>
      </c>
      <c r="AJ299">
        <f>'TABLA PREVIOS'!E299</f>
        <v>255</v>
      </c>
      <c r="AK299">
        <f>VLOOKUP(E299,ALUMNOS!A:B,2,FALSE)</f>
        <v>778</v>
      </c>
    </row>
    <row r="300" spans="2:37" x14ac:dyDescent="0.25">
      <c r="B300" t="str">
        <f t="shared" si="8"/>
        <v>47665588FORMACIÓN PARA LA VIDA Y EL TRABAJO5º</v>
      </c>
      <c r="C300" t="s">
        <v>245</v>
      </c>
      <c r="D300" t="s">
        <v>128</v>
      </c>
      <c r="E300">
        <v>47665588</v>
      </c>
      <c r="F300" t="s">
        <v>268</v>
      </c>
      <c r="G300" t="s">
        <v>28</v>
      </c>
      <c r="H300" t="s">
        <v>220</v>
      </c>
      <c r="I300" t="s">
        <v>43</v>
      </c>
      <c r="J300">
        <v>2023</v>
      </c>
      <c r="K300" t="s">
        <v>60</v>
      </c>
      <c r="N300" t="s">
        <v>99</v>
      </c>
      <c r="AI300">
        <f t="shared" si="9"/>
        <v>1</v>
      </c>
      <c r="AJ300">
        <f>'TABLA PREVIOS'!E300</f>
        <v>272</v>
      </c>
      <c r="AK300">
        <f>VLOOKUP(E300,ALUMNOS!A:B,2,FALSE)</f>
        <v>778</v>
      </c>
    </row>
    <row r="301" spans="2:37" x14ac:dyDescent="0.25">
      <c r="B301" t="str">
        <f t="shared" si="8"/>
        <v>47665588SISTEMAS DE INFORMACIÓN CONTABLE5º</v>
      </c>
      <c r="C301" t="s">
        <v>245</v>
      </c>
      <c r="D301" t="s">
        <v>128</v>
      </c>
      <c r="E301">
        <v>47665588</v>
      </c>
      <c r="F301" t="s">
        <v>268</v>
      </c>
      <c r="G301" t="s">
        <v>29</v>
      </c>
      <c r="H301" t="s">
        <v>220</v>
      </c>
      <c r="I301" t="s">
        <v>43</v>
      </c>
      <c r="J301">
        <v>2023</v>
      </c>
      <c r="K301" t="s">
        <v>60</v>
      </c>
      <c r="N301" t="s">
        <v>99</v>
      </c>
      <c r="AI301">
        <f t="shared" si="9"/>
        <v>1</v>
      </c>
      <c r="AJ301">
        <f>'TABLA PREVIOS'!E301</f>
        <v>273</v>
      </c>
      <c r="AK301">
        <f>VLOOKUP(E301,ALUMNOS!A:B,2,FALSE)</f>
        <v>778</v>
      </c>
    </row>
    <row r="302" spans="2:37" x14ac:dyDescent="0.25">
      <c r="B302" t="str">
        <f t="shared" si="8"/>
        <v>36148256FÍSICA4º</v>
      </c>
      <c r="C302" t="s">
        <v>269</v>
      </c>
      <c r="E302">
        <v>36148256</v>
      </c>
      <c r="F302" t="s">
        <v>270</v>
      </c>
      <c r="G302" t="s">
        <v>24</v>
      </c>
      <c r="H302" t="s">
        <v>190</v>
      </c>
      <c r="I302" t="s">
        <v>43</v>
      </c>
      <c r="J302">
        <v>2008</v>
      </c>
      <c r="K302" t="s">
        <v>58</v>
      </c>
      <c r="N302" t="s">
        <v>99</v>
      </c>
      <c r="AI302">
        <f t="shared" si="9"/>
        <v>1</v>
      </c>
      <c r="AJ302">
        <f>'TABLA PREVIOS'!E302</f>
        <v>173</v>
      </c>
      <c r="AK302">
        <f>VLOOKUP(E302,ALUMNOS!A:B,2,FALSE)</f>
        <v>121</v>
      </c>
    </row>
    <row r="303" spans="2:37" x14ac:dyDescent="0.25">
      <c r="B303" t="str">
        <f t="shared" si="8"/>
        <v>36148256GEOGRAFÍA5º</v>
      </c>
      <c r="C303" t="s">
        <v>269</v>
      </c>
      <c r="E303">
        <v>36148256</v>
      </c>
      <c r="F303" t="s">
        <v>270</v>
      </c>
      <c r="G303" t="s">
        <v>26</v>
      </c>
      <c r="H303" t="s">
        <v>220</v>
      </c>
      <c r="I303" t="s">
        <v>43</v>
      </c>
      <c r="J303">
        <v>2009</v>
      </c>
      <c r="K303" t="s">
        <v>58</v>
      </c>
      <c r="N303" t="s">
        <v>99</v>
      </c>
      <c r="AI303">
        <f t="shared" si="9"/>
        <v>1</v>
      </c>
      <c r="AJ303">
        <f>'TABLA PREVIOS'!E303</f>
        <v>193</v>
      </c>
      <c r="AK303">
        <f>VLOOKUP(E303,ALUMNOS!A:B,2,FALSE)</f>
        <v>121</v>
      </c>
    </row>
    <row r="304" spans="2:37" x14ac:dyDescent="0.25">
      <c r="B304" t="str">
        <f t="shared" si="8"/>
        <v>36148256EDUCACIÓN FÍSICA6º</v>
      </c>
      <c r="C304" t="s">
        <v>269</v>
      </c>
      <c r="E304">
        <v>36148256</v>
      </c>
      <c r="F304" t="s">
        <v>270</v>
      </c>
      <c r="G304" t="s">
        <v>10</v>
      </c>
      <c r="H304" t="s">
        <v>245</v>
      </c>
      <c r="I304" t="s">
        <v>43</v>
      </c>
      <c r="J304">
        <v>2010</v>
      </c>
      <c r="K304" t="s">
        <v>58</v>
      </c>
      <c r="N304" t="s">
        <v>99</v>
      </c>
      <c r="AI304">
        <f t="shared" si="9"/>
        <v>1</v>
      </c>
      <c r="AJ304">
        <f>'TABLA PREVIOS'!E304</f>
        <v>210</v>
      </c>
      <c r="AK304">
        <f>VLOOKUP(E304,ALUMNOS!A:B,2,FALSE)</f>
        <v>121</v>
      </c>
    </row>
    <row r="305" spans="2:37" x14ac:dyDescent="0.25">
      <c r="B305" t="str">
        <f t="shared" si="8"/>
        <v>36148256PROYECTO INTEGRADOR III6º</v>
      </c>
      <c r="C305" t="s">
        <v>269</v>
      </c>
      <c r="E305">
        <v>36148256</v>
      </c>
      <c r="F305" t="s">
        <v>270</v>
      </c>
      <c r="G305" t="s">
        <v>271</v>
      </c>
      <c r="H305" t="s">
        <v>245</v>
      </c>
      <c r="I305" t="s">
        <v>43</v>
      </c>
      <c r="J305">
        <v>2010</v>
      </c>
      <c r="K305" t="s">
        <v>58</v>
      </c>
      <c r="N305" t="s">
        <v>99</v>
      </c>
      <c r="AI305">
        <f t="shared" si="9"/>
        <v>1</v>
      </c>
      <c r="AJ305">
        <f>'TABLA PREVIOS'!E305</f>
        <v>216</v>
      </c>
      <c r="AK305">
        <f>VLOOKUP(E305,ALUMNOS!A:B,2,FALSE)</f>
        <v>121</v>
      </c>
    </row>
    <row r="306" spans="2:37" x14ac:dyDescent="0.25">
      <c r="B306" t="str">
        <f t="shared" si="8"/>
        <v>36148256RECURSO INFORMÁTICO III6º</v>
      </c>
      <c r="C306" t="s">
        <v>269</v>
      </c>
      <c r="E306">
        <v>36148256</v>
      </c>
      <c r="F306" t="s">
        <v>270</v>
      </c>
      <c r="G306" t="s">
        <v>272</v>
      </c>
      <c r="H306" t="s">
        <v>245</v>
      </c>
      <c r="I306" t="s">
        <v>43</v>
      </c>
      <c r="J306">
        <v>2010</v>
      </c>
      <c r="K306" t="s">
        <v>58</v>
      </c>
      <c r="N306" t="s">
        <v>99</v>
      </c>
      <c r="AI306">
        <f t="shared" si="9"/>
        <v>1</v>
      </c>
      <c r="AJ306">
        <f>'TABLA PREVIOS'!E306</f>
        <v>217</v>
      </c>
      <c r="AK306">
        <f>VLOOKUP(E306,ALUMNOS!A:B,2,FALSE)</f>
        <v>121</v>
      </c>
    </row>
    <row r="307" spans="2:37" x14ac:dyDescent="0.25">
      <c r="B307" t="str">
        <f t="shared" si="8"/>
        <v>39445113LENGUA EXTRANJERA - INGLÉS3º</v>
      </c>
      <c r="C307" t="s">
        <v>273</v>
      </c>
      <c r="E307">
        <v>39445113</v>
      </c>
      <c r="F307" t="s">
        <v>274</v>
      </c>
      <c r="G307" t="s">
        <v>16</v>
      </c>
      <c r="H307" t="s">
        <v>143</v>
      </c>
      <c r="I307" t="s">
        <v>43</v>
      </c>
      <c r="J307">
        <v>2011</v>
      </c>
      <c r="K307" t="s">
        <v>59</v>
      </c>
      <c r="N307" t="s">
        <v>99</v>
      </c>
      <c r="AI307">
        <f t="shared" si="9"/>
        <v>1</v>
      </c>
      <c r="AJ307">
        <f>'TABLA PREVIOS'!E307</f>
        <v>245</v>
      </c>
      <c r="AK307">
        <f>VLOOKUP(E307,ALUMNOS!A:B,2,FALSE)</f>
        <v>315</v>
      </c>
    </row>
    <row r="308" spans="2:37" x14ac:dyDescent="0.25">
      <c r="B308" t="str">
        <f t="shared" si="8"/>
        <v>41158008LENGUA EXTRANJERA - INGLÉS2º</v>
      </c>
      <c r="C308" t="s">
        <v>275</v>
      </c>
      <c r="E308">
        <v>41158008</v>
      </c>
      <c r="F308" t="s">
        <v>276</v>
      </c>
      <c r="G308" t="s">
        <v>16</v>
      </c>
      <c r="H308" t="s">
        <v>95</v>
      </c>
      <c r="I308" t="s">
        <v>43</v>
      </c>
      <c r="J308">
        <v>2012</v>
      </c>
      <c r="K308" t="s">
        <v>59</v>
      </c>
      <c r="N308" t="s">
        <v>99</v>
      </c>
      <c r="AI308">
        <f t="shared" si="9"/>
        <v>1</v>
      </c>
      <c r="AJ308">
        <f>'TABLA PREVIOS'!E308</f>
        <v>234</v>
      </c>
      <c r="AK308">
        <f>VLOOKUP(E308,ALUMNOS!A:B,2,FALSE)</f>
        <v>120</v>
      </c>
    </row>
    <row r="309" spans="2:37" x14ac:dyDescent="0.25">
      <c r="B309" t="str">
        <f t="shared" si="8"/>
        <v>41158008LENGUA EXTRANJERA - INGLÉS4º</v>
      </c>
      <c r="C309" t="s">
        <v>275</v>
      </c>
      <c r="E309">
        <v>41158008</v>
      </c>
      <c r="F309" t="s">
        <v>276</v>
      </c>
      <c r="G309" t="s">
        <v>16</v>
      </c>
      <c r="H309" t="s">
        <v>190</v>
      </c>
      <c r="I309" t="s">
        <v>43</v>
      </c>
      <c r="J309">
        <v>2014</v>
      </c>
      <c r="K309" t="s">
        <v>60</v>
      </c>
      <c r="N309" t="s">
        <v>99</v>
      </c>
      <c r="AI309">
        <f t="shared" si="9"/>
        <v>1</v>
      </c>
      <c r="AJ309">
        <f>'TABLA PREVIOS'!E309</f>
        <v>256</v>
      </c>
      <c r="AK309">
        <f>VLOOKUP(E309,ALUMNOS!A:B,2,FALSE)</f>
        <v>120</v>
      </c>
    </row>
    <row r="310" spans="2:37" x14ac:dyDescent="0.25">
      <c r="B310" t="str">
        <f t="shared" si="8"/>
        <v>41158008MATEMÁTICA5º</v>
      </c>
      <c r="C310" t="s">
        <v>275</v>
      </c>
      <c r="E310">
        <v>41158008</v>
      </c>
      <c r="F310" t="s">
        <v>276</v>
      </c>
      <c r="G310" t="s">
        <v>12</v>
      </c>
      <c r="H310" t="s">
        <v>220</v>
      </c>
      <c r="I310" t="s">
        <v>43</v>
      </c>
      <c r="J310">
        <v>2015</v>
      </c>
      <c r="K310" t="s">
        <v>60</v>
      </c>
      <c r="N310" t="s">
        <v>99</v>
      </c>
      <c r="AI310">
        <f t="shared" si="9"/>
        <v>1</v>
      </c>
      <c r="AJ310">
        <f>'TABLA PREVIOS'!E310</f>
        <v>265</v>
      </c>
      <c r="AK310">
        <f>VLOOKUP(E310,ALUMNOS!A:B,2,FALSE)</f>
        <v>120</v>
      </c>
    </row>
    <row r="311" spans="2:37" x14ac:dyDescent="0.25">
      <c r="B311" t="str">
        <f t="shared" si="8"/>
        <v>41158008LENGUA EXTRANJERA - INGLÉS6º</v>
      </c>
      <c r="C311" t="s">
        <v>275</v>
      </c>
      <c r="E311">
        <v>41158008</v>
      </c>
      <c r="F311" t="s">
        <v>276</v>
      </c>
      <c r="G311" t="s">
        <v>16</v>
      </c>
      <c r="H311" t="s">
        <v>245</v>
      </c>
      <c r="I311" t="s">
        <v>43</v>
      </c>
      <c r="J311">
        <v>2016</v>
      </c>
      <c r="K311" t="s">
        <v>60</v>
      </c>
      <c r="N311" t="s">
        <v>99</v>
      </c>
      <c r="AI311">
        <f t="shared" si="9"/>
        <v>1</v>
      </c>
      <c r="AJ311">
        <f>'TABLA PREVIOS'!E311</f>
        <v>282</v>
      </c>
      <c r="AK311">
        <f>VLOOKUP(E311,ALUMNOS!A:B,2,FALSE)</f>
        <v>120</v>
      </c>
    </row>
    <row r="312" spans="2:37" x14ac:dyDescent="0.25">
      <c r="B312" t="str">
        <f t="shared" si="8"/>
        <v>40575280LENGUA EXTRANJERA - INGLÉS6º</v>
      </c>
      <c r="C312" t="s">
        <v>275</v>
      </c>
      <c r="E312">
        <v>40575280</v>
      </c>
      <c r="F312" t="s">
        <v>277</v>
      </c>
      <c r="G312" t="s">
        <v>16</v>
      </c>
      <c r="H312" t="s">
        <v>245</v>
      </c>
      <c r="I312" t="s">
        <v>43</v>
      </c>
      <c r="J312">
        <v>2016</v>
      </c>
      <c r="K312" t="s">
        <v>60</v>
      </c>
      <c r="N312" t="s">
        <v>99</v>
      </c>
      <c r="AI312">
        <f t="shared" si="9"/>
        <v>1</v>
      </c>
      <c r="AJ312">
        <f>'TABLA PREVIOS'!E312</f>
        <v>282</v>
      </c>
      <c r="AK312">
        <f>VLOOKUP(E312,ALUMNOS!A:B,2,FALSE)</f>
        <v>528</v>
      </c>
    </row>
    <row r="313" spans="2:37" x14ac:dyDescent="0.25">
      <c r="B313" t="str">
        <f t="shared" si="8"/>
        <v>41674034GEOGRAFÍA4º</v>
      </c>
      <c r="C313" t="s">
        <v>278</v>
      </c>
      <c r="E313">
        <v>41674034</v>
      </c>
      <c r="F313" t="s">
        <v>279</v>
      </c>
      <c r="G313" t="s">
        <v>26</v>
      </c>
      <c r="H313" t="s">
        <v>190</v>
      </c>
      <c r="I313" t="s">
        <v>43</v>
      </c>
      <c r="J313">
        <v>2014</v>
      </c>
      <c r="K313" t="s">
        <v>60</v>
      </c>
      <c r="N313" t="s">
        <v>99</v>
      </c>
      <c r="AI313">
        <f t="shared" si="9"/>
        <v>1</v>
      </c>
      <c r="AJ313">
        <f>'TABLA PREVIOS'!E313</f>
        <v>254</v>
      </c>
      <c r="AK313">
        <f>VLOOKUP(E313,ALUMNOS!A:B,2,FALSE)</f>
        <v>818</v>
      </c>
    </row>
    <row r="314" spans="2:37" x14ac:dyDescent="0.25">
      <c r="B314" t="str">
        <f t="shared" si="8"/>
        <v>41674034LENGUA EXTRANJERA - INGLÉS4º</v>
      </c>
      <c r="C314" t="s">
        <v>278</v>
      </c>
      <c r="E314">
        <v>41674034</v>
      </c>
      <c r="F314" t="s">
        <v>279</v>
      </c>
      <c r="G314" t="s">
        <v>16</v>
      </c>
      <c r="H314" t="s">
        <v>190</v>
      </c>
      <c r="I314" t="s">
        <v>43</v>
      </c>
      <c r="J314">
        <v>2014</v>
      </c>
      <c r="K314" t="s">
        <v>60</v>
      </c>
      <c r="N314" t="s">
        <v>99</v>
      </c>
      <c r="AI314">
        <f t="shared" si="9"/>
        <v>1</v>
      </c>
      <c r="AJ314">
        <f>'TABLA PREVIOS'!E314</f>
        <v>256</v>
      </c>
      <c r="AK314">
        <f>VLOOKUP(E314,ALUMNOS!A:B,2,FALSE)</f>
        <v>818</v>
      </c>
    </row>
    <row r="315" spans="2:37" x14ac:dyDescent="0.25">
      <c r="B315" t="str">
        <f t="shared" si="8"/>
        <v>41674034ECONOMÍA5º</v>
      </c>
      <c r="C315" t="s">
        <v>278</v>
      </c>
      <c r="E315">
        <v>41674034</v>
      </c>
      <c r="F315" t="s">
        <v>279</v>
      </c>
      <c r="G315" t="s">
        <v>34</v>
      </c>
      <c r="H315" t="s">
        <v>220</v>
      </c>
      <c r="I315" t="s">
        <v>43</v>
      </c>
      <c r="J315">
        <v>2015</v>
      </c>
      <c r="K315" t="s">
        <v>60</v>
      </c>
      <c r="N315" t="s">
        <v>99</v>
      </c>
      <c r="AI315">
        <f t="shared" si="9"/>
        <v>1</v>
      </c>
      <c r="AJ315">
        <f>'TABLA PREVIOS'!E315</f>
        <v>275</v>
      </c>
      <c r="AK315">
        <f>VLOOKUP(E315,ALUMNOS!A:B,2,FALSE)</f>
        <v>818</v>
      </c>
    </row>
    <row r="316" spans="2:37" x14ac:dyDescent="0.25">
      <c r="B316" t="str">
        <f t="shared" si="8"/>
        <v>41674034ADMINISTRACIÓN6º</v>
      </c>
      <c r="C316" t="s">
        <v>278</v>
      </c>
      <c r="E316">
        <v>41674034</v>
      </c>
      <c r="F316" t="s">
        <v>279</v>
      </c>
      <c r="G316" t="s">
        <v>30</v>
      </c>
      <c r="H316" t="s">
        <v>245</v>
      </c>
      <c r="I316" t="s">
        <v>43</v>
      </c>
      <c r="J316">
        <v>2017</v>
      </c>
      <c r="K316" t="s">
        <v>60</v>
      </c>
      <c r="N316" t="s">
        <v>99</v>
      </c>
      <c r="AI316">
        <f t="shared" si="9"/>
        <v>1</v>
      </c>
      <c r="AJ316">
        <f>'TABLA PREVIOS'!E316</f>
        <v>285</v>
      </c>
      <c r="AK316">
        <f>VLOOKUP(E316,ALUMNOS!A:B,2,FALSE)</f>
        <v>818</v>
      </c>
    </row>
    <row r="317" spans="2:37" x14ac:dyDescent="0.25">
      <c r="B317" t="str">
        <f t="shared" si="8"/>
        <v>41674034ADMINISTRACIÓN FINANCIERA6º</v>
      </c>
      <c r="C317" t="s">
        <v>278</v>
      </c>
      <c r="E317">
        <v>41674034</v>
      </c>
      <c r="F317" t="s">
        <v>279</v>
      </c>
      <c r="G317" t="s">
        <v>40</v>
      </c>
      <c r="H317" t="s">
        <v>245</v>
      </c>
      <c r="I317" t="s">
        <v>43</v>
      </c>
      <c r="J317">
        <v>2017</v>
      </c>
      <c r="K317" t="s">
        <v>60</v>
      </c>
      <c r="N317" t="s">
        <v>99</v>
      </c>
      <c r="AI317">
        <f t="shared" si="9"/>
        <v>1</v>
      </c>
      <c r="AJ317">
        <f>'TABLA PREVIOS'!E317</f>
        <v>289</v>
      </c>
      <c r="AK317">
        <f>VLOOKUP(E317,ALUMNOS!A:B,2,FALSE)</f>
        <v>818</v>
      </c>
    </row>
    <row r="318" spans="2:37" x14ac:dyDescent="0.25">
      <c r="B318" t="str">
        <f t="shared" si="8"/>
        <v>41674034SISTEMAS DE INFORMACIÓN CONTABLE6º</v>
      </c>
      <c r="C318" t="s">
        <v>278</v>
      </c>
      <c r="E318">
        <v>41674034</v>
      </c>
      <c r="F318" t="s">
        <v>279</v>
      </c>
      <c r="G318" t="s">
        <v>29</v>
      </c>
      <c r="H318" t="s">
        <v>245</v>
      </c>
      <c r="I318" t="s">
        <v>43</v>
      </c>
      <c r="J318">
        <v>2017</v>
      </c>
      <c r="K318" t="s">
        <v>60</v>
      </c>
      <c r="N318" t="s">
        <v>99</v>
      </c>
      <c r="AI318">
        <f t="shared" si="9"/>
        <v>1</v>
      </c>
      <c r="AJ318">
        <f>'TABLA PREVIOS'!E318</f>
        <v>290</v>
      </c>
      <c r="AK318">
        <f>VLOOKUP(E318,ALUMNOS!A:B,2,FALSE)</f>
        <v>818</v>
      </c>
    </row>
    <row r="319" spans="2:37" x14ac:dyDescent="0.25">
      <c r="B319" t="str">
        <f t="shared" si="8"/>
        <v>42156664HISTORIA3º</v>
      </c>
      <c r="C319" t="s">
        <v>278</v>
      </c>
      <c r="E319">
        <v>42156664</v>
      </c>
      <c r="F319" t="s">
        <v>280</v>
      </c>
      <c r="G319" t="s">
        <v>27</v>
      </c>
      <c r="H319" t="s">
        <v>143</v>
      </c>
      <c r="I319" t="s">
        <v>43</v>
      </c>
      <c r="J319">
        <v>2014</v>
      </c>
      <c r="K319" t="s">
        <v>59</v>
      </c>
      <c r="N319" t="s">
        <v>107</v>
      </c>
      <c r="O319">
        <v>45411</v>
      </c>
      <c r="P319">
        <v>7</v>
      </c>
      <c r="Q319">
        <v>68</v>
      </c>
      <c r="R319">
        <v>43</v>
      </c>
      <c r="AI319">
        <f t="shared" si="9"/>
        <v>7</v>
      </c>
      <c r="AJ319">
        <f>'TABLA PREVIOS'!E319</f>
        <v>244</v>
      </c>
      <c r="AK319">
        <f>VLOOKUP(E319,ALUMNOS!A:B,2,FALSE)</f>
        <v>222</v>
      </c>
    </row>
    <row r="320" spans="2:37" x14ac:dyDescent="0.25">
      <c r="B320" t="str">
        <f t="shared" si="8"/>
        <v>40575260EDUCACIÓN FÍSICA6º</v>
      </c>
      <c r="C320" t="s">
        <v>278</v>
      </c>
      <c r="E320">
        <v>40575260</v>
      </c>
      <c r="F320" t="s">
        <v>281</v>
      </c>
      <c r="G320" t="s">
        <v>10</v>
      </c>
      <c r="H320" t="s">
        <v>245</v>
      </c>
      <c r="I320" t="s">
        <v>43</v>
      </c>
      <c r="J320">
        <v>2017</v>
      </c>
      <c r="K320" t="s">
        <v>60</v>
      </c>
      <c r="N320" t="s">
        <v>99</v>
      </c>
      <c r="AI320">
        <f t="shared" si="9"/>
        <v>1</v>
      </c>
      <c r="AJ320">
        <f>'TABLA PREVIOS'!E320</f>
        <v>278</v>
      </c>
      <c r="AK320">
        <f>VLOOKUP(E320,ALUMNOS!A:B,2,FALSE)</f>
        <v>486</v>
      </c>
    </row>
    <row r="321" spans="2:37" x14ac:dyDescent="0.25">
      <c r="B321" t="str">
        <f t="shared" si="8"/>
        <v>40575260LENGUA EXTRANJERA - INGLÉS6º</v>
      </c>
      <c r="C321" t="s">
        <v>278</v>
      </c>
      <c r="E321">
        <v>40575260</v>
      </c>
      <c r="F321" t="s">
        <v>281</v>
      </c>
      <c r="G321" t="s">
        <v>16</v>
      </c>
      <c r="H321" t="s">
        <v>245</v>
      </c>
      <c r="I321" t="s">
        <v>43</v>
      </c>
      <c r="J321">
        <v>2017</v>
      </c>
      <c r="K321" t="s">
        <v>60</v>
      </c>
      <c r="N321" t="s">
        <v>99</v>
      </c>
      <c r="AI321">
        <f t="shared" si="9"/>
        <v>1</v>
      </c>
      <c r="AJ321">
        <f>'TABLA PREVIOS'!E321</f>
        <v>282</v>
      </c>
      <c r="AK321">
        <f>VLOOKUP(E321,ALUMNOS!A:B,2,FALSE)</f>
        <v>486</v>
      </c>
    </row>
    <row r="322" spans="2:37" x14ac:dyDescent="0.25">
      <c r="B322" t="str">
        <f t="shared" si="8"/>
        <v>40575260LENGUA Y LITERATURA6º</v>
      </c>
      <c r="C322" t="s">
        <v>278</v>
      </c>
      <c r="E322">
        <v>40575260</v>
      </c>
      <c r="F322" t="s">
        <v>281</v>
      </c>
      <c r="G322" t="s">
        <v>11</v>
      </c>
      <c r="H322" t="s">
        <v>245</v>
      </c>
      <c r="I322" t="s">
        <v>43</v>
      </c>
      <c r="J322">
        <v>2017</v>
      </c>
      <c r="K322" t="s">
        <v>60</v>
      </c>
      <c r="N322" t="s">
        <v>99</v>
      </c>
      <c r="AI322">
        <f t="shared" si="9"/>
        <v>1</v>
      </c>
      <c r="AJ322">
        <f>'TABLA PREVIOS'!E322</f>
        <v>279</v>
      </c>
      <c r="AK322">
        <f>VLOOKUP(E322,ALUMNOS!A:B,2,FALSE)</f>
        <v>486</v>
      </c>
    </row>
    <row r="323" spans="2:37" x14ac:dyDescent="0.25">
      <c r="B323" t="str">
        <f t="shared" ref="B323:B386" si="10">E323&amp;G323&amp;H323</f>
        <v>46847389ADMINISTRACIÓN6º</v>
      </c>
      <c r="C323" t="s">
        <v>282</v>
      </c>
      <c r="E323">
        <v>46847389</v>
      </c>
      <c r="F323" t="s">
        <v>283</v>
      </c>
      <c r="G323" t="s">
        <v>30</v>
      </c>
      <c r="H323" t="s">
        <v>245</v>
      </c>
      <c r="I323" t="s">
        <v>43</v>
      </c>
      <c r="J323">
        <v>2019</v>
      </c>
      <c r="K323" t="s">
        <v>60</v>
      </c>
      <c r="N323" t="s">
        <v>99</v>
      </c>
      <c r="AI323">
        <f t="shared" ref="AI323:AI386" si="11">IF(VALUE(MAX(P323,T323,X323,AB323,AE323,))&gt;=7,VALUE(MAX(P323,T323,X323,AB323,AE323,)),1)</f>
        <v>1</v>
      </c>
      <c r="AJ323">
        <f>'TABLA PREVIOS'!E323</f>
        <v>285</v>
      </c>
      <c r="AK323">
        <f>VLOOKUP(E323,ALUMNOS!A:B,2,FALSE)</f>
        <v>378</v>
      </c>
    </row>
    <row r="324" spans="2:37" x14ac:dyDescent="0.25">
      <c r="B324" t="str">
        <f t="shared" si="10"/>
        <v>46847389ECONOMÍA6º</v>
      </c>
      <c r="C324" t="s">
        <v>282</v>
      </c>
      <c r="E324">
        <v>46847389</v>
      </c>
      <c r="F324" t="s">
        <v>283</v>
      </c>
      <c r="G324" t="s">
        <v>34</v>
      </c>
      <c r="H324" t="s">
        <v>245</v>
      </c>
      <c r="I324" t="s">
        <v>43</v>
      </c>
      <c r="J324">
        <v>2019</v>
      </c>
      <c r="K324" t="s">
        <v>60</v>
      </c>
      <c r="N324" t="s">
        <v>99</v>
      </c>
      <c r="AI324">
        <f t="shared" si="11"/>
        <v>1</v>
      </c>
      <c r="AJ324">
        <f>'TABLA PREVIOS'!E324</f>
        <v>286</v>
      </c>
      <c r="AK324">
        <f>VLOOKUP(E324,ALUMNOS!A:B,2,FALSE)</f>
        <v>378</v>
      </c>
    </row>
    <row r="325" spans="2:37" x14ac:dyDescent="0.25">
      <c r="B325" t="str">
        <f t="shared" si="10"/>
        <v>46847389FILOSOFÍA6º</v>
      </c>
      <c r="C325" t="s">
        <v>282</v>
      </c>
      <c r="E325">
        <v>46847389</v>
      </c>
      <c r="F325" t="s">
        <v>283</v>
      </c>
      <c r="G325" t="s">
        <v>41</v>
      </c>
      <c r="H325" t="s">
        <v>245</v>
      </c>
      <c r="I325" t="s">
        <v>43</v>
      </c>
      <c r="J325">
        <v>2019</v>
      </c>
      <c r="K325" t="s">
        <v>60</v>
      </c>
      <c r="N325" t="s">
        <v>99</v>
      </c>
      <c r="AI325">
        <f t="shared" si="11"/>
        <v>1</v>
      </c>
      <c r="AJ325">
        <f>'TABLA PREVIOS'!E325</f>
        <v>292</v>
      </c>
      <c r="AK325">
        <f>VLOOKUP(E325,ALUMNOS!A:B,2,FALSE)</f>
        <v>378</v>
      </c>
    </row>
    <row r="326" spans="2:37" x14ac:dyDescent="0.25">
      <c r="B326" t="str">
        <f t="shared" si="10"/>
        <v>46847389FORMACIÓN PARA LA VIDA Y EL TRABAJO6º</v>
      </c>
      <c r="C326" t="s">
        <v>282</v>
      </c>
      <c r="E326">
        <v>46847389</v>
      </c>
      <c r="F326" t="s">
        <v>283</v>
      </c>
      <c r="G326" t="s">
        <v>28</v>
      </c>
      <c r="H326" t="s">
        <v>245</v>
      </c>
      <c r="I326" t="s">
        <v>43</v>
      </c>
      <c r="J326">
        <v>2019</v>
      </c>
      <c r="K326" t="s">
        <v>60</v>
      </c>
      <c r="N326" t="s">
        <v>99</v>
      </c>
      <c r="AI326">
        <f t="shared" si="11"/>
        <v>1</v>
      </c>
      <c r="AJ326">
        <f>'TABLA PREVIOS'!E326</f>
        <v>291</v>
      </c>
      <c r="AK326">
        <f>VLOOKUP(E326,ALUMNOS!A:B,2,FALSE)</f>
        <v>378</v>
      </c>
    </row>
    <row r="327" spans="2:37" x14ac:dyDescent="0.25">
      <c r="B327" t="str">
        <f t="shared" si="10"/>
        <v>46847389RESPONSABILIDAD SOCIAL DE LAS ORGANIZACIONES6º</v>
      </c>
      <c r="C327" t="s">
        <v>282</v>
      </c>
      <c r="E327">
        <v>46847389</v>
      </c>
      <c r="F327" t="s">
        <v>283</v>
      </c>
      <c r="G327" t="s">
        <v>39</v>
      </c>
      <c r="H327" t="s">
        <v>245</v>
      </c>
      <c r="I327" t="s">
        <v>43</v>
      </c>
      <c r="J327">
        <v>2019</v>
      </c>
      <c r="K327" t="s">
        <v>60</v>
      </c>
      <c r="N327" t="s">
        <v>99</v>
      </c>
      <c r="AI327">
        <f t="shared" si="11"/>
        <v>1</v>
      </c>
      <c r="AJ327">
        <f>'TABLA PREVIOS'!E327</f>
        <v>288</v>
      </c>
      <c r="AK327">
        <f>VLOOKUP(E327,ALUMNOS!A:B,2,FALSE)</f>
        <v>378</v>
      </c>
    </row>
    <row r="328" spans="2:37" x14ac:dyDescent="0.25">
      <c r="B328" t="str">
        <f t="shared" si="10"/>
        <v>43367452GEOGRAFÍA4º</v>
      </c>
      <c r="C328" t="s">
        <v>282</v>
      </c>
      <c r="E328">
        <v>43367452</v>
      </c>
      <c r="F328" t="s">
        <v>284</v>
      </c>
      <c r="G328" t="s">
        <v>26</v>
      </c>
      <c r="H328" t="s">
        <v>190</v>
      </c>
      <c r="I328" t="s">
        <v>43</v>
      </c>
      <c r="J328">
        <v>2017</v>
      </c>
      <c r="K328" t="s">
        <v>60</v>
      </c>
      <c r="N328" t="s">
        <v>99</v>
      </c>
      <c r="AI328">
        <f t="shared" si="11"/>
        <v>1</v>
      </c>
      <c r="AJ328">
        <f>'TABLA PREVIOS'!E328</f>
        <v>254</v>
      </c>
      <c r="AK328">
        <f>VLOOKUP(E328,ALUMNOS!A:B,2,FALSE)</f>
        <v>676</v>
      </c>
    </row>
    <row r="329" spans="2:37" x14ac:dyDescent="0.25">
      <c r="B329" t="str">
        <f t="shared" si="10"/>
        <v>43367452SISTEMAS DE INFORMACIÓN CONTABLE4º</v>
      </c>
      <c r="C329" t="s">
        <v>282</v>
      </c>
      <c r="E329">
        <v>43367452</v>
      </c>
      <c r="F329" t="s">
        <v>284</v>
      </c>
      <c r="G329" t="s">
        <v>29</v>
      </c>
      <c r="H329" t="s">
        <v>190</v>
      </c>
      <c r="I329" t="s">
        <v>43</v>
      </c>
      <c r="J329">
        <v>2017</v>
      </c>
      <c r="K329" t="s">
        <v>60</v>
      </c>
      <c r="N329" t="s">
        <v>99</v>
      </c>
      <c r="AI329">
        <f t="shared" si="11"/>
        <v>1</v>
      </c>
      <c r="AJ329">
        <f>'TABLA PREVIOS'!E329</f>
        <v>259</v>
      </c>
      <c r="AK329">
        <f>VLOOKUP(E329,ALUMNOS!A:B,2,FALSE)</f>
        <v>676</v>
      </c>
    </row>
    <row r="330" spans="2:37" x14ac:dyDescent="0.25">
      <c r="B330" t="str">
        <f t="shared" si="10"/>
        <v>43367452ADMINISTRACIÓN6º</v>
      </c>
      <c r="C330" t="s">
        <v>282</v>
      </c>
      <c r="E330">
        <v>43367452</v>
      </c>
      <c r="F330" t="s">
        <v>284</v>
      </c>
      <c r="G330" t="s">
        <v>30</v>
      </c>
      <c r="H330" t="s">
        <v>245</v>
      </c>
      <c r="I330" t="s">
        <v>43</v>
      </c>
      <c r="J330">
        <v>2019</v>
      </c>
      <c r="K330" t="s">
        <v>60</v>
      </c>
      <c r="N330" t="s">
        <v>99</v>
      </c>
      <c r="AI330">
        <f t="shared" si="11"/>
        <v>1</v>
      </c>
      <c r="AJ330">
        <f>'TABLA PREVIOS'!E330</f>
        <v>285</v>
      </c>
      <c r="AK330">
        <f>VLOOKUP(E330,ALUMNOS!A:B,2,FALSE)</f>
        <v>676</v>
      </c>
    </row>
    <row r="331" spans="2:37" x14ac:dyDescent="0.25">
      <c r="B331" t="str">
        <f t="shared" si="10"/>
        <v>43367452RESPONSABILIDAD SOCIAL DE LAS ORGANIZACIONES6º</v>
      </c>
      <c r="C331" t="s">
        <v>282</v>
      </c>
      <c r="E331">
        <v>43367452</v>
      </c>
      <c r="F331" t="s">
        <v>284</v>
      </c>
      <c r="G331" t="s">
        <v>39</v>
      </c>
      <c r="H331" t="s">
        <v>245</v>
      </c>
      <c r="I331" t="s">
        <v>43</v>
      </c>
      <c r="J331">
        <v>2019</v>
      </c>
      <c r="K331" t="s">
        <v>60</v>
      </c>
      <c r="N331" t="s">
        <v>99</v>
      </c>
      <c r="AI331">
        <f t="shared" si="11"/>
        <v>1</v>
      </c>
      <c r="AJ331">
        <f>'TABLA PREVIOS'!E331</f>
        <v>288</v>
      </c>
      <c r="AK331">
        <f>VLOOKUP(E331,ALUMNOS!A:B,2,FALSE)</f>
        <v>676</v>
      </c>
    </row>
    <row r="332" spans="2:37" x14ac:dyDescent="0.25">
      <c r="B332" t="str">
        <f t="shared" si="10"/>
        <v>44264057ADMINISTRACIÓN6º</v>
      </c>
      <c r="C332" t="s">
        <v>285</v>
      </c>
      <c r="D332" t="s">
        <v>96</v>
      </c>
      <c r="E332">
        <v>44264057</v>
      </c>
      <c r="F332" t="s">
        <v>286</v>
      </c>
      <c r="G332" t="s">
        <v>30</v>
      </c>
      <c r="H332" t="s">
        <v>245</v>
      </c>
      <c r="I332" t="s">
        <v>43</v>
      </c>
      <c r="J332">
        <v>2020</v>
      </c>
      <c r="K332" t="s">
        <v>60</v>
      </c>
      <c r="N332" t="s">
        <v>99</v>
      </c>
      <c r="AI332">
        <f t="shared" si="11"/>
        <v>1</v>
      </c>
      <c r="AJ332">
        <f>'TABLA PREVIOS'!E332</f>
        <v>285</v>
      </c>
      <c r="AK332">
        <f>VLOOKUP(E332,ALUMNOS!A:B,2,FALSE)</f>
        <v>63</v>
      </c>
    </row>
    <row r="333" spans="2:37" x14ac:dyDescent="0.25">
      <c r="B333" t="str">
        <f t="shared" si="10"/>
        <v>44264057SISTEMAS DE INFORMACIÓN CONTABLE6º</v>
      </c>
      <c r="C333" t="s">
        <v>285</v>
      </c>
      <c r="D333" t="s">
        <v>96</v>
      </c>
      <c r="E333">
        <v>44264057</v>
      </c>
      <c r="F333" t="s">
        <v>286</v>
      </c>
      <c r="G333" t="s">
        <v>29</v>
      </c>
      <c r="H333" t="s">
        <v>245</v>
      </c>
      <c r="I333" t="s">
        <v>43</v>
      </c>
      <c r="J333">
        <v>2020</v>
      </c>
      <c r="K333" t="s">
        <v>60</v>
      </c>
      <c r="N333" t="s">
        <v>99</v>
      </c>
      <c r="AI333">
        <f t="shared" si="11"/>
        <v>1</v>
      </c>
      <c r="AJ333">
        <f>'TABLA PREVIOS'!E333</f>
        <v>290</v>
      </c>
      <c r="AK333">
        <f>VLOOKUP(E333,ALUMNOS!A:B,2,FALSE)</f>
        <v>63</v>
      </c>
    </row>
    <row r="334" spans="2:37" x14ac:dyDescent="0.25">
      <c r="B334" t="str">
        <f t="shared" si="10"/>
        <v>43230018ECONOMÍA Y DESARROLLO SUSTENTABLE4º</v>
      </c>
      <c r="C334" t="s">
        <v>285</v>
      </c>
      <c r="D334" t="s">
        <v>96</v>
      </c>
      <c r="E334">
        <v>43230018</v>
      </c>
      <c r="F334" t="s">
        <v>287</v>
      </c>
      <c r="G334" t="s">
        <v>31</v>
      </c>
      <c r="H334" t="s">
        <v>190</v>
      </c>
      <c r="I334" t="s">
        <v>46</v>
      </c>
      <c r="J334">
        <v>2018</v>
      </c>
      <c r="K334" t="s">
        <v>60</v>
      </c>
      <c r="L334" t="s">
        <v>288</v>
      </c>
      <c r="N334" t="s">
        <v>99</v>
      </c>
      <c r="AI334">
        <f t="shared" si="11"/>
        <v>1</v>
      </c>
      <c r="AJ334">
        <f>'TABLA PREVIOS'!E334</f>
        <v>261</v>
      </c>
      <c r="AK334">
        <f>VLOOKUP(E334,ALUMNOS!A:B,2,FALSE)</f>
        <v>65</v>
      </c>
    </row>
    <row r="335" spans="2:37" x14ac:dyDescent="0.25">
      <c r="B335" t="str">
        <f t="shared" si="10"/>
        <v>43230018MATEMÁTICA6º</v>
      </c>
      <c r="C335" t="s">
        <v>285</v>
      </c>
      <c r="D335" t="s">
        <v>96</v>
      </c>
      <c r="E335">
        <v>43230018</v>
      </c>
      <c r="F335" t="s">
        <v>287</v>
      </c>
      <c r="G335" t="s">
        <v>12</v>
      </c>
      <c r="H335" t="s">
        <v>245</v>
      </c>
      <c r="I335" t="s">
        <v>46</v>
      </c>
      <c r="J335">
        <v>2020</v>
      </c>
      <c r="K335" t="s">
        <v>60</v>
      </c>
      <c r="L335" t="s">
        <v>288</v>
      </c>
      <c r="N335" t="s">
        <v>99</v>
      </c>
      <c r="AI335">
        <f t="shared" si="11"/>
        <v>1</v>
      </c>
      <c r="AJ335">
        <f>'TABLA PREVIOS'!E335</f>
        <v>280</v>
      </c>
      <c r="AK335">
        <f>VLOOKUP(E335,ALUMNOS!A:B,2,FALSE)</f>
        <v>65</v>
      </c>
    </row>
    <row r="336" spans="2:37" x14ac:dyDescent="0.25">
      <c r="B336" t="str">
        <f t="shared" si="10"/>
        <v>43929972LENGUA EXTRANJERA - INGLÉS4º</v>
      </c>
      <c r="C336" t="s">
        <v>285</v>
      </c>
      <c r="D336" t="s">
        <v>96</v>
      </c>
      <c r="E336">
        <v>43929972</v>
      </c>
      <c r="F336" t="s">
        <v>289</v>
      </c>
      <c r="G336" t="s">
        <v>16</v>
      </c>
      <c r="H336" t="s">
        <v>190</v>
      </c>
      <c r="I336" t="s">
        <v>43</v>
      </c>
      <c r="J336">
        <v>2018</v>
      </c>
      <c r="K336" t="s">
        <v>60</v>
      </c>
      <c r="N336" t="s">
        <v>99</v>
      </c>
      <c r="AI336">
        <f t="shared" si="11"/>
        <v>1</v>
      </c>
      <c r="AJ336">
        <f>'TABLA PREVIOS'!E336</f>
        <v>256</v>
      </c>
      <c r="AK336">
        <f>VLOOKUP(E336,ALUMNOS!A:B,2,FALSE)</f>
        <v>89</v>
      </c>
    </row>
    <row r="337" spans="2:37" x14ac:dyDescent="0.25">
      <c r="B337" t="str">
        <f t="shared" si="10"/>
        <v>43929972MATEMÁTICA4º</v>
      </c>
      <c r="C337" t="s">
        <v>285</v>
      </c>
      <c r="D337" t="s">
        <v>96</v>
      </c>
      <c r="E337">
        <v>43929972</v>
      </c>
      <c r="F337" t="s">
        <v>289</v>
      </c>
      <c r="G337" t="s">
        <v>12</v>
      </c>
      <c r="H337" t="s">
        <v>190</v>
      </c>
      <c r="I337" t="s">
        <v>43</v>
      </c>
      <c r="J337">
        <v>2018</v>
      </c>
      <c r="K337" t="s">
        <v>60</v>
      </c>
      <c r="N337" t="s">
        <v>99</v>
      </c>
      <c r="AI337">
        <f t="shared" si="11"/>
        <v>1</v>
      </c>
      <c r="AJ337">
        <f>'TABLA PREVIOS'!E337</f>
        <v>252</v>
      </c>
      <c r="AK337">
        <f>VLOOKUP(E337,ALUMNOS!A:B,2,FALSE)</f>
        <v>89</v>
      </c>
    </row>
    <row r="338" spans="2:37" x14ac:dyDescent="0.25">
      <c r="B338" t="str">
        <f t="shared" si="10"/>
        <v>43929972ADMINISTRACIÓN6º</v>
      </c>
      <c r="C338" t="s">
        <v>285</v>
      </c>
      <c r="D338" t="s">
        <v>96</v>
      </c>
      <c r="E338">
        <v>43929972</v>
      </c>
      <c r="F338" t="s">
        <v>289</v>
      </c>
      <c r="G338" t="s">
        <v>30</v>
      </c>
      <c r="H338" t="s">
        <v>245</v>
      </c>
      <c r="I338" t="s">
        <v>43</v>
      </c>
      <c r="J338">
        <v>2020</v>
      </c>
      <c r="K338" t="s">
        <v>60</v>
      </c>
      <c r="N338" t="s">
        <v>99</v>
      </c>
      <c r="AI338">
        <f t="shared" si="11"/>
        <v>1</v>
      </c>
      <c r="AJ338">
        <f>'TABLA PREVIOS'!E338</f>
        <v>285</v>
      </c>
      <c r="AK338">
        <f>VLOOKUP(E338,ALUMNOS!A:B,2,FALSE)</f>
        <v>89</v>
      </c>
    </row>
    <row r="339" spans="2:37" x14ac:dyDescent="0.25">
      <c r="B339" t="str">
        <f t="shared" si="10"/>
        <v>43929972CIUDADANÍA Y POLÍTICA6º</v>
      </c>
      <c r="C339" t="s">
        <v>285</v>
      </c>
      <c r="D339" t="s">
        <v>96</v>
      </c>
      <c r="E339">
        <v>43929972</v>
      </c>
      <c r="F339" t="s">
        <v>289</v>
      </c>
      <c r="G339" t="s">
        <v>37</v>
      </c>
      <c r="H339" t="s">
        <v>245</v>
      </c>
      <c r="I339" t="s">
        <v>43</v>
      </c>
      <c r="J339">
        <v>2020</v>
      </c>
      <c r="K339" t="s">
        <v>60</v>
      </c>
      <c r="N339" t="s">
        <v>99</v>
      </c>
      <c r="AI339">
        <f t="shared" si="11"/>
        <v>1</v>
      </c>
      <c r="AJ339">
        <f>'TABLA PREVIOS'!E339</f>
        <v>284</v>
      </c>
      <c r="AK339">
        <f>VLOOKUP(E339,ALUMNOS!A:B,2,FALSE)</f>
        <v>89</v>
      </c>
    </row>
    <row r="340" spans="2:37" x14ac:dyDescent="0.25">
      <c r="B340" t="str">
        <f t="shared" si="10"/>
        <v>43929972DERECHO6º</v>
      </c>
      <c r="C340" t="s">
        <v>285</v>
      </c>
      <c r="D340" t="s">
        <v>96</v>
      </c>
      <c r="E340">
        <v>43929972</v>
      </c>
      <c r="F340" t="s">
        <v>289</v>
      </c>
      <c r="G340" t="s">
        <v>38</v>
      </c>
      <c r="H340" t="s">
        <v>245</v>
      </c>
      <c r="I340" t="s">
        <v>43</v>
      </c>
      <c r="J340">
        <v>2020</v>
      </c>
      <c r="K340" t="s">
        <v>60</v>
      </c>
      <c r="N340" t="s">
        <v>99</v>
      </c>
      <c r="AI340">
        <f t="shared" si="11"/>
        <v>1</v>
      </c>
      <c r="AJ340">
        <f>'TABLA PREVIOS'!E340</f>
        <v>287</v>
      </c>
      <c r="AK340">
        <f>VLOOKUP(E340,ALUMNOS!A:B,2,FALSE)</f>
        <v>89</v>
      </c>
    </row>
    <row r="341" spans="2:37" x14ac:dyDescent="0.25">
      <c r="B341" t="str">
        <f t="shared" si="10"/>
        <v>43929972ECONOMÍA6º</v>
      </c>
      <c r="C341" t="s">
        <v>285</v>
      </c>
      <c r="D341" t="s">
        <v>96</v>
      </c>
      <c r="E341">
        <v>43929972</v>
      </c>
      <c r="F341" t="s">
        <v>289</v>
      </c>
      <c r="G341" t="s">
        <v>34</v>
      </c>
      <c r="H341" t="s">
        <v>245</v>
      </c>
      <c r="I341" t="s">
        <v>43</v>
      </c>
      <c r="J341">
        <v>2020</v>
      </c>
      <c r="K341" t="s">
        <v>60</v>
      </c>
      <c r="N341" t="s">
        <v>99</v>
      </c>
      <c r="AI341">
        <f t="shared" si="11"/>
        <v>1</v>
      </c>
      <c r="AJ341">
        <f>'TABLA PREVIOS'!E341</f>
        <v>286</v>
      </c>
      <c r="AK341">
        <f>VLOOKUP(E341,ALUMNOS!A:B,2,FALSE)</f>
        <v>89</v>
      </c>
    </row>
    <row r="342" spans="2:37" x14ac:dyDescent="0.25">
      <c r="B342" t="str">
        <f t="shared" si="10"/>
        <v>43929972FILOSOFÍA6º</v>
      </c>
      <c r="C342" t="s">
        <v>285</v>
      </c>
      <c r="D342" t="s">
        <v>96</v>
      </c>
      <c r="E342">
        <v>43929972</v>
      </c>
      <c r="F342" t="s">
        <v>289</v>
      </c>
      <c r="G342" t="s">
        <v>41</v>
      </c>
      <c r="H342" t="s">
        <v>245</v>
      </c>
      <c r="I342" t="s">
        <v>43</v>
      </c>
      <c r="J342">
        <v>2020</v>
      </c>
      <c r="K342" t="s">
        <v>60</v>
      </c>
      <c r="N342" t="s">
        <v>99</v>
      </c>
      <c r="AI342">
        <f t="shared" si="11"/>
        <v>1</v>
      </c>
      <c r="AJ342">
        <f>'TABLA PREVIOS'!E342</f>
        <v>292</v>
      </c>
      <c r="AK342">
        <f>VLOOKUP(E342,ALUMNOS!A:B,2,FALSE)</f>
        <v>89</v>
      </c>
    </row>
    <row r="343" spans="2:37" x14ac:dyDescent="0.25">
      <c r="B343" t="str">
        <f t="shared" si="10"/>
        <v>43929972FORMACIÓN PARA LA VIDA Y EL TRABAJO6º</v>
      </c>
      <c r="C343" t="s">
        <v>285</v>
      </c>
      <c r="D343" t="s">
        <v>96</v>
      </c>
      <c r="E343">
        <v>43929972</v>
      </c>
      <c r="F343" t="s">
        <v>289</v>
      </c>
      <c r="G343" t="s">
        <v>28</v>
      </c>
      <c r="H343" t="s">
        <v>245</v>
      </c>
      <c r="I343" t="s">
        <v>43</v>
      </c>
      <c r="J343">
        <v>2020</v>
      </c>
      <c r="K343" t="s">
        <v>60</v>
      </c>
      <c r="N343" t="s">
        <v>99</v>
      </c>
      <c r="AI343">
        <f t="shared" si="11"/>
        <v>1</v>
      </c>
      <c r="AJ343">
        <f>'TABLA PREVIOS'!E343</f>
        <v>291</v>
      </c>
      <c r="AK343">
        <f>VLOOKUP(E343,ALUMNOS!A:B,2,FALSE)</f>
        <v>89</v>
      </c>
    </row>
    <row r="344" spans="2:37" x14ac:dyDescent="0.25">
      <c r="B344" t="str">
        <f t="shared" si="10"/>
        <v>43929972LENGUA EXTRANJERA - INGLÉS6º</v>
      </c>
      <c r="C344" t="s">
        <v>285</v>
      </c>
      <c r="D344" t="s">
        <v>96</v>
      </c>
      <c r="E344">
        <v>43929972</v>
      </c>
      <c r="F344" t="s">
        <v>289</v>
      </c>
      <c r="G344" t="s">
        <v>16</v>
      </c>
      <c r="H344" t="s">
        <v>245</v>
      </c>
      <c r="I344" t="s">
        <v>43</v>
      </c>
      <c r="J344">
        <v>2020</v>
      </c>
      <c r="K344" t="s">
        <v>60</v>
      </c>
      <c r="N344" t="s">
        <v>99</v>
      </c>
      <c r="AI344">
        <f t="shared" si="11"/>
        <v>1</v>
      </c>
      <c r="AJ344">
        <f>'TABLA PREVIOS'!E344</f>
        <v>282</v>
      </c>
      <c r="AK344">
        <f>VLOOKUP(E344,ALUMNOS!A:B,2,FALSE)</f>
        <v>89</v>
      </c>
    </row>
    <row r="345" spans="2:37" x14ac:dyDescent="0.25">
      <c r="B345" t="str">
        <f t="shared" si="10"/>
        <v>43929972LENGUA Y LITERATURA6º</v>
      </c>
      <c r="C345" t="s">
        <v>285</v>
      </c>
      <c r="D345" t="s">
        <v>96</v>
      </c>
      <c r="E345">
        <v>43929972</v>
      </c>
      <c r="F345" t="s">
        <v>289</v>
      </c>
      <c r="G345" t="s">
        <v>11</v>
      </c>
      <c r="H345" t="s">
        <v>245</v>
      </c>
      <c r="I345" t="s">
        <v>43</v>
      </c>
      <c r="J345">
        <v>2020</v>
      </c>
      <c r="K345" t="s">
        <v>60</v>
      </c>
      <c r="N345" t="s">
        <v>99</v>
      </c>
      <c r="AI345">
        <f t="shared" si="11"/>
        <v>1</v>
      </c>
      <c r="AJ345">
        <f>'TABLA PREVIOS'!E345</f>
        <v>279</v>
      </c>
      <c r="AK345">
        <f>VLOOKUP(E345,ALUMNOS!A:B,2,FALSE)</f>
        <v>89</v>
      </c>
    </row>
    <row r="346" spans="2:37" x14ac:dyDescent="0.25">
      <c r="B346" t="str">
        <f t="shared" si="10"/>
        <v>43929972MATEMÁTICA6º</v>
      </c>
      <c r="C346" t="s">
        <v>285</v>
      </c>
      <c r="D346" t="s">
        <v>96</v>
      </c>
      <c r="E346">
        <v>43929972</v>
      </c>
      <c r="F346" t="s">
        <v>289</v>
      </c>
      <c r="G346" t="s">
        <v>12</v>
      </c>
      <c r="H346" t="s">
        <v>245</v>
      </c>
      <c r="I346" t="s">
        <v>43</v>
      </c>
      <c r="J346">
        <v>2020</v>
      </c>
      <c r="K346" t="s">
        <v>60</v>
      </c>
      <c r="N346" t="s">
        <v>99</v>
      </c>
      <c r="AI346">
        <f t="shared" si="11"/>
        <v>1</v>
      </c>
      <c r="AJ346">
        <f>'TABLA PREVIOS'!E346</f>
        <v>280</v>
      </c>
      <c r="AK346">
        <f>VLOOKUP(E346,ALUMNOS!A:B,2,FALSE)</f>
        <v>89</v>
      </c>
    </row>
    <row r="347" spans="2:37" x14ac:dyDescent="0.25">
      <c r="B347" t="str">
        <f t="shared" si="10"/>
        <v>43929972QUÍMICA6º</v>
      </c>
      <c r="C347" t="s">
        <v>285</v>
      </c>
      <c r="D347" t="s">
        <v>96</v>
      </c>
      <c r="E347">
        <v>43929972</v>
      </c>
      <c r="F347" t="s">
        <v>289</v>
      </c>
      <c r="G347" t="s">
        <v>25</v>
      </c>
      <c r="H347" t="s">
        <v>245</v>
      </c>
      <c r="I347" t="s">
        <v>43</v>
      </c>
      <c r="J347">
        <v>2020</v>
      </c>
      <c r="K347" t="s">
        <v>60</v>
      </c>
      <c r="N347" t="s">
        <v>99</v>
      </c>
      <c r="AI347">
        <f t="shared" si="11"/>
        <v>1</v>
      </c>
      <c r="AJ347">
        <f>'TABLA PREVIOS'!E347</f>
        <v>281</v>
      </c>
      <c r="AK347">
        <f>VLOOKUP(E347,ALUMNOS!A:B,2,FALSE)</f>
        <v>89</v>
      </c>
    </row>
    <row r="348" spans="2:37" x14ac:dyDescent="0.25">
      <c r="B348" t="str">
        <f t="shared" si="10"/>
        <v>43929972RESPONSABILIDAD SOCIAL DE LAS ORGANIZACIONES6º</v>
      </c>
      <c r="C348" t="s">
        <v>285</v>
      </c>
      <c r="D348" t="s">
        <v>96</v>
      </c>
      <c r="E348">
        <v>43929972</v>
      </c>
      <c r="F348" t="s">
        <v>289</v>
      </c>
      <c r="G348" t="s">
        <v>39</v>
      </c>
      <c r="H348" t="s">
        <v>245</v>
      </c>
      <c r="I348" t="s">
        <v>43</v>
      </c>
      <c r="J348">
        <v>2020</v>
      </c>
      <c r="K348" t="s">
        <v>60</v>
      </c>
      <c r="N348" t="s">
        <v>99</v>
      </c>
      <c r="AI348">
        <f t="shared" si="11"/>
        <v>1</v>
      </c>
      <c r="AJ348">
        <f>'TABLA PREVIOS'!E348</f>
        <v>288</v>
      </c>
      <c r="AK348">
        <f>VLOOKUP(E348,ALUMNOS!A:B,2,FALSE)</f>
        <v>89</v>
      </c>
    </row>
    <row r="349" spans="2:37" x14ac:dyDescent="0.25">
      <c r="B349" t="str">
        <f t="shared" si="10"/>
        <v>43929972SISTEMAS DE INFORMACIÓN CONTABLE6º</v>
      </c>
      <c r="C349" t="s">
        <v>285</v>
      </c>
      <c r="D349" t="s">
        <v>96</v>
      </c>
      <c r="E349">
        <v>43929972</v>
      </c>
      <c r="F349" t="s">
        <v>289</v>
      </c>
      <c r="G349" t="s">
        <v>29</v>
      </c>
      <c r="H349" t="s">
        <v>245</v>
      </c>
      <c r="I349" t="s">
        <v>43</v>
      </c>
      <c r="J349">
        <v>2020</v>
      </c>
      <c r="K349" t="s">
        <v>60</v>
      </c>
      <c r="N349" t="s">
        <v>99</v>
      </c>
      <c r="AI349">
        <f t="shared" si="11"/>
        <v>1</v>
      </c>
      <c r="AJ349">
        <f>'TABLA PREVIOS'!E349</f>
        <v>290</v>
      </c>
      <c r="AK349">
        <f>VLOOKUP(E349,ALUMNOS!A:B,2,FALSE)</f>
        <v>89</v>
      </c>
    </row>
    <row r="350" spans="2:37" x14ac:dyDescent="0.25">
      <c r="B350" t="str">
        <f t="shared" si="10"/>
        <v>44195305HISTORIA3º</v>
      </c>
      <c r="C350" t="s">
        <v>285</v>
      </c>
      <c r="D350" t="s">
        <v>96</v>
      </c>
      <c r="E350">
        <v>44195305</v>
      </c>
      <c r="F350" t="s">
        <v>290</v>
      </c>
      <c r="G350" t="s">
        <v>27</v>
      </c>
      <c r="H350" t="s">
        <v>143</v>
      </c>
      <c r="I350" t="s">
        <v>43</v>
      </c>
      <c r="J350">
        <v>2017</v>
      </c>
      <c r="K350" t="s">
        <v>59</v>
      </c>
      <c r="N350" t="s">
        <v>99</v>
      </c>
      <c r="AI350">
        <f t="shared" si="11"/>
        <v>1</v>
      </c>
      <c r="AJ350">
        <f>'TABLA PREVIOS'!E350</f>
        <v>244</v>
      </c>
      <c r="AK350">
        <f>VLOOKUP(E350,ALUMNOS!A:B,2,FALSE)</f>
        <v>252</v>
      </c>
    </row>
    <row r="351" spans="2:37" x14ac:dyDescent="0.25">
      <c r="B351" t="str">
        <f t="shared" si="10"/>
        <v>44195305MATEMÁTICA3º</v>
      </c>
      <c r="C351" t="s">
        <v>285</v>
      </c>
      <c r="D351" t="s">
        <v>96</v>
      </c>
      <c r="E351">
        <v>44195305</v>
      </c>
      <c r="F351" t="s">
        <v>290</v>
      </c>
      <c r="G351" t="s">
        <v>12</v>
      </c>
      <c r="H351" t="s">
        <v>143</v>
      </c>
      <c r="I351" t="s">
        <v>43</v>
      </c>
      <c r="J351">
        <v>2017</v>
      </c>
      <c r="K351" t="s">
        <v>59</v>
      </c>
      <c r="N351" t="s">
        <v>99</v>
      </c>
      <c r="AI351">
        <f t="shared" si="11"/>
        <v>1</v>
      </c>
      <c r="AJ351">
        <f>'TABLA PREVIOS'!E351</f>
        <v>240</v>
      </c>
      <c r="AK351">
        <f>VLOOKUP(E351,ALUMNOS!A:B,2,FALSE)</f>
        <v>252</v>
      </c>
    </row>
    <row r="352" spans="2:37" x14ac:dyDescent="0.25">
      <c r="B352" t="str">
        <f t="shared" si="10"/>
        <v>44195305ADMINISTRACIÓN6º</v>
      </c>
      <c r="C352" t="s">
        <v>285</v>
      </c>
      <c r="D352" t="s">
        <v>96</v>
      </c>
      <c r="E352">
        <v>44195305</v>
      </c>
      <c r="F352" t="s">
        <v>290</v>
      </c>
      <c r="G352" t="s">
        <v>30</v>
      </c>
      <c r="H352" t="s">
        <v>245</v>
      </c>
      <c r="I352" t="s">
        <v>43</v>
      </c>
      <c r="J352">
        <v>2020</v>
      </c>
      <c r="K352" t="s">
        <v>60</v>
      </c>
      <c r="N352" t="s">
        <v>99</v>
      </c>
      <c r="AI352">
        <f t="shared" si="11"/>
        <v>1</v>
      </c>
      <c r="AJ352">
        <f>'TABLA PREVIOS'!E352</f>
        <v>285</v>
      </c>
      <c r="AK352">
        <f>VLOOKUP(E352,ALUMNOS!A:B,2,FALSE)</f>
        <v>252</v>
      </c>
    </row>
    <row r="353" spans="2:37" x14ac:dyDescent="0.25">
      <c r="B353" t="str">
        <f t="shared" si="10"/>
        <v>44195305CIUDADANÍA Y POLÍTICA6º</v>
      </c>
      <c r="C353" t="s">
        <v>285</v>
      </c>
      <c r="D353" t="s">
        <v>96</v>
      </c>
      <c r="E353">
        <v>44195305</v>
      </c>
      <c r="F353" t="s">
        <v>290</v>
      </c>
      <c r="G353" t="s">
        <v>37</v>
      </c>
      <c r="H353" t="s">
        <v>245</v>
      </c>
      <c r="I353" t="s">
        <v>43</v>
      </c>
      <c r="J353">
        <v>2020</v>
      </c>
      <c r="K353" t="s">
        <v>60</v>
      </c>
      <c r="N353" t="s">
        <v>99</v>
      </c>
      <c r="AI353">
        <f t="shared" si="11"/>
        <v>1</v>
      </c>
      <c r="AJ353">
        <f>'TABLA PREVIOS'!E353</f>
        <v>284</v>
      </c>
      <c r="AK353">
        <f>VLOOKUP(E353,ALUMNOS!A:B,2,FALSE)</f>
        <v>252</v>
      </c>
    </row>
    <row r="354" spans="2:37" x14ac:dyDescent="0.25">
      <c r="B354" t="str">
        <f t="shared" si="10"/>
        <v>44195305DERECHO6º</v>
      </c>
      <c r="C354" t="s">
        <v>285</v>
      </c>
      <c r="D354" t="s">
        <v>96</v>
      </c>
      <c r="E354">
        <v>44195305</v>
      </c>
      <c r="F354" t="s">
        <v>290</v>
      </c>
      <c r="G354" t="s">
        <v>38</v>
      </c>
      <c r="H354" t="s">
        <v>245</v>
      </c>
      <c r="I354" t="s">
        <v>43</v>
      </c>
      <c r="J354">
        <v>2020</v>
      </c>
      <c r="K354" t="s">
        <v>60</v>
      </c>
      <c r="N354" t="s">
        <v>99</v>
      </c>
      <c r="AI354">
        <f t="shared" si="11"/>
        <v>1</v>
      </c>
      <c r="AJ354">
        <f>'TABLA PREVIOS'!E354</f>
        <v>287</v>
      </c>
      <c r="AK354">
        <f>VLOOKUP(E354,ALUMNOS!A:B,2,FALSE)</f>
        <v>252</v>
      </c>
    </row>
    <row r="355" spans="2:37" x14ac:dyDescent="0.25">
      <c r="B355" t="str">
        <f t="shared" si="10"/>
        <v>44195305ECONOMÍA6º</v>
      </c>
      <c r="C355" t="s">
        <v>285</v>
      </c>
      <c r="D355" t="s">
        <v>96</v>
      </c>
      <c r="E355">
        <v>44195305</v>
      </c>
      <c r="F355" t="s">
        <v>290</v>
      </c>
      <c r="G355" t="s">
        <v>34</v>
      </c>
      <c r="H355" t="s">
        <v>245</v>
      </c>
      <c r="I355" t="s">
        <v>43</v>
      </c>
      <c r="J355">
        <v>2020</v>
      </c>
      <c r="K355" t="s">
        <v>60</v>
      </c>
      <c r="N355" t="s">
        <v>99</v>
      </c>
      <c r="AI355">
        <f t="shared" si="11"/>
        <v>1</v>
      </c>
      <c r="AJ355">
        <f>'TABLA PREVIOS'!E355</f>
        <v>286</v>
      </c>
      <c r="AK355">
        <f>VLOOKUP(E355,ALUMNOS!A:B,2,FALSE)</f>
        <v>252</v>
      </c>
    </row>
    <row r="356" spans="2:37" x14ac:dyDescent="0.25">
      <c r="B356" t="str">
        <f t="shared" si="10"/>
        <v>44195305FILOSOFÍA6º</v>
      </c>
      <c r="C356" t="s">
        <v>285</v>
      </c>
      <c r="D356" t="s">
        <v>96</v>
      </c>
      <c r="E356">
        <v>44195305</v>
      </c>
      <c r="F356" t="s">
        <v>290</v>
      </c>
      <c r="G356" t="s">
        <v>41</v>
      </c>
      <c r="H356" t="s">
        <v>245</v>
      </c>
      <c r="I356" t="s">
        <v>43</v>
      </c>
      <c r="J356">
        <v>2020</v>
      </c>
      <c r="K356" t="s">
        <v>60</v>
      </c>
      <c r="N356" t="s">
        <v>99</v>
      </c>
      <c r="AI356">
        <f t="shared" si="11"/>
        <v>1</v>
      </c>
      <c r="AJ356">
        <f>'TABLA PREVIOS'!E356</f>
        <v>292</v>
      </c>
      <c r="AK356">
        <f>VLOOKUP(E356,ALUMNOS!A:B,2,FALSE)</f>
        <v>252</v>
      </c>
    </row>
    <row r="357" spans="2:37" x14ac:dyDescent="0.25">
      <c r="B357" t="str">
        <f t="shared" si="10"/>
        <v>44195305FORMACIÓN PARA LA VIDA Y EL TRABAJO6º</v>
      </c>
      <c r="C357" t="s">
        <v>285</v>
      </c>
      <c r="D357" t="s">
        <v>96</v>
      </c>
      <c r="E357">
        <v>44195305</v>
      </c>
      <c r="F357" t="s">
        <v>290</v>
      </c>
      <c r="G357" t="s">
        <v>28</v>
      </c>
      <c r="H357" t="s">
        <v>245</v>
      </c>
      <c r="I357" t="s">
        <v>43</v>
      </c>
      <c r="J357">
        <v>2020</v>
      </c>
      <c r="K357" t="s">
        <v>60</v>
      </c>
      <c r="N357" t="s">
        <v>99</v>
      </c>
      <c r="AI357">
        <f t="shared" si="11"/>
        <v>1</v>
      </c>
      <c r="AJ357">
        <f>'TABLA PREVIOS'!E357</f>
        <v>291</v>
      </c>
      <c r="AK357">
        <f>VLOOKUP(E357,ALUMNOS!A:B,2,FALSE)</f>
        <v>252</v>
      </c>
    </row>
    <row r="358" spans="2:37" x14ac:dyDescent="0.25">
      <c r="B358" t="str">
        <f t="shared" si="10"/>
        <v>44195305LENGUA EXTRANJERA - INGLÉS6º</v>
      </c>
      <c r="C358" t="s">
        <v>285</v>
      </c>
      <c r="D358" t="s">
        <v>96</v>
      </c>
      <c r="E358">
        <v>44195305</v>
      </c>
      <c r="F358" t="s">
        <v>290</v>
      </c>
      <c r="G358" t="s">
        <v>16</v>
      </c>
      <c r="H358" t="s">
        <v>245</v>
      </c>
      <c r="I358" t="s">
        <v>43</v>
      </c>
      <c r="J358">
        <v>2020</v>
      </c>
      <c r="K358" t="s">
        <v>60</v>
      </c>
      <c r="N358" t="s">
        <v>99</v>
      </c>
      <c r="AI358">
        <f t="shared" si="11"/>
        <v>1</v>
      </c>
      <c r="AJ358">
        <f>'TABLA PREVIOS'!E358</f>
        <v>282</v>
      </c>
      <c r="AK358">
        <f>VLOOKUP(E358,ALUMNOS!A:B,2,FALSE)</f>
        <v>252</v>
      </c>
    </row>
    <row r="359" spans="2:37" x14ac:dyDescent="0.25">
      <c r="B359" t="str">
        <f t="shared" si="10"/>
        <v>44195305LENGUA Y LITERATURA6º</v>
      </c>
      <c r="C359" t="s">
        <v>285</v>
      </c>
      <c r="D359" t="s">
        <v>96</v>
      </c>
      <c r="E359">
        <v>44195305</v>
      </c>
      <c r="F359" t="s">
        <v>290</v>
      </c>
      <c r="G359" t="s">
        <v>11</v>
      </c>
      <c r="H359" t="s">
        <v>245</v>
      </c>
      <c r="I359" t="s">
        <v>43</v>
      </c>
      <c r="J359">
        <v>2020</v>
      </c>
      <c r="K359" t="s">
        <v>60</v>
      </c>
      <c r="N359" t="s">
        <v>99</v>
      </c>
      <c r="AI359">
        <f t="shared" si="11"/>
        <v>1</v>
      </c>
      <c r="AJ359">
        <f>'TABLA PREVIOS'!E359</f>
        <v>279</v>
      </c>
      <c r="AK359">
        <f>VLOOKUP(E359,ALUMNOS!A:B,2,FALSE)</f>
        <v>252</v>
      </c>
    </row>
    <row r="360" spans="2:37" x14ac:dyDescent="0.25">
      <c r="B360" t="str">
        <f t="shared" si="10"/>
        <v>44195305MATEMÁTICA6º</v>
      </c>
      <c r="C360" t="s">
        <v>285</v>
      </c>
      <c r="D360" t="s">
        <v>96</v>
      </c>
      <c r="E360">
        <v>44195305</v>
      </c>
      <c r="F360" t="s">
        <v>290</v>
      </c>
      <c r="G360" t="s">
        <v>12</v>
      </c>
      <c r="H360" t="s">
        <v>245</v>
      </c>
      <c r="I360" t="s">
        <v>43</v>
      </c>
      <c r="J360">
        <v>2020</v>
      </c>
      <c r="K360" t="s">
        <v>60</v>
      </c>
      <c r="N360" t="s">
        <v>99</v>
      </c>
      <c r="AI360">
        <f t="shared" si="11"/>
        <v>1</v>
      </c>
      <c r="AJ360">
        <f>'TABLA PREVIOS'!E360</f>
        <v>280</v>
      </c>
      <c r="AK360">
        <f>VLOOKUP(E360,ALUMNOS!A:B,2,FALSE)</f>
        <v>252</v>
      </c>
    </row>
    <row r="361" spans="2:37" x14ac:dyDescent="0.25">
      <c r="B361" t="str">
        <f t="shared" si="10"/>
        <v>44195305QUÍMICA6º</v>
      </c>
      <c r="C361" t="s">
        <v>285</v>
      </c>
      <c r="D361" t="s">
        <v>96</v>
      </c>
      <c r="E361">
        <v>44195305</v>
      </c>
      <c r="F361" t="s">
        <v>290</v>
      </c>
      <c r="G361" t="s">
        <v>25</v>
      </c>
      <c r="H361" t="s">
        <v>245</v>
      </c>
      <c r="I361" t="s">
        <v>43</v>
      </c>
      <c r="J361">
        <v>2020</v>
      </c>
      <c r="K361" t="s">
        <v>60</v>
      </c>
      <c r="N361" t="s">
        <v>99</v>
      </c>
      <c r="AI361">
        <f t="shared" si="11"/>
        <v>1</v>
      </c>
      <c r="AJ361">
        <f>'TABLA PREVIOS'!E361</f>
        <v>281</v>
      </c>
      <c r="AK361">
        <f>VLOOKUP(E361,ALUMNOS!A:B,2,FALSE)</f>
        <v>252</v>
      </c>
    </row>
    <row r="362" spans="2:37" x14ac:dyDescent="0.25">
      <c r="B362" t="str">
        <f t="shared" si="10"/>
        <v>44195305RESPONSABILIDAD SOCIAL DE LAS ORGANIZACIONES6º</v>
      </c>
      <c r="C362" t="s">
        <v>285</v>
      </c>
      <c r="D362" t="s">
        <v>96</v>
      </c>
      <c r="E362">
        <v>44195305</v>
      </c>
      <c r="F362" t="s">
        <v>290</v>
      </c>
      <c r="G362" t="s">
        <v>39</v>
      </c>
      <c r="H362" t="s">
        <v>245</v>
      </c>
      <c r="I362" t="s">
        <v>43</v>
      </c>
      <c r="J362">
        <v>2020</v>
      </c>
      <c r="K362" t="s">
        <v>60</v>
      </c>
      <c r="N362" t="s">
        <v>99</v>
      </c>
      <c r="AI362">
        <f t="shared" si="11"/>
        <v>1</v>
      </c>
      <c r="AJ362">
        <f>'TABLA PREVIOS'!E362</f>
        <v>288</v>
      </c>
      <c r="AK362">
        <f>VLOOKUP(E362,ALUMNOS!A:B,2,FALSE)</f>
        <v>252</v>
      </c>
    </row>
    <row r="363" spans="2:37" x14ac:dyDescent="0.25">
      <c r="B363" t="str">
        <f t="shared" si="10"/>
        <v>44195305SISTEMAS DE INFORMACIÓN CONTABLE6º</v>
      </c>
      <c r="C363" t="s">
        <v>285</v>
      </c>
      <c r="D363" t="s">
        <v>96</v>
      </c>
      <c r="E363">
        <v>44195305</v>
      </c>
      <c r="F363" t="s">
        <v>290</v>
      </c>
      <c r="G363" t="s">
        <v>29</v>
      </c>
      <c r="H363" t="s">
        <v>245</v>
      </c>
      <c r="I363" t="s">
        <v>43</v>
      </c>
      <c r="J363">
        <v>2020</v>
      </c>
      <c r="K363" t="s">
        <v>60</v>
      </c>
      <c r="N363" t="s">
        <v>99</v>
      </c>
      <c r="AI363">
        <f t="shared" si="11"/>
        <v>1</v>
      </c>
      <c r="AJ363">
        <f>'TABLA PREVIOS'!E363</f>
        <v>290</v>
      </c>
      <c r="AK363">
        <f>VLOOKUP(E363,ALUMNOS!A:B,2,FALSE)</f>
        <v>252</v>
      </c>
    </row>
    <row r="364" spans="2:37" x14ac:dyDescent="0.25">
      <c r="B364" t="str">
        <f t="shared" si="10"/>
        <v>44071029ADMINISTRACIÓN6º</v>
      </c>
      <c r="C364" t="s">
        <v>285</v>
      </c>
      <c r="D364" t="s">
        <v>96</v>
      </c>
      <c r="E364">
        <v>44071029</v>
      </c>
      <c r="F364" t="s">
        <v>291</v>
      </c>
      <c r="G364" t="s">
        <v>30</v>
      </c>
      <c r="H364" t="s">
        <v>245</v>
      </c>
      <c r="I364" t="s">
        <v>43</v>
      </c>
      <c r="J364">
        <v>2020</v>
      </c>
      <c r="K364" t="s">
        <v>60</v>
      </c>
      <c r="N364" t="s">
        <v>99</v>
      </c>
      <c r="AI364">
        <f t="shared" si="11"/>
        <v>1</v>
      </c>
      <c r="AJ364">
        <f>'TABLA PREVIOS'!E364</f>
        <v>285</v>
      </c>
      <c r="AK364">
        <f>VLOOKUP(E364,ALUMNOS!A:B,2,FALSE)</f>
        <v>263</v>
      </c>
    </row>
    <row r="365" spans="2:37" x14ac:dyDescent="0.25">
      <c r="B365" t="str">
        <f t="shared" si="10"/>
        <v>44071029ADMINISTRACIÓN FINANCIERA6º</v>
      </c>
      <c r="C365" t="s">
        <v>285</v>
      </c>
      <c r="D365" t="s">
        <v>96</v>
      </c>
      <c r="E365">
        <v>44071029</v>
      </c>
      <c r="F365" t="s">
        <v>291</v>
      </c>
      <c r="G365" t="s">
        <v>40</v>
      </c>
      <c r="H365" t="s">
        <v>245</v>
      </c>
      <c r="I365" t="s">
        <v>43</v>
      </c>
      <c r="J365">
        <v>2020</v>
      </c>
      <c r="K365" t="s">
        <v>60</v>
      </c>
      <c r="N365" t="s">
        <v>99</v>
      </c>
      <c r="AI365">
        <f t="shared" si="11"/>
        <v>1</v>
      </c>
      <c r="AJ365">
        <f>'TABLA PREVIOS'!E365</f>
        <v>289</v>
      </c>
      <c r="AK365">
        <f>VLOOKUP(E365,ALUMNOS!A:B,2,FALSE)</f>
        <v>263</v>
      </c>
    </row>
    <row r="366" spans="2:37" x14ac:dyDescent="0.25">
      <c r="B366" t="str">
        <f t="shared" si="10"/>
        <v>44071029SISTEMAS DE INFORMACIÓN CONTABLE6º</v>
      </c>
      <c r="C366" t="s">
        <v>285</v>
      </c>
      <c r="D366" t="s">
        <v>96</v>
      </c>
      <c r="E366">
        <v>44071029</v>
      </c>
      <c r="F366" t="s">
        <v>291</v>
      </c>
      <c r="G366" t="s">
        <v>29</v>
      </c>
      <c r="H366" t="s">
        <v>245</v>
      </c>
      <c r="I366" t="s">
        <v>43</v>
      </c>
      <c r="J366">
        <v>2020</v>
      </c>
      <c r="K366" t="s">
        <v>60</v>
      </c>
      <c r="N366" t="s">
        <v>99</v>
      </c>
      <c r="AI366">
        <f t="shared" si="11"/>
        <v>1</v>
      </c>
      <c r="AJ366">
        <f>'TABLA PREVIOS'!E366</f>
        <v>290</v>
      </c>
      <c r="AK366">
        <f>VLOOKUP(E366,ALUMNOS!A:B,2,FALSE)</f>
        <v>263</v>
      </c>
    </row>
    <row r="367" spans="2:37" x14ac:dyDescent="0.25">
      <c r="B367" t="str">
        <f t="shared" si="10"/>
        <v>44369620ECONOMÍA5º</v>
      </c>
      <c r="C367" t="s">
        <v>285</v>
      </c>
      <c r="D367" t="s">
        <v>96</v>
      </c>
      <c r="E367">
        <v>44369620</v>
      </c>
      <c r="F367" t="s">
        <v>292</v>
      </c>
      <c r="G367" t="s">
        <v>34</v>
      </c>
      <c r="H367" t="s">
        <v>220</v>
      </c>
      <c r="I367" t="s">
        <v>43</v>
      </c>
      <c r="J367">
        <v>2019</v>
      </c>
      <c r="K367" t="s">
        <v>60</v>
      </c>
      <c r="N367" t="s">
        <v>99</v>
      </c>
      <c r="AI367">
        <f t="shared" si="11"/>
        <v>1</v>
      </c>
      <c r="AJ367">
        <f>'TABLA PREVIOS'!E367</f>
        <v>275</v>
      </c>
      <c r="AK367">
        <f>VLOOKUP(E367,ALUMNOS!A:B,2,FALSE)</f>
        <v>280</v>
      </c>
    </row>
    <row r="368" spans="2:37" x14ac:dyDescent="0.25">
      <c r="B368" t="str">
        <f t="shared" si="10"/>
        <v>44369620SISTEMAS DE INFORMACIÓN CONTABLE6º</v>
      </c>
      <c r="C368" t="s">
        <v>285</v>
      </c>
      <c r="D368" t="s">
        <v>96</v>
      </c>
      <c r="E368">
        <v>44369620</v>
      </c>
      <c r="F368" t="s">
        <v>292</v>
      </c>
      <c r="G368" t="s">
        <v>29</v>
      </c>
      <c r="H368" t="s">
        <v>245</v>
      </c>
      <c r="I368" t="s">
        <v>43</v>
      </c>
      <c r="J368">
        <v>2020</v>
      </c>
      <c r="K368" t="s">
        <v>60</v>
      </c>
      <c r="N368" t="s">
        <v>99</v>
      </c>
      <c r="AI368">
        <f t="shared" si="11"/>
        <v>1</v>
      </c>
      <c r="AJ368">
        <f>'TABLA PREVIOS'!E368</f>
        <v>290</v>
      </c>
      <c r="AK368">
        <f>VLOOKUP(E368,ALUMNOS!A:B,2,FALSE)</f>
        <v>280</v>
      </c>
    </row>
    <row r="369" spans="2:37" x14ac:dyDescent="0.25">
      <c r="B369" t="str">
        <f t="shared" si="10"/>
        <v>44588496LENGUA Y LITERATURA3º</v>
      </c>
      <c r="C369" t="s">
        <v>285</v>
      </c>
      <c r="D369" t="s">
        <v>96</v>
      </c>
      <c r="E369">
        <v>44588496</v>
      </c>
      <c r="F369" t="s">
        <v>293</v>
      </c>
      <c r="G369" t="s">
        <v>11</v>
      </c>
      <c r="H369" t="s">
        <v>143</v>
      </c>
      <c r="I369" t="s">
        <v>43</v>
      </c>
      <c r="J369">
        <v>2017</v>
      </c>
      <c r="K369" t="s">
        <v>59</v>
      </c>
      <c r="N369" t="s">
        <v>99</v>
      </c>
      <c r="AI369">
        <f t="shared" si="11"/>
        <v>1</v>
      </c>
      <c r="AJ369">
        <f>'TABLA PREVIOS'!E369</f>
        <v>239</v>
      </c>
      <c r="AK369">
        <f>VLOOKUP(E369,ALUMNOS!A:B,2,FALSE)</f>
        <v>292</v>
      </c>
    </row>
    <row r="370" spans="2:37" x14ac:dyDescent="0.25">
      <c r="B370" t="str">
        <f t="shared" si="10"/>
        <v>44588496HISTORIA4º</v>
      </c>
      <c r="C370" t="s">
        <v>285</v>
      </c>
      <c r="D370" t="s">
        <v>96</v>
      </c>
      <c r="E370">
        <v>44588496</v>
      </c>
      <c r="F370" t="s">
        <v>293</v>
      </c>
      <c r="G370" t="s">
        <v>27</v>
      </c>
      <c r="H370" t="s">
        <v>190</v>
      </c>
      <c r="I370" t="s">
        <v>43</v>
      </c>
      <c r="J370">
        <v>2018</v>
      </c>
      <c r="K370" t="s">
        <v>60</v>
      </c>
      <c r="N370" t="s">
        <v>99</v>
      </c>
      <c r="AI370">
        <f t="shared" si="11"/>
        <v>1</v>
      </c>
      <c r="AJ370">
        <f>'TABLA PREVIOS'!E370</f>
        <v>255</v>
      </c>
      <c r="AK370">
        <f>VLOOKUP(E370,ALUMNOS!A:B,2,FALSE)</f>
        <v>292</v>
      </c>
    </row>
    <row r="371" spans="2:37" x14ac:dyDescent="0.25">
      <c r="B371" t="str">
        <f t="shared" si="10"/>
        <v>44588496ECONOMÍA5º</v>
      </c>
      <c r="C371" t="s">
        <v>285</v>
      </c>
      <c r="D371" t="s">
        <v>96</v>
      </c>
      <c r="E371">
        <v>44588496</v>
      </c>
      <c r="F371" t="s">
        <v>293</v>
      </c>
      <c r="G371" t="s">
        <v>34</v>
      </c>
      <c r="H371" t="s">
        <v>220</v>
      </c>
      <c r="I371" t="s">
        <v>43</v>
      </c>
      <c r="J371">
        <v>2019</v>
      </c>
      <c r="K371" t="s">
        <v>60</v>
      </c>
      <c r="N371" t="s">
        <v>99</v>
      </c>
      <c r="AI371">
        <f t="shared" si="11"/>
        <v>1</v>
      </c>
      <c r="AJ371">
        <f>'TABLA PREVIOS'!E371</f>
        <v>275</v>
      </c>
      <c r="AK371">
        <f>VLOOKUP(E371,ALUMNOS!A:B,2,FALSE)</f>
        <v>292</v>
      </c>
    </row>
    <row r="372" spans="2:37" x14ac:dyDescent="0.25">
      <c r="B372" t="str">
        <f t="shared" si="10"/>
        <v>44588496ADMINISTRACIÓN6º</v>
      </c>
      <c r="C372" t="s">
        <v>285</v>
      </c>
      <c r="D372" t="s">
        <v>96</v>
      </c>
      <c r="E372">
        <v>44588496</v>
      </c>
      <c r="F372" t="s">
        <v>293</v>
      </c>
      <c r="G372" t="s">
        <v>30</v>
      </c>
      <c r="H372" t="s">
        <v>245</v>
      </c>
      <c r="I372" t="s">
        <v>43</v>
      </c>
      <c r="J372">
        <v>2020</v>
      </c>
      <c r="K372" t="s">
        <v>60</v>
      </c>
      <c r="N372" t="s">
        <v>99</v>
      </c>
      <c r="AI372">
        <f t="shared" si="11"/>
        <v>1</v>
      </c>
      <c r="AJ372">
        <f>'TABLA PREVIOS'!E372</f>
        <v>285</v>
      </c>
      <c r="AK372">
        <f>VLOOKUP(E372,ALUMNOS!A:B,2,FALSE)</f>
        <v>292</v>
      </c>
    </row>
    <row r="373" spans="2:37" x14ac:dyDescent="0.25">
      <c r="B373" t="str">
        <f t="shared" si="10"/>
        <v>44588496CIUDADANÍA Y POLÍTICA6º</v>
      </c>
      <c r="C373" t="s">
        <v>285</v>
      </c>
      <c r="D373" t="s">
        <v>96</v>
      </c>
      <c r="E373">
        <v>44588496</v>
      </c>
      <c r="F373" t="s">
        <v>293</v>
      </c>
      <c r="G373" t="s">
        <v>37</v>
      </c>
      <c r="H373" t="s">
        <v>245</v>
      </c>
      <c r="I373" t="s">
        <v>43</v>
      </c>
      <c r="J373">
        <v>2020</v>
      </c>
      <c r="K373" t="s">
        <v>60</v>
      </c>
      <c r="N373" t="s">
        <v>99</v>
      </c>
      <c r="AI373">
        <f t="shared" si="11"/>
        <v>1</v>
      </c>
      <c r="AJ373">
        <f>'TABLA PREVIOS'!E373</f>
        <v>284</v>
      </c>
      <c r="AK373">
        <f>VLOOKUP(E373,ALUMNOS!A:B,2,FALSE)</f>
        <v>292</v>
      </c>
    </row>
    <row r="374" spans="2:37" x14ac:dyDescent="0.25">
      <c r="B374" t="str">
        <f t="shared" si="10"/>
        <v>44588496DERECHO6º</v>
      </c>
      <c r="C374" t="s">
        <v>285</v>
      </c>
      <c r="D374" t="s">
        <v>96</v>
      </c>
      <c r="E374">
        <v>44588496</v>
      </c>
      <c r="F374" t="s">
        <v>293</v>
      </c>
      <c r="G374" t="s">
        <v>38</v>
      </c>
      <c r="H374" t="s">
        <v>245</v>
      </c>
      <c r="I374" t="s">
        <v>43</v>
      </c>
      <c r="J374">
        <v>2020</v>
      </c>
      <c r="K374" t="s">
        <v>60</v>
      </c>
      <c r="N374" t="s">
        <v>99</v>
      </c>
      <c r="AI374">
        <f t="shared" si="11"/>
        <v>1</v>
      </c>
      <c r="AJ374">
        <f>'TABLA PREVIOS'!E374</f>
        <v>287</v>
      </c>
      <c r="AK374">
        <f>VLOOKUP(E374,ALUMNOS!A:B,2,FALSE)</f>
        <v>292</v>
      </c>
    </row>
    <row r="375" spans="2:37" x14ac:dyDescent="0.25">
      <c r="B375" t="str">
        <f t="shared" si="10"/>
        <v>44588496ECONOMÍA6º</v>
      </c>
      <c r="C375" t="s">
        <v>285</v>
      </c>
      <c r="D375" t="s">
        <v>96</v>
      </c>
      <c r="E375">
        <v>44588496</v>
      </c>
      <c r="F375" t="s">
        <v>293</v>
      </c>
      <c r="G375" t="s">
        <v>34</v>
      </c>
      <c r="H375" t="s">
        <v>245</v>
      </c>
      <c r="I375" t="s">
        <v>43</v>
      </c>
      <c r="J375">
        <v>2020</v>
      </c>
      <c r="K375" t="s">
        <v>60</v>
      </c>
      <c r="N375" t="s">
        <v>99</v>
      </c>
      <c r="AI375">
        <f t="shared" si="11"/>
        <v>1</v>
      </c>
      <c r="AJ375">
        <f>'TABLA PREVIOS'!E375</f>
        <v>286</v>
      </c>
      <c r="AK375">
        <f>VLOOKUP(E375,ALUMNOS!A:B,2,FALSE)</f>
        <v>292</v>
      </c>
    </row>
    <row r="376" spans="2:37" x14ac:dyDescent="0.25">
      <c r="B376" t="str">
        <f t="shared" si="10"/>
        <v>44588496FILOSOFÍA6º</v>
      </c>
      <c r="C376" t="s">
        <v>285</v>
      </c>
      <c r="D376" t="s">
        <v>96</v>
      </c>
      <c r="E376">
        <v>44588496</v>
      </c>
      <c r="F376" t="s">
        <v>293</v>
      </c>
      <c r="G376" t="s">
        <v>41</v>
      </c>
      <c r="H376" t="s">
        <v>245</v>
      </c>
      <c r="I376" t="s">
        <v>43</v>
      </c>
      <c r="J376">
        <v>2020</v>
      </c>
      <c r="K376" t="s">
        <v>60</v>
      </c>
      <c r="N376" t="s">
        <v>99</v>
      </c>
      <c r="AI376">
        <f t="shared" si="11"/>
        <v>1</v>
      </c>
      <c r="AJ376">
        <f>'TABLA PREVIOS'!E376</f>
        <v>292</v>
      </c>
      <c r="AK376">
        <f>VLOOKUP(E376,ALUMNOS!A:B,2,FALSE)</f>
        <v>292</v>
      </c>
    </row>
    <row r="377" spans="2:37" x14ac:dyDescent="0.25">
      <c r="B377" t="str">
        <f t="shared" si="10"/>
        <v>44588496FORMACIÓN PARA LA VIDA Y EL TRABAJO6º</v>
      </c>
      <c r="C377" t="s">
        <v>285</v>
      </c>
      <c r="D377" t="s">
        <v>96</v>
      </c>
      <c r="E377">
        <v>44588496</v>
      </c>
      <c r="F377" t="s">
        <v>293</v>
      </c>
      <c r="G377" t="s">
        <v>28</v>
      </c>
      <c r="H377" t="s">
        <v>245</v>
      </c>
      <c r="I377" t="s">
        <v>43</v>
      </c>
      <c r="J377">
        <v>2020</v>
      </c>
      <c r="K377" t="s">
        <v>60</v>
      </c>
      <c r="N377" t="s">
        <v>99</v>
      </c>
      <c r="AI377">
        <f t="shared" si="11"/>
        <v>1</v>
      </c>
      <c r="AJ377">
        <f>'TABLA PREVIOS'!E377</f>
        <v>291</v>
      </c>
      <c r="AK377">
        <f>VLOOKUP(E377,ALUMNOS!A:B,2,FALSE)</f>
        <v>292</v>
      </c>
    </row>
    <row r="378" spans="2:37" x14ac:dyDescent="0.25">
      <c r="B378" t="str">
        <f t="shared" si="10"/>
        <v>44588496LENGUA EXTRANJERA - INGLÉS6º</v>
      </c>
      <c r="C378" t="s">
        <v>285</v>
      </c>
      <c r="D378" t="s">
        <v>96</v>
      </c>
      <c r="E378">
        <v>44588496</v>
      </c>
      <c r="F378" t="s">
        <v>293</v>
      </c>
      <c r="G378" t="s">
        <v>16</v>
      </c>
      <c r="H378" t="s">
        <v>245</v>
      </c>
      <c r="I378" t="s">
        <v>43</v>
      </c>
      <c r="J378">
        <v>2020</v>
      </c>
      <c r="K378" t="s">
        <v>60</v>
      </c>
      <c r="N378" t="s">
        <v>99</v>
      </c>
      <c r="AI378">
        <f t="shared" si="11"/>
        <v>1</v>
      </c>
      <c r="AJ378">
        <f>'TABLA PREVIOS'!E378</f>
        <v>282</v>
      </c>
      <c r="AK378">
        <f>VLOOKUP(E378,ALUMNOS!A:B,2,FALSE)</f>
        <v>292</v>
      </c>
    </row>
    <row r="379" spans="2:37" x14ac:dyDescent="0.25">
      <c r="B379" t="str">
        <f t="shared" si="10"/>
        <v>44588496LENGUA Y LITERATURA6º</v>
      </c>
      <c r="C379" t="s">
        <v>285</v>
      </c>
      <c r="D379" t="s">
        <v>96</v>
      </c>
      <c r="E379">
        <v>44588496</v>
      </c>
      <c r="F379" t="s">
        <v>293</v>
      </c>
      <c r="G379" t="s">
        <v>11</v>
      </c>
      <c r="H379" t="s">
        <v>245</v>
      </c>
      <c r="I379" t="s">
        <v>43</v>
      </c>
      <c r="J379">
        <v>2020</v>
      </c>
      <c r="K379" t="s">
        <v>60</v>
      </c>
      <c r="N379" t="s">
        <v>99</v>
      </c>
      <c r="AI379">
        <f t="shared" si="11"/>
        <v>1</v>
      </c>
      <c r="AJ379">
        <f>'TABLA PREVIOS'!E379</f>
        <v>279</v>
      </c>
      <c r="AK379">
        <f>VLOOKUP(E379,ALUMNOS!A:B,2,FALSE)</f>
        <v>292</v>
      </c>
    </row>
    <row r="380" spans="2:37" x14ac:dyDescent="0.25">
      <c r="B380" t="str">
        <f t="shared" si="10"/>
        <v>44588496MATEMÁTICA6º</v>
      </c>
      <c r="C380" t="s">
        <v>285</v>
      </c>
      <c r="D380" t="s">
        <v>96</v>
      </c>
      <c r="E380">
        <v>44588496</v>
      </c>
      <c r="F380" t="s">
        <v>293</v>
      </c>
      <c r="G380" t="s">
        <v>12</v>
      </c>
      <c r="H380" t="s">
        <v>245</v>
      </c>
      <c r="I380" t="s">
        <v>43</v>
      </c>
      <c r="J380">
        <v>2020</v>
      </c>
      <c r="K380" t="s">
        <v>60</v>
      </c>
      <c r="N380" t="s">
        <v>99</v>
      </c>
      <c r="AI380">
        <f t="shared" si="11"/>
        <v>1</v>
      </c>
      <c r="AJ380">
        <f>'TABLA PREVIOS'!E380</f>
        <v>280</v>
      </c>
      <c r="AK380">
        <f>VLOOKUP(E380,ALUMNOS!A:B,2,FALSE)</f>
        <v>292</v>
      </c>
    </row>
    <row r="381" spans="2:37" x14ac:dyDescent="0.25">
      <c r="B381" t="str">
        <f t="shared" si="10"/>
        <v>44588496QUÍMICA6º</v>
      </c>
      <c r="C381" t="s">
        <v>285</v>
      </c>
      <c r="D381" t="s">
        <v>96</v>
      </c>
      <c r="E381">
        <v>44588496</v>
      </c>
      <c r="F381" t="s">
        <v>293</v>
      </c>
      <c r="G381" t="s">
        <v>25</v>
      </c>
      <c r="H381" t="s">
        <v>245</v>
      </c>
      <c r="I381" t="s">
        <v>43</v>
      </c>
      <c r="J381">
        <v>2020</v>
      </c>
      <c r="K381" t="s">
        <v>60</v>
      </c>
      <c r="N381" t="s">
        <v>99</v>
      </c>
      <c r="AI381">
        <f t="shared" si="11"/>
        <v>1</v>
      </c>
      <c r="AJ381">
        <f>'TABLA PREVIOS'!E381</f>
        <v>281</v>
      </c>
      <c r="AK381">
        <f>VLOOKUP(E381,ALUMNOS!A:B,2,FALSE)</f>
        <v>292</v>
      </c>
    </row>
    <row r="382" spans="2:37" x14ac:dyDescent="0.25">
      <c r="B382" t="str">
        <f t="shared" si="10"/>
        <v>44588496RESPONSABILIDAD SOCIAL DE LAS ORGANIZACIONES6º</v>
      </c>
      <c r="C382" t="s">
        <v>285</v>
      </c>
      <c r="D382" t="s">
        <v>96</v>
      </c>
      <c r="E382">
        <v>44588496</v>
      </c>
      <c r="F382" t="s">
        <v>293</v>
      </c>
      <c r="G382" t="s">
        <v>39</v>
      </c>
      <c r="H382" t="s">
        <v>245</v>
      </c>
      <c r="I382" t="s">
        <v>43</v>
      </c>
      <c r="J382">
        <v>2020</v>
      </c>
      <c r="K382" t="s">
        <v>60</v>
      </c>
      <c r="N382" t="s">
        <v>99</v>
      </c>
      <c r="AI382">
        <f t="shared" si="11"/>
        <v>1</v>
      </c>
      <c r="AJ382">
        <f>'TABLA PREVIOS'!E382</f>
        <v>288</v>
      </c>
      <c r="AK382">
        <f>VLOOKUP(E382,ALUMNOS!A:B,2,FALSE)</f>
        <v>292</v>
      </c>
    </row>
    <row r="383" spans="2:37" x14ac:dyDescent="0.25">
      <c r="B383" t="str">
        <f t="shared" si="10"/>
        <v>44588496SISTEMAS DE INFORMACIÓN CONTABLE6º</v>
      </c>
      <c r="C383" t="s">
        <v>285</v>
      </c>
      <c r="D383" t="s">
        <v>96</v>
      </c>
      <c r="E383">
        <v>44588496</v>
      </c>
      <c r="F383" t="s">
        <v>293</v>
      </c>
      <c r="G383" t="s">
        <v>29</v>
      </c>
      <c r="H383" t="s">
        <v>245</v>
      </c>
      <c r="I383" t="s">
        <v>43</v>
      </c>
      <c r="J383">
        <v>2020</v>
      </c>
      <c r="K383" t="s">
        <v>60</v>
      </c>
      <c r="N383" t="s">
        <v>99</v>
      </c>
      <c r="AI383">
        <f t="shared" si="11"/>
        <v>1</v>
      </c>
      <c r="AJ383">
        <f>'TABLA PREVIOS'!E383</f>
        <v>290</v>
      </c>
      <c r="AK383">
        <f>VLOOKUP(E383,ALUMNOS!A:B,2,FALSE)</f>
        <v>292</v>
      </c>
    </row>
    <row r="384" spans="2:37" x14ac:dyDescent="0.25">
      <c r="B384" t="str">
        <f t="shared" si="10"/>
        <v>44768513ADMINISTRACIÓN5º</v>
      </c>
      <c r="C384" t="s">
        <v>285</v>
      </c>
      <c r="D384" t="s">
        <v>96</v>
      </c>
      <c r="E384">
        <v>44768513</v>
      </c>
      <c r="F384" t="s">
        <v>294</v>
      </c>
      <c r="G384" t="s">
        <v>30</v>
      </c>
      <c r="H384" t="s">
        <v>220</v>
      </c>
      <c r="I384" t="s">
        <v>43</v>
      </c>
      <c r="J384">
        <v>2019</v>
      </c>
      <c r="K384" t="s">
        <v>60</v>
      </c>
      <c r="N384" t="s">
        <v>99</v>
      </c>
      <c r="S384">
        <v>45475</v>
      </c>
      <c r="T384" t="s">
        <v>50</v>
      </c>
      <c r="U384">
        <v>68</v>
      </c>
      <c r="V384">
        <v>82</v>
      </c>
      <c r="AI384">
        <f t="shared" si="11"/>
        <v>1</v>
      </c>
      <c r="AJ384">
        <f>'TABLA PREVIOS'!E384</f>
        <v>274</v>
      </c>
      <c r="AK384">
        <f>VLOOKUP(E384,ALUMNOS!A:B,2,FALSE)</f>
        <v>450</v>
      </c>
    </row>
    <row r="385" spans="2:37" x14ac:dyDescent="0.25">
      <c r="B385" t="str">
        <f t="shared" si="10"/>
        <v>44768513ADMINISTRACIÓN6º</v>
      </c>
      <c r="C385" t="s">
        <v>285</v>
      </c>
      <c r="D385" t="s">
        <v>96</v>
      </c>
      <c r="E385">
        <v>44768513</v>
      </c>
      <c r="F385" t="s">
        <v>294</v>
      </c>
      <c r="G385" t="s">
        <v>30</v>
      </c>
      <c r="H385" t="s">
        <v>245</v>
      </c>
      <c r="I385" t="s">
        <v>43</v>
      </c>
      <c r="J385">
        <v>2020</v>
      </c>
      <c r="K385" t="s">
        <v>60</v>
      </c>
      <c r="N385" t="s">
        <v>99</v>
      </c>
      <c r="S385">
        <v>45475</v>
      </c>
      <c r="T385" t="s">
        <v>50</v>
      </c>
      <c r="U385">
        <v>68</v>
      </c>
      <c r="V385">
        <v>84</v>
      </c>
      <c r="AI385">
        <f t="shared" si="11"/>
        <v>1</v>
      </c>
      <c r="AJ385">
        <f>'TABLA PREVIOS'!E385</f>
        <v>285</v>
      </c>
      <c r="AK385">
        <f>VLOOKUP(E385,ALUMNOS!A:B,2,FALSE)</f>
        <v>450</v>
      </c>
    </row>
    <row r="386" spans="2:37" x14ac:dyDescent="0.25">
      <c r="B386" t="str">
        <f t="shared" si="10"/>
        <v>44768513ADMINISTRACIÓN FINANCIERA6º</v>
      </c>
      <c r="C386" t="s">
        <v>285</v>
      </c>
      <c r="D386" t="s">
        <v>96</v>
      </c>
      <c r="E386">
        <v>44768513</v>
      </c>
      <c r="F386" t="s">
        <v>294</v>
      </c>
      <c r="G386" t="s">
        <v>40</v>
      </c>
      <c r="H386" t="s">
        <v>245</v>
      </c>
      <c r="I386" t="s">
        <v>43</v>
      </c>
      <c r="J386">
        <v>2020</v>
      </c>
      <c r="K386" t="s">
        <v>60</v>
      </c>
      <c r="N386" t="s">
        <v>99</v>
      </c>
      <c r="AI386">
        <f t="shared" si="11"/>
        <v>1</v>
      </c>
      <c r="AJ386">
        <f>'TABLA PREVIOS'!E386</f>
        <v>289</v>
      </c>
      <c r="AK386">
        <f>VLOOKUP(E386,ALUMNOS!A:B,2,FALSE)</f>
        <v>450</v>
      </c>
    </row>
    <row r="387" spans="2:37" x14ac:dyDescent="0.25">
      <c r="B387" t="str">
        <f t="shared" ref="B387:B450" si="12">E387&amp;G387&amp;H387</f>
        <v>44768513CIUDADANÍA Y POLÍTICA6º</v>
      </c>
      <c r="C387" t="s">
        <v>285</v>
      </c>
      <c r="D387" t="s">
        <v>96</v>
      </c>
      <c r="E387">
        <v>44768513</v>
      </c>
      <c r="F387" t="s">
        <v>294</v>
      </c>
      <c r="G387" t="s">
        <v>37</v>
      </c>
      <c r="H387" t="s">
        <v>245</v>
      </c>
      <c r="I387" t="s">
        <v>43</v>
      </c>
      <c r="J387">
        <v>2020</v>
      </c>
      <c r="K387" t="s">
        <v>60</v>
      </c>
      <c r="N387" t="s">
        <v>99</v>
      </c>
      <c r="AI387">
        <f t="shared" ref="AI387:AI450" si="13">IF(VALUE(MAX(P387,T387,X387,AB387,AE387,))&gt;=7,VALUE(MAX(P387,T387,X387,AB387,AE387,)),1)</f>
        <v>1</v>
      </c>
      <c r="AJ387">
        <f>'TABLA PREVIOS'!E387</f>
        <v>284</v>
      </c>
      <c r="AK387">
        <f>VLOOKUP(E387,ALUMNOS!A:B,2,FALSE)</f>
        <v>450</v>
      </c>
    </row>
    <row r="388" spans="2:37" x14ac:dyDescent="0.25">
      <c r="B388" t="str">
        <f t="shared" si="12"/>
        <v>44768513DERECHO6º</v>
      </c>
      <c r="C388" t="s">
        <v>285</v>
      </c>
      <c r="D388" t="s">
        <v>96</v>
      </c>
      <c r="E388">
        <v>44768513</v>
      </c>
      <c r="F388" t="s">
        <v>294</v>
      </c>
      <c r="G388" t="s">
        <v>38</v>
      </c>
      <c r="H388" t="s">
        <v>245</v>
      </c>
      <c r="I388" t="s">
        <v>43</v>
      </c>
      <c r="J388">
        <v>2020</v>
      </c>
      <c r="K388" t="s">
        <v>60</v>
      </c>
      <c r="N388" t="s">
        <v>99</v>
      </c>
      <c r="AI388">
        <f t="shared" si="13"/>
        <v>1</v>
      </c>
      <c r="AJ388">
        <f>'TABLA PREVIOS'!E388</f>
        <v>287</v>
      </c>
      <c r="AK388">
        <f>VLOOKUP(E388,ALUMNOS!A:B,2,FALSE)</f>
        <v>450</v>
      </c>
    </row>
    <row r="389" spans="2:37" x14ac:dyDescent="0.25">
      <c r="B389" t="str">
        <f t="shared" si="12"/>
        <v>44768513FILOSOFÍA6º</v>
      </c>
      <c r="C389" t="s">
        <v>285</v>
      </c>
      <c r="D389" t="s">
        <v>96</v>
      </c>
      <c r="E389">
        <v>44768513</v>
      </c>
      <c r="F389" t="s">
        <v>294</v>
      </c>
      <c r="G389" t="s">
        <v>41</v>
      </c>
      <c r="H389" t="s">
        <v>245</v>
      </c>
      <c r="I389" t="s">
        <v>43</v>
      </c>
      <c r="J389">
        <v>2020</v>
      </c>
      <c r="K389" t="s">
        <v>60</v>
      </c>
      <c r="N389" t="s">
        <v>99</v>
      </c>
      <c r="AI389">
        <f t="shared" si="13"/>
        <v>1</v>
      </c>
      <c r="AJ389">
        <f>'TABLA PREVIOS'!E389</f>
        <v>292</v>
      </c>
      <c r="AK389">
        <f>VLOOKUP(E389,ALUMNOS!A:B,2,FALSE)</f>
        <v>450</v>
      </c>
    </row>
    <row r="390" spans="2:37" x14ac:dyDescent="0.25">
      <c r="B390" t="str">
        <f t="shared" si="12"/>
        <v>44768513LENGUA EXTRANJERA - INGLÉS6º</v>
      </c>
      <c r="C390" t="s">
        <v>285</v>
      </c>
      <c r="D390" t="s">
        <v>96</v>
      </c>
      <c r="E390">
        <v>44768513</v>
      </c>
      <c r="F390" t="s">
        <v>294</v>
      </c>
      <c r="G390" t="s">
        <v>16</v>
      </c>
      <c r="H390" t="s">
        <v>245</v>
      </c>
      <c r="I390" t="s">
        <v>43</v>
      </c>
      <c r="J390">
        <v>2020</v>
      </c>
      <c r="K390" t="s">
        <v>60</v>
      </c>
      <c r="N390" t="s">
        <v>99</v>
      </c>
      <c r="AI390">
        <f t="shared" si="13"/>
        <v>1</v>
      </c>
      <c r="AJ390">
        <f>'TABLA PREVIOS'!E390</f>
        <v>282</v>
      </c>
      <c r="AK390">
        <f>VLOOKUP(E390,ALUMNOS!A:B,2,FALSE)</f>
        <v>450</v>
      </c>
    </row>
    <row r="391" spans="2:37" x14ac:dyDescent="0.25">
      <c r="B391" t="str">
        <f t="shared" si="12"/>
        <v>44768513LENGUA Y LITERATURA6º</v>
      </c>
      <c r="C391" t="s">
        <v>285</v>
      </c>
      <c r="D391" t="s">
        <v>96</v>
      </c>
      <c r="E391">
        <v>44768513</v>
      </c>
      <c r="F391" t="s">
        <v>294</v>
      </c>
      <c r="G391" t="s">
        <v>11</v>
      </c>
      <c r="H391" t="s">
        <v>245</v>
      </c>
      <c r="I391" t="s">
        <v>43</v>
      </c>
      <c r="J391">
        <v>2020</v>
      </c>
      <c r="K391" t="s">
        <v>60</v>
      </c>
      <c r="N391" t="s">
        <v>99</v>
      </c>
      <c r="AI391">
        <f t="shared" si="13"/>
        <v>1</v>
      </c>
      <c r="AJ391">
        <f>'TABLA PREVIOS'!E391</f>
        <v>279</v>
      </c>
      <c r="AK391">
        <f>VLOOKUP(E391,ALUMNOS!A:B,2,FALSE)</f>
        <v>450</v>
      </c>
    </row>
    <row r="392" spans="2:37" x14ac:dyDescent="0.25">
      <c r="B392" t="str">
        <f t="shared" si="12"/>
        <v>44768513MATEMÁTICA6º</v>
      </c>
      <c r="C392" t="s">
        <v>285</v>
      </c>
      <c r="D392" t="s">
        <v>96</v>
      </c>
      <c r="E392">
        <v>44768513</v>
      </c>
      <c r="F392" t="s">
        <v>294</v>
      </c>
      <c r="G392" t="s">
        <v>12</v>
      </c>
      <c r="H392" t="s">
        <v>245</v>
      </c>
      <c r="I392" t="s">
        <v>43</v>
      </c>
      <c r="J392">
        <v>2020</v>
      </c>
      <c r="K392" t="s">
        <v>60</v>
      </c>
      <c r="N392" t="s">
        <v>99</v>
      </c>
      <c r="AI392">
        <f t="shared" si="13"/>
        <v>1</v>
      </c>
      <c r="AJ392">
        <f>'TABLA PREVIOS'!E392</f>
        <v>280</v>
      </c>
      <c r="AK392">
        <f>VLOOKUP(E392,ALUMNOS!A:B,2,FALSE)</f>
        <v>450</v>
      </c>
    </row>
    <row r="393" spans="2:37" x14ac:dyDescent="0.25">
      <c r="B393" t="str">
        <f t="shared" si="12"/>
        <v>44768513QUÍMICA6º</v>
      </c>
      <c r="C393" t="s">
        <v>285</v>
      </c>
      <c r="D393" t="s">
        <v>96</v>
      </c>
      <c r="E393">
        <v>44768513</v>
      </c>
      <c r="F393" t="s">
        <v>294</v>
      </c>
      <c r="G393" t="s">
        <v>25</v>
      </c>
      <c r="H393" t="s">
        <v>245</v>
      </c>
      <c r="I393" t="s">
        <v>43</v>
      </c>
      <c r="J393">
        <v>2020</v>
      </c>
      <c r="K393" t="s">
        <v>60</v>
      </c>
      <c r="N393" t="s">
        <v>99</v>
      </c>
      <c r="AI393">
        <f t="shared" si="13"/>
        <v>1</v>
      </c>
      <c r="AJ393">
        <f>'TABLA PREVIOS'!E393</f>
        <v>281</v>
      </c>
      <c r="AK393">
        <f>VLOOKUP(E393,ALUMNOS!A:B,2,FALSE)</f>
        <v>450</v>
      </c>
    </row>
    <row r="394" spans="2:37" x14ac:dyDescent="0.25">
      <c r="B394" t="str">
        <f t="shared" si="12"/>
        <v>44973247MATEMÁTICA4º</v>
      </c>
      <c r="C394" t="s">
        <v>285</v>
      </c>
      <c r="D394" t="s">
        <v>96</v>
      </c>
      <c r="E394">
        <v>44973247</v>
      </c>
      <c r="F394" t="s">
        <v>295</v>
      </c>
      <c r="G394" t="s">
        <v>12</v>
      </c>
      <c r="H394" t="s">
        <v>190</v>
      </c>
      <c r="I394" t="s">
        <v>43</v>
      </c>
      <c r="J394">
        <v>2018</v>
      </c>
      <c r="K394" t="s">
        <v>60</v>
      </c>
      <c r="N394" t="s">
        <v>99</v>
      </c>
      <c r="AI394">
        <f t="shared" si="13"/>
        <v>1</v>
      </c>
      <c r="AJ394">
        <f>'TABLA PREVIOS'!E394</f>
        <v>252</v>
      </c>
      <c r="AK394">
        <f>VLOOKUP(E394,ALUMNOS!A:B,2,FALSE)</f>
        <v>452</v>
      </c>
    </row>
    <row r="395" spans="2:37" x14ac:dyDescent="0.25">
      <c r="B395" t="str">
        <f t="shared" si="12"/>
        <v>44973247SISTEMAS DE INFORMACIÓN CONTABLE5º</v>
      </c>
      <c r="C395" t="s">
        <v>285</v>
      </c>
      <c r="D395" t="s">
        <v>96</v>
      </c>
      <c r="E395">
        <v>44973247</v>
      </c>
      <c r="F395" t="s">
        <v>295</v>
      </c>
      <c r="G395" t="s">
        <v>29</v>
      </c>
      <c r="H395" t="s">
        <v>220</v>
      </c>
      <c r="I395" t="s">
        <v>43</v>
      </c>
      <c r="J395">
        <v>2019</v>
      </c>
      <c r="K395" t="s">
        <v>60</v>
      </c>
      <c r="N395" t="s">
        <v>99</v>
      </c>
      <c r="AI395">
        <f t="shared" si="13"/>
        <v>1</v>
      </c>
      <c r="AJ395">
        <f>'TABLA PREVIOS'!E395</f>
        <v>273</v>
      </c>
      <c r="AK395">
        <f>VLOOKUP(E395,ALUMNOS!A:B,2,FALSE)</f>
        <v>452</v>
      </c>
    </row>
    <row r="396" spans="2:37" x14ac:dyDescent="0.25">
      <c r="B396" t="str">
        <f t="shared" si="12"/>
        <v>44973247ADMINISTRACIÓN6º</v>
      </c>
      <c r="C396" t="s">
        <v>285</v>
      </c>
      <c r="D396" t="s">
        <v>96</v>
      </c>
      <c r="E396">
        <v>44973247</v>
      </c>
      <c r="F396" t="s">
        <v>295</v>
      </c>
      <c r="G396" t="s">
        <v>30</v>
      </c>
      <c r="H396" t="s">
        <v>245</v>
      </c>
      <c r="I396" t="s">
        <v>43</v>
      </c>
      <c r="J396">
        <v>2020</v>
      </c>
      <c r="K396" t="s">
        <v>60</v>
      </c>
      <c r="N396" t="s">
        <v>99</v>
      </c>
      <c r="AI396">
        <f t="shared" si="13"/>
        <v>1</v>
      </c>
      <c r="AJ396">
        <f>'TABLA PREVIOS'!E396</f>
        <v>285</v>
      </c>
      <c r="AK396">
        <f>VLOOKUP(E396,ALUMNOS!A:B,2,FALSE)</f>
        <v>452</v>
      </c>
    </row>
    <row r="397" spans="2:37" x14ac:dyDescent="0.25">
      <c r="B397" t="str">
        <f t="shared" si="12"/>
        <v>44973247ECONOMÍA6º</v>
      </c>
      <c r="C397" t="s">
        <v>285</v>
      </c>
      <c r="D397" t="s">
        <v>96</v>
      </c>
      <c r="E397">
        <v>44973247</v>
      </c>
      <c r="F397" t="s">
        <v>295</v>
      </c>
      <c r="G397" t="s">
        <v>34</v>
      </c>
      <c r="H397" t="s">
        <v>245</v>
      </c>
      <c r="I397" t="s">
        <v>43</v>
      </c>
      <c r="J397">
        <v>2020</v>
      </c>
      <c r="K397" t="s">
        <v>60</v>
      </c>
      <c r="N397" t="s">
        <v>99</v>
      </c>
      <c r="AI397">
        <f t="shared" si="13"/>
        <v>1</v>
      </c>
      <c r="AJ397">
        <f>'TABLA PREVIOS'!E397</f>
        <v>286</v>
      </c>
      <c r="AK397">
        <f>VLOOKUP(E397,ALUMNOS!A:B,2,FALSE)</f>
        <v>452</v>
      </c>
    </row>
    <row r="398" spans="2:37" x14ac:dyDescent="0.25">
      <c r="B398" t="str">
        <f t="shared" si="12"/>
        <v>44973247FILOSOFÍA6º</v>
      </c>
      <c r="C398" t="s">
        <v>285</v>
      </c>
      <c r="D398" t="s">
        <v>96</v>
      </c>
      <c r="E398">
        <v>44973247</v>
      </c>
      <c r="F398" t="s">
        <v>295</v>
      </c>
      <c r="G398" t="s">
        <v>41</v>
      </c>
      <c r="H398" t="s">
        <v>245</v>
      </c>
      <c r="I398" t="s">
        <v>43</v>
      </c>
      <c r="J398">
        <v>2020</v>
      </c>
      <c r="K398" t="s">
        <v>60</v>
      </c>
      <c r="N398" t="s">
        <v>99</v>
      </c>
      <c r="AI398">
        <f t="shared" si="13"/>
        <v>1</v>
      </c>
      <c r="AJ398">
        <f>'TABLA PREVIOS'!E398</f>
        <v>292</v>
      </c>
      <c r="AK398">
        <f>VLOOKUP(E398,ALUMNOS!A:B,2,FALSE)</f>
        <v>452</v>
      </c>
    </row>
    <row r="399" spans="2:37" x14ac:dyDescent="0.25">
      <c r="B399" t="str">
        <f t="shared" si="12"/>
        <v>44973247LENGUA EXTRANJERA - INGLÉS6º</v>
      </c>
      <c r="C399" t="s">
        <v>285</v>
      </c>
      <c r="D399" t="s">
        <v>96</v>
      </c>
      <c r="E399">
        <v>44973247</v>
      </c>
      <c r="F399" t="s">
        <v>295</v>
      </c>
      <c r="G399" t="s">
        <v>16</v>
      </c>
      <c r="H399" t="s">
        <v>245</v>
      </c>
      <c r="I399" t="s">
        <v>43</v>
      </c>
      <c r="J399">
        <v>2020</v>
      </c>
      <c r="K399" t="s">
        <v>60</v>
      </c>
      <c r="N399" t="s">
        <v>99</v>
      </c>
      <c r="AI399">
        <f t="shared" si="13"/>
        <v>1</v>
      </c>
      <c r="AJ399">
        <f>'TABLA PREVIOS'!E399</f>
        <v>282</v>
      </c>
      <c r="AK399">
        <f>VLOOKUP(E399,ALUMNOS!A:B,2,FALSE)</f>
        <v>452</v>
      </c>
    </row>
    <row r="400" spans="2:37" x14ac:dyDescent="0.25">
      <c r="B400" t="str">
        <f t="shared" si="12"/>
        <v>44973247MATEMÁTICA6º</v>
      </c>
      <c r="C400" t="s">
        <v>285</v>
      </c>
      <c r="D400" t="s">
        <v>96</v>
      </c>
      <c r="E400">
        <v>44973247</v>
      </c>
      <c r="F400" t="s">
        <v>295</v>
      </c>
      <c r="G400" t="s">
        <v>12</v>
      </c>
      <c r="H400" t="s">
        <v>245</v>
      </c>
      <c r="I400" t="s">
        <v>43</v>
      </c>
      <c r="J400">
        <v>2020</v>
      </c>
      <c r="K400" t="s">
        <v>60</v>
      </c>
      <c r="N400" t="s">
        <v>99</v>
      </c>
      <c r="AI400">
        <f t="shared" si="13"/>
        <v>1</v>
      </c>
      <c r="AJ400">
        <f>'TABLA PREVIOS'!E400</f>
        <v>280</v>
      </c>
      <c r="AK400">
        <f>VLOOKUP(E400,ALUMNOS!A:B,2,FALSE)</f>
        <v>452</v>
      </c>
    </row>
    <row r="401" spans="2:37" x14ac:dyDescent="0.25">
      <c r="B401" t="str">
        <f t="shared" si="12"/>
        <v>44973247SISTEMAS DE INFORMACIÓN CONTABLE6º</v>
      </c>
      <c r="C401" t="s">
        <v>285</v>
      </c>
      <c r="D401" t="s">
        <v>96</v>
      </c>
      <c r="E401">
        <v>44973247</v>
      </c>
      <c r="F401" t="s">
        <v>295</v>
      </c>
      <c r="G401" t="s">
        <v>29</v>
      </c>
      <c r="H401" t="s">
        <v>245</v>
      </c>
      <c r="I401" t="s">
        <v>43</v>
      </c>
      <c r="J401">
        <v>2020</v>
      </c>
      <c r="K401" t="s">
        <v>60</v>
      </c>
      <c r="N401" t="s">
        <v>99</v>
      </c>
      <c r="AI401">
        <f t="shared" si="13"/>
        <v>1</v>
      </c>
      <c r="AJ401">
        <f>'TABLA PREVIOS'!E401</f>
        <v>290</v>
      </c>
      <c r="AK401">
        <f>VLOOKUP(E401,ALUMNOS!A:B,2,FALSE)</f>
        <v>452</v>
      </c>
    </row>
    <row r="402" spans="2:37" x14ac:dyDescent="0.25">
      <c r="B402" t="str">
        <f t="shared" si="12"/>
        <v>AAF72819ADMINISTRACIÓN6º</v>
      </c>
      <c r="C402" t="s">
        <v>285</v>
      </c>
      <c r="D402" t="s">
        <v>96</v>
      </c>
      <c r="E402" t="s">
        <v>6</v>
      </c>
      <c r="F402" t="s">
        <v>296</v>
      </c>
      <c r="G402" t="s">
        <v>30</v>
      </c>
      <c r="H402" t="s">
        <v>245</v>
      </c>
      <c r="I402" t="s">
        <v>43</v>
      </c>
      <c r="J402">
        <v>2020</v>
      </c>
      <c r="K402" t="s">
        <v>60</v>
      </c>
      <c r="N402" t="s">
        <v>99</v>
      </c>
      <c r="AI402">
        <f t="shared" si="13"/>
        <v>1</v>
      </c>
      <c r="AJ402">
        <f>'TABLA PREVIOS'!E402</f>
        <v>285</v>
      </c>
      <c r="AK402">
        <f>VLOOKUP(E402,ALUMNOS!A:B,2,FALSE)</f>
        <v>474</v>
      </c>
    </row>
    <row r="403" spans="2:37" x14ac:dyDescent="0.25">
      <c r="B403" t="str">
        <f t="shared" si="12"/>
        <v>AAF72819CIUDADANÍA Y POLÍTICA6º</v>
      </c>
      <c r="C403" t="s">
        <v>285</v>
      </c>
      <c r="D403" t="s">
        <v>96</v>
      </c>
      <c r="E403" t="s">
        <v>6</v>
      </c>
      <c r="F403" t="s">
        <v>296</v>
      </c>
      <c r="G403" t="s">
        <v>37</v>
      </c>
      <c r="H403" t="s">
        <v>245</v>
      </c>
      <c r="I403" t="s">
        <v>43</v>
      </c>
      <c r="J403">
        <v>2020</v>
      </c>
      <c r="K403" t="s">
        <v>60</v>
      </c>
      <c r="N403" t="s">
        <v>99</v>
      </c>
      <c r="AI403">
        <f t="shared" si="13"/>
        <v>1</v>
      </c>
      <c r="AJ403">
        <f>'TABLA PREVIOS'!E403</f>
        <v>284</v>
      </c>
      <c r="AK403">
        <f>VLOOKUP(E403,ALUMNOS!A:B,2,FALSE)</f>
        <v>474</v>
      </c>
    </row>
    <row r="404" spans="2:37" x14ac:dyDescent="0.25">
      <c r="B404" t="str">
        <f t="shared" si="12"/>
        <v>AAF72819DERECHO6º</v>
      </c>
      <c r="C404" t="s">
        <v>285</v>
      </c>
      <c r="D404" t="s">
        <v>96</v>
      </c>
      <c r="E404" t="s">
        <v>6</v>
      </c>
      <c r="F404" t="s">
        <v>296</v>
      </c>
      <c r="G404" t="s">
        <v>38</v>
      </c>
      <c r="H404" t="s">
        <v>245</v>
      </c>
      <c r="I404" t="s">
        <v>43</v>
      </c>
      <c r="J404">
        <v>2020</v>
      </c>
      <c r="K404" t="s">
        <v>60</v>
      </c>
      <c r="N404" t="s">
        <v>99</v>
      </c>
      <c r="AI404">
        <f t="shared" si="13"/>
        <v>1</v>
      </c>
      <c r="AJ404">
        <f>'TABLA PREVIOS'!E404</f>
        <v>287</v>
      </c>
      <c r="AK404">
        <f>VLOOKUP(E404,ALUMNOS!A:B,2,FALSE)</f>
        <v>474</v>
      </c>
    </row>
    <row r="405" spans="2:37" x14ac:dyDescent="0.25">
      <c r="B405" t="str">
        <f t="shared" si="12"/>
        <v>AAF72819ECONOMÍA6º</v>
      </c>
      <c r="C405" t="s">
        <v>285</v>
      </c>
      <c r="D405" t="s">
        <v>96</v>
      </c>
      <c r="E405" t="s">
        <v>6</v>
      </c>
      <c r="F405" t="s">
        <v>296</v>
      </c>
      <c r="G405" t="s">
        <v>34</v>
      </c>
      <c r="H405" t="s">
        <v>245</v>
      </c>
      <c r="I405" t="s">
        <v>43</v>
      </c>
      <c r="J405">
        <v>2020</v>
      </c>
      <c r="K405" t="s">
        <v>60</v>
      </c>
      <c r="N405" t="s">
        <v>99</v>
      </c>
      <c r="AI405">
        <f t="shared" si="13"/>
        <v>1</v>
      </c>
      <c r="AJ405">
        <f>'TABLA PREVIOS'!E405</f>
        <v>286</v>
      </c>
      <c r="AK405">
        <f>VLOOKUP(E405,ALUMNOS!A:B,2,FALSE)</f>
        <v>474</v>
      </c>
    </row>
    <row r="406" spans="2:37" x14ac:dyDescent="0.25">
      <c r="B406" t="str">
        <f t="shared" si="12"/>
        <v>AAF72819FILOSOFÍA6º</v>
      </c>
      <c r="C406" t="s">
        <v>285</v>
      </c>
      <c r="D406" t="s">
        <v>96</v>
      </c>
      <c r="E406" t="s">
        <v>6</v>
      </c>
      <c r="F406" t="s">
        <v>296</v>
      </c>
      <c r="G406" t="s">
        <v>41</v>
      </c>
      <c r="H406" t="s">
        <v>245</v>
      </c>
      <c r="I406" t="s">
        <v>43</v>
      </c>
      <c r="J406">
        <v>2020</v>
      </c>
      <c r="K406" t="s">
        <v>60</v>
      </c>
      <c r="N406" t="s">
        <v>99</v>
      </c>
      <c r="AI406">
        <f t="shared" si="13"/>
        <v>1</v>
      </c>
      <c r="AJ406">
        <f>'TABLA PREVIOS'!E406</f>
        <v>292</v>
      </c>
      <c r="AK406">
        <f>VLOOKUP(E406,ALUMNOS!A:B,2,FALSE)</f>
        <v>474</v>
      </c>
    </row>
    <row r="407" spans="2:37" x14ac:dyDescent="0.25">
      <c r="B407" t="str">
        <f t="shared" si="12"/>
        <v>AAF72819FORMACIÓN PARA LA VIDA Y EL TRABAJO6º</v>
      </c>
      <c r="C407" t="s">
        <v>285</v>
      </c>
      <c r="D407" t="s">
        <v>96</v>
      </c>
      <c r="E407" t="s">
        <v>6</v>
      </c>
      <c r="F407" t="s">
        <v>296</v>
      </c>
      <c r="G407" t="s">
        <v>28</v>
      </c>
      <c r="H407" t="s">
        <v>245</v>
      </c>
      <c r="I407" t="s">
        <v>43</v>
      </c>
      <c r="J407">
        <v>2020</v>
      </c>
      <c r="K407" t="s">
        <v>60</v>
      </c>
      <c r="N407" t="s">
        <v>99</v>
      </c>
      <c r="AI407">
        <f t="shared" si="13"/>
        <v>1</v>
      </c>
      <c r="AJ407">
        <f>'TABLA PREVIOS'!E407</f>
        <v>291</v>
      </c>
      <c r="AK407">
        <f>VLOOKUP(E407,ALUMNOS!A:B,2,FALSE)</f>
        <v>474</v>
      </c>
    </row>
    <row r="408" spans="2:37" x14ac:dyDescent="0.25">
      <c r="B408" t="str">
        <f t="shared" si="12"/>
        <v>AAF72819LENGUA EXTRANJERA - INGLÉS6º</v>
      </c>
      <c r="C408" t="s">
        <v>285</v>
      </c>
      <c r="D408" t="s">
        <v>96</v>
      </c>
      <c r="E408" t="s">
        <v>6</v>
      </c>
      <c r="F408" t="s">
        <v>296</v>
      </c>
      <c r="G408" t="s">
        <v>16</v>
      </c>
      <c r="H408" t="s">
        <v>245</v>
      </c>
      <c r="I408" t="s">
        <v>43</v>
      </c>
      <c r="J408">
        <v>2020</v>
      </c>
      <c r="K408" t="s">
        <v>60</v>
      </c>
      <c r="N408" t="s">
        <v>99</v>
      </c>
      <c r="AI408">
        <f t="shared" si="13"/>
        <v>1</v>
      </c>
      <c r="AJ408">
        <f>'TABLA PREVIOS'!E408</f>
        <v>282</v>
      </c>
      <c r="AK408">
        <f>VLOOKUP(E408,ALUMNOS!A:B,2,FALSE)</f>
        <v>474</v>
      </c>
    </row>
    <row r="409" spans="2:37" x14ac:dyDescent="0.25">
      <c r="B409" t="str">
        <f t="shared" si="12"/>
        <v>AAF72819LENGUA Y LITERATURA6º</v>
      </c>
      <c r="C409" t="s">
        <v>285</v>
      </c>
      <c r="D409" t="s">
        <v>96</v>
      </c>
      <c r="E409" t="s">
        <v>6</v>
      </c>
      <c r="F409" t="s">
        <v>296</v>
      </c>
      <c r="G409" t="s">
        <v>11</v>
      </c>
      <c r="H409" t="s">
        <v>245</v>
      </c>
      <c r="I409" t="s">
        <v>43</v>
      </c>
      <c r="J409">
        <v>2020</v>
      </c>
      <c r="K409" t="s">
        <v>60</v>
      </c>
      <c r="N409" t="s">
        <v>99</v>
      </c>
      <c r="AI409">
        <f t="shared" si="13"/>
        <v>1</v>
      </c>
      <c r="AJ409">
        <f>'TABLA PREVIOS'!E409</f>
        <v>279</v>
      </c>
      <c r="AK409">
        <f>VLOOKUP(E409,ALUMNOS!A:B,2,FALSE)</f>
        <v>474</v>
      </c>
    </row>
    <row r="410" spans="2:37" x14ac:dyDescent="0.25">
      <c r="B410" t="str">
        <f t="shared" si="12"/>
        <v>AAF72819MATEMÁTICA6º</v>
      </c>
      <c r="C410" t="s">
        <v>285</v>
      </c>
      <c r="D410" t="s">
        <v>96</v>
      </c>
      <c r="E410" t="s">
        <v>6</v>
      </c>
      <c r="F410" t="s">
        <v>296</v>
      </c>
      <c r="G410" t="s">
        <v>12</v>
      </c>
      <c r="H410" t="s">
        <v>245</v>
      </c>
      <c r="I410" t="s">
        <v>43</v>
      </c>
      <c r="J410">
        <v>2020</v>
      </c>
      <c r="K410" t="s">
        <v>60</v>
      </c>
      <c r="N410" t="s">
        <v>99</v>
      </c>
      <c r="AI410">
        <f t="shared" si="13"/>
        <v>1</v>
      </c>
      <c r="AJ410">
        <f>'TABLA PREVIOS'!E410</f>
        <v>280</v>
      </c>
      <c r="AK410">
        <f>VLOOKUP(E410,ALUMNOS!A:B,2,FALSE)</f>
        <v>474</v>
      </c>
    </row>
    <row r="411" spans="2:37" x14ac:dyDescent="0.25">
      <c r="B411" t="str">
        <f t="shared" si="12"/>
        <v>AAF72819QUÍMICA6º</v>
      </c>
      <c r="C411" t="s">
        <v>285</v>
      </c>
      <c r="D411" t="s">
        <v>96</v>
      </c>
      <c r="E411" t="s">
        <v>6</v>
      </c>
      <c r="F411" t="s">
        <v>296</v>
      </c>
      <c r="G411" t="s">
        <v>25</v>
      </c>
      <c r="H411" t="s">
        <v>245</v>
      </c>
      <c r="I411" t="s">
        <v>43</v>
      </c>
      <c r="J411">
        <v>2020</v>
      </c>
      <c r="K411" t="s">
        <v>60</v>
      </c>
      <c r="N411" t="s">
        <v>99</v>
      </c>
      <c r="AI411">
        <f t="shared" si="13"/>
        <v>1</v>
      </c>
      <c r="AJ411">
        <f>'TABLA PREVIOS'!E411</f>
        <v>281</v>
      </c>
      <c r="AK411">
        <f>VLOOKUP(E411,ALUMNOS!A:B,2,FALSE)</f>
        <v>474</v>
      </c>
    </row>
    <row r="412" spans="2:37" x14ac:dyDescent="0.25">
      <c r="B412" t="str">
        <f t="shared" si="12"/>
        <v>AAF72819RESPONSABILIDAD SOCIAL DE LAS ORGANIZACIONES6º</v>
      </c>
      <c r="C412" t="s">
        <v>285</v>
      </c>
      <c r="D412" t="s">
        <v>96</v>
      </c>
      <c r="E412" t="s">
        <v>6</v>
      </c>
      <c r="F412" t="s">
        <v>296</v>
      </c>
      <c r="G412" t="s">
        <v>39</v>
      </c>
      <c r="H412" t="s">
        <v>245</v>
      </c>
      <c r="I412" t="s">
        <v>43</v>
      </c>
      <c r="J412">
        <v>2020</v>
      </c>
      <c r="K412" t="s">
        <v>60</v>
      </c>
      <c r="N412" t="s">
        <v>99</v>
      </c>
      <c r="AI412">
        <f t="shared" si="13"/>
        <v>1</v>
      </c>
      <c r="AJ412">
        <f>'TABLA PREVIOS'!E412</f>
        <v>288</v>
      </c>
      <c r="AK412">
        <f>VLOOKUP(E412,ALUMNOS!A:B,2,FALSE)</f>
        <v>474</v>
      </c>
    </row>
    <row r="413" spans="2:37" x14ac:dyDescent="0.25">
      <c r="B413" t="str">
        <f t="shared" si="12"/>
        <v>AAF72819SISTEMAS DE INFORMACIÓN CONTABLE6º</v>
      </c>
      <c r="C413" t="s">
        <v>285</v>
      </c>
      <c r="D413" t="s">
        <v>96</v>
      </c>
      <c r="E413" t="s">
        <v>6</v>
      </c>
      <c r="F413" t="s">
        <v>296</v>
      </c>
      <c r="G413" t="s">
        <v>29</v>
      </c>
      <c r="H413" t="s">
        <v>245</v>
      </c>
      <c r="I413" t="s">
        <v>43</v>
      </c>
      <c r="J413">
        <v>2020</v>
      </c>
      <c r="K413" t="s">
        <v>60</v>
      </c>
      <c r="N413" t="s">
        <v>99</v>
      </c>
      <c r="AI413">
        <f t="shared" si="13"/>
        <v>1</v>
      </c>
      <c r="AJ413">
        <f>'TABLA PREVIOS'!E413</f>
        <v>290</v>
      </c>
      <c r="AK413">
        <f>VLOOKUP(E413,ALUMNOS!A:B,2,FALSE)</f>
        <v>474</v>
      </c>
    </row>
    <row r="414" spans="2:37" x14ac:dyDescent="0.25">
      <c r="B414" t="str">
        <f t="shared" si="12"/>
        <v>43929972LENGUA EXTRANJERA - INGLÉS3º</v>
      </c>
      <c r="C414" t="s">
        <v>285</v>
      </c>
      <c r="D414" t="s">
        <v>96</v>
      </c>
      <c r="E414">
        <v>43929972</v>
      </c>
      <c r="F414" t="s">
        <v>297</v>
      </c>
      <c r="G414" t="s">
        <v>16</v>
      </c>
      <c r="H414" t="s">
        <v>143</v>
      </c>
      <c r="I414" t="s">
        <v>43</v>
      </c>
      <c r="J414">
        <v>2017</v>
      </c>
      <c r="K414" t="s">
        <v>59</v>
      </c>
      <c r="N414" t="s">
        <v>99</v>
      </c>
      <c r="AI414">
        <f t="shared" si="13"/>
        <v>1</v>
      </c>
      <c r="AJ414">
        <f>'TABLA PREVIOS'!E414</f>
        <v>245</v>
      </c>
      <c r="AK414">
        <f>VLOOKUP(E414,ALUMNOS!A:B,2,FALSE)</f>
        <v>89</v>
      </c>
    </row>
    <row r="415" spans="2:37" x14ac:dyDescent="0.25">
      <c r="B415" t="str">
        <f t="shared" si="12"/>
        <v>44204983LENGUA EXTRANJERA - INGLÉS3º</v>
      </c>
      <c r="C415" t="s">
        <v>285</v>
      </c>
      <c r="D415" t="s">
        <v>96</v>
      </c>
      <c r="E415">
        <v>44204983</v>
      </c>
      <c r="F415" t="s">
        <v>298</v>
      </c>
      <c r="G415" t="s">
        <v>16</v>
      </c>
      <c r="H415" t="s">
        <v>143</v>
      </c>
      <c r="I415" t="s">
        <v>43</v>
      </c>
      <c r="J415">
        <v>2017</v>
      </c>
      <c r="K415" t="s">
        <v>59</v>
      </c>
      <c r="N415" t="s">
        <v>99</v>
      </c>
      <c r="AI415">
        <f t="shared" si="13"/>
        <v>1</v>
      </c>
      <c r="AJ415">
        <f>'TABLA PREVIOS'!E415</f>
        <v>245</v>
      </c>
      <c r="AK415">
        <f>VLOOKUP(E415,ALUMNOS!A:B,2,FALSE)</f>
        <v>636</v>
      </c>
    </row>
    <row r="416" spans="2:37" x14ac:dyDescent="0.25">
      <c r="B416" t="str">
        <f t="shared" si="12"/>
        <v>44204983HISTORIA4º</v>
      </c>
      <c r="C416" t="s">
        <v>285</v>
      </c>
      <c r="D416" t="s">
        <v>96</v>
      </c>
      <c r="E416">
        <v>44204983</v>
      </c>
      <c r="F416" t="s">
        <v>298</v>
      </c>
      <c r="G416" t="s">
        <v>27</v>
      </c>
      <c r="H416" t="s">
        <v>190</v>
      </c>
      <c r="I416" t="s">
        <v>43</v>
      </c>
      <c r="J416">
        <v>2018</v>
      </c>
      <c r="K416" t="s">
        <v>60</v>
      </c>
      <c r="N416" t="s">
        <v>99</v>
      </c>
      <c r="AI416">
        <f t="shared" si="13"/>
        <v>1</v>
      </c>
      <c r="AJ416">
        <f>'TABLA PREVIOS'!E416</f>
        <v>255</v>
      </c>
      <c r="AK416">
        <f>VLOOKUP(E416,ALUMNOS!A:B,2,FALSE)</f>
        <v>636</v>
      </c>
    </row>
    <row r="417" spans="2:37" x14ac:dyDescent="0.25">
      <c r="B417" t="str">
        <f t="shared" si="12"/>
        <v>44204983LENGUA Y LITERATURA5º</v>
      </c>
      <c r="C417" t="s">
        <v>285</v>
      </c>
      <c r="D417" t="s">
        <v>96</v>
      </c>
      <c r="E417">
        <v>44204983</v>
      </c>
      <c r="F417" t="s">
        <v>298</v>
      </c>
      <c r="G417" t="s">
        <v>11</v>
      </c>
      <c r="H417" t="s">
        <v>220</v>
      </c>
      <c r="I417" t="s">
        <v>43</v>
      </c>
      <c r="J417">
        <v>2019</v>
      </c>
      <c r="K417" t="s">
        <v>60</v>
      </c>
      <c r="N417" t="s">
        <v>99</v>
      </c>
      <c r="AI417">
        <f t="shared" si="13"/>
        <v>1</v>
      </c>
      <c r="AJ417">
        <f>'TABLA PREVIOS'!E417</f>
        <v>264</v>
      </c>
      <c r="AK417">
        <f>VLOOKUP(E417,ALUMNOS!A:B,2,FALSE)</f>
        <v>636</v>
      </c>
    </row>
    <row r="418" spans="2:37" x14ac:dyDescent="0.25">
      <c r="B418" t="str">
        <f t="shared" si="12"/>
        <v>44204983ADMINISTRACIÓN6º</v>
      </c>
      <c r="C418" t="s">
        <v>285</v>
      </c>
      <c r="D418" t="s">
        <v>96</v>
      </c>
      <c r="E418">
        <v>44204983</v>
      </c>
      <c r="F418" t="s">
        <v>298</v>
      </c>
      <c r="G418" t="s">
        <v>30</v>
      </c>
      <c r="H418" t="s">
        <v>245</v>
      </c>
      <c r="I418" t="s">
        <v>43</v>
      </c>
      <c r="J418">
        <v>2020</v>
      </c>
      <c r="K418" t="s">
        <v>60</v>
      </c>
      <c r="N418" t="s">
        <v>99</v>
      </c>
      <c r="AI418">
        <f t="shared" si="13"/>
        <v>1</v>
      </c>
      <c r="AJ418">
        <f>'TABLA PREVIOS'!E418</f>
        <v>285</v>
      </c>
      <c r="AK418">
        <f>VLOOKUP(E418,ALUMNOS!A:B,2,FALSE)</f>
        <v>636</v>
      </c>
    </row>
    <row r="419" spans="2:37" x14ac:dyDescent="0.25">
      <c r="B419" t="str">
        <f t="shared" si="12"/>
        <v>44204983CIUDADANÍA Y POLÍTICA6º</v>
      </c>
      <c r="C419" t="s">
        <v>285</v>
      </c>
      <c r="D419" t="s">
        <v>96</v>
      </c>
      <c r="E419">
        <v>44204983</v>
      </c>
      <c r="F419" t="s">
        <v>298</v>
      </c>
      <c r="G419" t="s">
        <v>37</v>
      </c>
      <c r="H419" t="s">
        <v>245</v>
      </c>
      <c r="I419" t="s">
        <v>43</v>
      </c>
      <c r="J419">
        <v>2020</v>
      </c>
      <c r="K419" t="s">
        <v>60</v>
      </c>
      <c r="N419" t="s">
        <v>99</v>
      </c>
      <c r="AI419">
        <f t="shared" si="13"/>
        <v>1</v>
      </c>
      <c r="AJ419">
        <f>'TABLA PREVIOS'!E419</f>
        <v>284</v>
      </c>
      <c r="AK419">
        <f>VLOOKUP(E419,ALUMNOS!A:B,2,FALSE)</f>
        <v>636</v>
      </c>
    </row>
    <row r="420" spans="2:37" x14ac:dyDescent="0.25">
      <c r="B420" t="str">
        <f t="shared" si="12"/>
        <v>44204983DERECHO6º</v>
      </c>
      <c r="C420" t="s">
        <v>285</v>
      </c>
      <c r="D420" t="s">
        <v>96</v>
      </c>
      <c r="E420">
        <v>44204983</v>
      </c>
      <c r="F420" t="s">
        <v>298</v>
      </c>
      <c r="G420" t="s">
        <v>38</v>
      </c>
      <c r="H420" t="s">
        <v>245</v>
      </c>
      <c r="I420" t="s">
        <v>43</v>
      </c>
      <c r="J420">
        <v>2020</v>
      </c>
      <c r="K420" t="s">
        <v>60</v>
      </c>
      <c r="N420" t="s">
        <v>99</v>
      </c>
      <c r="AI420">
        <f t="shared" si="13"/>
        <v>1</v>
      </c>
      <c r="AJ420">
        <f>'TABLA PREVIOS'!E420</f>
        <v>287</v>
      </c>
      <c r="AK420">
        <f>VLOOKUP(E420,ALUMNOS!A:B,2,FALSE)</f>
        <v>636</v>
      </c>
    </row>
    <row r="421" spans="2:37" x14ac:dyDescent="0.25">
      <c r="B421" t="str">
        <f t="shared" si="12"/>
        <v>44204983ECONOMÍA6º</v>
      </c>
      <c r="C421" t="s">
        <v>285</v>
      </c>
      <c r="D421" t="s">
        <v>96</v>
      </c>
      <c r="E421">
        <v>44204983</v>
      </c>
      <c r="F421" t="s">
        <v>298</v>
      </c>
      <c r="G421" t="s">
        <v>34</v>
      </c>
      <c r="H421" t="s">
        <v>245</v>
      </c>
      <c r="I421" t="s">
        <v>43</v>
      </c>
      <c r="J421">
        <v>2020</v>
      </c>
      <c r="K421" t="s">
        <v>60</v>
      </c>
      <c r="N421" t="s">
        <v>99</v>
      </c>
      <c r="AI421">
        <f t="shared" si="13"/>
        <v>1</v>
      </c>
      <c r="AJ421">
        <f>'TABLA PREVIOS'!E421</f>
        <v>286</v>
      </c>
      <c r="AK421">
        <f>VLOOKUP(E421,ALUMNOS!A:B,2,FALSE)</f>
        <v>636</v>
      </c>
    </row>
    <row r="422" spans="2:37" x14ac:dyDescent="0.25">
      <c r="B422" t="str">
        <f t="shared" si="12"/>
        <v>44204983FILOSOFÍA6º</v>
      </c>
      <c r="C422" t="s">
        <v>285</v>
      </c>
      <c r="D422" t="s">
        <v>96</v>
      </c>
      <c r="E422">
        <v>44204983</v>
      </c>
      <c r="F422" t="s">
        <v>298</v>
      </c>
      <c r="G422" t="s">
        <v>41</v>
      </c>
      <c r="H422" t="s">
        <v>245</v>
      </c>
      <c r="I422" t="s">
        <v>43</v>
      </c>
      <c r="J422">
        <v>2020</v>
      </c>
      <c r="K422" t="s">
        <v>60</v>
      </c>
      <c r="N422" t="s">
        <v>99</v>
      </c>
      <c r="AI422">
        <f t="shared" si="13"/>
        <v>1</v>
      </c>
      <c r="AJ422">
        <f>'TABLA PREVIOS'!E422</f>
        <v>292</v>
      </c>
      <c r="AK422">
        <f>VLOOKUP(E422,ALUMNOS!A:B,2,FALSE)</f>
        <v>636</v>
      </c>
    </row>
    <row r="423" spans="2:37" x14ac:dyDescent="0.25">
      <c r="B423" t="str">
        <f t="shared" si="12"/>
        <v>44204983FORMACIÓN PARA LA VIDA Y EL TRABAJO6º</v>
      </c>
      <c r="C423" t="s">
        <v>285</v>
      </c>
      <c r="D423" t="s">
        <v>96</v>
      </c>
      <c r="E423">
        <v>44204983</v>
      </c>
      <c r="F423" t="s">
        <v>298</v>
      </c>
      <c r="G423" t="s">
        <v>28</v>
      </c>
      <c r="H423" t="s">
        <v>245</v>
      </c>
      <c r="I423" t="s">
        <v>43</v>
      </c>
      <c r="J423">
        <v>2020</v>
      </c>
      <c r="K423" t="s">
        <v>60</v>
      </c>
      <c r="N423" t="s">
        <v>99</v>
      </c>
      <c r="AI423">
        <f t="shared" si="13"/>
        <v>1</v>
      </c>
      <c r="AJ423">
        <f>'TABLA PREVIOS'!E423</f>
        <v>291</v>
      </c>
      <c r="AK423">
        <f>VLOOKUP(E423,ALUMNOS!A:B,2,FALSE)</f>
        <v>636</v>
      </c>
    </row>
    <row r="424" spans="2:37" x14ac:dyDescent="0.25">
      <c r="B424" t="str">
        <f t="shared" si="12"/>
        <v>44204983LENGUA EXTRANJERA - INGLÉS6º</v>
      </c>
      <c r="C424" t="s">
        <v>285</v>
      </c>
      <c r="D424" t="s">
        <v>96</v>
      </c>
      <c r="E424">
        <v>44204983</v>
      </c>
      <c r="F424" t="s">
        <v>298</v>
      </c>
      <c r="G424" t="s">
        <v>16</v>
      </c>
      <c r="H424" t="s">
        <v>245</v>
      </c>
      <c r="I424" t="s">
        <v>43</v>
      </c>
      <c r="J424">
        <v>2020</v>
      </c>
      <c r="K424" t="s">
        <v>60</v>
      </c>
      <c r="N424" t="s">
        <v>99</v>
      </c>
      <c r="AI424">
        <f t="shared" si="13"/>
        <v>1</v>
      </c>
      <c r="AJ424">
        <f>'TABLA PREVIOS'!E424</f>
        <v>282</v>
      </c>
      <c r="AK424">
        <f>VLOOKUP(E424,ALUMNOS!A:B,2,FALSE)</f>
        <v>636</v>
      </c>
    </row>
    <row r="425" spans="2:37" x14ac:dyDescent="0.25">
      <c r="B425" t="str">
        <f t="shared" si="12"/>
        <v>44204983LENGUA Y LITERATURA6º</v>
      </c>
      <c r="C425" t="s">
        <v>285</v>
      </c>
      <c r="D425" t="s">
        <v>96</v>
      </c>
      <c r="E425">
        <v>44204983</v>
      </c>
      <c r="F425" t="s">
        <v>298</v>
      </c>
      <c r="G425" t="s">
        <v>11</v>
      </c>
      <c r="H425" t="s">
        <v>245</v>
      </c>
      <c r="I425" t="s">
        <v>43</v>
      </c>
      <c r="J425">
        <v>2020</v>
      </c>
      <c r="K425" t="s">
        <v>60</v>
      </c>
      <c r="N425" t="s">
        <v>99</v>
      </c>
      <c r="AI425">
        <f t="shared" si="13"/>
        <v>1</v>
      </c>
      <c r="AJ425">
        <f>'TABLA PREVIOS'!E425</f>
        <v>279</v>
      </c>
      <c r="AK425">
        <f>VLOOKUP(E425,ALUMNOS!A:B,2,FALSE)</f>
        <v>636</v>
      </c>
    </row>
    <row r="426" spans="2:37" x14ac:dyDescent="0.25">
      <c r="B426" t="str">
        <f t="shared" si="12"/>
        <v>44204983MATEMÁTICA6º</v>
      </c>
      <c r="C426" t="s">
        <v>285</v>
      </c>
      <c r="D426" t="s">
        <v>96</v>
      </c>
      <c r="E426">
        <v>44204983</v>
      </c>
      <c r="F426" t="s">
        <v>298</v>
      </c>
      <c r="G426" t="s">
        <v>12</v>
      </c>
      <c r="H426" t="s">
        <v>245</v>
      </c>
      <c r="I426" t="s">
        <v>43</v>
      </c>
      <c r="J426">
        <v>2020</v>
      </c>
      <c r="K426" t="s">
        <v>60</v>
      </c>
      <c r="N426" t="s">
        <v>99</v>
      </c>
      <c r="AI426">
        <f t="shared" si="13"/>
        <v>1</v>
      </c>
      <c r="AJ426">
        <f>'TABLA PREVIOS'!E426</f>
        <v>280</v>
      </c>
      <c r="AK426">
        <f>VLOOKUP(E426,ALUMNOS!A:B,2,FALSE)</f>
        <v>636</v>
      </c>
    </row>
    <row r="427" spans="2:37" x14ac:dyDescent="0.25">
      <c r="B427" t="str">
        <f t="shared" si="12"/>
        <v>44204983QUÍMICA6º</v>
      </c>
      <c r="C427" t="s">
        <v>285</v>
      </c>
      <c r="D427" t="s">
        <v>96</v>
      </c>
      <c r="E427">
        <v>44204983</v>
      </c>
      <c r="F427" t="s">
        <v>298</v>
      </c>
      <c r="G427" t="s">
        <v>25</v>
      </c>
      <c r="H427" t="s">
        <v>245</v>
      </c>
      <c r="I427" t="s">
        <v>43</v>
      </c>
      <c r="J427">
        <v>2020</v>
      </c>
      <c r="K427" t="s">
        <v>60</v>
      </c>
      <c r="N427" t="s">
        <v>99</v>
      </c>
      <c r="AI427">
        <f t="shared" si="13"/>
        <v>1</v>
      </c>
      <c r="AJ427">
        <f>'TABLA PREVIOS'!E427</f>
        <v>281</v>
      </c>
      <c r="AK427">
        <f>VLOOKUP(E427,ALUMNOS!A:B,2,FALSE)</f>
        <v>636</v>
      </c>
    </row>
    <row r="428" spans="2:37" x14ac:dyDescent="0.25">
      <c r="B428" t="str">
        <f t="shared" si="12"/>
        <v>44204983RESPONSABILIDAD SOCIAL DE LAS ORGANIZACIONES6º</v>
      </c>
      <c r="C428" t="s">
        <v>285</v>
      </c>
      <c r="D428" t="s">
        <v>96</v>
      </c>
      <c r="E428">
        <v>44204983</v>
      </c>
      <c r="F428" t="s">
        <v>298</v>
      </c>
      <c r="G428" t="s">
        <v>39</v>
      </c>
      <c r="H428" t="s">
        <v>245</v>
      </c>
      <c r="I428" t="s">
        <v>43</v>
      </c>
      <c r="J428">
        <v>2020</v>
      </c>
      <c r="K428" t="s">
        <v>60</v>
      </c>
      <c r="N428" t="s">
        <v>99</v>
      </c>
      <c r="AI428">
        <f t="shared" si="13"/>
        <v>1</v>
      </c>
      <c r="AJ428">
        <f>'TABLA PREVIOS'!E428</f>
        <v>288</v>
      </c>
      <c r="AK428">
        <f>VLOOKUP(E428,ALUMNOS!A:B,2,FALSE)</f>
        <v>636</v>
      </c>
    </row>
    <row r="429" spans="2:37" x14ac:dyDescent="0.25">
      <c r="B429" t="str">
        <f t="shared" si="12"/>
        <v>44204983SISTEMAS DE INFORMACIÓN CONTABLE6º</v>
      </c>
      <c r="C429" t="s">
        <v>285</v>
      </c>
      <c r="D429" t="s">
        <v>96</v>
      </c>
      <c r="E429">
        <v>44204983</v>
      </c>
      <c r="F429" t="s">
        <v>298</v>
      </c>
      <c r="G429" t="s">
        <v>29</v>
      </c>
      <c r="H429" t="s">
        <v>245</v>
      </c>
      <c r="I429" t="s">
        <v>43</v>
      </c>
      <c r="J429">
        <v>2020</v>
      </c>
      <c r="K429" t="s">
        <v>60</v>
      </c>
      <c r="N429" t="s">
        <v>99</v>
      </c>
      <c r="AI429">
        <f t="shared" si="13"/>
        <v>1</v>
      </c>
      <c r="AJ429">
        <f>'TABLA PREVIOS'!E429</f>
        <v>290</v>
      </c>
      <c r="AK429">
        <f>VLOOKUP(E429,ALUMNOS!A:B,2,FALSE)</f>
        <v>636</v>
      </c>
    </row>
    <row r="430" spans="2:37" x14ac:dyDescent="0.25">
      <c r="B430" t="str">
        <f t="shared" si="12"/>
        <v>44578281ADMINISTRACIÓN5º</v>
      </c>
      <c r="C430" t="s">
        <v>285</v>
      </c>
      <c r="D430" t="s">
        <v>96</v>
      </c>
      <c r="E430">
        <v>44578281</v>
      </c>
      <c r="F430" t="s">
        <v>299</v>
      </c>
      <c r="G430" t="s">
        <v>30</v>
      </c>
      <c r="H430" t="s">
        <v>220</v>
      </c>
      <c r="I430" t="s">
        <v>43</v>
      </c>
      <c r="J430">
        <v>2019</v>
      </c>
      <c r="K430" t="s">
        <v>60</v>
      </c>
      <c r="N430" t="s">
        <v>99</v>
      </c>
      <c r="S430">
        <v>45475</v>
      </c>
      <c r="T430" t="s">
        <v>50</v>
      </c>
      <c r="U430">
        <v>68</v>
      </c>
      <c r="V430">
        <v>82</v>
      </c>
      <c r="AI430">
        <f t="shared" si="13"/>
        <v>1</v>
      </c>
      <c r="AJ430">
        <f>'TABLA PREVIOS'!E430</f>
        <v>274</v>
      </c>
      <c r="AK430">
        <f>VLOOKUP(E430,ALUMNOS!A:B,2,FALSE)</f>
        <v>663</v>
      </c>
    </row>
    <row r="431" spans="2:37" x14ac:dyDescent="0.25">
      <c r="B431" t="str">
        <f t="shared" si="12"/>
        <v>44578281ECONOMÍA5º</v>
      </c>
      <c r="C431" t="s">
        <v>285</v>
      </c>
      <c r="D431" t="s">
        <v>96</v>
      </c>
      <c r="E431">
        <v>44578281</v>
      </c>
      <c r="F431" t="s">
        <v>299</v>
      </c>
      <c r="G431" t="s">
        <v>34</v>
      </c>
      <c r="H431" t="s">
        <v>220</v>
      </c>
      <c r="I431" t="s">
        <v>43</v>
      </c>
      <c r="J431">
        <v>2019</v>
      </c>
      <c r="K431" t="s">
        <v>60</v>
      </c>
      <c r="N431" t="s">
        <v>99</v>
      </c>
      <c r="AI431">
        <f t="shared" si="13"/>
        <v>1</v>
      </c>
      <c r="AJ431">
        <f>'TABLA PREVIOS'!E431</f>
        <v>275</v>
      </c>
      <c r="AK431">
        <f>VLOOKUP(E431,ALUMNOS!A:B,2,FALSE)</f>
        <v>663</v>
      </c>
    </row>
    <row r="432" spans="2:37" x14ac:dyDescent="0.25">
      <c r="B432" t="str">
        <f t="shared" si="12"/>
        <v>44578281ADMINISTRACIÓN6º</v>
      </c>
      <c r="C432" t="s">
        <v>285</v>
      </c>
      <c r="D432" t="s">
        <v>96</v>
      </c>
      <c r="E432">
        <v>44578281</v>
      </c>
      <c r="F432" t="s">
        <v>299</v>
      </c>
      <c r="G432" t="s">
        <v>30</v>
      </c>
      <c r="H432" t="s">
        <v>245</v>
      </c>
      <c r="I432" t="s">
        <v>43</v>
      </c>
      <c r="J432">
        <v>2020</v>
      </c>
      <c r="K432" t="s">
        <v>60</v>
      </c>
      <c r="N432" t="s">
        <v>99</v>
      </c>
      <c r="S432">
        <v>45475</v>
      </c>
      <c r="T432" t="s">
        <v>50</v>
      </c>
      <c r="U432">
        <v>68</v>
      </c>
      <c r="V432">
        <v>84</v>
      </c>
      <c r="AI432">
        <f t="shared" si="13"/>
        <v>1</v>
      </c>
      <c r="AJ432">
        <f>'TABLA PREVIOS'!E432</f>
        <v>285</v>
      </c>
      <c r="AK432">
        <f>VLOOKUP(E432,ALUMNOS!A:B,2,FALSE)</f>
        <v>663</v>
      </c>
    </row>
    <row r="433" spans="2:37" x14ac:dyDescent="0.25">
      <c r="B433" t="str">
        <f t="shared" si="12"/>
        <v>44578281ADMINISTRACIÓN FINANCIERA6º</v>
      </c>
      <c r="C433" t="s">
        <v>285</v>
      </c>
      <c r="D433" t="s">
        <v>96</v>
      </c>
      <c r="E433">
        <v>44578281</v>
      </c>
      <c r="F433" t="s">
        <v>299</v>
      </c>
      <c r="G433" t="s">
        <v>40</v>
      </c>
      <c r="H433" t="s">
        <v>245</v>
      </c>
      <c r="I433" t="s">
        <v>43</v>
      </c>
      <c r="J433">
        <v>2020</v>
      </c>
      <c r="K433" t="s">
        <v>60</v>
      </c>
      <c r="N433" t="s">
        <v>99</v>
      </c>
      <c r="AI433">
        <f t="shared" si="13"/>
        <v>1</v>
      </c>
      <c r="AJ433">
        <f>'TABLA PREVIOS'!E433</f>
        <v>289</v>
      </c>
      <c r="AK433">
        <f>VLOOKUP(E433,ALUMNOS!A:B,2,FALSE)</f>
        <v>663</v>
      </c>
    </row>
    <row r="434" spans="2:37" x14ac:dyDescent="0.25">
      <c r="B434" t="str">
        <f t="shared" si="12"/>
        <v>44578281DERECHO6º</v>
      </c>
      <c r="C434" t="s">
        <v>285</v>
      </c>
      <c r="D434" t="s">
        <v>96</v>
      </c>
      <c r="E434">
        <v>44578281</v>
      </c>
      <c r="F434" t="s">
        <v>299</v>
      </c>
      <c r="G434" t="s">
        <v>38</v>
      </c>
      <c r="H434" t="s">
        <v>245</v>
      </c>
      <c r="I434" t="s">
        <v>43</v>
      </c>
      <c r="J434">
        <v>2020</v>
      </c>
      <c r="K434" t="s">
        <v>60</v>
      </c>
      <c r="N434" t="s">
        <v>99</v>
      </c>
      <c r="AI434">
        <f t="shared" si="13"/>
        <v>1</v>
      </c>
      <c r="AJ434">
        <f>'TABLA PREVIOS'!E434</f>
        <v>287</v>
      </c>
      <c r="AK434">
        <f>VLOOKUP(E434,ALUMNOS!A:B,2,FALSE)</f>
        <v>663</v>
      </c>
    </row>
    <row r="435" spans="2:37" x14ac:dyDescent="0.25">
      <c r="B435" t="str">
        <f t="shared" si="12"/>
        <v>44578281FILOSOFÍA6º</v>
      </c>
      <c r="C435" t="s">
        <v>285</v>
      </c>
      <c r="D435" t="s">
        <v>96</v>
      </c>
      <c r="E435">
        <v>44578281</v>
      </c>
      <c r="F435" t="s">
        <v>299</v>
      </c>
      <c r="G435" t="s">
        <v>41</v>
      </c>
      <c r="H435" t="s">
        <v>245</v>
      </c>
      <c r="I435" t="s">
        <v>43</v>
      </c>
      <c r="J435">
        <v>2020</v>
      </c>
      <c r="K435" t="s">
        <v>60</v>
      </c>
      <c r="N435" t="s">
        <v>99</v>
      </c>
      <c r="AI435">
        <f t="shared" si="13"/>
        <v>1</v>
      </c>
      <c r="AJ435">
        <f>'TABLA PREVIOS'!E435</f>
        <v>292</v>
      </c>
      <c r="AK435">
        <f>VLOOKUP(E435,ALUMNOS!A:B,2,FALSE)</f>
        <v>663</v>
      </c>
    </row>
    <row r="436" spans="2:37" x14ac:dyDescent="0.25">
      <c r="B436" t="str">
        <f t="shared" si="12"/>
        <v>44578281LENGUA EXTRANJERA - INGLÉS6º</v>
      </c>
      <c r="C436" t="s">
        <v>285</v>
      </c>
      <c r="D436" t="s">
        <v>96</v>
      </c>
      <c r="E436">
        <v>44578281</v>
      </c>
      <c r="F436" t="s">
        <v>299</v>
      </c>
      <c r="G436" t="s">
        <v>16</v>
      </c>
      <c r="H436" t="s">
        <v>245</v>
      </c>
      <c r="I436" t="s">
        <v>43</v>
      </c>
      <c r="J436">
        <v>2020</v>
      </c>
      <c r="K436" t="s">
        <v>60</v>
      </c>
      <c r="N436" t="s">
        <v>99</v>
      </c>
      <c r="AI436">
        <f t="shared" si="13"/>
        <v>1</v>
      </c>
      <c r="AJ436">
        <f>'TABLA PREVIOS'!E436</f>
        <v>282</v>
      </c>
      <c r="AK436">
        <f>VLOOKUP(E436,ALUMNOS!A:B,2,FALSE)</f>
        <v>663</v>
      </c>
    </row>
    <row r="437" spans="2:37" x14ac:dyDescent="0.25">
      <c r="B437" t="str">
        <f t="shared" si="12"/>
        <v>44578281QUÍMICA6º</v>
      </c>
      <c r="C437" t="s">
        <v>285</v>
      </c>
      <c r="D437" t="s">
        <v>96</v>
      </c>
      <c r="E437">
        <v>44578281</v>
      </c>
      <c r="F437" t="s">
        <v>299</v>
      </c>
      <c r="G437" t="s">
        <v>25</v>
      </c>
      <c r="H437" t="s">
        <v>245</v>
      </c>
      <c r="I437" t="s">
        <v>43</v>
      </c>
      <c r="J437">
        <v>2020</v>
      </c>
      <c r="K437" t="s">
        <v>60</v>
      </c>
      <c r="N437" t="s">
        <v>99</v>
      </c>
      <c r="AI437">
        <f t="shared" si="13"/>
        <v>1</v>
      </c>
      <c r="AJ437">
        <f>'TABLA PREVIOS'!E437</f>
        <v>281</v>
      </c>
      <c r="AK437">
        <f>VLOOKUP(E437,ALUMNOS!A:B,2,FALSE)</f>
        <v>663</v>
      </c>
    </row>
    <row r="438" spans="2:37" x14ac:dyDescent="0.25">
      <c r="B438" t="str">
        <f t="shared" si="12"/>
        <v>44578281SISTEMAS DE INFORMACIÓN CONTABLE6º</v>
      </c>
      <c r="C438" t="s">
        <v>285</v>
      </c>
      <c r="D438" t="s">
        <v>96</v>
      </c>
      <c r="E438">
        <v>44578281</v>
      </c>
      <c r="F438" t="s">
        <v>299</v>
      </c>
      <c r="G438" t="s">
        <v>29</v>
      </c>
      <c r="H438" t="s">
        <v>245</v>
      </c>
      <c r="I438" t="s">
        <v>43</v>
      </c>
      <c r="J438">
        <v>2020</v>
      </c>
      <c r="K438" t="s">
        <v>60</v>
      </c>
      <c r="N438" t="s">
        <v>99</v>
      </c>
      <c r="AI438">
        <f t="shared" si="13"/>
        <v>1</v>
      </c>
      <c r="AJ438">
        <f>'TABLA PREVIOS'!E438</f>
        <v>290</v>
      </c>
      <c r="AK438">
        <f>VLOOKUP(E438,ALUMNOS!A:B,2,FALSE)</f>
        <v>663</v>
      </c>
    </row>
    <row r="439" spans="2:37" x14ac:dyDescent="0.25">
      <c r="B439" t="str">
        <f t="shared" si="12"/>
        <v>45092233LENGUA Y LITERATURA2º</v>
      </c>
      <c r="C439" t="s">
        <v>285</v>
      </c>
      <c r="D439" t="s">
        <v>96</v>
      </c>
      <c r="E439">
        <v>45092233</v>
      </c>
      <c r="F439" t="s">
        <v>300</v>
      </c>
      <c r="G439" t="s">
        <v>11</v>
      </c>
      <c r="H439" t="s">
        <v>95</v>
      </c>
      <c r="I439" t="s">
        <v>43</v>
      </c>
      <c r="J439">
        <v>2016</v>
      </c>
      <c r="K439" t="s">
        <v>59</v>
      </c>
      <c r="N439" t="s">
        <v>99</v>
      </c>
      <c r="AI439">
        <f t="shared" si="13"/>
        <v>1</v>
      </c>
      <c r="AJ439">
        <f>'TABLA PREVIOS'!E439</f>
        <v>229</v>
      </c>
      <c r="AK439">
        <f>VLOOKUP(E439,ALUMNOS!A:B,2,FALSE)</f>
        <v>709</v>
      </c>
    </row>
    <row r="440" spans="2:37" x14ac:dyDescent="0.25">
      <c r="B440" t="str">
        <f t="shared" si="12"/>
        <v>45092233ADMINISTRACIÓN5º</v>
      </c>
      <c r="C440" t="s">
        <v>285</v>
      </c>
      <c r="D440" t="s">
        <v>96</v>
      </c>
      <c r="E440">
        <v>45092233</v>
      </c>
      <c r="F440" t="s">
        <v>300</v>
      </c>
      <c r="G440" t="s">
        <v>30</v>
      </c>
      <c r="H440" t="s">
        <v>220</v>
      </c>
      <c r="I440" t="s">
        <v>44</v>
      </c>
      <c r="J440">
        <v>2019</v>
      </c>
      <c r="K440" t="s">
        <v>60</v>
      </c>
      <c r="N440" t="s">
        <v>99</v>
      </c>
      <c r="AI440">
        <f t="shared" si="13"/>
        <v>1</v>
      </c>
      <c r="AJ440">
        <f>'TABLA PREVIOS'!E440</f>
        <v>274</v>
      </c>
      <c r="AK440">
        <f>VLOOKUP(E440,ALUMNOS!A:B,2,FALSE)</f>
        <v>709</v>
      </c>
    </row>
    <row r="441" spans="2:37" x14ac:dyDescent="0.25">
      <c r="B441" t="str">
        <f t="shared" si="12"/>
        <v>45092233ECONOMÍA5º</v>
      </c>
      <c r="C441" t="s">
        <v>285</v>
      </c>
      <c r="D441" t="s">
        <v>96</v>
      </c>
      <c r="E441">
        <v>45092233</v>
      </c>
      <c r="F441" t="s">
        <v>300</v>
      </c>
      <c r="G441" t="s">
        <v>34</v>
      </c>
      <c r="H441" t="s">
        <v>220</v>
      </c>
      <c r="I441" t="s">
        <v>44</v>
      </c>
      <c r="J441">
        <v>2019</v>
      </c>
      <c r="K441" t="s">
        <v>60</v>
      </c>
      <c r="N441" t="s">
        <v>99</v>
      </c>
      <c r="AI441">
        <f t="shared" si="13"/>
        <v>1</v>
      </c>
      <c r="AJ441">
        <f>'TABLA PREVIOS'!E441</f>
        <v>275</v>
      </c>
      <c r="AK441">
        <f>VLOOKUP(E441,ALUMNOS!A:B,2,FALSE)</f>
        <v>709</v>
      </c>
    </row>
    <row r="442" spans="2:37" x14ac:dyDescent="0.25">
      <c r="B442" t="str">
        <f t="shared" si="12"/>
        <v>45092233SISTEMAS DE INFORMACIÓN CONTABLE5º</v>
      </c>
      <c r="C442" t="s">
        <v>285</v>
      </c>
      <c r="D442" t="s">
        <v>96</v>
      </c>
      <c r="E442">
        <v>45092233</v>
      </c>
      <c r="F442" t="s">
        <v>300</v>
      </c>
      <c r="G442" t="s">
        <v>29</v>
      </c>
      <c r="H442" t="s">
        <v>220</v>
      </c>
      <c r="I442" t="s">
        <v>44</v>
      </c>
      <c r="J442">
        <v>2019</v>
      </c>
      <c r="K442" t="s">
        <v>60</v>
      </c>
      <c r="N442" t="s">
        <v>99</v>
      </c>
      <c r="AI442">
        <f t="shared" si="13"/>
        <v>1</v>
      </c>
      <c r="AJ442">
        <f>'TABLA PREVIOS'!E442</f>
        <v>273</v>
      </c>
      <c r="AK442">
        <f>VLOOKUP(E442,ALUMNOS!A:B,2,FALSE)</f>
        <v>709</v>
      </c>
    </row>
    <row r="443" spans="2:37" x14ac:dyDescent="0.25">
      <c r="B443" t="str">
        <f t="shared" si="12"/>
        <v>45092233ADMINISTRACIÓN6º</v>
      </c>
      <c r="C443" t="s">
        <v>285</v>
      </c>
      <c r="D443" t="s">
        <v>96</v>
      </c>
      <c r="E443">
        <v>45092233</v>
      </c>
      <c r="F443" t="s">
        <v>300</v>
      </c>
      <c r="G443" t="s">
        <v>30</v>
      </c>
      <c r="H443" t="s">
        <v>245</v>
      </c>
      <c r="I443" t="s">
        <v>43</v>
      </c>
      <c r="J443">
        <v>2020</v>
      </c>
      <c r="K443" t="s">
        <v>60</v>
      </c>
      <c r="N443" t="s">
        <v>99</v>
      </c>
      <c r="AI443">
        <f t="shared" si="13"/>
        <v>1</v>
      </c>
      <c r="AJ443">
        <f>'TABLA PREVIOS'!E443</f>
        <v>285</v>
      </c>
      <c r="AK443">
        <f>VLOOKUP(E443,ALUMNOS!A:B,2,FALSE)</f>
        <v>709</v>
      </c>
    </row>
    <row r="444" spans="2:37" x14ac:dyDescent="0.25">
      <c r="B444" t="str">
        <f t="shared" si="12"/>
        <v>45092233CIUDADANÍA Y POLÍTICA6º</v>
      </c>
      <c r="C444" t="s">
        <v>285</v>
      </c>
      <c r="D444" t="s">
        <v>96</v>
      </c>
      <c r="E444">
        <v>45092233</v>
      </c>
      <c r="F444" t="s">
        <v>300</v>
      </c>
      <c r="G444" t="s">
        <v>37</v>
      </c>
      <c r="H444" t="s">
        <v>245</v>
      </c>
      <c r="I444" t="s">
        <v>43</v>
      </c>
      <c r="J444">
        <v>2020</v>
      </c>
      <c r="K444" t="s">
        <v>60</v>
      </c>
      <c r="N444" t="s">
        <v>99</v>
      </c>
      <c r="AI444">
        <f t="shared" si="13"/>
        <v>1</v>
      </c>
      <c r="AJ444">
        <f>'TABLA PREVIOS'!E444</f>
        <v>284</v>
      </c>
      <c r="AK444">
        <f>VLOOKUP(E444,ALUMNOS!A:B,2,FALSE)</f>
        <v>709</v>
      </c>
    </row>
    <row r="445" spans="2:37" x14ac:dyDescent="0.25">
      <c r="B445" t="str">
        <f t="shared" si="12"/>
        <v>45092233DERECHO6º</v>
      </c>
      <c r="C445" t="s">
        <v>285</v>
      </c>
      <c r="D445" t="s">
        <v>96</v>
      </c>
      <c r="E445">
        <v>45092233</v>
      </c>
      <c r="F445" t="s">
        <v>300</v>
      </c>
      <c r="G445" t="s">
        <v>38</v>
      </c>
      <c r="H445" t="s">
        <v>245</v>
      </c>
      <c r="I445" t="s">
        <v>43</v>
      </c>
      <c r="J445">
        <v>2020</v>
      </c>
      <c r="K445" t="s">
        <v>60</v>
      </c>
      <c r="N445" t="s">
        <v>99</v>
      </c>
      <c r="AI445">
        <f t="shared" si="13"/>
        <v>1</v>
      </c>
      <c r="AJ445">
        <f>'TABLA PREVIOS'!E445</f>
        <v>287</v>
      </c>
      <c r="AK445">
        <f>VLOOKUP(E445,ALUMNOS!A:B,2,FALSE)</f>
        <v>709</v>
      </c>
    </row>
    <row r="446" spans="2:37" x14ac:dyDescent="0.25">
      <c r="B446" t="str">
        <f t="shared" si="12"/>
        <v>45092233ECONOMÍA6º</v>
      </c>
      <c r="C446" t="s">
        <v>285</v>
      </c>
      <c r="D446" t="s">
        <v>96</v>
      </c>
      <c r="E446">
        <v>45092233</v>
      </c>
      <c r="F446" t="s">
        <v>300</v>
      </c>
      <c r="G446" t="s">
        <v>34</v>
      </c>
      <c r="H446" t="s">
        <v>245</v>
      </c>
      <c r="I446" t="s">
        <v>43</v>
      </c>
      <c r="J446">
        <v>2020</v>
      </c>
      <c r="K446" t="s">
        <v>60</v>
      </c>
      <c r="N446" t="s">
        <v>99</v>
      </c>
      <c r="AI446">
        <f t="shared" si="13"/>
        <v>1</v>
      </c>
      <c r="AJ446">
        <f>'TABLA PREVIOS'!E446</f>
        <v>286</v>
      </c>
      <c r="AK446">
        <f>VLOOKUP(E446,ALUMNOS!A:B,2,FALSE)</f>
        <v>709</v>
      </c>
    </row>
    <row r="447" spans="2:37" x14ac:dyDescent="0.25">
      <c r="B447" t="str">
        <f t="shared" si="12"/>
        <v>45092233FILOSOFÍA6º</v>
      </c>
      <c r="C447" t="s">
        <v>285</v>
      </c>
      <c r="D447" t="s">
        <v>96</v>
      </c>
      <c r="E447">
        <v>45092233</v>
      </c>
      <c r="F447" t="s">
        <v>300</v>
      </c>
      <c r="G447" t="s">
        <v>41</v>
      </c>
      <c r="H447" t="s">
        <v>245</v>
      </c>
      <c r="I447" t="s">
        <v>43</v>
      </c>
      <c r="J447">
        <v>2020</v>
      </c>
      <c r="K447" t="s">
        <v>60</v>
      </c>
      <c r="N447" t="s">
        <v>99</v>
      </c>
      <c r="AI447">
        <f t="shared" si="13"/>
        <v>1</v>
      </c>
      <c r="AJ447">
        <f>'TABLA PREVIOS'!E447</f>
        <v>292</v>
      </c>
      <c r="AK447">
        <f>VLOOKUP(E447,ALUMNOS!A:B,2,FALSE)</f>
        <v>709</v>
      </c>
    </row>
    <row r="448" spans="2:37" x14ac:dyDescent="0.25">
      <c r="B448" t="str">
        <f t="shared" si="12"/>
        <v>45092233FORMACIÓN PARA LA VIDA Y EL TRABAJO6º</v>
      </c>
      <c r="C448" t="s">
        <v>285</v>
      </c>
      <c r="D448" t="s">
        <v>96</v>
      </c>
      <c r="E448">
        <v>45092233</v>
      </c>
      <c r="F448" t="s">
        <v>300</v>
      </c>
      <c r="G448" t="s">
        <v>28</v>
      </c>
      <c r="H448" t="s">
        <v>245</v>
      </c>
      <c r="I448" t="s">
        <v>43</v>
      </c>
      <c r="J448">
        <v>2020</v>
      </c>
      <c r="K448" t="s">
        <v>60</v>
      </c>
      <c r="N448" t="s">
        <v>99</v>
      </c>
      <c r="AI448">
        <f t="shared" si="13"/>
        <v>1</v>
      </c>
      <c r="AJ448">
        <f>'TABLA PREVIOS'!E448</f>
        <v>291</v>
      </c>
      <c r="AK448">
        <f>VLOOKUP(E448,ALUMNOS!A:B,2,FALSE)</f>
        <v>709</v>
      </c>
    </row>
    <row r="449" spans="2:37" x14ac:dyDescent="0.25">
      <c r="B449" t="str">
        <f t="shared" si="12"/>
        <v>45092233LENGUA Y LITERATURA6º</v>
      </c>
      <c r="C449" t="s">
        <v>285</v>
      </c>
      <c r="D449" t="s">
        <v>96</v>
      </c>
      <c r="E449">
        <v>45092233</v>
      </c>
      <c r="F449" t="s">
        <v>300</v>
      </c>
      <c r="G449" t="s">
        <v>11</v>
      </c>
      <c r="H449" t="s">
        <v>245</v>
      </c>
      <c r="I449" t="s">
        <v>43</v>
      </c>
      <c r="J449">
        <v>2020</v>
      </c>
      <c r="K449" t="s">
        <v>60</v>
      </c>
      <c r="N449" t="s">
        <v>99</v>
      </c>
      <c r="AI449">
        <f t="shared" si="13"/>
        <v>1</v>
      </c>
      <c r="AJ449">
        <f>'TABLA PREVIOS'!E449</f>
        <v>279</v>
      </c>
      <c r="AK449">
        <f>VLOOKUP(E449,ALUMNOS!A:B,2,FALSE)</f>
        <v>709</v>
      </c>
    </row>
    <row r="450" spans="2:37" x14ac:dyDescent="0.25">
      <c r="B450" t="str">
        <f t="shared" si="12"/>
        <v>45092233MATEMÁTICA6º</v>
      </c>
      <c r="C450" t="s">
        <v>285</v>
      </c>
      <c r="D450" t="s">
        <v>96</v>
      </c>
      <c r="E450">
        <v>45092233</v>
      </c>
      <c r="F450" t="s">
        <v>300</v>
      </c>
      <c r="G450" t="s">
        <v>12</v>
      </c>
      <c r="H450" t="s">
        <v>245</v>
      </c>
      <c r="I450" t="s">
        <v>43</v>
      </c>
      <c r="J450">
        <v>2020</v>
      </c>
      <c r="K450" t="s">
        <v>60</v>
      </c>
      <c r="N450" t="s">
        <v>99</v>
      </c>
      <c r="AI450">
        <f t="shared" si="13"/>
        <v>1</v>
      </c>
      <c r="AJ450">
        <f>'TABLA PREVIOS'!E450</f>
        <v>280</v>
      </c>
      <c r="AK450">
        <f>VLOOKUP(E450,ALUMNOS!A:B,2,FALSE)</f>
        <v>709</v>
      </c>
    </row>
    <row r="451" spans="2:37" x14ac:dyDescent="0.25">
      <c r="B451" t="str">
        <f t="shared" ref="B451:B514" si="14">E451&amp;G451&amp;H451</f>
        <v>45092233QUÍMICA6º</v>
      </c>
      <c r="C451" t="s">
        <v>285</v>
      </c>
      <c r="D451" t="s">
        <v>96</v>
      </c>
      <c r="E451">
        <v>45092233</v>
      </c>
      <c r="F451" t="s">
        <v>300</v>
      </c>
      <c r="G451" t="s">
        <v>25</v>
      </c>
      <c r="H451" t="s">
        <v>245</v>
      </c>
      <c r="I451" t="s">
        <v>43</v>
      </c>
      <c r="J451">
        <v>2020</v>
      </c>
      <c r="K451" t="s">
        <v>60</v>
      </c>
      <c r="N451" t="s">
        <v>99</v>
      </c>
      <c r="AI451">
        <f t="shared" ref="AI451:AI514" si="15">IF(VALUE(MAX(P451,T451,X451,AB451,AE451,))&gt;=7,VALUE(MAX(P451,T451,X451,AB451,AE451,)),1)</f>
        <v>1</v>
      </c>
      <c r="AJ451">
        <f>'TABLA PREVIOS'!E451</f>
        <v>281</v>
      </c>
      <c r="AK451">
        <f>VLOOKUP(E451,ALUMNOS!A:B,2,FALSE)</f>
        <v>709</v>
      </c>
    </row>
    <row r="452" spans="2:37" x14ac:dyDescent="0.25">
      <c r="B452" t="str">
        <f t="shared" si="14"/>
        <v>45092233RESPONSABILIDAD SOCIAL DE LAS ORGANIZACIONES6º</v>
      </c>
      <c r="C452" t="s">
        <v>285</v>
      </c>
      <c r="D452" t="s">
        <v>96</v>
      </c>
      <c r="E452">
        <v>45092233</v>
      </c>
      <c r="F452" t="s">
        <v>300</v>
      </c>
      <c r="G452" t="s">
        <v>39</v>
      </c>
      <c r="H452" t="s">
        <v>245</v>
      </c>
      <c r="I452" t="s">
        <v>43</v>
      </c>
      <c r="J452">
        <v>2020</v>
      </c>
      <c r="K452" t="s">
        <v>60</v>
      </c>
      <c r="N452" t="s">
        <v>99</v>
      </c>
      <c r="AI452">
        <f t="shared" si="15"/>
        <v>1</v>
      </c>
      <c r="AJ452">
        <f>'TABLA PREVIOS'!E452</f>
        <v>288</v>
      </c>
      <c r="AK452">
        <f>VLOOKUP(E452,ALUMNOS!A:B,2,FALSE)</f>
        <v>709</v>
      </c>
    </row>
    <row r="453" spans="2:37" x14ac:dyDescent="0.25">
      <c r="B453" t="str">
        <f t="shared" si="14"/>
        <v>45092233SISTEMAS DE INFORMACIÓN CONTABLE6º</v>
      </c>
      <c r="C453" t="s">
        <v>285</v>
      </c>
      <c r="D453" t="s">
        <v>96</v>
      </c>
      <c r="E453">
        <v>45092233</v>
      </c>
      <c r="F453" t="s">
        <v>300</v>
      </c>
      <c r="G453" t="s">
        <v>29</v>
      </c>
      <c r="H453" t="s">
        <v>245</v>
      </c>
      <c r="I453" t="s">
        <v>43</v>
      </c>
      <c r="J453">
        <v>2020</v>
      </c>
      <c r="K453" t="s">
        <v>60</v>
      </c>
      <c r="N453" t="s">
        <v>99</v>
      </c>
      <c r="AI453">
        <f t="shared" si="15"/>
        <v>1</v>
      </c>
      <c r="AJ453">
        <f>'TABLA PREVIOS'!E453</f>
        <v>290</v>
      </c>
      <c r="AK453">
        <f>VLOOKUP(E453,ALUMNOS!A:B,2,FALSE)</f>
        <v>709</v>
      </c>
    </row>
    <row r="454" spans="2:37" x14ac:dyDescent="0.25">
      <c r="B454" t="str">
        <f t="shared" si="14"/>
        <v>44657998QUÍMICA6º</v>
      </c>
      <c r="C454" t="s">
        <v>285</v>
      </c>
      <c r="D454" t="s">
        <v>109</v>
      </c>
      <c r="E454">
        <v>44657998</v>
      </c>
      <c r="F454" t="s">
        <v>301</v>
      </c>
      <c r="G454" t="s">
        <v>25</v>
      </c>
      <c r="H454" t="s">
        <v>245</v>
      </c>
      <c r="I454" t="s">
        <v>43</v>
      </c>
      <c r="J454">
        <v>2020</v>
      </c>
      <c r="K454" t="s">
        <v>60</v>
      </c>
      <c r="N454" t="s">
        <v>99</v>
      </c>
      <c r="AI454">
        <f t="shared" si="15"/>
        <v>1</v>
      </c>
      <c r="AJ454">
        <f>'TABLA PREVIOS'!E454</f>
        <v>281</v>
      </c>
      <c r="AK454">
        <f>VLOOKUP(E454,ALUMNOS!A:B,2,FALSE)</f>
        <v>221</v>
      </c>
    </row>
    <row r="455" spans="2:37" x14ac:dyDescent="0.25">
      <c r="B455" t="str">
        <f t="shared" si="14"/>
        <v>44657998SISTEMAS DE INFORMACIÓN CONTABLE6º</v>
      </c>
      <c r="C455" t="s">
        <v>285</v>
      </c>
      <c r="D455" t="s">
        <v>109</v>
      </c>
      <c r="E455">
        <v>44657998</v>
      </c>
      <c r="F455" t="s">
        <v>301</v>
      </c>
      <c r="G455" t="s">
        <v>29</v>
      </c>
      <c r="H455" t="s">
        <v>245</v>
      </c>
      <c r="I455" t="s">
        <v>43</v>
      </c>
      <c r="J455">
        <v>2020</v>
      </c>
      <c r="K455" t="s">
        <v>60</v>
      </c>
      <c r="N455" t="s">
        <v>99</v>
      </c>
      <c r="AI455">
        <f t="shared" si="15"/>
        <v>1</v>
      </c>
      <c r="AJ455">
        <f>'TABLA PREVIOS'!E455</f>
        <v>290</v>
      </c>
      <c r="AK455">
        <f>VLOOKUP(E455,ALUMNOS!A:B,2,FALSE)</f>
        <v>221</v>
      </c>
    </row>
    <row r="456" spans="2:37" x14ac:dyDescent="0.25">
      <c r="B456" t="str">
        <f t="shared" si="14"/>
        <v>44674195LENGUA EXTRANJERA - INGLÉS6º</v>
      </c>
      <c r="C456" t="s">
        <v>285</v>
      </c>
      <c r="D456" t="s">
        <v>109</v>
      </c>
      <c r="E456">
        <v>44674195</v>
      </c>
      <c r="F456" t="s">
        <v>302</v>
      </c>
      <c r="G456" t="s">
        <v>16</v>
      </c>
      <c r="H456" t="s">
        <v>245</v>
      </c>
      <c r="I456" t="s">
        <v>43</v>
      </c>
      <c r="J456">
        <v>2020</v>
      </c>
      <c r="K456" t="s">
        <v>60</v>
      </c>
      <c r="N456" t="s">
        <v>99</v>
      </c>
      <c r="AI456">
        <f t="shared" si="15"/>
        <v>1</v>
      </c>
      <c r="AJ456">
        <f>'TABLA PREVIOS'!E456</f>
        <v>282</v>
      </c>
      <c r="AK456">
        <f>VLOOKUP(E456,ALUMNOS!A:B,2,FALSE)</f>
        <v>239</v>
      </c>
    </row>
    <row r="457" spans="2:37" x14ac:dyDescent="0.25">
      <c r="B457" t="str">
        <f t="shared" si="14"/>
        <v>44674195SISTEMAS DE INFORMACIÓN CONTABLE6º</v>
      </c>
      <c r="C457" t="s">
        <v>285</v>
      </c>
      <c r="D457" t="s">
        <v>109</v>
      </c>
      <c r="E457">
        <v>44674195</v>
      </c>
      <c r="F457" t="s">
        <v>302</v>
      </c>
      <c r="G457" t="s">
        <v>29</v>
      </c>
      <c r="H457" t="s">
        <v>245</v>
      </c>
      <c r="I457" t="s">
        <v>43</v>
      </c>
      <c r="J457">
        <v>2020</v>
      </c>
      <c r="K457" t="s">
        <v>60</v>
      </c>
      <c r="N457" t="s">
        <v>99</v>
      </c>
      <c r="AI457">
        <f t="shared" si="15"/>
        <v>1</v>
      </c>
      <c r="AJ457">
        <f>'TABLA PREVIOS'!E457</f>
        <v>290</v>
      </c>
      <c r="AK457">
        <f>VLOOKUP(E457,ALUMNOS!A:B,2,FALSE)</f>
        <v>239</v>
      </c>
    </row>
    <row r="458" spans="2:37" x14ac:dyDescent="0.25">
      <c r="B458" t="str">
        <f t="shared" si="14"/>
        <v>44204976SISTEMAS DE INFORMACIÓN CONTABLE4º</v>
      </c>
      <c r="C458" t="s">
        <v>285</v>
      </c>
      <c r="D458" t="s">
        <v>109</v>
      </c>
      <c r="E458">
        <v>44204976</v>
      </c>
      <c r="F458" t="s">
        <v>303</v>
      </c>
      <c r="G458" t="s">
        <v>29</v>
      </c>
      <c r="H458" t="s">
        <v>190</v>
      </c>
      <c r="I458" t="s">
        <v>43</v>
      </c>
      <c r="J458">
        <v>2018</v>
      </c>
      <c r="K458" t="s">
        <v>60</v>
      </c>
      <c r="N458" t="s">
        <v>99</v>
      </c>
      <c r="AI458">
        <f t="shared" si="15"/>
        <v>1</v>
      </c>
      <c r="AJ458">
        <f>'TABLA PREVIOS'!E458</f>
        <v>259</v>
      </c>
      <c r="AK458">
        <f>VLOOKUP(E458,ALUMNOS!A:B,2,FALSE)</f>
        <v>253</v>
      </c>
    </row>
    <row r="459" spans="2:37" x14ac:dyDescent="0.25">
      <c r="B459" t="str">
        <f t="shared" si="14"/>
        <v>44204976SISTEMAS DE INFORMACIÓN CONTABLE5º</v>
      </c>
      <c r="C459" t="s">
        <v>285</v>
      </c>
      <c r="D459" t="s">
        <v>109</v>
      </c>
      <c r="E459">
        <v>44204976</v>
      </c>
      <c r="F459" t="s">
        <v>303</v>
      </c>
      <c r="G459" t="s">
        <v>29</v>
      </c>
      <c r="H459" t="s">
        <v>220</v>
      </c>
      <c r="I459" t="s">
        <v>43</v>
      </c>
      <c r="J459">
        <v>2019</v>
      </c>
      <c r="K459" t="s">
        <v>60</v>
      </c>
      <c r="N459" t="s">
        <v>99</v>
      </c>
      <c r="AI459">
        <f t="shared" si="15"/>
        <v>1</v>
      </c>
      <c r="AJ459">
        <f>'TABLA PREVIOS'!E459</f>
        <v>273</v>
      </c>
      <c r="AK459">
        <f>VLOOKUP(E459,ALUMNOS!A:B,2,FALSE)</f>
        <v>253</v>
      </c>
    </row>
    <row r="460" spans="2:37" x14ac:dyDescent="0.25">
      <c r="B460" t="str">
        <f t="shared" si="14"/>
        <v>44204976LENGUA EXTRANJERA - INGLÉS6º</v>
      </c>
      <c r="C460" t="s">
        <v>285</v>
      </c>
      <c r="D460" t="s">
        <v>109</v>
      </c>
      <c r="E460">
        <v>44204976</v>
      </c>
      <c r="F460" t="s">
        <v>303</v>
      </c>
      <c r="G460" t="s">
        <v>16</v>
      </c>
      <c r="H460" t="s">
        <v>245</v>
      </c>
      <c r="I460" t="s">
        <v>43</v>
      </c>
      <c r="J460">
        <v>2020</v>
      </c>
      <c r="K460" t="s">
        <v>60</v>
      </c>
      <c r="N460" t="s">
        <v>99</v>
      </c>
      <c r="AI460">
        <f t="shared" si="15"/>
        <v>1</v>
      </c>
      <c r="AJ460">
        <f>'TABLA PREVIOS'!E460</f>
        <v>282</v>
      </c>
      <c r="AK460">
        <f>VLOOKUP(E460,ALUMNOS!A:B,2,FALSE)</f>
        <v>253</v>
      </c>
    </row>
    <row r="461" spans="2:37" x14ac:dyDescent="0.25">
      <c r="B461" t="str">
        <f t="shared" si="14"/>
        <v>44204976SISTEMAS DE INFORMACIÓN CONTABLE6º</v>
      </c>
      <c r="C461" t="s">
        <v>285</v>
      </c>
      <c r="D461" t="s">
        <v>109</v>
      </c>
      <c r="E461">
        <v>44204976</v>
      </c>
      <c r="F461" t="s">
        <v>303</v>
      </c>
      <c r="G461" t="s">
        <v>29</v>
      </c>
      <c r="H461" t="s">
        <v>245</v>
      </c>
      <c r="I461" t="s">
        <v>43</v>
      </c>
      <c r="J461">
        <v>2020</v>
      </c>
      <c r="K461" t="s">
        <v>60</v>
      </c>
      <c r="N461" t="s">
        <v>99</v>
      </c>
      <c r="AI461">
        <f t="shared" si="15"/>
        <v>1</v>
      </c>
      <c r="AJ461">
        <f>'TABLA PREVIOS'!E461</f>
        <v>290</v>
      </c>
      <c r="AK461">
        <f>VLOOKUP(E461,ALUMNOS!A:B,2,FALSE)</f>
        <v>253</v>
      </c>
    </row>
    <row r="462" spans="2:37" x14ac:dyDescent="0.25">
      <c r="B462" t="str">
        <f t="shared" si="14"/>
        <v>44372156SISTEMAS DE INFORMACIÓN CONTABLE5º</v>
      </c>
      <c r="C462" t="s">
        <v>285</v>
      </c>
      <c r="D462" t="s">
        <v>109</v>
      </c>
      <c r="E462">
        <v>44372156</v>
      </c>
      <c r="F462" t="s">
        <v>304</v>
      </c>
      <c r="G462" t="s">
        <v>29</v>
      </c>
      <c r="H462" t="s">
        <v>220</v>
      </c>
      <c r="I462" t="s">
        <v>43</v>
      </c>
      <c r="J462">
        <v>2019</v>
      </c>
      <c r="K462" t="s">
        <v>60</v>
      </c>
      <c r="N462" t="s">
        <v>99</v>
      </c>
      <c r="AI462">
        <f t="shared" si="15"/>
        <v>1</v>
      </c>
      <c r="AJ462">
        <f>'TABLA PREVIOS'!E462</f>
        <v>273</v>
      </c>
      <c r="AK462">
        <f>VLOOKUP(E462,ALUMNOS!A:B,2,FALSE)</f>
        <v>256</v>
      </c>
    </row>
    <row r="463" spans="2:37" x14ac:dyDescent="0.25">
      <c r="B463" t="str">
        <f t="shared" si="14"/>
        <v>44372156ADMINISTRACIÓN6º</v>
      </c>
      <c r="C463" t="s">
        <v>285</v>
      </c>
      <c r="D463" t="s">
        <v>109</v>
      </c>
      <c r="E463">
        <v>44372156</v>
      </c>
      <c r="F463" t="s">
        <v>304</v>
      </c>
      <c r="G463" t="s">
        <v>30</v>
      </c>
      <c r="H463" t="s">
        <v>245</v>
      </c>
      <c r="I463" t="s">
        <v>43</v>
      </c>
      <c r="J463">
        <v>2020</v>
      </c>
      <c r="K463" t="s">
        <v>60</v>
      </c>
      <c r="N463" t="s">
        <v>99</v>
      </c>
      <c r="AI463">
        <f t="shared" si="15"/>
        <v>1</v>
      </c>
      <c r="AJ463">
        <f>'TABLA PREVIOS'!E463</f>
        <v>285</v>
      </c>
      <c r="AK463">
        <f>VLOOKUP(E463,ALUMNOS!A:B,2,FALSE)</f>
        <v>256</v>
      </c>
    </row>
    <row r="464" spans="2:37" x14ac:dyDescent="0.25">
      <c r="B464" t="str">
        <f t="shared" si="14"/>
        <v>44372156CIUDADANÍA Y POLÍTICA6º</v>
      </c>
      <c r="C464" t="s">
        <v>285</v>
      </c>
      <c r="D464" t="s">
        <v>109</v>
      </c>
      <c r="E464">
        <v>44372156</v>
      </c>
      <c r="F464" t="s">
        <v>304</v>
      </c>
      <c r="G464" t="s">
        <v>37</v>
      </c>
      <c r="H464" t="s">
        <v>245</v>
      </c>
      <c r="I464" t="s">
        <v>43</v>
      </c>
      <c r="J464">
        <v>2020</v>
      </c>
      <c r="K464" t="s">
        <v>60</v>
      </c>
      <c r="N464" t="s">
        <v>99</v>
      </c>
      <c r="AI464">
        <f t="shared" si="15"/>
        <v>1</v>
      </c>
      <c r="AJ464">
        <f>'TABLA PREVIOS'!E464</f>
        <v>284</v>
      </c>
      <c r="AK464">
        <f>VLOOKUP(E464,ALUMNOS!A:B,2,FALSE)</f>
        <v>256</v>
      </c>
    </row>
    <row r="465" spans="2:37" x14ac:dyDescent="0.25">
      <c r="B465" t="str">
        <f t="shared" si="14"/>
        <v>44372156DERECHO6º</v>
      </c>
      <c r="C465" t="s">
        <v>285</v>
      </c>
      <c r="D465" t="s">
        <v>109</v>
      </c>
      <c r="E465">
        <v>44372156</v>
      </c>
      <c r="F465" t="s">
        <v>304</v>
      </c>
      <c r="G465" t="s">
        <v>38</v>
      </c>
      <c r="H465" t="s">
        <v>245</v>
      </c>
      <c r="I465" t="s">
        <v>43</v>
      </c>
      <c r="J465">
        <v>2020</v>
      </c>
      <c r="K465" t="s">
        <v>60</v>
      </c>
      <c r="N465" t="s">
        <v>99</v>
      </c>
      <c r="AI465">
        <f t="shared" si="15"/>
        <v>1</v>
      </c>
      <c r="AJ465">
        <f>'TABLA PREVIOS'!E465</f>
        <v>287</v>
      </c>
      <c r="AK465">
        <f>VLOOKUP(E465,ALUMNOS!A:B,2,FALSE)</f>
        <v>256</v>
      </c>
    </row>
    <row r="466" spans="2:37" x14ac:dyDescent="0.25">
      <c r="B466" t="str">
        <f t="shared" si="14"/>
        <v>44372156ECONOMÍA6º</v>
      </c>
      <c r="C466" t="s">
        <v>285</v>
      </c>
      <c r="D466" t="s">
        <v>109</v>
      </c>
      <c r="E466">
        <v>44372156</v>
      </c>
      <c r="F466" t="s">
        <v>304</v>
      </c>
      <c r="G466" t="s">
        <v>34</v>
      </c>
      <c r="H466" t="s">
        <v>245</v>
      </c>
      <c r="I466" t="s">
        <v>43</v>
      </c>
      <c r="J466">
        <v>2020</v>
      </c>
      <c r="K466" t="s">
        <v>60</v>
      </c>
      <c r="N466" t="s">
        <v>99</v>
      </c>
      <c r="AI466">
        <f t="shared" si="15"/>
        <v>1</v>
      </c>
      <c r="AJ466">
        <f>'TABLA PREVIOS'!E466</f>
        <v>286</v>
      </c>
      <c r="AK466">
        <f>VLOOKUP(E466,ALUMNOS!A:B,2,FALSE)</f>
        <v>256</v>
      </c>
    </row>
    <row r="467" spans="2:37" x14ac:dyDescent="0.25">
      <c r="B467" t="str">
        <f t="shared" si="14"/>
        <v>44372156LENGUA EXTRANJERA - INGLÉS6º</v>
      </c>
      <c r="C467" t="s">
        <v>285</v>
      </c>
      <c r="D467" t="s">
        <v>109</v>
      </c>
      <c r="E467">
        <v>44372156</v>
      </c>
      <c r="F467" t="s">
        <v>304</v>
      </c>
      <c r="G467" t="s">
        <v>16</v>
      </c>
      <c r="H467" t="s">
        <v>245</v>
      </c>
      <c r="I467" t="s">
        <v>43</v>
      </c>
      <c r="J467">
        <v>2020</v>
      </c>
      <c r="K467" t="s">
        <v>60</v>
      </c>
      <c r="N467" t="s">
        <v>99</v>
      </c>
      <c r="AI467">
        <f t="shared" si="15"/>
        <v>1</v>
      </c>
      <c r="AJ467">
        <f>'TABLA PREVIOS'!E467</f>
        <v>282</v>
      </c>
      <c r="AK467">
        <f>VLOOKUP(E467,ALUMNOS!A:B,2,FALSE)</f>
        <v>256</v>
      </c>
    </row>
    <row r="468" spans="2:37" x14ac:dyDescent="0.25">
      <c r="B468" t="str">
        <f t="shared" si="14"/>
        <v>44372156LENGUA Y LITERATURA6º</v>
      </c>
      <c r="C468" t="s">
        <v>285</v>
      </c>
      <c r="D468" t="s">
        <v>109</v>
      </c>
      <c r="E468">
        <v>44372156</v>
      </c>
      <c r="F468" t="s">
        <v>304</v>
      </c>
      <c r="G468" t="s">
        <v>11</v>
      </c>
      <c r="H468" t="s">
        <v>245</v>
      </c>
      <c r="I468" t="s">
        <v>43</v>
      </c>
      <c r="J468">
        <v>2020</v>
      </c>
      <c r="K468" t="s">
        <v>60</v>
      </c>
      <c r="N468" t="s">
        <v>99</v>
      </c>
      <c r="AI468">
        <f t="shared" si="15"/>
        <v>1</v>
      </c>
      <c r="AJ468">
        <f>'TABLA PREVIOS'!E468</f>
        <v>279</v>
      </c>
      <c r="AK468">
        <f>VLOOKUP(E468,ALUMNOS!A:B,2,FALSE)</f>
        <v>256</v>
      </c>
    </row>
    <row r="469" spans="2:37" x14ac:dyDescent="0.25">
      <c r="B469" t="str">
        <f t="shared" si="14"/>
        <v>44372156MATEMÁTICA6º</v>
      </c>
      <c r="C469" t="s">
        <v>285</v>
      </c>
      <c r="D469" t="s">
        <v>109</v>
      </c>
      <c r="E469">
        <v>44372156</v>
      </c>
      <c r="F469" t="s">
        <v>304</v>
      </c>
      <c r="G469" t="s">
        <v>12</v>
      </c>
      <c r="H469" t="s">
        <v>245</v>
      </c>
      <c r="I469" t="s">
        <v>43</v>
      </c>
      <c r="J469">
        <v>2020</v>
      </c>
      <c r="K469" t="s">
        <v>60</v>
      </c>
      <c r="N469" t="s">
        <v>99</v>
      </c>
      <c r="AI469">
        <f t="shared" si="15"/>
        <v>1</v>
      </c>
      <c r="AJ469">
        <f>'TABLA PREVIOS'!E469</f>
        <v>280</v>
      </c>
      <c r="AK469">
        <f>VLOOKUP(E469,ALUMNOS!A:B,2,FALSE)</f>
        <v>256</v>
      </c>
    </row>
    <row r="470" spans="2:37" x14ac:dyDescent="0.25">
      <c r="B470" t="str">
        <f t="shared" si="14"/>
        <v>44372156QUÍMICA6º</v>
      </c>
      <c r="C470" t="s">
        <v>285</v>
      </c>
      <c r="D470" t="s">
        <v>109</v>
      </c>
      <c r="E470">
        <v>44372156</v>
      </c>
      <c r="F470" t="s">
        <v>304</v>
      </c>
      <c r="G470" t="s">
        <v>25</v>
      </c>
      <c r="H470" t="s">
        <v>245</v>
      </c>
      <c r="I470" t="s">
        <v>43</v>
      </c>
      <c r="J470">
        <v>2020</v>
      </c>
      <c r="K470" t="s">
        <v>60</v>
      </c>
      <c r="N470" t="s">
        <v>99</v>
      </c>
      <c r="AI470">
        <f t="shared" si="15"/>
        <v>1</v>
      </c>
      <c r="AJ470">
        <f>'TABLA PREVIOS'!E470</f>
        <v>281</v>
      </c>
      <c r="AK470">
        <f>VLOOKUP(E470,ALUMNOS!A:B,2,FALSE)</f>
        <v>256</v>
      </c>
    </row>
    <row r="471" spans="2:37" x14ac:dyDescent="0.25">
      <c r="B471" t="str">
        <f t="shared" si="14"/>
        <v>44372156RESPONSABILIDAD SOCIAL DE LAS ORGANIZACIONES6º</v>
      </c>
      <c r="C471" t="s">
        <v>285</v>
      </c>
      <c r="D471" t="s">
        <v>109</v>
      </c>
      <c r="E471">
        <v>44372156</v>
      </c>
      <c r="F471" t="s">
        <v>304</v>
      </c>
      <c r="G471" t="s">
        <v>39</v>
      </c>
      <c r="H471" t="s">
        <v>245</v>
      </c>
      <c r="I471" t="s">
        <v>43</v>
      </c>
      <c r="J471">
        <v>2020</v>
      </c>
      <c r="K471" t="s">
        <v>60</v>
      </c>
      <c r="N471" t="s">
        <v>99</v>
      </c>
      <c r="AI471">
        <f t="shared" si="15"/>
        <v>1</v>
      </c>
      <c r="AJ471">
        <f>'TABLA PREVIOS'!E471</f>
        <v>288</v>
      </c>
      <c r="AK471">
        <f>VLOOKUP(E471,ALUMNOS!A:B,2,FALSE)</f>
        <v>256</v>
      </c>
    </row>
    <row r="472" spans="2:37" x14ac:dyDescent="0.25">
      <c r="B472" t="str">
        <f t="shared" si="14"/>
        <v>44372156SISTEMAS DE INFORMACIÓN CONTABLE6º</v>
      </c>
      <c r="C472" t="s">
        <v>285</v>
      </c>
      <c r="D472" t="s">
        <v>109</v>
      </c>
      <c r="E472">
        <v>44372156</v>
      </c>
      <c r="F472" t="s">
        <v>304</v>
      </c>
      <c r="G472" t="s">
        <v>29</v>
      </c>
      <c r="H472" t="s">
        <v>245</v>
      </c>
      <c r="I472" t="s">
        <v>43</v>
      </c>
      <c r="J472">
        <v>2020</v>
      </c>
      <c r="K472" t="s">
        <v>60</v>
      </c>
      <c r="N472" t="s">
        <v>99</v>
      </c>
      <c r="AI472">
        <f t="shared" si="15"/>
        <v>1</v>
      </c>
      <c r="AJ472">
        <f>'TABLA PREVIOS'!E472</f>
        <v>290</v>
      </c>
      <c r="AK472">
        <f>VLOOKUP(E472,ALUMNOS!A:B,2,FALSE)</f>
        <v>256</v>
      </c>
    </row>
    <row r="473" spans="2:37" x14ac:dyDescent="0.25">
      <c r="B473" t="str">
        <f t="shared" si="14"/>
        <v>43609644GEOGRAFÍA4º</v>
      </c>
      <c r="C473" t="s">
        <v>285</v>
      </c>
      <c r="D473" t="s">
        <v>109</v>
      </c>
      <c r="E473">
        <v>43609644</v>
      </c>
      <c r="F473" t="s">
        <v>305</v>
      </c>
      <c r="G473" t="s">
        <v>26</v>
      </c>
      <c r="H473" t="s">
        <v>190</v>
      </c>
      <c r="I473" t="s">
        <v>43</v>
      </c>
      <c r="J473">
        <v>2018</v>
      </c>
      <c r="K473" t="s">
        <v>60</v>
      </c>
      <c r="N473" t="s">
        <v>99</v>
      </c>
      <c r="AI473">
        <f t="shared" si="15"/>
        <v>1</v>
      </c>
      <c r="AJ473">
        <f>'TABLA PREVIOS'!E473</f>
        <v>254</v>
      </c>
      <c r="AK473">
        <f>VLOOKUP(E473,ALUMNOS!A:B,2,FALSE)</f>
        <v>576</v>
      </c>
    </row>
    <row r="474" spans="2:37" x14ac:dyDescent="0.25">
      <c r="B474" t="str">
        <f t="shared" si="14"/>
        <v>43609644ADMINISTRACIÓN5º</v>
      </c>
      <c r="C474" t="s">
        <v>285</v>
      </c>
      <c r="D474" t="s">
        <v>109</v>
      </c>
      <c r="E474">
        <v>43609644</v>
      </c>
      <c r="F474" t="s">
        <v>305</v>
      </c>
      <c r="G474" t="s">
        <v>30</v>
      </c>
      <c r="H474" t="s">
        <v>220</v>
      </c>
      <c r="I474" t="s">
        <v>43</v>
      </c>
      <c r="J474">
        <v>2019</v>
      </c>
      <c r="K474" t="s">
        <v>60</v>
      </c>
      <c r="N474" t="s">
        <v>99</v>
      </c>
      <c r="AI474">
        <f t="shared" si="15"/>
        <v>1</v>
      </c>
      <c r="AJ474">
        <f>'TABLA PREVIOS'!E474</f>
        <v>274</v>
      </c>
      <c r="AK474">
        <f>VLOOKUP(E474,ALUMNOS!A:B,2,FALSE)</f>
        <v>576</v>
      </c>
    </row>
    <row r="475" spans="2:37" x14ac:dyDescent="0.25">
      <c r="B475" t="str">
        <f t="shared" si="14"/>
        <v>43609644HISTORIA5º</v>
      </c>
      <c r="C475" t="s">
        <v>285</v>
      </c>
      <c r="D475" t="s">
        <v>109</v>
      </c>
      <c r="E475">
        <v>43609644</v>
      </c>
      <c r="F475" t="s">
        <v>305</v>
      </c>
      <c r="G475" t="s">
        <v>27</v>
      </c>
      <c r="H475" t="s">
        <v>220</v>
      </c>
      <c r="I475" t="s">
        <v>43</v>
      </c>
      <c r="J475">
        <v>2019</v>
      </c>
      <c r="K475" t="s">
        <v>60</v>
      </c>
      <c r="N475" t="s">
        <v>99</v>
      </c>
      <c r="AI475">
        <f t="shared" si="15"/>
        <v>1</v>
      </c>
      <c r="AJ475">
        <f>'TABLA PREVIOS'!E475</f>
        <v>268</v>
      </c>
      <c r="AK475">
        <f>VLOOKUP(E475,ALUMNOS!A:B,2,FALSE)</f>
        <v>576</v>
      </c>
    </row>
    <row r="476" spans="2:37" x14ac:dyDescent="0.25">
      <c r="B476" t="str">
        <f t="shared" si="14"/>
        <v>43609644CIUDADANÍA Y POLÍTICA6º</v>
      </c>
      <c r="C476" t="s">
        <v>285</v>
      </c>
      <c r="D476" t="s">
        <v>109</v>
      </c>
      <c r="E476">
        <v>43609644</v>
      </c>
      <c r="F476" t="s">
        <v>305</v>
      </c>
      <c r="G476" t="s">
        <v>37</v>
      </c>
      <c r="H476" t="s">
        <v>245</v>
      </c>
      <c r="I476" t="s">
        <v>43</v>
      </c>
      <c r="J476">
        <v>2020</v>
      </c>
      <c r="K476" t="s">
        <v>60</v>
      </c>
      <c r="N476" t="s">
        <v>99</v>
      </c>
      <c r="AI476">
        <f t="shared" si="15"/>
        <v>1</v>
      </c>
      <c r="AJ476">
        <f>'TABLA PREVIOS'!E476</f>
        <v>284</v>
      </c>
      <c r="AK476">
        <f>VLOOKUP(E476,ALUMNOS!A:B,2,FALSE)</f>
        <v>576</v>
      </c>
    </row>
    <row r="477" spans="2:37" x14ac:dyDescent="0.25">
      <c r="B477" t="str">
        <f t="shared" si="14"/>
        <v>43609644DERECHO6º</v>
      </c>
      <c r="C477" t="s">
        <v>285</v>
      </c>
      <c r="D477" t="s">
        <v>109</v>
      </c>
      <c r="E477">
        <v>43609644</v>
      </c>
      <c r="F477" t="s">
        <v>305</v>
      </c>
      <c r="G477" t="s">
        <v>38</v>
      </c>
      <c r="H477" t="s">
        <v>245</v>
      </c>
      <c r="I477" t="s">
        <v>43</v>
      </c>
      <c r="J477">
        <v>2020</v>
      </c>
      <c r="K477" t="s">
        <v>60</v>
      </c>
      <c r="N477" t="s">
        <v>99</v>
      </c>
      <c r="AI477">
        <f t="shared" si="15"/>
        <v>1</v>
      </c>
      <c r="AJ477">
        <f>'TABLA PREVIOS'!E477</f>
        <v>287</v>
      </c>
      <c r="AK477">
        <f>VLOOKUP(E477,ALUMNOS!A:B,2,FALSE)</f>
        <v>576</v>
      </c>
    </row>
    <row r="478" spans="2:37" x14ac:dyDescent="0.25">
      <c r="B478" t="str">
        <f t="shared" si="14"/>
        <v>43609644ECONOMÍA6º</v>
      </c>
      <c r="C478" t="s">
        <v>285</v>
      </c>
      <c r="D478" t="s">
        <v>109</v>
      </c>
      <c r="E478">
        <v>43609644</v>
      </c>
      <c r="F478" t="s">
        <v>305</v>
      </c>
      <c r="G478" t="s">
        <v>34</v>
      </c>
      <c r="H478" t="s">
        <v>245</v>
      </c>
      <c r="I478" t="s">
        <v>43</v>
      </c>
      <c r="J478">
        <v>2020</v>
      </c>
      <c r="K478" t="s">
        <v>60</v>
      </c>
      <c r="N478" t="s">
        <v>99</v>
      </c>
      <c r="AI478">
        <f t="shared" si="15"/>
        <v>1</v>
      </c>
      <c r="AJ478">
        <f>'TABLA PREVIOS'!E478</f>
        <v>286</v>
      </c>
      <c r="AK478">
        <f>VLOOKUP(E478,ALUMNOS!A:B,2,FALSE)</f>
        <v>576</v>
      </c>
    </row>
    <row r="479" spans="2:37" x14ac:dyDescent="0.25">
      <c r="B479" t="str">
        <f t="shared" si="14"/>
        <v>43609644FILOSOFÍA6º</v>
      </c>
      <c r="C479" t="s">
        <v>285</v>
      </c>
      <c r="D479" t="s">
        <v>109</v>
      </c>
      <c r="E479">
        <v>43609644</v>
      </c>
      <c r="F479" t="s">
        <v>305</v>
      </c>
      <c r="G479" t="s">
        <v>41</v>
      </c>
      <c r="H479" t="s">
        <v>245</v>
      </c>
      <c r="I479" t="s">
        <v>43</v>
      </c>
      <c r="J479">
        <v>2020</v>
      </c>
      <c r="K479" t="s">
        <v>60</v>
      </c>
      <c r="N479" t="s">
        <v>99</v>
      </c>
      <c r="AI479">
        <f t="shared" si="15"/>
        <v>1</v>
      </c>
      <c r="AJ479">
        <f>'TABLA PREVIOS'!E479</f>
        <v>292</v>
      </c>
      <c r="AK479">
        <f>VLOOKUP(E479,ALUMNOS!A:B,2,FALSE)</f>
        <v>576</v>
      </c>
    </row>
    <row r="480" spans="2:37" x14ac:dyDescent="0.25">
      <c r="B480" t="str">
        <f t="shared" si="14"/>
        <v>43609644LENGUA EXTRANJERA - INGLÉS6º</v>
      </c>
      <c r="C480" t="s">
        <v>285</v>
      </c>
      <c r="D480" t="s">
        <v>109</v>
      </c>
      <c r="E480">
        <v>43609644</v>
      </c>
      <c r="F480" t="s">
        <v>305</v>
      </c>
      <c r="G480" t="s">
        <v>16</v>
      </c>
      <c r="H480" t="s">
        <v>245</v>
      </c>
      <c r="I480" t="s">
        <v>43</v>
      </c>
      <c r="J480">
        <v>2020</v>
      </c>
      <c r="K480" t="s">
        <v>60</v>
      </c>
      <c r="N480" t="s">
        <v>99</v>
      </c>
      <c r="AI480">
        <f t="shared" si="15"/>
        <v>1</v>
      </c>
      <c r="AJ480">
        <f>'TABLA PREVIOS'!E480</f>
        <v>282</v>
      </c>
      <c r="AK480">
        <f>VLOOKUP(E480,ALUMNOS!A:B,2,FALSE)</f>
        <v>576</v>
      </c>
    </row>
    <row r="481" spans="2:37" x14ac:dyDescent="0.25">
      <c r="B481" t="str">
        <f t="shared" si="14"/>
        <v>43609644LENGUA Y LITERATURA6º</v>
      </c>
      <c r="C481" t="s">
        <v>285</v>
      </c>
      <c r="D481" t="s">
        <v>109</v>
      </c>
      <c r="E481">
        <v>43609644</v>
      </c>
      <c r="F481" t="s">
        <v>305</v>
      </c>
      <c r="G481" t="s">
        <v>11</v>
      </c>
      <c r="H481" t="s">
        <v>245</v>
      </c>
      <c r="I481" t="s">
        <v>43</v>
      </c>
      <c r="J481">
        <v>2020</v>
      </c>
      <c r="K481" t="s">
        <v>60</v>
      </c>
      <c r="N481" t="s">
        <v>99</v>
      </c>
      <c r="AI481">
        <f t="shared" si="15"/>
        <v>1</v>
      </c>
      <c r="AJ481">
        <f>'TABLA PREVIOS'!E481</f>
        <v>279</v>
      </c>
      <c r="AK481">
        <f>VLOOKUP(E481,ALUMNOS!A:B,2,FALSE)</f>
        <v>576</v>
      </c>
    </row>
    <row r="482" spans="2:37" x14ac:dyDescent="0.25">
      <c r="B482" t="str">
        <f t="shared" si="14"/>
        <v>43609644MATEMÁTICA6º</v>
      </c>
      <c r="C482" t="s">
        <v>285</v>
      </c>
      <c r="D482" t="s">
        <v>109</v>
      </c>
      <c r="E482">
        <v>43609644</v>
      </c>
      <c r="F482" t="s">
        <v>305</v>
      </c>
      <c r="G482" t="s">
        <v>12</v>
      </c>
      <c r="H482" t="s">
        <v>245</v>
      </c>
      <c r="I482" t="s">
        <v>43</v>
      </c>
      <c r="J482">
        <v>2020</v>
      </c>
      <c r="K482" t="s">
        <v>60</v>
      </c>
      <c r="N482" t="s">
        <v>99</v>
      </c>
      <c r="AI482">
        <f t="shared" si="15"/>
        <v>1</v>
      </c>
      <c r="AJ482">
        <f>'TABLA PREVIOS'!E482</f>
        <v>280</v>
      </c>
      <c r="AK482">
        <f>VLOOKUP(E482,ALUMNOS!A:B,2,FALSE)</f>
        <v>576</v>
      </c>
    </row>
    <row r="483" spans="2:37" x14ac:dyDescent="0.25">
      <c r="B483" t="str">
        <f t="shared" si="14"/>
        <v>43609644RESPONSABILIDAD SOCIAL DE LAS ORGANIZACIONES6º</v>
      </c>
      <c r="C483" t="s">
        <v>285</v>
      </c>
      <c r="D483" t="s">
        <v>109</v>
      </c>
      <c r="E483">
        <v>43609644</v>
      </c>
      <c r="F483" t="s">
        <v>305</v>
      </c>
      <c r="G483" t="s">
        <v>39</v>
      </c>
      <c r="H483" t="s">
        <v>245</v>
      </c>
      <c r="I483" t="s">
        <v>43</v>
      </c>
      <c r="J483">
        <v>2020</v>
      </c>
      <c r="K483" t="s">
        <v>60</v>
      </c>
      <c r="N483" t="s">
        <v>99</v>
      </c>
      <c r="AI483">
        <f t="shared" si="15"/>
        <v>1</v>
      </c>
      <c r="AJ483">
        <f>'TABLA PREVIOS'!E483</f>
        <v>288</v>
      </c>
      <c r="AK483">
        <f>VLOOKUP(E483,ALUMNOS!A:B,2,FALSE)</f>
        <v>576</v>
      </c>
    </row>
    <row r="484" spans="2:37" x14ac:dyDescent="0.25">
      <c r="B484" t="str">
        <f t="shared" si="14"/>
        <v>43609644SISTEMAS DE INFORMACIÓN CONTABLE6º</v>
      </c>
      <c r="C484" t="s">
        <v>285</v>
      </c>
      <c r="D484" t="s">
        <v>109</v>
      </c>
      <c r="E484">
        <v>43609644</v>
      </c>
      <c r="F484" t="s">
        <v>305</v>
      </c>
      <c r="G484" t="s">
        <v>29</v>
      </c>
      <c r="H484" t="s">
        <v>245</v>
      </c>
      <c r="I484" t="s">
        <v>43</v>
      </c>
      <c r="J484">
        <v>2020</v>
      </c>
      <c r="K484" t="s">
        <v>60</v>
      </c>
      <c r="N484" t="s">
        <v>99</v>
      </c>
      <c r="AI484">
        <f t="shared" si="15"/>
        <v>1</v>
      </c>
      <c r="AJ484">
        <f>'TABLA PREVIOS'!E484</f>
        <v>290</v>
      </c>
      <c r="AK484">
        <f>VLOOKUP(E484,ALUMNOS!A:B,2,FALSE)</f>
        <v>576</v>
      </c>
    </row>
    <row r="485" spans="2:37" x14ac:dyDescent="0.25">
      <c r="B485" t="str">
        <f t="shared" si="14"/>
        <v>43648251GEOGRAFÍA3º</v>
      </c>
      <c r="C485" t="s">
        <v>285</v>
      </c>
      <c r="D485" t="s">
        <v>109</v>
      </c>
      <c r="E485">
        <v>43648251</v>
      </c>
      <c r="F485" t="s">
        <v>306</v>
      </c>
      <c r="G485" t="s">
        <v>26</v>
      </c>
      <c r="H485" t="s">
        <v>143</v>
      </c>
      <c r="I485" t="s">
        <v>43</v>
      </c>
      <c r="J485">
        <v>2017</v>
      </c>
      <c r="K485" t="s">
        <v>59</v>
      </c>
      <c r="N485" t="s">
        <v>99</v>
      </c>
      <c r="AI485">
        <f t="shared" si="15"/>
        <v>1</v>
      </c>
      <c r="AJ485">
        <f>'TABLA PREVIOS'!E485</f>
        <v>243</v>
      </c>
      <c r="AK485">
        <f>VLOOKUP(E485,ALUMNOS!A:B,2,FALSE)</f>
        <v>606</v>
      </c>
    </row>
    <row r="486" spans="2:37" x14ac:dyDescent="0.25">
      <c r="B486" t="str">
        <f t="shared" si="14"/>
        <v>43648251ADMINISTRACIÓN6º</v>
      </c>
      <c r="C486" t="s">
        <v>285</v>
      </c>
      <c r="D486" t="s">
        <v>109</v>
      </c>
      <c r="E486">
        <v>43648251</v>
      </c>
      <c r="F486" t="s">
        <v>306</v>
      </c>
      <c r="G486" t="s">
        <v>30</v>
      </c>
      <c r="H486" t="s">
        <v>245</v>
      </c>
      <c r="I486" t="s">
        <v>43</v>
      </c>
      <c r="J486">
        <v>2020</v>
      </c>
      <c r="K486" t="s">
        <v>60</v>
      </c>
      <c r="N486" t="s">
        <v>99</v>
      </c>
      <c r="AI486">
        <f t="shared" si="15"/>
        <v>1</v>
      </c>
      <c r="AJ486">
        <f>'TABLA PREVIOS'!E486</f>
        <v>285</v>
      </c>
      <c r="AK486">
        <f>VLOOKUP(E486,ALUMNOS!A:B,2,FALSE)</f>
        <v>606</v>
      </c>
    </row>
    <row r="487" spans="2:37" x14ac:dyDescent="0.25">
      <c r="B487" t="str">
        <f t="shared" si="14"/>
        <v>43648251CIUDADANÍA Y POLÍTICA6º</v>
      </c>
      <c r="C487" t="s">
        <v>285</v>
      </c>
      <c r="D487" t="s">
        <v>109</v>
      </c>
      <c r="E487">
        <v>43648251</v>
      </c>
      <c r="F487" t="s">
        <v>306</v>
      </c>
      <c r="G487" t="s">
        <v>37</v>
      </c>
      <c r="H487" t="s">
        <v>245</v>
      </c>
      <c r="I487" t="s">
        <v>43</v>
      </c>
      <c r="J487">
        <v>2020</v>
      </c>
      <c r="K487" t="s">
        <v>60</v>
      </c>
      <c r="N487" t="s">
        <v>99</v>
      </c>
      <c r="AI487">
        <f t="shared" si="15"/>
        <v>1</v>
      </c>
      <c r="AJ487">
        <f>'TABLA PREVIOS'!E487</f>
        <v>284</v>
      </c>
      <c r="AK487">
        <f>VLOOKUP(E487,ALUMNOS!A:B,2,FALSE)</f>
        <v>606</v>
      </c>
    </row>
    <row r="488" spans="2:37" x14ac:dyDescent="0.25">
      <c r="B488" t="str">
        <f t="shared" si="14"/>
        <v>43648251DERECHO6º</v>
      </c>
      <c r="C488" t="s">
        <v>285</v>
      </c>
      <c r="D488" t="s">
        <v>109</v>
      </c>
      <c r="E488">
        <v>43648251</v>
      </c>
      <c r="F488" t="s">
        <v>306</v>
      </c>
      <c r="G488" t="s">
        <v>38</v>
      </c>
      <c r="H488" t="s">
        <v>245</v>
      </c>
      <c r="I488" t="s">
        <v>43</v>
      </c>
      <c r="J488">
        <v>2020</v>
      </c>
      <c r="K488" t="s">
        <v>60</v>
      </c>
      <c r="N488" t="s">
        <v>99</v>
      </c>
      <c r="AI488">
        <f t="shared" si="15"/>
        <v>1</v>
      </c>
      <c r="AJ488">
        <f>'TABLA PREVIOS'!E488</f>
        <v>287</v>
      </c>
      <c r="AK488">
        <f>VLOOKUP(E488,ALUMNOS!A:B,2,FALSE)</f>
        <v>606</v>
      </c>
    </row>
    <row r="489" spans="2:37" x14ac:dyDescent="0.25">
      <c r="B489" t="str">
        <f t="shared" si="14"/>
        <v>43648251ECONOMÍA6º</v>
      </c>
      <c r="C489" t="s">
        <v>285</v>
      </c>
      <c r="D489" t="s">
        <v>109</v>
      </c>
      <c r="E489">
        <v>43648251</v>
      </c>
      <c r="F489" t="s">
        <v>306</v>
      </c>
      <c r="G489" t="s">
        <v>34</v>
      </c>
      <c r="H489" t="s">
        <v>245</v>
      </c>
      <c r="I489" t="s">
        <v>43</v>
      </c>
      <c r="J489">
        <v>2020</v>
      </c>
      <c r="K489" t="s">
        <v>60</v>
      </c>
      <c r="N489" t="s">
        <v>99</v>
      </c>
      <c r="AI489">
        <f t="shared" si="15"/>
        <v>1</v>
      </c>
      <c r="AJ489">
        <f>'TABLA PREVIOS'!E489</f>
        <v>286</v>
      </c>
      <c r="AK489">
        <f>VLOOKUP(E489,ALUMNOS!A:B,2,FALSE)</f>
        <v>606</v>
      </c>
    </row>
    <row r="490" spans="2:37" x14ac:dyDescent="0.25">
      <c r="B490" t="str">
        <f t="shared" si="14"/>
        <v>43648251FILOSOFÍA6º</v>
      </c>
      <c r="C490" t="s">
        <v>285</v>
      </c>
      <c r="D490" t="s">
        <v>109</v>
      </c>
      <c r="E490">
        <v>43648251</v>
      </c>
      <c r="F490" t="s">
        <v>306</v>
      </c>
      <c r="G490" t="s">
        <v>41</v>
      </c>
      <c r="H490" t="s">
        <v>245</v>
      </c>
      <c r="I490" t="s">
        <v>43</v>
      </c>
      <c r="J490">
        <v>2020</v>
      </c>
      <c r="K490" t="s">
        <v>60</v>
      </c>
      <c r="N490" t="s">
        <v>99</v>
      </c>
      <c r="AI490">
        <f t="shared" si="15"/>
        <v>1</v>
      </c>
      <c r="AJ490">
        <f>'TABLA PREVIOS'!E490</f>
        <v>292</v>
      </c>
      <c r="AK490">
        <f>VLOOKUP(E490,ALUMNOS!A:B,2,FALSE)</f>
        <v>606</v>
      </c>
    </row>
    <row r="491" spans="2:37" x14ac:dyDescent="0.25">
      <c r="B491" t="str">
        <f t="shared" si="14"/>
        <v>43648251FORMACIÓN PARA LA VIDA Y EL TRABAJO6º</v>
      </c>
      <c r="C491" t="s">
        <v>285</v>
      </c>
      <c r="D491" t="s">
        <v>109</v>
      </c>
      <c r="E491">
        <v>43648251</v>
      </c>
      <c r="F491" t="s">
        <v>306</v>
      </c>
      <c r="G491" t="s">
        <v>28</v>
      </c>
      <c r="H491" t="s">
        <v>245</v>
      </c>
      <c r="I491" t="s">
        <v>43</v>
      </c>
      <c r="J491">
        <v>2020</v>
      </c>
      <c r="K491" t="s">
        <v>60</v>
      </c>
      <c r="N491" t="s">
        <v>99</v>
      </c>
      <c r="AI491">
        <f t="shared" si="15"/>
        <v>1</v>
      </c>
      <c r="AJ491">
        <f>'TABLA PREVIOS'!E491</f>
        <v>291</v>
      </c>
      <c r="AK491">
        <f>VLOOKUP(E491,ALUMNOS!A:B,2,FALSE)</f>
        <v>606</v>
      </c>
    </row>
    <row r="492" spans="2:37" x14ac:dyDescent="0.25">
      <c r="B492" t="str">
        <f t="shared" si="14"/>
        <v>43648251LENGUA EXTRANJERA - INGLÉS6º</v>
      </c>
      <c r="C492" t="s">
        <v>285</v>
      </c>
      <c r="D492" t="s">
        <v>109</v>
      </c>
      <c r="E492">
        <v>43648251</v>
      </c>
      <c r="F492" t="s">
        <v>306</v>
      </c>
      <c r="G492" t="s">
        <v>16</v>
      </c>
      <c r="H492" t="s">
        <v>245</v>
      </c>
      <c r="I492" t="s">
        <v>43</v>
      </c>
      <c r="J492">
        <v>2020</v>
      </c>
      <c r="K492" t="s">
        <v>60</v>
      </c>
      <c r="N492" t="s">
        <v>99</v>
      </c>
      <c r="AI492">
        <f t="shared" si="15"/>
        <v>1</v>
      </c>
      <c r="AJ492">
        <f>'TABLA PREVIOS'!E492</f>
        <v>282</v>
      </c>
      <c r="AK492">
        <f>VLOOKUP(E492,ALUMNOS!A:B,2,FALSE)</f>
        <v>606</v>
      </c>
    </row>
    <row r="493" spans="2:37" x14ac:dyDescent="0.25">
      <c r="B493" t="str">
        <f t="shared" si="14"/>
        <v>43648251LENGUA Y LITERATURA6º</v>
      </c>
      <c r="C493" t="s">
        <v>285</v>
      </c>
      <c r="D493" t="s">
        <v>109</v>
      </c>
      <c r="E493">
        <v>43648251</v>
      </c>
      <c r="F493" t="s">
        <v>306</v>
      </c>
      <c r="G493" t="s">
        <v>11</v>
      </c>
      <c r="H493" t="s">
        <v>245</v>
      </c>
      <c r="I493" t="s">
        <v>43</v>
      </c>
      <c r="J493">
        <v>2020</v>
      </c>
      <c r="K493" t="s">
        <v>60</v>
      </c>
      <c r="N493" t="s">
        <v>99</v>
      </c>
      <c r="AI493">
        <f t="shared" si="15"/>
        <v>1</v>
      </c>
      <c r="AJ493">
        <f>'TABLA PREVIOS'!E493</f>
        <v>279</v>
      </c>
      <c r="AK493">
        <f>VLOOKUP(E493,ALUMNOS!A:B,2,FALSE)</f>
        <v>606</v>
      </c>
    </row>
    <row r="494" spans="2:37" x14ac:dyDescent="0.25">
      <c r="B494" t="str">
        <f t="shared" si="14"/>
        <v>43648251MATEMÁTICA6º</v>
      </c>
      <c r="C494" t="s">
        <v>285</v>
      </c>
      <c r="D494" t="s">
        <v>109</v>
      </c>
      <c r="E494">
        <v>43648251</v>
      </c>
      <c r="F494" t="s">
        <v>306</v>
      </c>
      <c r="G494" t="s">
        <v>12</v>
      </c>
      <c r="H494" t="s">
        <v>245</v>
      </c>
      <c r="I494" t="s">
        <v>43</v>
      </c>
      <c r="J494">
        <v>2020</v>
      </c>
      <c r="K494" t="s">
        <v>60</v>
      </c>
      <c r="N494" t="s">
        <v>99</v>
      </c>
      <c r="AI494">
        <f t="shared" si="15"/>
        <v>1</v>
      </c>
      <c r="AJ494">
        <f>'TABLA PREVIOS'!E494</f>
        <v>280</v>
      </c>
      <c r="AK494">
        <f>VLOOKUP(E494,ALUMNOS!A:B,2,FALSE)</f>
        <v>606</v>
      </c>
    </row>
    <row r="495" spans="2:37" x14ac:dyDescent="0.25">
      <c r="B495" t="str">
        <f t="shared" si="14"/>
        <v>43648251QUÍMICA6º</v>
      </c>
      <c r="C495" t="s">
        <v>285</v>
      </c>
      <c r="D495" t="s">
        <v>109</v>
      </c>
      <c r="E495">
        <v>43648251</v>
      </c>
      <c r="F495" t="s">
        <v>306</v>
      </c>
      <c r="G495" t="s">
        <v>25</v>
      </c>
      <c r="H495" t="s">
        <v>245</v>
      </c>
      <c r="I495" t="s">
        <v>43</v>
      </c>
      <c r="J495">
        <v>2020</v>
      </c>
      <c r="K495" t="s">
        <v>60</v>
      </c>
      <c r="N495" t="s">
        <v>99</v>
      </c>
      <c r="AI495">
        <f t="shared" si="15"/>
        <v>1</v>
      </c>
      <c r="AJ495">
        <f>'TABLA PREVIOS'!E495</f>
        <v>281</v>
      </c>
      <c r="AK495">
        <f>VLOOKUP(E495,ALUMNOS!A:B,2,FALSE)</f>
        <v>606</v>
      </c>
    </row>
    <row r="496" spans="2:37" x14ac:dyDescent="0.25">
      <c r="B496" t="str">
        <f t="shared" si="14"/>
        <v>43648251RESPONSABILIDAD SOCIAL DE LAS ORGANIZACIONES6º</v>
      </c>
      <c r="C496" t="s">
        <v>285</v>
      </c>
      <c r="D496" t="s">
        <v>109</v>
      </c>
      <c r="E496">
        <v>43648251</v>
      </c>
      <c r="F496" t="s">
        <v>306</v>
      </c>
      <c r="G496" t="s">
        <v>39</v>
      </c>
      <c r="H496" t="s">
        <v>245</v>
      </c>
      <c r="I496" t="s">
        <v>43</v>
      </c>
      <c r="J496">
        <v>2020</v>
      </c>
      <c r="K496" t="s">
        <v>60</v>
      </c>
      <c r="N496" t="s">
        <v>99</v>
      </c>
      <c r="AI496">
        <f t="shared" si="15"/>
        <v>1</v>
      </c>
      <c r="AJ496">
        <f>'TABLA PREVIOS'!E496</f>
        <v>288</v>
      </c>
      <c r="AK496">
        <f>VLOOKUP(E496,ALUMNOS!A:B,2,FALSE)</f>
        <v>606</v>
      </c>
    </row>
    <row r="497" spans="2:37" x14ac:dyDescent="0.25">
      <c r="B497" t="str">
        <f t="shared" si="14"/>
        <v>43648251SISTEMAS DE INFORMACIÓN CONTABLE6º</v>
      </c>
      <c r="C497" t="s">
        <v>285</v>
      </c>
      <c r="D497" t="s">
        <v>109</v>
      </c>
      <c r="E497">
        <v>43648251</v>
      </c>
      <c r="F497" t="s">
        <v>306</v>
      </c>
      <c r="G497" t="s">
        <v>29</v>
      </c>
      <c r="H497" t="s">
        <v>245</v>
      </c>
      <c r="I497" t="s">
        <v>43</v>
      </c>
      <c r="J497">
        <v>2020</v>
      </c>
      <c r="K497" t="s">
        <v>60</v>
      </c>
      <c r="N497" t="s">
        <v>99</v>
      </c>
      <c r="AI497">
        <f t="shared" si="15"/>
        <v>1</v>
      </c>
      <c r="AJ497">
        <f>'TABLA PREVIOS'!E497</f>
        <v>290</v>
      </c>
      <c r="AK497">
        <f>VLOOKUP(E497,ALUMNOS!A:B,2,FALSE)</f>
        <v>606</v>
      </c>
    </row>
    <row r="498" spans="2:37" x14ac:dyDescent="0.25">
      <c r="B498" t="str">
        <f t="shared" si="14"/>
        <v>43929574ADMINISTRACIÓN6º</v>
      </c>
      <c r="C498" t="s">
        <v>285</v>
      </c>
      <c r="D498" t="s">
        <v>109</v>
      </c>
      <c r="E498">
        <v>43929574</v>
      </c>
      <c r="F498" t="s">
        <v>307</v>
      </c>
      <c r="G498" t="s">
        <v>30</v>
      </c>
      <c r="H498" t="s">
        <v>245</v>
      </c>
      <c r="I498" t="s">
        <v>43</v>
      </c>
      <c r="J498">
        <v>2020</v>
      </c>
      <c r="K498" t="s">
        <v>60</v>
      </c>
      <c r="N498" t="s">
        <v>99</v>
      </c>
      <c r="AI498">
        <f t="shared" si="15"/>
        <v>1</v>
      </c>
      <c r="AJ498">
        <f>'TABLA PREVIOS'!E498</f>
        <v>285</v>
      </c>
      <c r="AK498">
        <f>VLOOKUP(E498,ALUMNOS!A:B,2,FALSE)</f>
        <v>627</v>
      </c>
    </row>
    <row r="499" spans="2:37" x14ac:dyDescent="0.25">
      <c r="B499" t="str">
        <f t="shared" si="14"/>
        <v>43929574ECONOMÍA6º</v>
      </c>
      <c r="C499" t="s">
        <v>285</v>
      </c>
      <c r="D499" t="s">
        <v>109</v>
      </c>
      <c r="E499">
        <v>43929574</v>
      </c>
      <c r="F499" t="s">
        <v>307</v>
      </c>
      <c r="G499" t="s">
        <v>34</v>
      </c>
      <c r="H499" t="s">
        <v>245</v>
      </c>
      <c r="I499" t="s">
        <v>43</v>
      </c>
      <c r="J499">
        <v>2020</v>
      </c>
      <c r="K499" t="s">
        <v>60</v>
      </c>
      <c r="N499" t="s">
        <v>99</v>
      </c>
      <c r="AI499">
        <f t="shared" si="15"/>
        <v>1</v>
      </c>
      <c r="AJ499">
        <f>'TABLA PREVIOS'!E499</f>
        <v>286</v>
      </c>
      <c r="AK499">
        <f>VLOOKUP(E499,ALUMNOS!A:B,2,FALSE)</f>
        <v>627</v>
      </c>
    </row>
    <row r="500" spans="2:37" x14ac:dyDescent="0.25">
      <c r="B500" t="str">
        <f t="shared" si="14"/>
        <v>43929574MATEMÁTICA6º</v>
      </c>
      <c r="C500" t="s">
        <v>285</v>
      </c>
      <c r="D500" t="s">
        <v>109</v>
      </c>
      <c r="E500">
        <v>43929574</v>
      </c>
      <c r="F500" t="s">
        <v>307</v>
      </c>
      <c r="G500" t="s">
        <v>12</v>
      </c>
      <c r="H500" t="s">
        <v>245</v>
      </c>
      <c r="I500" t="s">
        <v>43</v>
      </c>
      <c r="J500">
        <v>2020</v>
      </c>
      <c r="K500" t="s">
        <v>60</v>
      </c>
      <c r="N500" t="s">
        <v>99</v>
      </c>
      <c r="AI500">
        <f t="shared" si="15"/>
        <v>1</v>
      </c>
      <c r="AJ500">
        <f>'TABLA PREVIOS'!E500</f>
        <v>280</v>
      </c>
      <c r="AK500">
        <f>VLOOKUP(E500,ALUMNOS!A:B,2,FALSE)</f>
        <v>627</v>
      </c>
    </row>
    <row r="501" spans="2:37" x14ac:dyDescent="0.25">
      <c r="B501" t="str">
        <f t="shared" si="14"/>
        <v>43929574QUÍMICA6º</v>
      </c>
      <c r="C501" t="s">
        <v>285</v>
      </c>
      <c r="D501" t="s">
        <v>109</v>
      </c>
      <c r="E501">
        <v>43929574</v>
      </c>
      <c r="F501" t="s">
        <v>307</v>
      </c>
      <c r="G501" t="s">
        <v>25</v>
      </c>
      <c r="H501" t="s">
        <v>245</v>
      </c>
      <c r="I501" t="s">
        <v>43</v>
      </c>
      <c r="J501">
        <v>2020</v>
      </c>
      <c r="K501" t="s">
        <v>60</v>
      </c>
      <c r="N501" t="s">
        <v>99</v>
      </c>
      <c r="AI501">
        <f t="shared" si="15"/>
        <v>1</v>
      </c>
      <c r="AJ501">
        <f>'TABLA PREVIOS'!E501</f>
        <v>281</v>
      </c>
      <c r="AK501">
        <f>VLOOKUP(E501,ALUMNOS!A:B,2,FALSE)</f>
        <v>627</v>
      </c>
    </row>
    <row r="502" spans="2:37" x14ac:dyDescent="0.25">
      <c r="B502" t="str">
        <f t="shared" si="14"/>
        <v>43929574SISTEMAS DE INFORMACIÓN CONTABLE6º</v>
      </c>
      <c r="C502" t="s">
        <v>285</v>
      </c>
      <c r="D502" t="s">
        <v>109</v>
      </c>
      <c r="E502">
        <v>43929574</v>
      </c>
      <c r="F502" t="s">
        <v>307</v>
      </c>
      <c r="G502" t="s">
        <v>29</v>
      </c>
      <c r="H502" t="s">
        <v>245</v>
      </c>
      <c r="I502" t="s">
        <v>43</v>
      </c>
      <c r="J502">
        <v>2020</v>
      </c>
      <c r="K502" t="s">
        <v>60</v>
      </c>
      <c r="N502" t="s">
        <v>99</v>
      </c>
      <c r="AI502">
        <f t="shared" si="15"/>
        <v>1</v>
      </c>
      <c r="AJ502">
        <f>'TABLA PREVIOS'!E502</f>
        <v>290</v>
      </c>
      <c r="AK502">
        <f>VLOOKUP(E502,ALUMNOS!A:B,2,FALSE)</f>
        <v>627</v>
      </c>
    </row>
    <row r="503" spans="2:37" x14ac:dyDescent="0.25">
      <c r="B503" t="str">
        <f t="shared" si="14"/>
        <v>44168562MATEMÁTICA5º</v>
      </c>
      <c r="C503" t="s">
        <v>285</v>
      </c>
      <c r="D503" t="s">
        <v>109</v>
      </c>
      <c r="E503">
        <v>44168562</v>
      </c>
      <c r="F503" t="s">
        <v>308</v>
      </c>
      <c r="G503" t="s">
        <v>12</v>
      </c>
      <c r="H503" t="s">
        <v>220</v>
      </c>
      <c r="I503" t="s">
        <v>43</v>
      </c>
      <c r="J503">
        <v>2019</v>
      </c>
      <c r="K503" t="s">
        <v>60</v>
      </c>
      <c r="N503" t="s">
        <v>99</v>
      </c>
      <c r="AI503">
        <f t="shared" si="15"/>
        <v>1</v>
      </c>
      <c r="AJ503">
        <f>'TABLA PREVIOS'!E503</f>
        <v>265</v>
      </c>
      <c r="AK503">
        <f>VLOOKUP(E503,ALUMNOS!A:B,2,FALSE)</f>
        <v>637</v>
      </c>
    </row>
    <row r="504" spans="2:37" x14ac:dyDescent="0.25">
      <c r="B504" t="str">
        <f t="shared" si="14"/>
        <v>44168562ADMINISTRACIÓN6º</v>
      </c>
      <c r="C504" t="s">
        <v>285</v>
      </c>
      <c r="D504" t="s">
        <v>109</v>
      </c>
      <c r="E504">
        <v>44168562</v>
      </c>
      <c r="F504" t="s">
        <v>308</v>
      </c>
      <c r="G504" t="s">
        <v>30</v>
      </c>
      <c r="H504" t="s">
        <v>245</v>
      </c>
      <c r="I504" t="s">
        <v>43</v>
      </c>
      <c r="J504">
        <v>2020</v>
      </c>
      <c r="K504" t="s">
        <v>60</v>
      </c>
      <c r="N504" t="s">
        <v>99</v>
      </c>
      <c r="AI504">
        <f t="shared" si="15"/>
        <v>1</v>
      </c>
      <c r="AJ504">
        <f>'TABLA PREVIOS'!E504</f>
        <v>285</v>
      </c>
      <c r="AK504">
        <f>VLOOKUP(E504,ALUMNOS!A:B,2,FALSE)</f>
        <v>637</v>
      </c>
    </row>
    <row r="505" spans="2:37" x14ac:dyDescent="0.25">
      <c r="B505" t="str">
        <f t="shared" si="14"/>
        <v>44168562ADMINISTRACIÓN FINANCIERA6º</v>
      </c>
      <c r="C505" t="s">
        <v>285</v>
      </c>
      <c r="D505" t="s">
        <v>109</v>
      </c>
      <c r="E505">
        <v>44168562</v>
      </c>
      <c r="F505" t="s">
        <v>308</v>
      </c>
      <c r="G505" t="s">
        <v>40</v>
      </c>
      <c r="H505" t="s">
        <v>245</v>
      </c>
      <c r="I505" t="s">
        <v>43</v>
      </c>
      <c r="J505">
        <v>2020</v>
      </c>
      <c r="K505" t="s">
        <v>60</v>
      </c>
      <c r="N505" t="s">
        <v>99</v>
      </c>
      <c r="AI505">
        <f t="shared" si="15"/>
        <v>1</v>
      </c>
      <c r="AJ505">
        <f>'TABLA PREVIOS'!E505</f>
        <v>289</v>
      </c>
      <c r="AK505">
        <f>VLOOKUP(E505,ALUMNOS!A:B,2,FALSE)</f>
        <v>637</v>
      </c>
    </row>
    <row r="506" spans="2:37" x14ac:dyDescent="0.25">
      <c r="B506" t="str">
        <f t="shared" si="14"/>
        <v>44168562CIUDADANÍA Y POLÍTICA6º</v>
      </c>
      <c r="C506" t="s">
        <v>285</v>
      </c>
      <c r="D506" t="s">
        <v>109</v>
      </c>
      <c r="E506">
        <v>44168562</v>
      </c>
      <c r="F506" t="s">
        <v>308</v>
      </c>
      <c r="G506" t="s">
        <v>37</v>
      </c>
      <c r="H506" t="s">
        <v>245</v>
      </c>
      <c r="I506" t="s">
        <v>43</v>
      </c>
      <c r="J506">
        <v>2020</v>
      </c>
      <c r="K506" t="s">
        <v>60</v>
      </c>
      <c r="N506" t="s">
        <v>99</v>
      </c>
      <c r="AI506">
        <f t="shared" si="15"/>
        <v>1</v>
      </c>
      <c r="AJ506">
        <f>'TABLA PREVIOS'!E506</f>
        <v>284</v>
      </c>
      <c r="AK506">
        <f>VLOOKUP(E506,ALUMNOS!A:B,2,FALSE)</f>
        <v>637</v>
      </c>
    </row>
    <row r="507" spans="2:37" x14ac:dyDescent="0.25">
      <c r="B507" t="str">
        <f t="shared" si="14"/>
        <v>44168562DERECHO6º</v>
      </c>
      <c r="C507" t="s">
        <v>285</v>
      </c>
      <c r="D507" t="s">
        <v>109</v>
      </c>
      <c r="E507">
        <v>44168562</v>
      </c>
      <c r="F507" t="s">
        <v>308</v>
      </c>
      <c r="G507" t="s">
        <v>38</v>
      </c>
      <c r="H507" t="s">
        <v>245</v>
      </c>
      <c r="I507" t="s">
        <v>43</v>
      </c>
      <c r="J507">
        <v>2020</v>
      </c>
      <c r="K507" t="s">
        <v>60</v>
      </c>
      <c r="N507" t="s">
        <v>99</v>
      </c>
      <c r="AI507">
        <f t="shared" si="15"/>
        <v>1</v>
      </c>
      <c r="AJ507">
        <f>'TABLA PREVIOS'!E507</f>
        <v>287</v>
      </c>
      <c r="AK507">
        <f>VLOOKUP(E507,ALUMNOS!A:B,2,FALSE)</f>
        <v>637</v>
      </c>
    </row>
    <row r="508" spans="2:37" x14ac:dyDescent="0.25">
      <c r="B508" t="str">
        <f t="shared" si="14"/>
        <v>44168562ECONOMÍA6º</v>
      </c>
      <c r="C508" t="s">
        <v>285</v>
      </c>
      <c r="D508" t="s">
        <v>109</v>
      </c>
      <c r="E508">
        <v>44168562</v>
      </c>
      <c r="F508" t="s">
        <v>308</v>
      </c>
      <c r="G508" t="s">
        <v>34</v>
      </c>
      <c r="H508" t="s">
        <v>245</v>
      </c>
      <c r="I508" t="s">
        <v>43</v>
      </c>
      <c r="J508">
        <v>2020</v>
      </c>
      <c r="K508" t="s">
        <v>60</v>
      </c>
      <c r="N508" t="s">
        <v>99</v>
      </c>
      <c r="AI508">
        <f t="shared" si="15"/>
        <v>1</v>
      </c>
      <c r="AJ508">
        <f>'TABLA PREVIOS'!E508</f>
        <v>286</v>
      </c>
      <c r="AK508">
        <f>VLOOKUP(E508,ALUMNOS!A:B,2,FALSE)</f>
        <v>637</v>
      </c>
    </row>
    <row r="509" spans="2:37" x14ac:dyDescent="0.25">
      <c r="B509" t="str">
        <f t="shared" si="14"/>
        <v>44168562FILOSOFÍA6º</v>
      </c>
      <c r="C509" t="s">
        <v>285</v>
      </c>
      <c r="D509" t="s">
        <v>109</v>
      </c>
      <c r="E509">
        <v>44168562</v>
      </c>
      <c r="F509" t="s">
        <v>308</v>
      </c>
      <c r="G509" t="s">
        <v>41</v>
      </c>
      <c r="H509" t="s">
        <v>245</v>
      </c>
      <c r="I509" t="s">
        <v>43</v>
      </c>
      <c r="J509">
        <v>2020</v>
      </c>
      <c r="K509" t="s">
        <v>60</v>
      </c>
      <c r="N509" t="s">
        <v>99</v>
      </c>
      <c r="AI509">
        <f t="shared" si="15"/>
        <v>1</v>
      </c>
      <c r="AJ509">
        <f>'TABLA PREVIOS'!E509</f>
        <v>292</v>
      </c>
      <c r="AK509">
        <f>VLOOKUP(E509,ALUMNOS!A:B,2,FALSE)</f>
        <v>637</v>
      </c>
    </row>
    <row r="510" spans="2:37" x14ac:dyDescent="0.25">
      <c r="B510" t="str">
        <f t="shared" si="14"/>
        <v>44168562FORMACIÓN PARA LA VIDA Y EL TRABAJO6º</v>
      </c>
      <c r="C510" t="s">
        <v>285</v>
      </c>
      <c r="D510" t="s">
        <v>109</v>
      </c>
      <c r="E510">
        <v>44168562</v>
      </c>
      <c r="F510" t="s">
        <v>308</v>
      </c>
      <c r="G510" t="s">
        <v>28</v>
      </c>
      <c r="H510" t="s">
        <v>245</v>
      </c>
      <c r="I510" t="s">
        <v>43</v>
      </c>
      <c r="J510">
        <v>2020</v>
      </c>
      <c r="K510" t="s">
        <v>60</v>
      </c>
      <c r="N510" t="s">
        <v>99</v>
      </c>
      <c r="AI510">
        <f t="shared" si="15"/>
        <v>1</v>
      </c>
      <c r="AJ510">
        <f>'TABLA PREVIOS'!E510</f>
        <v>291</v>
      </c>
      <c r="AK510">
        <f>VLOOKUP(E510,ALUMNOS!A:B,2,FALSE)</f>
        <v>637</v>
      </c>
    </row>
    <row r="511" spans="2:37" x14ac:dyDescent="0.25">
      <c r="B511" t="str">
        <f t="shared" si="14"/>
        <v>44168562LENGUA EXTRANJERA - INGLÉS6º</v>
      </c>
      <c r="C511" t="s">
        <v>285</v>
      </c>
      <c r="D511" t="s">
        <v>109</v>
      </c>
      <c r="E511">
        <v>44168562</v>
      </c>
      <c r="F511" t="s">
        <v>308</v>
      </c>
      <c r="G511" t="s">
        <v>16</v>
      </c>
      <c r="H511" t="s">
        <v>245</v>
      </c>
      <c r="I511" t="s">
        <v>43</v>
      </c>
      <c r="J511">
        <v>2020</v>
      </c>
      <c r="K511" t="s">
        <v>60</v>
      </c>
      <c r="N511" t="s">
        <v>99</v>
      </c>
      <c r="AI511">
        <f t="shared" si="15"/>
        <v>1</v>
      </c>
      <c r="AJ511">
        <f>'TABLA PREVIOS'!E511</f>
        <v>282</v>
      </c>
      <c r="AK511">
        <f>VLOOKUP(E511,ALUMNOS!A:B,2,FALSE)</f>
        <v>637</v>
      </c>
    </row>
    <row r="512" spans="2:37" x14ac:dyDescent="0.25">
      <c r="B512" t="str">
        <f t="shared" si="14"/>
        <v>44168562LENGUA Y LITERATURA6º</v>
      </c>
      <c r="C512" t="s">
        <v>285</v>
      </c>
      <c r="D512" t="s">
        <v>109</v>
      </c>
      <c r="E512">
        <v>44168562</v>
      </c>
      <c r="F512" t="s">
        <v>308</v>
      </c>
      <c r="G512" t="s">
        <v>11</v>
      </c>
      <c r="H512" t="s">
        <v>245</v>
      </c>
      <c r="I512" t="s">
        <v>43</v>
      </c>
      <c r="J512">
        <v>2020</v>
      </c>
      <c r="K512" t="s">
        <v>60</v>
      </c>
      <c r="N512" t="s">
        <v>99</v>
      </c>
      <c r="AI512">
        <f t="shared" si="15"/>
        <v>1</v>
      </c>
      <c r="AJ512">
        <f>'TABLA PREVIOS'!E512</f>
        <v>279</v>
      </c>
      <c r="AK512">
        <f>VLOOKUP(E512,ALUMNOS!A:B,2,FALSE)</f>
        <v>637</v>
      </c>
    </row>
    <row r="513" spans="2:37" x14ac:dyDescent="0.25">
      <c r="B513" t="str">
        <f t="shared" si="14"/>
        <v>44168562QUÍMICA6º</v>
      </c>
      <c r="C513" t="s">
        <v>285</v>
      </c>
      <c r="D513" t="s">
        <v>109</v>
      </c>
      <c r="E513">
        <v>44168562</v>
      </c>
      <c r="F513" t="s">
        <v>308</v>
      </c>
      <c r="G513" t="s">
        <v>25</v>
      </c>
      <c r="H513" t="s">
        <v>245</v>
      </c>
      <c r="I513" t="s">
        <v>43</v>
      </c>
      <c r="J513">
        <v>2020</v>
      </c>
      <c r="K513" t="s">
        <v>60</v>
      </c>
      <c r="N513" t="s">
        <v>99</v>
      </c>
      <c r="AI513">
        <f t="shared" si="15"/>
        <v>1</v>
      </c>
      <c r="AJ513">
        <f>'TABLA PREVIOS'!E513</f>
        <v>281</v>
      </c>
      <c r="AK513">
        <f>VLOOKUP(E513,ALUMNOS!A:B,2,FALSE)</f>
        <v>637</v>
      </c>
    </row>
    <row r="514" spans="2:37" x14ac:dyDescent="0.25">
      <c r="B514" t="str">
        <f t="shared" si="14"/>
        <v>44168562SISTEMAS DE INFORMACIÓN CONTABLE6º</v>
      </c>
      <c r="C514" t="s">
        <v>285</v>
      </c>
      <c r="D514" t="s">
        <v>109</v>
      </c>
      <c r="E514">
        <v>44168562</v>
      </c>
      <c r="F514" t="s">
        <v>308</v>
      </c>
      <c r="G514" t="s">
        <v>29</v>
      </c>
      <c r="H514" t="s">
        <v>245</v>
      </c>
      <c r="I514" t="s">
        <v>43</v>
      </c>
      <c r="J514">
        <v>2020</v>
      </c>
      <c r="K514" t="s">
        <v>60</v>
      </c>
      <c r="N514" t="s">
        <v>99</v>
      </c>
      <c r="AI514">
        <f t="shared" si="15"/>
        <v>1</v>
      </c>
      <c r="AJ514">
        <f>'TABLA PREVIOS'!E514</f>
        <v>290</v>
      </c>
      <c r="AK514">
        <f>VLOOKUP(E514,ALUMNOS!A:B,2,FALSE)</f>
        <v>637</v>
      </c>
    </row>
    <row r="515" spans="2:37" x14ac:dyDescent="0.25">
      <c r="B515" t="str">
        <f t="shared" ref="B515:B578" si="16">E515&amp;G515&amp;H515</f>
        <v>44899046LENGUA Y LITERATURA6º</v>
      </c>
      <c r="C515" t="s">
        <v>285</v>
      </c>
      <c r="D515" t="s">
        <v>109</v>
      </c>
      <c r="E515">
        <v>44899046</v>
      </c>
      <c r="F515" t="s">
        <v>309</v>
      </c>
      <c r="G515" t="s">
        <v>11</v>
      </c>
      <c r="H515" t="s">
        <v>245</v>
      </c>
      <c r="I515" t="s">
        <v>43</v>
      </c>
      <c r="J515">
        <v>2020</v>
      </c>
      <c r="K515" t="s">
        <v>60</v>
      </c>
      <c r="M515" t="s">
        <v>310</v>
      </c>
      <c r="N515" t="s">
        <v>99</v>
      </c>
      <c r="AI515">
        <f t="shared" ref="AI515:AI578" si="17">IF(VALUE(MAX(P515,T515,X515,AB515,AE515,))&gt;=7,VALUE(MAX(P515,T515,X515,AB515,AE515,)),1)</f>
        <v>1</v>
      </c>
      <c r="AJ515">
        <f>'TABLA PREVIOS'!E515</f>
        <v>279</v>
      </c>
      <c r="AK515">
        <f>VLOOKUP(E515,ALUMNOS!A:B,2,FALSE)</f>
        <v>701</v>
      </c>
    </row>
    <row r="516" spans="2:37" x14ac:dyDescent="0.25">
      <c r="B516" t="str">
        <f t="shared" si="16"/>
        <v>44686779ADMINISTRACIÓN FINANCIERA6º</v>
      </c>
      <c r="C516" t="s">
        <v>285</v>
      </c>
      <c r="D516" t="s">
        <v>109</v>
      </c>
      <c r="E516">
        <v>44686779</v>
      </c>
      <c r="F516" t="s">
        <v>311</v>
      </c>
      <c r="G516" t="s">
        <v>40</v>
      </c>
      <c r="H516" t="s">
        <v>245</v>
      </c>
      <c r="I516" t="s">
        <v>43</v>
      </c>
      <c r="J516">
        <v>2020</v>
      </c>
      <c r="K516" t="s">
        <v>60</v>
      </c>
      <c r="N516" t="s">
        <v>99</v>
      </c>
      <c r="AI516">
        <f t="shared" si="17"/>
        <v>1</v>
      </c>
      <c r="AJ516">
        <f>'TABLA PREVIOS'!E516</f>
        <v>289</v>
      </c>
      <c r="AK516">
        <f>VLOOKUP(E516,ALUMNOS!A:B,2,FALSE)</f>
        <v>769</v>
      </c>
    </row>
    <row r="517" spans="2:37" x14ac:dyDescent="0.25">
      <c r="B517" t="str">
        <f t="shared" si="16"/>
        <v>44686779DERECHO6º</v>
      </c>
      <c r="C517" t="s">
        <v>285</v>
      </c>
      <c r="D517" t="s">
        <v>109</v>
      </c>
      <c r="E517">
        <v>44686779</v>
      </c>
      <c r="F517" t="s">
        <v>311</v>
      </c>
      <c r="G517" t="s">
        <v>38</v>
      </c>
      <c r="H517" t="s">
        <v>245</v>
      </c>
      <c r="I517" t="s">
        <v>43</v>
      </c>
      <c r="J517">
        <v>2020</v>
      </c>
      <c r="K517" t="s">
        <v>60</v>
      </c>
      <c r="N517" t="s">
        <v>99</v>
      </c>
      <c r="AI517">
        <f t="shared" si="17"/>
        <v>1</v>
      </c>
      <c r="AJ517">
        <f>'TABLA PREVIOS'!E517</f>
        <v>287</v>
      </c>
      <c r="AK517">
        <f>VLOOKUP(E517,ALUMNOS!A:B,2,FALSE)</f>
        <v>769</v>
      </c>
    </row>
    <row r="518" spans="2:37" x14ac:dyDescent="0.25">
      <c r="B518" t="str">
        <f t="shared" si="16"/>
        <v>44686779ECONOMÍA6º</v>
      </c>
      <c r="C518" t="s">
        <v>285</v>
      </c>
      <c r="D518" t="s">
        <v>109</v>
      </c>
      <c r="E518">
        <v>44686779</v>
      </c>
      <c r="F518" t="s">
        <v>311</v>
      </c>
      <c r="G518" t="s">
        <v>34</v>
      </c>
      <c r="H518" t="s">
        <v>245</v>
      </c>
      <c r="I518" t="s">
        <v>43</v>
      </c>
      <c r="J518">
        <v>2020</v>
      </c>
      <c r="K518" t="s">
        <v>60</v>
      </c>
      <c r="N518" t="s">
        <v>99</v>
      </c>
      <c r="AI518">
        <f t="shared" si="17"/>
        <v>1</v>
      </c>
      <c r="AJ518">
        <f>'TABLA PREVIOS'!E518</f>
        <v>286</v>
      </c>
      <c r="AK518">
        <f>VLOOKUP(E518,ALUMNOS!A:B,2,FALSE)</f>
        <v>769</v>
      </c>
    </row>
    <row r="519" spans="2:37" x14ac:dyDescent="0.25">
      <c r="B519" t="str">
        <f t="shared" si="16"/>
        <v>44686779FILOSOFÍA6º</v>
      </c>
      <c r="C519" t="s">
        <v>285</v>
      </c>
      <c r="D519" t="s">
        <v>109</v>
      </c>
      <c r="E519">
        <v>44686779</v>
      </c>
      <c r="F519" t="s">
        <v>311</v>
      </c>
      <c r="G519" t="s">
        <v>41</v>
      </c>
      <c r="H519" t="s">
        <v>245</v>
      </c>
      <c r="I519" t="s">
        <v>43</v>
      </c>
      <c r="J519">
        <v>2020</v>
      </c>
      <c r="K519" t="s">
        <v>60</v>
      </c>
      <c r="N519" t="s">
        <v>99</v>
      </c>
      <c r="AI519">
        <f t="shared" si="17"/>
        <v>1</v>
      </c>
      <c r="AJ519">
        <f>'TABLA PREVIOS'!E519</f>
        <v>292</v>
      </c>
      <c r="AK519">
        <f>VLOOKUP(E519,ALUMNOS!A:B,2,FALSE)</f>
        <v>769</v>
      </c>
    </row>
    <row r="520" spans="2:37" x14ac:dyDescent="0.25">
      <c r="B520" t="str">
        <f t="shared" si="16"/>
        <v>44686779LENGUA Y LITERATURA6º</v>
      </c>
      <c r="C520" t="s">
        <v>285</v>
      </c>
      <c r="D520" t="s">
        <v>109</v>
      </c>
      <c r="E520">
        <v>44686779</v>
      </c>
      <c r="F520" t="s">
        <v>311</v>
      </c>
      <c r="G520" t="s">
        <v>11</v>
      </c>
      <c r="H520" t="s">
        <v>245</v>
      </c>
      <c r="I520" t="s">
        <v>43</v>
      </c>
      <c r="J520">
        <v>2020</v>
      </c>
      <c r="K520" t="s">
        <v>60</v>
      </c>
      <c r="N520" t="s">
        <v>99</v>
      </c>
      <c r="AI520">
        <f t="shared" si="17"/>
        <v>1</v>
      </c>
      <c r="AJ520">
        <f>'TABLA PREVIOS'!E520</f>
        <v>279</v>
      </c>
      <c r="AK520">
        <f>VLOOKUP(E520,ALUMNOS!A:B,2,FALSE)</f>
        <v>769</v>
      </c>
    </row>
    <row r="521" spans="2:37" x14ac:dyDescent="0.25">
      <c r="B521" t="str">
        <f t="shared" si="16"/>
        <v>44686779MATEMÁTICA6º</v>
      </c>
      <c r="C521" t="s">
        <v>285</v>
      </c>
      <c r="D521" t="s">
        <v>109</v>
      </c>
      <c r="E521">
        <v>44686779</v>
      </c>
      <c r="F521" t="s">
        <v>311</v>
      </c>
      <c r="G521" t="s">
        <v>12</v>
      </c>
      <c r="H521" t="s">
        <v>245</v>
      </c>
      <c r="I521" t="s">
        <v>43</v>
      </c>
      <c r="J521">
        <v>2020</v>
      </c>
      <c r="K521" t="s">
        <v>60</v>
      </c>
      <c r="M521" t="s">
        <v>312</v>
      </c>
      <c r="N521" t="s">
        <v>99</v>
      </c>
      <c r="AI521">
        <f t="shared" si="17"/>
        <v>1</v>
      </c>
      <c r="AJ521">
        <f>'TABLA PREVIOS'!E521</f>
        <v>280</v>
      </c>
      <c r="AK521">
        <f>VLOOKUP(E521,ALUMNOS!A:B,2,FALSE)</f>
        <v>769</v>
      </c>
    </row>
    <row r="522" spans="2:37" x14ac:dyDescent="0.25">
      <c r="B522" t="str">
        <f t="shared" si="16"/>
        <v>44686779QUÍMICA6º</v>
      </c>
      <c r="C522" t="s">
        <v>285</v>
      </c>
      <c r="D522" t="s">
        <v>109</v>
      </c>
      <c r="E522">
        <v>44686779</v>
      </c>
      <c r="F522" t="s">
        <v>311</v>
      </c>
      <c r="G522" t="s">
        <v>25</v>
      </c>
      <c r="H522" t="s">
        <v>245</v>
      </c>
      <c r="I522" t="s">
        <v>43</v>
      </c>
      <c r="J522">
        <v>2020</v>
      </c>
      <c r="K522" t="s">
        <v>60</v>
      </c>
      <c r="N522" t="s">
        <v>99</v>
      </c>
      <c r="AI522">
        <f t="shared" si="17"/>
        <v>1</v>
      </c>
      <c r="AJ522">
        <f>'TABLA PREVIOS'!E522</f>
        <v>281</v>
      </c>
      <c r="AK522">
        <f>VLOOKUP(E522,ALUMNOS!A:B,2,FALSE)</f>
        <v>769</v>
      </c>
    </row>
    <row r="523" spans="2:37" x14ac:dyDescent="0.25">
      <c r="B523" t="str">
        <f t="shared" si="16"/>
        <v>43609639LENGUA Y LITERATURA5º</v>
      </c>
      <c r="C523" t="s">
        <v>285</v>
      </c>
      <c r="D523" t="s">
        <v>128</v>
      </c>
      <c r="E523">
        <v>43609639</v>
      </c>
      <c r="F523" t="s">
        <v>313</v>
      </c>
      <c r="G523" t="s">
        <v>11</v>
      </c>
      <c r="H523" t="s">
        <v>220</v>
      </c>
      <c r="I523" t="s">
        <v>43</v>
      </c>
      <c r="J523">
        <v>2019</v>
      </c>
      <c r="K523" t="s">
        <v>60</v>
      </c>
      <c r="N523" t="s">
        <v>99</v>
      </c>
      <c r="AI523">
        <f t="shared" si="17"/>
        <v>1</v>
      </c>
      <c r="AJ523">
        <f>'TABLA PREVIOS'!E523</f>
        <v>264</v>
      </c>
      <c r="AK523">
        <f>VLOOKUP(E523,ALUMNOS!A:B,2,FALSE)</f>
        <v>11</v>
      </c>
    </row>
    <row r="524" spans="2:37" x14ac:dyDescent="0.25">
      <c r="B524" t="str">
        <f t="shared" si="16"/>
        <v>43609639LENGUA EXTRANJERA - INGLÉS6º</v>
      </c>
      <c r="C524" t="s">
        <v>285</v>
      </c>
      <c r="D524" t="s">
        <v>128</v>
      </c>
      <c r="E524">
        <v>43609639</v>
      </c>
      <c r="F524" t="s">
        <v>313</v>
      </c>
      <c r="G524" t="s">
        <v>16</v>
      </c>
      <c r="H524" t="s">
        <v>245</v>
      </c>
      <c r="I524" t="s">
        <v>43</v>
      </c>
      <c r="J524">
        <v>2020</v>
      </c>
      <c r="K524" t="s">
        <v>60</v>
      </c>
      <c r="N524" t="s">
        <v>99</v>
      </c>
      <c r="AI524">
        <f t="shared" si="17"/>
        <v>1</v>
      </c>
      <c r="AJ524">
        <f>'TABLA PREVIOS'!E524</f>
        <v>282</v>
      </c>
      <c r="AK524">
        <f>VLOOKUP(E524,ALUMNOS!A:B,2,FALSE)</f>
        <v>11</v>
      </c>
    </row>
    <row r="525" spans="2:37" x14ac:dyDescent="0.25">
      <c r="B525" t="str">
        <f t="shared" si="16"/>
        <v>43609639LENGUA Y LITERATURA6º</v>
      </c>
      <c r="C525" t="s">
        <v>285</v>
      </c>
      <c r="D525" t="s">
        <v>128</v>
      </c>
      <c r="E525">
        <v>43609639</v>
      </c>
      <c r="F525" t="s">
        <v>313</v>
      </c>
      <c r="G525" t="s">
        <v>11</v>
      </c>
      <c r="H525" t="s">
        <v>245</v>
      </c>
      <c r="I525" t="s">
        <v>43</v>
      </c>
      <c r="J525">
        <v>2020</v>
      </c>
      <c r="K525" t="s">
        <v>60</v>
      </c>
      <c r="N525" t="s">
        <v>99</v>
      </c>
      <c r="AI525">
        <f t="shared" si="17"/>
        <v>1</v>
      </c>
      <c r="AJ525">
        <f>'TABLA PREVIOS'!E525</f>
        <v>279</v>
      </c>
      <c r="AK525">
        <f>VLOOKUP(E525,ALUMNOS!A:B,2,FALSE)</f>
        <v>11</v>
      </c>
    </row>
    <row r="526" spans="2:37" x14ac:dyDescent="0.25">
      <c r="B526" t="str">
        <f t="shared" si="16"/>
        <v>43609639MATEMÁTICA6º</v>
      </c>
      <c r="C526" t="s">
        <v>285</v>
      </c>
      <c r="D526" t="s">
        <v>128</v>
      </c>
      <c r="E526">
        <v>43609639</v>
      </c>
      <c r="F526" t="s">
        <v>313</v>
      </c>
      <c r="G526" t="s">
        <v>12</v>
      </c>
      <c r="H526" t="s">
        <v>245</v>
      </c>
      <c r="I526" t="s">
        <v>43</v>
      </c>
      <c r="J526">
        <v>2020</v>
      </c>
      <c r="K526" t="s">
        <v>60</v>
      </c>
      <c r="N526" t="s">
        <v>99</v>
      </c>
      <c r="AI526">
        <f t="shared" si="17"/>
        <v>1</v>
      </c>
      <c r="AJ526">
        <f>'TABLA PREVIOS'!E526</f>
        <v>280</v>
      </c>
      <c r="AK526">
        <f>VLOOKUP(E526,ALUMNOS!A:B,2,FALSE)</f>
        <v>11</v>
      </c>
    </row>
    <row r="527" spans="2:37" x14ac:dyDescent="0.25">
      <c r="B527" t="str">
        <f t="shared" si="16"/>
        <v>44642031ADMINISTRACIÓN6º</v>
      </c>
      <c r="C527" t="s">
        <v>285</v>
      </c>
      <c r="D527" t="s">
        <v>128</v>
      </c>
      <c r="E527">
        <v>44642031</v>
      </c>
      <c r="F527" t="s">
        <v>314</v>
      </c>
      <c r="G527" t="s">
        <v>30</v>
      </c>
      <c r="H527" t="s">
        <v>245</v>
      </c>
      <c r="I527" t="s">
        <v>43</v>
      </c>
      <c r="J527">
        <v>2020</v>
      </c>
      <c r="K527" t="s">
        <v>60</v>
      </c>
      <c r="N527" t="s">
        <v>99</v>
      </c>
      <c r="AI527">
        <f t="shared" si="17"/>
        <v>1</v>
      </c>
      <c r="AJ527">
        <f>'TABLA PREVIOS'!E527</f>
        <v>285</v>
      </c>
      <c r="AK527">
        <f>VLOOKUP(E527,ALUMNOS!A:B,2,FALSE)</f>
        <v>20</v>
      </c>
    </row>
    <row r="528" spans="2:37" x14ac:dyDescent="0.25">
      <c r="B528" t="str">
        <f t="shared" si="16"/>
        <v>44642031ADMINISTRACIÓN FINANCIERA6º</v>
      </c>
      <c r="C528" t="s">
        <v>285</v>
      </c>
      <c r="D528" t="s">
        <v>128</v>
      </c>
      <c r="E528">
        <v>44642031</v>
      </c>
      <c r="F528" t="s">
        <v>314</v>
      </c>
      <c r="G528" t="s">
        <v>40</v>
      </c>
      <c r="H528" t="s">
        <v>245</v>
      </c>
      <c r="I528" t="s">
        <v>43</v>
      </c>
      <c r="J528">
        <v>2020</v>
      </c>
      <c r="K528" t="s">
        <v>60</v>
      </c>
      <c r="N528" t="s">
        <v>99</v>
      </c>
      <c r="AI528">
        <f t="shared" si="17"/>
        <v>1</v>
      </c>
      <c r="AJ528">
        <f>'TABLA PREVIOS'!E528</f>
        <v>289</v>
      </c>
      <c r="AK528">
        <f>VLOOKUP(E528,ALUMNOS!A:B,2,FALSE)</f>
        <v>20</v>
      </c>
    </row>
    <row r="529" spans="2:37" x14ac:dyDescent="0.25">
      <c r="B529" t="str">
        <f t="shared" si="16"/>
        <v>44642031ECONOMÍA6º</v>
      </c>
      <c r="C529" t="s">
        <v>285</v>
      </c>
      <c r="D529" t="s">
        <v>128</v>
      </c>
      <c r="E529">
        <v>44642031</v>
      </c>
      <c r="F529" t="s">
        <v>314</v>
      </c>
      <c r="G529" t="s">
        <v>34</v>
      </c>
      <c r="H529" t="s">
        <v>245</v>
      </c>
      <c r="I529" t="s">
        <v>43</v>
      </c>
      <c r="J529">
        <v>2020</v>
      </c>
      <c r="K529" t="s">
        <v>60</v>
      </c>
      <c r="N529" t="s">
        <v>99</v>
      </c>
      <c r="AI529">
        <f t="shared" si="17"/>
        <v>1</v>
      </c>
      <c r="AJ529">
        <f>'TABLA PREVIOS'!E529</f>
        <v>286</v>
      </c>
      <c r="AK529">
        <f>VLOOKUP(E529,ALUMNOS!A:B,2,FALSE)</f>
        <v>20</v>
      </c>
    </row>
    <row r="530" spans="2:37" x14ac:dyDescent="0.25">
      <c r="B530" t="str">
        <f t="shared" si="16"/>
        <v>44642031MATEMÁTICA6º</v>
      </c>
      <c r="C530" t="s">
        <v>285</v>
      </c>
      <c r="D530" t="s">
        <v>128</v>
      </c>
      <c r="E530">
        <v>44642031</v>
      </c>
      <c r="F530" t="s">
        <v>314</v>
      </c>
      <c r="G530" t="s">
        <v>12</v>
      </c>
      <c r="H530" t="s">
        <v>245</v>
      </c>
      <c r="I530" t="s">
        <v>43</v>
      </c>
      <c r="J530">
        <v>2020</v>
      </c>
      <c r="K530" t="s">
        <v>60</v>
      </c>
      <c r="N530" t="s">
        <v>99</v>
      </c>
      <c r="AI530">
        <f t="shared" si="17"/>
        <v>1</v>
      </c>
      <c r="AJ530">
        <f>'TABLA PREVIOS'!E530</f>
        <v>280</v>
      </c>
      <c r="AK530">
        <f>VLOOKUP(E530,ALUMNOS!A:B,2,FALSE)</f>
        <v>20</v>
      </c>
    </row>
    <row r="531" spans="2:37" x14ac:dyDescent="0.25">
      <c r="B531" t="str">
        <f t="shared" si="16"/>
        <v>44642031SISTEMAS DE INFORMACIÓN CONTABLE6º</v>
      </c>
      <c r="C531" t="s">
        <v>285</v>
      </c>
      <c r="D531" t="s">
        <v>128</v>
      </c>
      <c r="E531">
        <v>44642031</v>
      </c>
      <c r="F531" t="s">
        <v>314</v>
      </c>
      <c r="G531" t="s">
        <v>29</v>
      </c>
      <c r="H531" t="s">
        <v>245</v>
      </c>
      <c r="I531" t="s">
        <v>43</v>
      </c>
      <c r="J531">
        <v>2020</v>
      </c>
      <c r="K531" t="s">
        <v>60</v>
      </c>
      <c r="N531" t="s">
        <v>99</v>
      </c>
      <c r="AI531">
        <f t="shared" si="17"/>
        <v>1</v>
      </c>
      <c r="AJ531">
        <f>'TABLA PREVIOS'!E531</f>
        <v>290</v>
      </c>
      <c r="AK531">
        <f>VLOOKUP(E531,ALUMNOS!A:B,2,FALSE)</f>
        <v>20</v>
      </c>
    </row>
    <row r="532" spans="2:37" x14ac:dyDescent="0.25">
      <c r="B532" t="str">
        <f t="shared" si="16"/>
        <v>44372170LENGUA Y LITERATURA2º</v>
      </c>
      <c r="C532" t="s">
        <v>285</v>
      </c>
      <c r="D532" t="s">
        <v>128</v>
      </c>
      <c r="E532">
        <v>44372170</v>
      </c>
      <c r="F532" t="s">
        <v>315</v>
      </c>
      <c r="G532" t="s">
        <v>11</v>
      </c>
      <c r="H532" t="s">
        <v>95</v>
      </c>
      <c r="I532" t="s">
        <v>43</v>
      </c>
      <c r="J532">
        <v>2016</v>
      </c>
      <c r="K532" t="s">
        <v>59</v>
      </c>
      <c r="N532" t="s">
        <v>99</v>
      </c>
      <c r="AI532">
        <f t="shared" si="17"/>
        <v>1</v>
      </c>
      <c r="AJ532">
        <f>'TABLA PREVIOS'!E532</f>
        <v>229</v>
      </c>
      <c r="AK532">
        <f>VLOOKUP(E532,ALUMNOS!A:B,2,FALSE)</f>
        <v>46</v>
      </c>
    </row>
    <row r="533" spans="2:37" x14ac:dyDescent="0.25">
      <c r="B533" t="str">
        <f t="shared" si="16"/>
        <v>44372170HISTORIA5º</v>
      </c>
      <c r="C533" t="s">
        <v>285</v>
      </c>
      <c r="D533" t="s">
        <v>128</v>
      </c>
      <c r="E533">
        <v>44372170</v>
      </c>
      <c r="F533" t="s">
        <v>315</v>
      </c>
      <c r="G533" t="s">
        <v>27</v>
      </c>
      <c r="H533" t="s">
        <v>220</v>
      </c>
      <c r="I533" t="s">
        <v>43</v>
      </c>
      <c r="J533">
        <v>2019</v>
      </c>
      <c r="K533" t="s">
        <v>60</v>
      </c>
      <c r="N533" t="s">
        <v>99</v>
      </c>
      <c r="AI533">
        <f t="shared" si="17"/>
        <v>1</v>
      </c>
      <c r="AJ533">
        <f>'TABLA PREVIOS'!E533</f>
        <v>268</v>
      </c>
      <c r="AK533">
        <f>VLOOKUP(E533,ALUMNOS!A:B,2,FALSE)</f>
        <v>46</v>
      </c>
    </row>
    <row r="534" spans="2:37" x14ac:dyDescent="0.25">
      <c r="B534" t="str">
        <f t="shared" si="16"/>
        <v>44372170MATEMÁTICA5º</v>
      </c>
      <c r="C534" t="s">
        <v>285</v>
      </c>
      <c r="D534" t="s">
        <v>128</v>
      </c>
      <c r="E534">
        <v>44372170</v>
      </c>
      <c r="F534" t="s">
        <v>315</v>
      </c>
      <c r="G534" t="s">
        <v>12</v>
      </c>
      <c r="H534" t="s">
        <v>220</v>
      </c>
      <c r="I534" t="s">
        <v>43</v>
      </c>
      <c r="J534">
        <v>2019</v>
      </c>
      <c r="K534" t="s">
        <v>60</v>
      </c>
      <c r="N534" t="s">
        <v>99</v>
      </c>
      <c r="AI534">
        <f t="shared" si="17"/>
        <v>1</v>
      </c>
      <c r="AJ534">
        <f>'TABLA PREVIOS'!E534</f>
        <v>265</v>
      </c>
      <c r="AK534">
        <f>VLOOKUP(E534,ALUMNOS!A:B,2,FALSE)</f>
        <v>46</v>
      </c>
    </row>
    <row r="535" spans="2:37" x14ac:dyDescent="0.25">
      <c r="B535" t="str">
        <f t="shared" si="16"/>
        <v>44372170ADMINISTRACIÓN6º</v>
      </c>
      <c r="C535" t="s">
        <v>285</v>
      </c>
      <c r="D535" t="s">
        <v>128</v>
      </c>
      <c r="E535">
        <v>44372170</v>
      </c>
      <c r="F535" t="s">
        <v>315</v>
      </c>
      <c r="G535" t="s">
        <v>30</v>
      </c>
      <c r="H535" t="s">
        <v>245</v>
      </c>
      <c r="I535" t="s">
        <v>43</v>
      </c>
      <c r="J535">
        <v>2020</v>
      </c>
      <c r="K535" t="s">
        <v>60</v>
      </c>
      <c r="N535" t="s">
        <v>99</v>
      </c>
      <c r="AI535">
        <f t="shared" si="17"/>
        <v>1</v>
      </c>
      <c r="AJ535">
        <f>'TABLA PREVIOS'!E535</f>
        <v>285</v>
      </c>
      <c r="AK535">
        <f>VLOOKUP(E535,ALUMNOS!A:B,2,FALSE)</f>
        <v>46</v>
      </c>
    </row>
    <row r="536" spans="2:37" x14ac:dyDescent="0.25">
      <c r="B536" t="str">
        <f t="shared" si="16"/>
        <v>44372170CIUDADANÍA Y POLÍTICA6º</v>
      </c>
      <c r="C536" t="s">
        <v>285</v>
      </c>
      <c r="D536" t="s">
        <v>128</v>
      </c>
      <c r="E536">
        <v>44372170</v>
      </c>
      <c r="F536" t="s">
        <v>315</v>
      </c>
      <c r="G536" t="s">
        <v>37</v>
      </c>
      <c r="H536" t="s">
        <v>245</v>
      </c>
      <c r="I536" t="s">
        <v>43</v>
      </c>
      <c r="J536">
        <v>2020</v>
      </c>
      <c r="K536" t="s">
        <v>60</v>
      </c>
      <c r="N536" t="s">
        <v>99</v>
      </c>
      <c r="AI536">
        <f t="shared" si="17"/>
        <v>1</v>
      </c>
      <c r="AJ536">
        <f>'TABLA PREVIOS'!E536</f>
        <v>284</v>
      </c>
      <c r="AK536">
        <f>VLOOKUP(E536,ALUMNOS!A:B,2,FALSE)</f>
        <v>46</v>
      </c>
    </row>
    <row r="537" spans="2:37" x14ac:dyDescent="0.25">
      <c r="B537" t="str">
        <f t="shared" si="16"/>
        <v>44372170DERECHO6º</v>
      </c>
      <c r="C537" t="s">
        <v>285</v>
      </c>
      <c r="D537" t="s">
        <v>128</v>
      </c>
      <c r="E537">
        <v>44372170</v>
      </c>
      <c r="F537" t="s">
        <v>315</v>
      </c>
      <c r="G537" t="s">
        <v>38</v>
      </c>
      <c r="H537" t="s">
        <v>245</v>
      </c>
      <c r="I537" t="s">
        <v>43</v>
      </c>
      <c r="J537">
        <v>2020</v>
      </c>
      <c r="K537" t="s">
        <v>60</v>
      </c>
      <c r="N537" t="s">
        <v>99</v>
      </c>
      <c r="AI537">
        <f t="shared" si="17"/>
        <v>1</v>
      </c>
      <c r="AJ537">
        <f>'TABLA PREVIOS'!E537</f>
        <v>287</v>
      </c>
      <c r="AK537">
        <f>VLOOKUP(E537,ALUMNOS!A:B,2,FALSE)</f>
        <v>46</v>
      </c>
    </row>
    <row r="538" spans="2:37" x14ac:dyDescent="0.25">
      <c r="B538" t="str">
        <f t="shared" si="16"/>
        <v>44372170ECONOMÍA6º</v>
      </c>
      <c r="C538" t="s">
        <v>285</v>
      </c>
      <c r="D538" t="s">
        <v>128</v>
      </c>
      <c r="E538">
        <v>44372170</v>
      </c>
      <c r="F538" t="s">
        <v>315</v>
      </c>
      <c r="G538" t="s">
        <v>34</v>
      </c>
      <c r="H538" t="s">
        <v>245</v>
      </c>
      <c r="I538" t="s">
        <v>43</v>
      </c>
      <c r="J538">
        <v>2020</v>
      </c>
      <c r="K538" t="s">
        <v>60</v>
      </c>
      <c r="N538" t="s">
        <v>99</v>
      </c>
      <c r="AI538">
        <f t="shared" si="17"/>
        <v>1</v>
      </c>
      <c r="AJ538">
        <f>'TABLA PREVIOS'!E538</f>
        <v>286</v>
      </c>
      <c r="AK538">
        <f>VLOOKUP(E538,ALUMNOS!A:B,2,FALSE)</f>
        <v>46</v>
      </c>
    </row>
    <row r="539" spans="2:37" x14ac:dyDescent="0.25">
      <c r="B539" t="str">
        <f t="shared" si="16"/>
        <v>44372170FILOSOFÍA6º</v>
      </c>
      <c r="C539" t="s">
        <v>285</v>
      </c>
      <c r="D539" t="s">
        <v>128</v>
      </c>
      <c r="E539">
        <v>44372170</v>
      </c>
      <c r="F539" t="s">
        <v>315</v>
      </c>
      <c r="G539" t="s">
        <v>41</v>
      </c>
      <c r="H539" t="s">
        <v>245</v>
      </c>
      <c r="I539" t="s">
        <v>43</v>
      </c>
      <c r="J539">
        <v>2020</v>
      </c>
      <c r="K539" t="s">
        <v>60</v>
      </c>
      <c r="N539" t="s">
        <v>99</v>
      </c>
      <c r="AI539">
        <f t="shared" si="17"/>
        <v>1</v>
      </c>
      <c r="AJ539">
        <f>'TABLA PREVIOS'!E539</f>
        <v>292</v>
      </c>
      <c r="AK539">
        <f>VLOOKUP(E539,ALUMNOS!A:B,2,FALSE)</f>
        <v>46</v>
      </c>
    </row>
    <row r="540" spans="2:37" x14ac:dyDescent="0.25">
      <c r="B540" t="str">
        <f t="shared" si="16"/>
        <v>44372170FORMACIÓN PARA LA VIDA Y EL TRABAJO6º</v>
      </c>
      <c r="C540" t="s">
        <v>285</v>
      </c>
      <c r="D540" t="s">
        <v>128</v>
      </c>
      <c r="E540">
        <v>44372170</v>
      </c>
      <c r="F540" t="s">
        <v>315</v>
      </c>
      <c r="G540" t="s">
        <v>28</v>
      </c>
      <c r="H540" t="s">
        <v>245</v>
      </c>
      <c r="I540" t="s">
        <v>43</v>
      </c>
      <c r="J540">
        <v>2020</v>
      </c>
      <c r="K540" t="s">
        <v>60</v>
      </c>
      <c r="N540" t="s">
        <v>99</v>
      </c>
      <c r="AI540">
        <f t="shared" si="17"/>
        <v>1</v>
      </c>
      <c r="AJ540">
        <f>'TABLA PREVIOS'!E540</f>
        <v>291</v>
      </c>
      <c r="AK540">
        <f>VLOOKUP(E540,ALUMNOS!A:B,2,FALSE)</f>
        <v>46</v>
      </c>
    </row>
    <row r="541" spans="2:37" x14ac:dyDescent="0.25">
      <c r="B541" t="str">
        <f t="shared" si="16"/>
        <v>44372170LENGUA EXTRANJERA - INGLÉS6º</v>
      </c>
      <c r="C541" t="s">
        <v>285</v>
      </c>
      <c r="D541" t="s">
        <v>128</v>
      </c>
      <c r="E541">
        <v>44372170</v>
      </c>
      <c r="F541" t="s">
        <v>315</v>
      </c>
      <c r="G541" t="s">
        <v>16</v>
      </c>
      <c r="H541" t="s">
        <v>245</v>
      </c>
      <c r="I541" t="s">
        <v>43</v>
      </c>
      <c r="J541">
        <v>2020</v>
      </c>
      <c r="K541" t="s">
        <v>60</v>
      </c>
      <c r="N541" t="s">
        <v>99</v>
      </c>
      <c r="AI541">
        <f t="shared" si="17"/>
        <v>1</v>
      </c>
      <c r="AJ541">
        <f>'TABLA PREVIOS'!E541</f>
        <v>282</v>
      </c>
      <c r="AK541">
        <f>VLOOKUP(E541,ALUMNOS!A:B,2,FALSE)</f>
        <v>46</v>
      </c>
    </row>
    <row r="542" spans="2:37" x14ac:dyDescent="0.25">
      <c r="B542" t="str">
        <f t="shared" si="16"/>
        <v>44372170LENGUA Y LITERATURA6º</v>
      </c>
      <c r="C542" t="s">
        <v>285</v>
      </c>
      <c r="D542" t="s">
        <v>128</v>
      </c>
      <c r="E542">
        <v>44372170</v>
      </c>
      <c r="F542" t="s">
        <v>315</v>
      </c>
      <c r="G542" t="s">
        <v>11</v>
      </c>
      <c r="H542" t="s">
        <v>245</v>
      </c>
      <c r="I542" t="s">
        <v>43</v>
      </c>
      <c r="J542">
        <v>2020</v>
      </c>
      <c r="K542" t="s">
        <v>60</v>
      </c>
      <c r="N542" t="s">
        <v>99</v>
      </c>
      <c r="AI542">
        <f t="shared" si="17"/>
        <v>1</v>
      </c>
      <c r="AJ542">
        <f>'TABLA PREVIOS'!E542</f>
        <v>279</v>
      </c>
      <c r="AK542">
        <f>VLOOKUP(E542,ALUMNOS!A:B,2,FALSE)</f>
        <v>46</v>
      </c>
    </row>
    <row r="543" spans="2:37" x14ac:dyDescent="0.25">
      <c r="B543" t="str">
        <f t="shared" si="16"/>
        <v>44372170MATEMÁTICA6º</v>
      </c>
      <c r="C543" t="s">
        <v>285</v>
      </c>
      <c r="D543" t="s">
        <v>128</v>
      </c>
      <c r="E543">
        <v>44372170</v>
      </c>
      <c r="F543" t="s">
        <v>315</v>
      </c>
      <c r="G543" t="s">
        <v>12</v>
      </c>
      <c r="H543" t="s">
        <v>245</v>
      </c>
      <c r="I543" t="s">
        <v>43</v>
      </c>
      <c r="J543">
        <v>2020</v>
      </c>
      <c r="K543" t="s">
        <v>60</v>
      </c>
      <c r="N543" t="s">
        <v>99</v>
      </c>
      <c r="AI543">
        <f t="shared" si="17"/>
        <v>1</v>
      </c>
      <c r="AJ543">
        <f>'TABLA PREVIOS'!E543</f>
        <v>280</v>
      </c>
      <c r="AK543">
        <f>VLOOKUP(E543,ALUMNOS!A:B,2,FALSE)</f>
        <v>46</v>
      </c>
    </row>
    <row r="544" spans="2:37" x14ac:dyDescent="0.25">
      <c r="B544" t="str">
        <f t="shared" si="16"/>
        <v>44372170QUÍMICA6º</v>
      </c>
      <c r="C544" t="s">
        <v>285</v>
      </c>
      <c r="D544" t="s">
        <v>128</v>
      </c>
      <c r="E544">
        <v>44372170</v>
      </c>
      <c r="F544" t="s">
        <v>315</v>
      </c>
      <c r="G544" t="s">
        <v>25</v>
      </c>
      <c r="H544" t="s">
        <v>245</v>
      </c>
      <c r="I544" t="s">
        <v>43</v>
      </c>
      <c r="J544">
        <v>2020</v>
      </c>
      <c r="K544" t="s">
        <v>60</v>
      </c>
      <c r="N544" t="s">
        <v>99</v>
      </c>
      <c r="AI544">
        <f t="shared" si="17"/>
        <v>1</v>
      </c>
      <c r="AJ544">
        <f>'TABLA PREVIOS'!E544</f>
        <v>281</v>
      </c>
      <c r="AK544">
        <f>VLOOKUP(E544,ALUMNOS!A:B,2,FALSE)</f>
        <v>46</v>
      </c>
    </row>
    <row r="545" spans="2:37" x14ac:dyDescent="0.25">
      <c r="B545" t="str">
        <f t="shared" si="16"/>
        <v>44372170RESPONSABILIDAD SOCIAL DE LAS ORGANIZACIONES6º</v>
      </c>
      <c r="C545" t="s">
        <v>285</v>
      </c>
      <c r="D545" t="s">
        <v>128</v>
      </c>
      <c r="E545">
        <v>44372170</v>
      </c>
      <c r="F545" t="s">
        <v>315</v>
      </c>
      <c r="G545" t="s">
        <v>39</v>
      </c>
      <c r="H545" t="s">
        <v>245</v>
      </c>
      <c r="I545" t="s">
        <v>43</v>
      </c>
      <c r="J545">
        <v>2020</v>
      </c>
      <c r="K545" t="s">
        <v>60</v>
      </c>
      <c r="N545" t="s">
        <v>99</v>
      </c>
      <c r="AI545">
        <f t="shared" si="17"/>
        <v>1</v>
      </c>
      <c r="AJ545">
        <f>'TABLA PREVIOS'!E545</f>
        <v>288</v>
      </c>
      <c r="AK545">
        <f>VLOOKUP(E545,ALUMNOS!A:B,2,FALSE)</f>
        <v>46</v>
      </c>
    </row>
    <row r="546" spans="2:37" x14ac:dyDescent="0.25">
      <c r="B546" t="str">
        <f t="shared" si="16"/>
        <v>44372170SISTEMAS DE INFORMACIÓN CONTABLE6º</v>
      </c>
      <c r="C546" t="s">
        <v>285</v>
      </c>
      <c r="D546" t="s">
        <v>128</v>
      </c>
      <c r="E546">
        <v>44372170</v>
      </c>
      <c r="F546" t="s">
        <v>315</v>
      </c>
      <c r="G546" t="s">
        <v>29</v>
      </c>
      <c r="H546" t="s">
        <v>245</v>
      </c>
      <c r="I546" t="s">
        <v>43</v>
      </c>
      <c r="J546">
        <v>2020</v>
      </c>
      <c r="K546" t="s">
        <v>60</v>
      </c>
      <c r="N546" t="s">
        <v>99</v>
      </c>
      <c r="AI546">
        <f t="shared" si="17"/>
        <v>1</v>
      </c>
      <c r="AJ546">
        <f>'TABLA PREVIOS'!E546</f>
        <v>290</v>
      </c>
      <c r="AK546">
        <f>VLOOKUP(E546,ALUMNOS!A:B,2,FALSE)</f>
        <v>46</v>
      </c>
    </row>
    <row r="547" spans="2:37" x14ac:dyDescent="0.25">
      <c r="B547" t="str">
        <f t="shared" si="16"/>
        <v>44204987MATEMÁTICA5º</v>
      </c>
      <c r="C547" t="s">
        <v>285</v>
      </c>
      <c r="D547" t="s">
        <v>128</v>
      </c>
      <c r="E547">
        <v>44204987</v>
      </c>
      <c r="F547" t="s">
        <v>316</v>
      </c>
      <c r="G547" t="s">
        <v>12</v>
      </c>
      <c r="H547" t="s">
        <v>220</v>
      </c>
      <c r="I547" t="s">
        <v>43</v>
      </c>
      <c r="J547">
        <v>2019</v>
      </c>
      <c r="K547" t="s">
        <v>60</v>
      </c>
      <c r="N547" t="s">
        <v>99</v>
      </c>
      <c r="AI547">
        <f t="shared" si="17"/>
        <v>1</v>
      </c>
      <c r="AJ547">
        <f>'TABLA PREVIOS'!E547</f>
        <v>265</v>
      </c>
      <c r="AK547">
        <f>VLOOKUP(E547,ALUMNOS!A:B,2,FALSE)</f>
        <v>67</v>
      </c>
    </row>
    <row r="548" spans="2:37" x14ac:dyDescent="0.25">
      <c r="B548" t="str">
        <f t="shared" si="16"/>
        <v>44204987ADMINISTRACIÓN6º</v>
      </c>
      <c r="C548" t="s">
        <v>285</v>
      </c>
      <c r="D548" t="s">
        <v>128</v>
      </c>
      <c r="E548">
        <v>44204987</v>
      </c>
      <c r="F548" t="s">
        <v>316</v>
      </c>
      <c r="G548" t="s">
        <v>30</v>
      </c>
      <c r="H548" t="s">
        <v>245</v>
      </c>
      <c r="I548" t="s">
        <v>43</v>
      </c>
      <c r="J548">
        <v>2020</v>
      </c>
      <c r="K548" t="s">
        <v>60</v>
      </c>
      <c r="N548" t="s">
        <v>99</v>
      </c>
      <c r="AI548">
        <f t="shared" si="17"/>
        <v>1</v>
      </c>
      <c r="AJ548">
        <f>'TABLA PREVIOS'!E548</f>
        <v>285</v>
      </c>
      <c r="AK548">
        <f>VLOOKUP(E548,ALUMNOS!A:B,2,FALSE)</f>
        <v>67</v>
      </c>
    </row>
    <row r="549" spans="2:37" x14ac:dyDescent="0.25">
      <c r="B549" t="str">
        <f t="shared" si="16"/>
        <v>44204987ECONOMÍA6º</v>
      </c>
      <c r="C549" t="s">
        <v>285</v>
      </c>
      <c r="D549" t="s">
        <v>128</v>
      </c>
      <c r="E549">
        <v>44204987</v>
      </c>
      <c r="F549" t="s">
        <v>316</v>
      </c>
      <c r="G549" t="s">
        <v>34</v>
      </c>
      <c r="H549" t="s">
        <v>245</v>
      </c>
      <c r="I549" t="s">
        <v>43</v>
      </c>
      <c r="J549">
        <v>2020</v>
      </c>
      <c r="K549" t="s">
        <v>60</v>
      </c>
      <c r="N549" t="s">
        <v>99</v>
      </c>
      <c r="AI549">
        <f t="shared" si="17"/>
        <v>1</v>
      </c>
      <c r="AJ549">
        <f>'TABLA PREVIOS'!E549</f>
        <v>286</v>
      </c>
      <c r="AK549">
        <f>VLOOKUP(E549,ALUMNOS!A:B,2,FALSE)</f>
        <v>67</v>
      </c>
    </row>
    <row r="550" spans="2:37" x14ac:dyDescent="0.25">
      <c r="B550" t="str">
        <f t="shared" si="16"/>
        <v>44204987LENGUA EXTRANJERA - INGLÉS6º</v>
      </c>
      <c r="C550" t="s">
        <v>285</v>
      </c>
      <c r="D550" t="s">
        <v>128</v>
      </c>
      <c r="E550">
        <v>44204987</v>
      </c>
      <c r="F550" t="s">
        <v>316</v>
      </c>
      <c r="G550" t="s">
        <v>16</v>
      </c>
      <c r="H550" t="s">
        <v>245</v>
      </c>
      <c r="I550" t="s">
        <v>43</v>
      </c>
      <c r="J550">
        <v>2020</v>
      </c>
      <c r="K550" t="s">
        <v>60</v>
      </c>
      <c r="N550" t="s">
        <v>99</v>
      </c>
      <c r="AI550">
        <f t="shared" si="17"/>
        <v>1</v>
      </c>
      <c r="AJ550">
        <f>'TABLA PREVIOS'!E550</f>
        <v>282</v>
      </c>
      <c r="AK550">
        <f>VLOOKUP(E550,ALUMNOS!A:B,2,FALSE)</f>
        <v>67</v>
      </c>
    </row>
    <row r="551" spans="2:37" x14ac:dyDescent="0.25">
      <c r="B551" t="str">
        <f t="shared" si="16"/>
        <v>44204987MATEMÁTICA6º</v>
      </c>
      <c r="C551" t="s">
        <v>285</v>
      </c>
      <c r="D551" t="s">
        <v>128</v>
      </c>
      <c r="E551">
        <v>44204987</v>
      </c>
      <c r="F551" t="s">
        <v>316</v>
      </c>
      <c r="G551" t="s">
        <v>12</v>
      </c>
      <c r="H551" t="s">
        <v>245</v>
      </c>
      <c r="I551" t="s">
        <v>43</v>
      </c>
      <c r="J551">
        <v>2020</v>
      </c>
      <c r="K551" t="s">
        <v>60</v>
      </c>
      <c r="N551" t="s">
        <v>99</v>
      </c>
      <c r="AI551">
        <f t="shared" si="17"/>
        <v>1</v>
      </c>
      <c r="AJ551">
        <f>'TABLA PREVIOS'!E551</f>
        <v>280</v>
      </c>
      <c r="AK551">
        <f>VLOOKUP(E551,ALUMNOS!A:B,2,FALSE)</f>
        <v>67</v>
      </c>
    </row>
    <row r="552" spans="2:37" x14ac:dyDescent="0.25">
      <c r="B552" t="str">
        <f t="shared" si="16"/>
        <v>44204987RESPONSABILIDAD SOCIAL DE LAS ORGANIZACIONES6º</v>
      </c>
      <c r="C552" t="s">
        <v>285</v>
      </c>
      <c r="D552" t="s">
        <v>128</v>
      </c>
      <c r="E552">
        <v>44204987</v>
      </c>
      <c r="F552" t="s">
        <v>316</v>
      </c>
      <c r="G552" t="s">
        <v>39</v>
      </c>
      <c r="H552" t="s">
        <v>245</v>
      </c>
      <c r="I552" t="s">
        <v>43</v>
      </c>
      <c r="J552">
        <v>2020</v>
      </c>
      <c r="K552" t="s">
        <v>60</v>
      </c>
      <c r="N552" t="s">
        <v>99</v>
      </c>
      <c r="AI552">
        <f t="shared" si="17"/>
        <v>1</v>
      </c>
      <c r="AJ552">
        <f>'TABLA PREVIOS'!E552</f>
        <v>288</v>
      </c>
      <c r="AK552">
        <f>VLOOKUP(E552,ALUMNOS!A:B,2,FALSE)</f>
        <v>67</v>
      </c>
    </row>
    <row r="553" spans="2:37" x14ac:dyDescent="0.25">
      <c r="B553" t="str">
        <f t="shared" si="16"/>
        <v>44204987SISTEMAS DE INFORMACIÓN CONTABLE6º</v>
      </c>
      <c r="C553" t="s">
        <v>285</v>
      </c>
      <c r="D553" t="s">
        <v>128</v>
      </c>
      <c r="E553">
        <v>44204987</v>
      </c>
      <c r="F553" t="s">
        <v>316</v>
      </c>
      <c r="G553" t="s">
        <v>29</v>
      </c>
      <c r="H553" t="s">
        <v>245</v>
      </c>
      <c r="I553" t="s">
        <v>43</v>
      </c>
      <c r="J553">
        <v>2020</v>
      </c>
      <c r="K553" t="s">
        <v>60</v>
      </c>
      <c r="N553" t="s">
        <v>99</v>
      </c>
      <c r="AI553">
        <f t="shared" si="17"/>
        <v>1</v>
      </c>
      <c r="AJ553">
        <f>'TABLA PREVIOS'!E553</f>
        <v>290</v>
      </c>
      <c r="AK553">
        <f>VLOOKUP(E553,ALUMNOS!A:B,2,FALSE)</f>
        <v>67</v>
      </c>
    </row>
    <row r="554" spans="2:37" x14ac:dyDescent="0.25">
      <c r="B554" t="str">
        <f t="shared" si="16"/>
        <v>44296637HISTORIA4º</v>
      </c>
      <c r="C554" t="s">
        <v>285</v>
      </c>
      <c r="D554" t="s">
        <v>128</v>
      </c>
      <c r="E554">
        <v>44296637</v>
      </c>
      <c r="F554" t="s">
        <v>317</v>
      </c>
      <c r="G554" t="s">
        <v>27</v>
      </c>
      <c r="H554" t="s">
        <v>190</v>
      </c>
      <c r="I554" t="s">
        <v>43</v>
      </c>
      <c r="J554">
        <v>2018</v>
      </c>
      <c r="K554" t="s">
        <v>60</v>
      </c>
      <c r="N554" t="s">
        <v>99</v>
      </c>
      <c r="AI554">
        <f t="shared" si="17"/>
        <v>1</v>
      </c>
      <c r="AJ554">
        <f>'TABLA PREVIOS'!E554</f>
        <v>255</v>
      </c>
      <c r="AK554">
        <f>VLOOKUP(E554,ALUMNOS!A:B,2,FALSE)</f>
        <v>99</v>
      </c>
    </row>
    <row r="555" spans="2:37" x14ac:dyDescent="0.25">
      <c r="B555" t="str">
        <f t="shared" si="16"/>
        <v>44296637LENGUA Y LITERATURA4º</v>
      </c>
      <c r="C555" t="s">
        <v>285</v>
      </c>
      <c r="D555" t="s">
        <v>128</v>
      </c>
      <c r="E555">
        <v>44296637</v>
      </c>
      <c r="F555" t="s">
        <v>317</v>
      </c>
      <c r="G555" t="s">
        <v>11</v>
      </c>
      <c r="H555" t="s">
        <v>190</v>
      </c>
      <c r="I555" t="s">
        <v>43</v>
      </c>
      <c r="J555">
        <v>2018</v>
      </c>
      <c r="K555" t="s">
        <v>60</v>
      </c>
      <c r="N555" t="s">
        <v>99</v>
      </c>
      <c r="AI555">
        <f t="shared" si="17"/>
        <v>1</v>
      </c>
      <c r="AJ555">
        <f>'TABLA PREVIOS'!E555</f>
        <v>251</v>
      </c>
      <c r="AK555">
        <f>VLOOKUP(E555,ALUMNOS!A:B,2,FALSE)</f>
        <v>99</v>
      </c>
    </row>
    <row r="556" spans="2:37" x14ac:dyDescent="0.25">
      <c r="B556" t="str">
        <f t="shared" si="16"/>
        <v>44296637SISTEMAS DE INFORMACIÓN CONTABLE4º</v>
      </c>
      <c r="C556" t="s">
        <v>285</v>
      </c>
      <c r="D556" t="s">
        <v>128</v>
      </c>
      <c r="E556">
        <v>44296637</v>
      </c>
      <c r="F556" t="s">
        <v>317</v>
      </c>
      <c r="G556" t="s">
        <v>29</v>
      </c>
      <c r="H556" t="s">
        <v>190</v>
      </c>
      <c r="I556" t="s">
        <v>43</v>
      </c>
      <c r="J556">
        <v>2018</v>
      </c>
      <c r="K556" t="s">
        <v>60</v>
      </c>
      <c r="N556" t="s">
        <v>99</v>
      </c>
      <c r="AI556">
        <f t="shared" si="17"/>
        <v>1</v>
      </c>
      <c r="AJ556">
        <f>'TABLA PREVIOS'!E556</f>
        <v>259</v>
      </c>
      <c r="AK556">
        <f>VLOOKUP(E556,ALUMNOS!A:B,2,FALSE)</f>
        <v>99</v>
      </c>
    </row>
    <row r="557" spans="2:37" x14ac:dyDescent="0.25">
      <c r="B557" t="str">
        <f t="shared" si="16"/>
        <v>44296637ADMINISTRACIÓN6º</v>
      </c>
      <c r="C557" t="s">
        <v>285</v>
      </c>
      <c r="D557" t="s">
        <v>128</v>
      </c>
      <c r="E557">
        <v>44296637</v>
      </c>
      <c r="F557" t="s">
        <v>317</v>
      </c>
      <c r="G557" t="s">
        <v>30</v>
      </c>
      <c r="H557" t="s">
        <v>245</v>
      </c>
      <c r="I557" t="s">
        <v>43</v>
      </c>
      <c r="J557">
        <v>2020</v>
      </c>
      <c r="K557" t="s">
        <v>60</v>
      </c>
      <c r="N557" t="s">
        <v>99</v>
      </c>
      <c r="AI557">
        <f t="shared" si="17"/>
        <v>1</v>
      </c>
      <c r="AJ557">
        <f>'TABLA PREVIOS'!E557</f>
        <v>285</v>
      </c>
      <c r="AK557">
        <f>VLOOKUP(E557,ALUMNOS!A:B,2,FALSE)</f>
        <v>99</v>
      </c>
    </row>
    <row r="558" spans="2:37" x14ac:dyDescent="0.25">
      <c r="B558" t="str">
        <f t="shared" si="16"/>
        <v>44296637CIUDADANÍA Y POLÍTICA6º</v>
      </c>
      <c r="C558" t="s">
        <v>285</v>
      </c>
      <c r="D558" t="s">
        <v>128</v>
      </c>
      <c r="E558">
        <v>44296637</v>
      </c>
      <c r="F558" t="s">
        <v>317</v>
      </c>
      <c r="G558" t="s">
        <v>37</v>
      </c>
      <c r="H558" t="s">
        <v>245</v>
      </c>
      <c r="I558" t="s">
        <v>43</v>
      </c>
      <c r="J558">
        <v>2020</v>
      </c>
      <c r="K558" t="s">
        <v>60</v>
      </c>
      <c r="N558" t="s">
        <v>99</v>
      </c>
      <c r="AI558">
        <f t="shared" si="17"/>
        <v>1</v>
      </c>
      <c r="AJ558">
        <f>'TABLA PREVIOS'!E558</f>
        <v>284</v>
      </c>
      <c r="AK558">
        <f>VLOOKUP(E558,ALUMNOS!A:B,2,FALSE)</f>
        <v>99</v>
      </c>
    </row>
    <row r="559" spans="2:37" x14ac:dyDescent="0.25">
      <c r="B559" t="str">
        <f t="shared" si="16"/>
        <v>44296637DERECHO6º</v>
      </c>
      <c r="C559" t="s">
        <v>285</v>
      </c>
      <c r="D559" t="s">
        <v>128</v>
      </c>
      <c r="E559">
        <v>44296637</v>
      </c>
      <c r="F559" t="s">
        <v>317</v>
      </c>
      <c r="G559" t="s">
        <v>38</v>
      </c>
      <c r="H559" t="s">
        <v>245</v>
      </c>
      <c r="I559" t="s">
        <v>43</v>
      </c>
      <c r="J559">
        <v>2020</v>
      </c>
      <c r="K559" t="s">
        <v>60</v>
      </c>
      <c r="N559" t="s">
        <v>99</v>
      </c>
      <c r="AI559">
        <f t="shared" si="17"/>
        <v>1</v>
      </c>
      <c r="AJ559">
        <f>'TABLA PREVIOS'!E559</f>
        <v>287</v>
      </c>
      <c r="AK559">
        <f>VLOOKUP(E559,ALUMNOS!A:B,2,FALSE)</f>
        <v>99</v>
      </c>
    </row>
    <row r="560" spans="2:37" x14ac:dyDescent="0.25">
      <c r="B560" t="str">
        <f t="shared" si="16"/>
        <v>44296637EDUCACIÓN FÍSICA6º</v>
      </c>
      <c r="C560" t="s">
        <v>285</v>
      </c>
      <c r="D560" t="s">
        <v>128</v>
      </c>
      <c r="E560">
        <v>44296637</v>
      </c>
      <c r="F560" t="s">
        <v>317</v>
      </c>
      <c r="G560" t="s">
        <v>10</v>
      </c>
      <c r="H560" t="s">
        <v>245</v>
      </c>
      <c r="I560" t="s">
        <v>43</v>
      </c>
      <c r="J560">
        <v>2020</v>
      </c>
      <c r="K560" t="s">
        <v>60</v>
      </c>
      <c r="N560" t="s">
        <v>99</v>
      </c>
      <c r="AI560">
        <f t="shared" si="17"/>
        <v>1</v>
      </c>
      <c r="AJ560">
        <f>'TABLA PREVIOS'!E560</f>
        <v>278</v>
      </c>
      <c r="AK560">
        <f>VLOOKUP(E560,ALUMNOS!A:B,2,FALSE)</f>
        <v>99</v>
      </c>
    </row>
    <row r="561" spans="2:37" x14ac:dyDescent="0.25">
      <c r="B561" t="str">
        <f t="shared" si="16"/>
        <v>44296637FILOSOFÍA6º</v>
      </c>
      <c r="C561" t="s">
        <v>285</v>
      </c>
      <c r="D561" t="s">
        <v>128</v>
      </c>
      <c r="E561">
        <v>44296637</v>
      </c>
      <c r="F561" t="s">
        <v>317</v>
      </c>
      <c r="G561" t="s">
        <v>41</v>
      </c>
      <c r="H561" t="s">
        <v>245</v>
      </c>
      <c r="I561" t="s">
        <v>43</v>
      </c>
      <c r="J561">
        <v>2020</v>
      </c>
      <c r="K561" t="s">
        <v>60</v>
      </c>
      <c r="N561" t="s">
        <v>99</v>
      </c>
      <c r="AI561">
        <f t="shared" si="17"/>
        <v>1</v>
      </c>
      <c r="AJ561">
        <f>'TABLA PREVIOS'!E561</f>
        <v>292</v>
      </c>
      <c r="AK561">
        <f>VLOOKUP(E561,ALUMNOS!A:B,2,FALSE)</f>
        <v>99</v>
      </c>
    </row>
    <row r="562" spans="2:37" x14ac:dyDescent="0.25">
      <c r="B562" t="str">
        <f t="shared" si="16"/>
        <v>44296637FORMACIÓN PARA LA VIDA Y EL TRABAJO6º</v>
      </c>
      <c r="C562" t="s">
        <v>285</v>
      </c>
      <c r="D562" t="s">
        <v>128</v>
      </c>
      <c r="E562">
        <v>44296637</v>
      </c>
      <c r="F562" t="s">
        <v>317</v>
      </c>
      <c r="G562" t="s">
        <v>28</v>
      </c>
      <c r="H562" t="s">
        <v>245</v>
      </c>
      <c r="I562" t="s">
        <v>43</v>
      </c>
      <c r="J562">
        <v>2020</v>
      </c>
      <c r="K562" t="s">
        <v>60</v>
      </c>
      <c r="N562" t="s">
        <v>99</v>
      </c>
      <c r="AI562">
        <f t="shared" si="17"/>
        <v>1</v>
      </c>
      <c r="AJ562">
        <f>'TABLA PREVIOS'!E562</f>
        <v>291</v>
      </c>
      <c r="AK562">
        <f>VLOOKUP(E562,ALUMNOS!A:B,2,FALSE)</f>
        <v>99</v>
      </c>
    </row>
    <row r="563" spans="2:37" x14ac:dyDescent="0.25">
      <c r="B563" t="str">
        <f t="shared" si="16"/>
        <v>44296637LENGUA EXTRANJERA - INGLÉS6º</v>
      </c>
      <c r="C563" t="s">
        <v>285</v>
      </c>
      <c r="D563" t="s">
        <v>128</v>
      </c>
      <c r="E563">
        <v>44296637</v>
      </c>
      <c r="F563" t="s">
        <v>317</v>
      </c>
      <c r="G563" t="s">
        <v>16</v>
      </c>
      <c r="H563" t="s">
        <v>245</v>
      </c>
      <c r="I563" t="s">
        <v>43</v>
      </c>
      <c r="J563">
        <v>2020</v>
      </c>
      <c r="K563" t="s">
        <v>60</v>
      </c>
      <c r="N563" t="s">
        <v>99</v>
      </c>
      <c r="AI563">
        <f t="shared" si="17"/>
        <v>1</v>
      </c>
      <c r="AJ563">
        <f>'TABLA PREVIOS'!E563</f>
        <v>282</v>
      </c>
      <c r="AK563">
        <f>VLOOKUP(E563,ALUMNOS!A:B,2,FALSE)</f>
        <v>99</v>
      </c>
    </row>
    <row r="564" spans="2:37" x14ac:dyDescent="0.25">
      <c r="B564" t="str">
        <f t="shared" si="16"/>
        <v>44296637LENGUA Y LITERATURA6º</v>
      </c>
      <c r="C564" t="s">
        <v>285</v>
      </c>
      <c r="D564" t="s">
        <v>128</v>
      </c>
      <c r="E564">
        <v>44296637</v>
      </c>
      <c r="F564" t="s">
        <v>317</v>
      </c>
      <c r="G564" t="s">
        <v>11</v>
      </c>
      <c r="H564" t="s">
        <v>245</v>
      </c>
      <c r="I564" t="s">
        <v>43</v>
      </c>
      <c r="J564">
        <v>2020</v>
      </c>
      <c r="K564" t="s">
        <v>60</v>
      </c>
      <c r="N564" t="s">
        <v>99</v>
      </c>
      <c r="AI564">
        <f t="shared" si="17"/>
        <v>1</v>
      </c>
      <c r="AJ564">
        <f>'TABLA PREVIOS'!E564</f>
        <v>279</v>
      </c>
      <c r="AK564">
        <f>VLOOKUP(E564,ALUMNOS!A:B,2,FALSE)</f>
        <v>99</v>
      </c>
    </row>
    <row r="565" spans="2:37" x14ac:dyDescent="0.25">
      <c r="B565" t="str">
        <f t="shared" si="16"/>
        <v>44296637MATEMÁTICA6º</v>
      </c>
      <c r="C565" t="s">
        <v>285</v>
      </c>
      <c r="D565" t="s">
        <v>128</v>
      </c>
      <c r="E565">
        <v>44296637</v>
      </c>
      <c r="F565" t="s">
        <v>317</v>
      </c>
      <c r="G565" t="s">
        <v>12</v>
      </c>
      <c r="H565" t="s">
        <v>245</v>
      </c>
      <c r="I565" t="s">
        <v>43</v>
      </c>
      <c r="J565">
        <v>2020</v>
      </c>
      <c r="K565" t="s">
        <v>60</v>
      </c>
      <c r="N565" t="s">
        <v>99</v>
      </c>
      <c r="AI565">
        <f t="shared" si="17"/>
        <v>1</v>
      </c>
      <c r="AJ565">
        <f>'TABLA PREVIOS'!E565</f>
        <v>280</v>
      </c>
      <c r="AK565">
        <f>VLOOKUP(E565,ALUMNOS!A:B,2,FALSE)</f>
        <v>99</v>
      </c>
    </row>
    <row r="566" spans="2:37" x14ac:dyDescent="0.25">
      <c r="B566" t="str">
        <f t="shared" si="16"/>
        <v>44296637QUÍMICA6º</v>
      </c>
      <c r="C566" t="s">
        <v>285</v>
      </c>
      <c r="D566" t="s">
        <v>128</v>
      </c>
      <c r="E566">
        <v>44296637</v>
      </c>
      <c r="F566" t="s">
        <v>317</v>
      </c>
      <c r="G566" t="s">
        <v>25</v>
      </c>
      <c r="H566" t="s">
        <v>245</v>
      </c>
      <c r="I566" t="s">
        <v>43</v>
      </c>
      <c r="J566">
        <v>2020</v>
      </c>
      <c r="K566" t="s">
        <v>60</v>
      </c>
      <c r="N566" t="s">
        <v>99</v>
      </c>
      <c r="AI566">
        <f t="shared" si="17"/>
        <v>1</v>
      </c>
      <c r="AJ566">
        <f>'TABLA PREVIOS'!E566</f>
        <v>281</v>
      </c>
      <c r="AK566">
        <f>VLOOKUP(E566,ALUMNOS!A:B,2,FALSE)</f>
        <v>99</v>
      </c>
    </row>
    <row r="567" spans="2:37" x14ac:dyDescent="0.25">
      <c r="B567" t="str">
        <f t="shared" si="16"/>
        <v>44296637RESPONSABILIDAD SOCIAL DE LAS ORGANIZACIONES6º</v>
      </c>
      <c r="C567" t="s">
        <v>285</v>
      </c>
      <c r="D567" t="s">
        <v>128</v>
      </c>
      <c r="E567">
        <v>44296637</v>
      </c>
      <c r="F567" t="s">
        <v>317</v>
      </c>
      <c r="G567" t="s">
        <v>39</v>
      </c>
      <c r="H567" t="s">
        <v>245</v>
      </c>
      <c r="I567" t="s">
        <v>43</v>
      </c>
      <c r="J567">
        <v>2020</v>
      </c>
      <c r="K567" t="s">
        <v>60</v>
      </c>
      <c r="N567" t="s">
        <v>99</v>
      </c>
      <c r="AI567">
        <f t="shared" si="17"/>
        <v>1</v>
      </c>
      <c r="AJ567">
        <f>'TABLA PREVIOS'!E567</f>
        <v>288</v>
      </c>
      <c r="AK567">
        <f>VLOOKUP(E567,ALUMNOS!A:B,2,FALSE)</f>
        <v>99</v>
      </c>
    </row>
    <row r="568" spans="2:37" x14ac:dyDescent="0.25">
      <c r="B568" t="str">
        <f t="shared" si="16"/>
        <v>44296637SISTEMAS DE INFORMACIÓN CONTABLE6º</v>
      </c>
      <c r="C568" t="s">
        <v>285</v>
      </c>
      <c r="D568" t="s">
        <v>128</v>
      </c>
      <c r="E568">
        <v>44296637</v>
      </c>
      <c r="F568" t="s">
        <v>317</v>
      </c>
      <c r="G568" t="s">
        <v>29</v>
      </c>
      <c r="H568" t="s">
        <v>245</v>
      </c>
      <c r="I568" t="s">
        <v>43</v>
      </c>
      <c r="J568">
        <v>2020</v>
      </c>
      <c r="K568" t="s">
        <v>60</v>
      </c>
      <c r="N568" t="s">
        <v>99</v>
      </c>
      <c r="AI568">
        <f t="shared" si="17"/>
        <v>1</v>
      </c>
      <c r="AJ568">
        <f>'TABLA PREVIOS'!E568</f>
        <v>290</v>
      </c>
      <c r="AK568">
        <f>VLOOKUP(E568,ALUMNOS!A:B,2,FALSE)</f>
        <v>99</v>
      </c>
    </row>
    <row r="569" spans="2:37" x14ac:dyDescent="0.25">
      <c r="B569" t="str">
        <f t="shared" si="16"/>
        <v>44213841MATEMÁTICA4º</v>
      </c>
      <c r="C569" t="s">
        <v>285</v>
      </c>
      <c r="D569" t="s">
        <v>128</v>
      </c>
      <c r="E569">
        <v>44213841</v>
      </c>
      <c r="F569" t="s">
        <v>318</v>
      </c>
      <c r="G569" t="s">
        <v>12</v>
      </c>
      <c r="H569" t="s">
        <v>190</v>
      </c>
      <c r="I569" t="s">
        <v>43</v>
      </c>
      <c r="J569">
        <v>2018</v>
      </c>
      <c r="K569" t="s">
        <v>60</v>
      </c>
      <c r="N569" t="s">
        <v>99</v>
      </c>
      <c r="AI569">
        <f t="shared" si="17"/>
        <v>1</v>
      </c>
      <c r="AJ569">
        <f>'TABLA PREVIOS'!E569</f>
        <v>252</v>
      </c>
      <c r="AK569">
        <f>VLOOKUP(E569,ALUMNOS!A:B,2,FALSE)</f>
        <v>145</v>
      </c>
    </row>
    <row r="570" spans="2:37" x14ac:dyDescent="0.25">
      <c r="B570" t="str">
        <f t="shared" si="16"/>
        <v>44213841MATEMÁTICA5º</v>
      </c>
      <c r="C570" t="s">
        <v>285</v>
      </c>
      <c r="D570" t="s">
        <v>128</v>
      </c>
      <c r="E570">
        <v>44213841</v>
      </c>
      <c r="F570" t="s">
        <v>318</v>
      </c>
      <c r="G570" t="s">
        <v>12</v>
      </c>
      <c r="H570" t="s">
        <v>220</v>
      </c>
      <c r="I570" t="s">
        <v>43</v>
      </c>
      <c r="J570">
        <v>2019</v>
      </c>
      <c r="K570" t="s">
        <v>60</v>
      </c>
      <c r="N570" t="s">
        <v>99</v>
      </c>
      <c r="AI570">
        <f t="shared" si="17"/>
        <v>1</v>
      </c>
      <c r="AJ570">
        <f>'TABLA PREVIOS'!E570</f>
        <v>265</v>
      </c>
      <c r="AK570">
        <f>VLOOKUP(E570,ALUMNOS!A:B,2,FALSE)</f>
        <v>145</v>
      </c>
    </row>
    <row r="571" spans="2:37" x14ac:dyDescent="0.25">
      <c r="B571" t="str">
        <f t="shared" si="16"/>
        <v>44213841ADMINISTRACIÓN6º</v>
      </c>
      <c r="C571" t="s">
        <v>285</v>
      </c>
      <c r="D571" t="s">
        <v>128</v>
      </c>
      <c r="E571">
        <v>44213841</v>
      </c>
      <c r="F571" t="s">
        <v>318</v>
      </c>
      <c r="G571" t="s">
        <v>30</v>
      </c>
      <c r="H571" t="s">
        <v>245</v>
      </c>
      <c r="I571" t="s">
        <v>43</v>
      </c>
      <c r="J571">
        <v>2020</v>
      </c>
      <c r="K571" t="s">
        <v>60</v>
      </c>
      <c r="N571" t="s">
        <v>99</v>
      </c>
      <c r="AI571">
        <f t="shared" si="17"/>
        <v>1</v>
      </c>
      <c r="AJ571">
        <f>'TABLA PREVIOS'!E571</f>
        <v>285</v>
      </c>
      <c r="AK571">
        <f>VLOOKUP(E571,ALUMNOS!A:B,2,FALSE)</f>
        <v>145</v>
      </c>
    </row>
    <row r="572" spans="2:37" x14ac:dyDescent="0.25">
      <c r="B572" t="str">
        <f t="shared" si="16"/>
        <v>44213841ADMINISTRACIÓN FINANCIERA6º</v>
      </c>
      <c r="C572" t="s">
        <v>285</v>
      </c>
      <c r="D572" t="s">
        <v>128</v>
      </c>
      <c r="E572">
        <v>44213841</v>
      </c>
      <c r="F572" t="s">
        <v>318</v>
      </c>
      <c r="G572" t="s">
        <v>40</v>
      </c>
      <c r="H572" t="s">
        <v>245</v>
      </c>
      <c r="I572" t="s">
        <v>43</v>
      </c>
      <c r="J572">
        <v>2020</v>
      </c>
      <c r="K572" t="s">
        <v>60</v>
      </c>
      <c r="N572" t="s">
        <v>99</v>
      </c>
      <c r="AI572">
        <f t="shared" si="17"/>
        <v>1</v>
      </c>
      <c r="AJ572">
        <f>'TABLA PREVIOS'!E572</f>
        <v>289</v>
      </c>
      <c r="AK572">
        <f>VLOOKUP(E572,ALUMNOS!A:B,2,FALSE)</f>
        <v>145</v>
      </c>
    </row>
    <row r="573" spans="2:37" x14ac:dyDescent="0.25">
      <c r="B573" t="str">
        <f t="shared" si="16"/>
        <v>44213841CIUDADANÍA Y POLÍTICA6º</v>
      </c>
      <c r="C573" t="s">
        <v>285</v>
      </c>
      <c r="D573" t="s">
        <v>128</v>
      </c>
      <c r="E573">
        <v>44213841</v>
      </c>
      <c r="F573" t="s">
        <v>318</v>
      </c>
      <c r="G573" t="s">
        <v>37</v>
      </c>
      <c r="H573" t="s">
        <v>245</v>
      </c>
      <c r="I573" t="s">
        <v>43</v>
      </c>
      <c r="J573">
        <v>2020</v>
      </c>
      <c r="K573" t="s">
        <v>60</v>
      </c>
      <c r="N573" t="s">
        <v>99</v>
      </c>
      <c r="AI573">
        <f t="shared" si="17"/>
        <v>1</v>
      </c>
      <c r="AJ573">
        <f>'TABLA PREVIOS'!E573</f>
        <v>284</v>
      </c>
      <c r="AK573">
        <f>VLOOKUP(E573,ALUMNOS!A:B,2,FALSE)</f>
        <v>145</v>
      </c>
    </row>
    <row r="574" spans="2:37" x14ac:dyDescent="0.25">
      <c r="B574" t="str">
        <f t="shared" si="16"/>
        <v>44213841DERECHO6º</v>
      </c>
      <c r="C574" t="s">
        <v>285</v>
      </c>
      <c r="D574" t="s">
        <v>128</v>
      </c>
      <c r="E574">
        <v>44213841</v>
      </c>
      <c r="F574" t="s">
        <v>318</v>
      </c>
      <c r="G574" t="s">
        <v>38</v>
      </c>
      <c r="H574" t="s">
        <v>245</v>
      </c>
      <c r="I574" t="s">
        <v>43</v>
      </c>
      <c r="J574">
        <v>2020</v>
      </c>
      <c r="K574" t="s">
        <v>60</v>
      </c>
      <c r="N574" t="s">
        <v>99</v>
      </c>
      <c r="AI574">
        <f t="shared" si="17"/>
        <v>1</v>
      </c>
      <c r="AJ574">
        <f>'TABLA PREVIOS'!E574</f>
        <v>287</v>
      </c>
      <c r="AK574">
        <f>VLOOKUP(E574,ALUMNOS!A:B,2,FALSE)</f>
        <v>145</v>
      </c>
    </row>
    <row r="575" spans="2:37" x14ac:dyDescent="0.25">
      <c r="B575" t="str">
        <f t="shared" si="16"/>
        <v>44213841ECONOMÍA6º</v>
      </c>
      <c r="C575" t="s">
        <v>285</v>
      </c>
      <c r="D575" t="s">
        <v>128</v>
      </c>
      <c r="E575">
        <v>44213841</v>
      </c>
      <c r="F575" t="s">
        <v>318</v>
      </c>
      <c r="G575" t="s">
        <v>34</v>
      </c>
      <c r="H575" t="s">
        <v>245</v>
      </c>
      <c r="I575" t="s">
        <v>43</v>
      </c>
      <c r="J575">
        <v>2020</v>
      </c>
      <c r="K575" t="s">
        <v>60</v>
      </c>
      <c r="N575" t="s">
        <v>99</v>
      </c>
      <c r="AI575">
        <f t="shared" si="17"/>
        <v>1</v>
      </c>
      <c r="AJ575">
        <f>'TABLA PREVIOS'!E575</f>
        <v>286</v>
      </c>
      <c r="AK575">
        <f>VLOOKUP(E575,ALUMNOS!A:B,2,FALSE)</f>
        <v>145</v>
      </c>
    </row>
    <row r="576" spans="2:37" x14ac:dyDescent="0.25">
      <c r="B576" t="str">
        <f t="shared" si="16"/>
        <v>44213841FILOSOFÍA6º</v>
      </c>
      <c r="C576" t="s">
        <v>285</v>
      </c>
      <c r="D576" t="s">
        <v>128</v>
      </c>
      <c r="E576">
        <v>44213841</v>
      </c>
      <c r="F576" t="s">
        <v>318</v>
      </c>
      <c r="G576" t="s">
        <v>41</v>
      </c>
      <c r="H576" t="s">
        <v>245</v>
      </c>
      <c r="I576" t="s">
        <v>43</v>
      </c>
      <c r="J576">
        <v>2020</v>
      </c>
      <c r="K576" t="s">
        <v>60</v>
      </c>
      <c r="N576" t="s">
        <v>99</v>
      </c>
      <c r="AI576">
        <f t="shared" si="17"/>
        <v>1</v>
      </c>
      <c r="AJ576">
        <f>'TABLA PREVIOS'!E576</f>
        <v>292</v>
      </c>
      <c r="AK576">
        <f>VLOOKUP(E576,ALUMNOS!A:B,2,FALSE)</f>
        <v>145</v>
      </c>
    </row>
    <row r="577" spans="2:37" x14ac:dyDescent="0.25">
      <c r="B577" t="str">
        <f t="shared" si="16"/>
        <v>44213841FORMACIÓN PARA LA VIDA Y EL TRABAJO6º</v>
      </c>
      <c r="C577" t="s">
        <v>285</v>
      </c>
      <c r="D577" t="s">
        <v>128</v>
      </c>
      <c r="E577">
        <v>44213841</v>
      </c>
      <c r="F577" t="s">
        <v>318</v>
      </c>
      <c r="G577" t="s">
        <v>28</v>
      </c>
      <c r="H577" t="s">
        <v>245</v>
      </c>
      <c r="I577" t="s">
        <v>43</v>
      </c>
      <c r="J577">
        <v>2020</v>
      </c>
      <c r="K577" t="s">
        <v>60</v>
      </c>
      <c r="N577" t="s">
        <v>99</v>
      </c>
      <c r="AI577">
        <f t="shared" si="17"/>
        <v>1</v>
      </c>
      <c r="AJ577">
        <f>'TABLA PREVIOS'!E577</f>
        <v>291</v>
      </c>
      <c r="AK577">
        <f>VLOOKUP(E577,ALUMNOS!A:B,2,FALSE)</f>
        <v>145</v>
      </c>
    </row>
    <row r="578" spans="2:37" x14ac:dyDescent="0.25">
      <c r="B578" t="str">
        <f t="shared" si="16"/>
        <v>44213841LENGUA Y LITERATURA6º</v>
      </c>
      <c r="C578" t="s">
        <v>285</v>
      </c>
      <c r="D578" t="s">
        <v>128</v>
      </c>
      <c r="E578">
        <v>44213841</v>
      </c>
      <c r="F578" t="s">
        <v>318</v>
      </c>
      <c r="G578" t="s">
        <v>11</v>
      </c>
      <c r="H578" t="s">
        <v>245</v>
      </c>
      <c r="I578" t="s">
        <v>43</v>
      </c>
      <c r="J578">
        <v>2020</v>
      </c>
      <c r="K578" t="s">
        <v>60</v>
      </c>
      <c r="N578" t="s">
        <v>99</v>
      </c>
      <c r="AI578">
        <f t="shared" si="17"/>
        <v>1</v>
      </c>
      <c r="AJ578">
        <f>'TABLA PREVIOS'!E578</f>
        <v>279</v>
      </c>
      <c r="AK578">
        <f>VLOOKUP(E578,ALUMNOS!A:B,2,FALSE)</f>
        <v>145</v>
      </c>
    </row>
    <row r="579" spans="2:37" x14ac:dyDescent="0.25">
      <c r="B579" t="str">
        <f t="shared" ref="B579:B642" si="18">E579&amp;G579&amp;H579</f>
        <v>44213841MATEMÁTICA6º</v>
      </c>
      <c r="C579" t="s">
        <v>285</v>
      </c>
      <c r="D579" t="s">
        <v>128</v>
      </c>
      <c r="E579">
        <v>44213841</v>
      </c>
      <c r="F579" t="s">
        <v>318</v>
      </c>
      <c r="G579" t="s">
        <v>12</v>
      </c>
      <c r="H579" t="s">
        <v>245</v>
      </c>
      <c r="I579" t="s">
        <v>43</v>
      </c>
      <c r="J579">
        <v>2020</v>
      </c>
      <c r="K579" t="s">
        <v>60</v>
      </c>
      <c r="L579" t="s">
        <v>319</v>
      </c>
      <c r="N579" t="s">
        <v>99</v>
      </c>
      <c r="AI579">
        <f t="shared" ref="AI579:AI642" si="19">IF(VALUE(MAX(P579,T579,X579,AB579,AE579,))&gt;=7,VALUE(MAX(P579,T579,X579,AB579,AE579,)),1)</f>
        <v>1</v>
      </c>
      <c r="AJ579">
        <f>'TABLA PREVIOS'!E579</f>
        <v>280</v>
      </c>
      <c r="AK579">
        <f>VLOOKUP(E579,ALUMNOS!A:B,2,FALSE)</f>
        <v>145</v>
      </c>
    </row>
    <row r="580" spans="2:37" x14ac:dyDescent="0.25">
      <c r="B580" t="str">
        <f t="shared" si="18"/>
        <v>44213841QUÍMICA6º</v>
      </c>
      <c r="C580" t="s">
        <v>285</v>
      </c>
      <c r="D580" t="s">
        <v>128</v>
      </c>
      <c r="E580">
        <v>44213841</v>
      </c>
      <c r="F580" t="s">
        <v>318</v>
      </c>
      <c r="G580" t="s">
        <v>25</v>
      </c>
      <c r="H580" t="s">
        <v>245</v>
      </c>
      <c r="I580" t="s">
        <v>43</v>
      </c>
      <c r="J580">
        <v>2020</v>
      </c>
      <c r="K580" t="s">
        <v>60</v>
      </c>
      <c r="N580" t="s">
        <v>99</v>
      </c>
      <c r="AI580">
        <f t="shared" si="19"/>
        <v>1</v>
      </c>
      <c r="AJ580">
        <f>'TABLA PREVIOS'!E580</f>
        <v>281</v>
      </c>
      <c r="AK580">
        <f>VLOOKUP(E580,ALUMNOS!A:B,2,FALSE)</f>
        <v>145</v>
      </c>
    </row>
    <row r="581" spans="2:37" x14ac:dyDescent="0.25">
      <c r="B581" t="str">
        <f t="shared" si="18"/>
        <v>44213841SISTEMAS DE INFORMACIÓN CONTABLE6º</v>
      </c>
      <c r="C581" t="s">
        <v>285</v>
      </c>
      <c r="D581" t="s">
        <v>128</v>
      </c>
      <c r="E581">
        <v>44213841</v>
      </c>
      <c r="F581" t="s">
        <v>318</v>
      </c>
      <c r="G581" t="s">
        <v>29</v>
      </c>
      <c r="H581" t="s">
        <v>245</v>
      </c>
      <c r="I581" t="s">
        <v>43</v>
      </c>
      <c r="J581">
        <v>2020</v>
      </c>
      <c r="K581" t="s">
        <v>60</v>
      </c>
      <c r="N581" t="s">
        <v>99</v>
      </c>
      <c r="AI581">
        <f t="shared" si="19"/>
        <v>1</v>
      </c>
      <c r="AJ581">
        <f>'TABLA PREVIOS'!E581</f>
        <v>290</v>
      </c>
      <c r="AK581">
        <f>VLOOKUP(E581,ALUMNOS!A:B,2,FALSE)</f>
        <v>145</v>
      </c>
    </row>
    <row r="582" spans="2:37" x14ac:dyDescent="0.25">
      <c r="B582" t="str">
        <f t="shared" si="18"/>
        <v>44791403RESPONSABILIDAD SOCIAL DE LAS ORGANIZACIONES6º</v>
      </c>
      <c r="C582" t="s">
        <v>285</v>
      </c>
      <c r="D582" t="s">
        <v>128</v>
      </c>
      <c r="E582">
        <v>44791403</v>
      </c>
      <c r="F582" t="s">
        <v>320</v>
      </c>
      <c r="G582" t="s">
        <v>39</v>
      </c>
      <c r="H582" t="s">
        <v>245</v>
      </c>
      <c r="I582" t="s">
        <v>43</v>
      </c>
      <c r="J582">
        <v>2020</v>
      </c>
      <c r="K582" t="s">
        <v>60</v>
      </c>
      <c r="L582" t="s">
        <v>288</v>
      </c>
      <c r="M582" t="s">
        <v>321</v>
      </c>
      <c r="N582" t="s">
        <v>99</v>
      </c>
      <c r="AI582">
        <f t="shared" si="19"/>
        <v>1</v>
      </c>
      <c r="AJ582">
        <f>'TABLA PREVIOS'!E582</f>
        <v>288</v>
      </c>
      <c r="AK582">
        <f>VLOOKUP(E582,ALUMNOS!A:B,2,FALSE)</f>
        <v>152</v>
      </c>
    </row>
    <row r="583" spans="2:37" x14ac:dyDescent="0.25">
      <c r="B583" t="str">
        <f t="shared" si="18"/>
        <v>44296627ECONOMÍA5º</v>
      </c>
      <c r="C583" t="s">
        <v>285</v>
      </c>
      <c r="D583" t="s">
        <v>128</v>
      </c>
      <c r="E583">
        <v>44296627</v>
      </c>
      <c r="F583" t="s">
        <v>322</v>
      </c>
      <c r="G583" t="s">
        <v>34</v>
      </c>
      <c r="H583" t="s">
        <v>220</v>
      </c>
      <c r="I583" t="s">
        <v>43</v>
      </c>
      <c r="J583">
        <v>2019</v>
      </c>
      <c r="K583" t="s">
        <v>60</v>
      </c>
      <c r="N583" t="s">
        <v>99</v>
      </c>
      <c r="AI583">
        <f t="shared" si="19"/>
        <v>1</v>
      </c>
      <c r="AJ583">
        <f>'TABLA PREVIOS'!E583</f>
        <v>275</v>
      </c>
      <c r="AK583">
        <f>VLOOKUP(E583,ALUMNOS!A:B,2,FALSE)</f>
        <v>184</v>
      </c>
    </row>
    <row r="584" spans="2:37" x14ac:dyDescent="0.25">
      <c r="B584" t="str">
        <f t="shared" si="18"/>
        <v>44296627MATEMÁTICA5º</v>
      </c>
      <c r="C584" t="s">
        <v>285</v>
      </c>
      <c r="D584" t="s">
        <v>128</v>
      </c>
      <c r="E584">
        <v>44296627</v>
      </c>
      <c r="F584" t="s">
        <v>322</v>
      </c>
      <c r="G584" t="s">
        <v>12</v>
      </c>
      <c r="H584" t="s">
        <v>220</v>
      </c>
      <c r="I584" t="s">
        <v>43</v>
      </c>
      <c r="J584">
        <v>2019</v>
      </c>
      <c r="K584" t="s">
        <v>60</v>
      </c>
      <c r="N584" t="s">
        <v>99</v>
      </c>
      <c r="AI584">
        <f t="shared" si="19"/>
        <v>1</v>
      </c>
      <c r="AJ584">
        <f>'TABLA PREVIOS'!E584</f>
        <v>265</v>
      </c>
      <c r="AK584">
        <f>VLOOKUP(E584,ALUMNOS!A:B,2,FALSE)</f>
        <v>184</v>
      </c>
    </row>
    <row r="585" spans="2:37" x14ac:dyDescent="0.25">
      <c r="B585" t="str">
        <f t="shared" si="18"/>
        <v>44296627ADMINISTRACIÓN6º</v>
      </c>
      <c r="C585" t="s">
        <v>285</v>
      </c>
      <c r="D585" t="s">
        <v>128</v>
      </c>
      <c r="E585">
        <v>44296627</v>
      </c>
      <c r="F585" t="s">
        <v>322</v>
      </c>
      <c r="G585" t="s">
        <v>30</v>
      </c>
      <c r="H585" t="s">
        <v>245</v>
      </c>
      <c r="I585" t="s">
        <v>43</v>
      </c>
      <c r="J585">
        <v>2020</v>
      </c>
      <c r="K585" t="s">
        <v>60</v>
      </c>
      <c r="N585" t="s">
        <v>99</v>
      </c>
      <c r="AI585">
        <f t="shared" si="19"/>
        <v>1</v>
      </c>
      <c r="AJ585">
        <f>'TABLA PREVIOS'!E585</f>
        <v>285</v>
      </c>
      <c r="AK585">
        <f>VLOOKUP(E585,ALUMNOS!A:B,2,FALSE)</f>
        <v>184</v>
      </c>
    </row>
    <row r="586" spans="2:37" x14ac:dyDescent="0.25">
      <c r="B586" t="str">
        <f t="shared" si="18"/>
        <v>44296627ADMINISTRACIÓN FINANCIERA6º</v>
      </c>
      <c r="C586" t="s">
        <v>285</v>
      </c>
      <c r="D586" t="s">
        <v>128</v>
      </c>
      <c r="E586">
        <v>44296627</v>
      </c>
      <c r="F586" t="s">
        <v>322</v>
      </c>
      <c r="G586" t="s">
        <v>40</v>
      </c>
      <c r="H586" t="s">
        <v>245</v>
      </c>
      <c r="I586" t="s">
        <v>43</v>
      </c>
      <c r="J586">
        <v>2020</v>
      </c>
      <c r="K586" t="s">
        <v>60</v>
      </c>
      <c r="N586" t="s">
        <v>99</v>
      </c>
      <c r="AI586">
        <f t="shared" si="19"/>
        <v>1</v>
      </c>
      <c r="AJ586">
        <f>'TABLA PREVIOS'!E586</f>
        <v>289</v>
      </c>
      <c r="AK586">
        <f>VLOOKUP(E586,ALUMNOS!A:B,2,FALSE)</f>
        <v>184</v>
      </c>
    </row>
    <row r="587" spans="2:37" x14ac:dyDescent="0.25">
      <c r="B587" t="str">
        <f t="shared" si="18"/>
        <v>44296627CIUDADANÍA Y POLÍTICA6º</v>
      </c>
      <c r="C587" t="s">
        <v>285</v>
      </c>
      <c r="D587" t="s">
        <v>128</v>
      </c>
      <c r="E587">
        <v>44296627</v>
      </c>
      <c r="F587" t="s">
        <v>322</v>
      </c>
      <c r="G587" t="s">
        <v>37</v>
      </c>
      <c r="H587" t="s">
        <v>245</v>
      </c>
      <c r="I587" t="s">
        <v>43</v>
      </c>
      <c r="J587">
        <v>2020</v>
      </c>
      <c r="K587" t="s">
        <v>60</v>
      </c>
      <c r="N587" t="s">
        <v>99</v>
      </c>
      <c r="AI587">
        <f t="shared" si="19"/>
        <v>1</v>
      </c>
      <c r="AJ587">
        <f>'TABLA PREVIOS'!E587</f>
        <v>284</v>
      </c>
      <c r="AK587">
        <f>VLOOKUP(E587,ALUMNOS!A:B,2,FALSE)</f>
        <v>184</v>
      </c>
    </row>
    <row r="588" spans="2:37" x14ac:dyDescent="0.25">
      <c r="B588" t="str">
        <f t="shared" si="18"/>
        <v>44296627DERECHO6º</v>
      </c>
      <c r="C588" t="s">
        <v>285</v>
      </c>
      <c r="D588" t="s">
        <v>128</v>
      </c>
      <c r="E588">
        <v>44296627</v>
      </c>
      <c r="F588" t="s">
        <v>322</v>
      </c>
      <c r="G588" t="s">
        <v>38</v>
      </c>
      <c r="H588" t="s">
        <v>245</v>
      </c>
      <c r="I588" t="s">
        <v>43</v>
      </c>
      <c r="J588">
        <v>2020</v>
      </c>
      <c r="K588" t="s">
        <v>60</v>
      </c>
      <c r="N588" t="s">
        <v>99</v>
      </c>
      <c r="AI588">
        <f t="shared" si="19"/>
        <v>1</v>
      </c>
      <c r="AJ588">
        <f>'TABLA PREVIOS'!E588</f>
        <v>287</v>
      </c>
      <c r="AK588">
        <f>VLOOKUP(E588,ALUMNOS!A:B,2,FALSE)</f>
        <v>184</v>
      </c>
    </row>
    <row r="589" spans="2:37" x14ac:dyDescent="0.25">
      <c r="B589" t="str">
        <f t="shared" si="18"/>
        <v>44296627ECONOMÍA6º</v>
      </c>
      <c r="C589" t="s">
        <v>285</v>
      </c>
      <c r="D589" t="s">
        <v>128</v>
      </c>
      <c r="E589">
        <v>44296627</v>
      </c>
      <c r="F589" t="s">
        <v>322</v>
      </c>
      <c r="G589" t="s">
        <v>34</v>
      </c>
      <c r="H589" t="s">
        <v>245</v>
      </c>
      <c r="I589" t="s">
        <v>43</v>
      </c>
      <c r="J589">
        <v>2020</v>
      </c>
      <c r="K589" t="s">
        <v>60</v>
      </c>
      <c r="N589" t="s">
        <v>99</v>
      </c>
      <c r="AI589">
        <f t="shared" si="19"/>
        <v>1</v>
      </c>
      <c r="AJ589">
        <f>'TABLA PREVIOS'!E589</f>
        <v>286</v>
      </c>
      <c r="AK589">
        <f>VLOOKUP(E589,ALUMNOS!A:B,2,FALSE)</f>
        <v>184</v>
      </c>
    </row>
    <row r="590" spans="2:37" x14ac:dyDescent="0.25">
      <c r="B590" t="str">
        <f t="shared" si="18"/>
        <v>44296627EDUCACIÓN FÍSICA6º</v>
      </c>
      <c r="C590" t="s">
        <v>285</v>
      </c>
      <c r="D590" t="s">
        <v>128</v>
      </c>
      <c r="E590">
        <v>44296627</v>
      </c>
      <c r="F590" t="s">
        <v>322</v>
      </c>
      <c r="G590" t="s">
        <v>10</v>
      </c>
      <c r="H590" t="s">
        <v>245</v>
      </c>
      <c r="I590" t="s">
        <v>43</v>
      </c>
      <c r="J590">
        <v>2020</v>
      </c>
      <c r="K590" t="s">
        <v>60</v>
      </c>
      <c r="N590" t="s">
        <v>99</v>
      </c>
      <c r="AI590">
        <f t="shared" si="19"/>
        <v>1</v>
      </c>
      <c r="AJ590">
        <f>'TABLA PREVIOS'!E590</f>
        <v>278</v>
      </c>
      <c r="AK590">
        <f>VLOOKUP(E590,ALUMNOS!A:B,2,FALSE)</f>
        <v>184</v>
      </c>
    </row>
    <row r="591" spans="2:37" x14ac:dyDescent="0.25">
      <c r="B591" t="str">
        <f t="shared" si="18"/>
        <v>44296627FILOSOFÍA6º</v>
      </c>
      <c r="C591" t="s">
        <v>285</v>
      </c>
      <c r="D591" t="s">
        <v>128</v>
      </c>
      <c r="E591">
        <v>44296627</v>
      </c>
      <c r="F591" t="s">
        <v>322</v>
      </c>
      <c r="G591" t="s">
        <v>41</v>
      </c>
      <c r="H591" t="s">
        <v>245</v>
      </c>
      <c r="I591" t="s">
        <v>43</v>
      </c>
      <c r="J591">
        <v>2020</v>
      </c>
      <c r="K591" t="s">
        <v>60</v>
      </c>
      <c r="N591" t="s">
        <v>99</v>
      </c>
      <c r="AI591">
        <f t="shared" si="19"/>
        <v>1</v>
      </c>
      <c r="AJ591">
        <f>'TABLA PREVIOS'!E591</f>
        <v>292</v>
      </c>
      <c r="AK591">
        <f>VLOOKUP(E591,ALUMNOS!A:B,2,FALSE)</f>
        <v>184</v>
      </c>
    </row>
    <row r="592" spans="2:37" x14ac:dyDescent="0.25">
      <c r="B592" t="str">
        <f t="shared" si="18"/>
        <v>44296627FORMACIÓN PARA LA VIDA Y EL TRABAJO6º</v>
      </c>
      <c r="C592" t="s">
        <v>285</v>
      </c>
      <c r="D592" t="s">
        <v>128</v>
      </c>
      <c r="E592">
        <v>44296627</v>
      </c>
      <c r="F592" t="s">
        <v>322</v>
      </c>
      <c r="G592" t="s">
        <v>28</v>
      </c>
      <c r="H592" t="s">
        <v>245</v>
      </c>
      <c r="I592" t="s">
        <v>43</v>
      </c>
      <c r="J592">
        <v>2020</v>
      </c>
      <c r="K592" t="s">
        <v>60</v>
      </c>
      <c r="N592" t="s">
        <v>99</v>
      </c>
      <c r="AI592">
        <f t="shared" si="19"/>
        <v>1</v>
      </c>
      <c r="AJ592">
        <f>'TABLA PREVIOS'!E592</f>
        <v>291</v>
      </c>
      <c r="AK592">
        <f>VLOOKUP(E592,ALUMNOS!A:B,2,FALSE)</f>
        <v>184</v>
      </c>
    </row>
    <row r="593" spans="2:37" x14ac:dyDescent="0.25">
      <c r="B593" t="str">
        <f t="shared" si="18"/>
        <v>44296627LENGUA EXTRANJERA - INGLÉS6º</v>
      </c>
      <c r="C593" t="s">
        <v>285</v>
      </c>
      <c r="D593" t="s">
        <v>128</v>
      </c>
      <c r="E593">
        <v>44296627</v>
      </c>
      <c r="F593" t="s">
        <v>322</v>
      </c>
      <c r="G593" t="s">
        <v>16</v>
      </c>
      <c r="H593" t="s">
        <v>245</v>
      </c>
      <c r="I593" t="s">
        <v>43</v>
      </c>
      <c r="J593">
        <v>2020</v>
      </c>
      <c r="K593" t="s">
        <v>60</v>
      </c>
      <c r="N593" t="s">
        <v>99</v>
      </c>
      <c r="AI593">
        <f t="shared" si="19"/>
        <v>1</v>
      </c>
      <c r="AJ593">
        <f>'TABLA PREVIOS'!E593</f>
        <v>282</v>
      </c>
      <c r="AK593">
        <f>VLOOKUP(E593,ALUMNOS!A:B,2,FALSE)</f>
        <v>184</v>
      </c>
    </row>
    <row r="594" spans="2:37" x14ac:dyDescent="0.25">
      <c r="B594" t="str">
        <f t="shared" si="18"/>
        <v>44296627LENGUA Y LITERATURA6º</v>
      </c>
      <c r="C594" t="s">
        <v>285</v>
      </c>
      <c r="D594" t="s">
        <v>128</v>
      </c>
      <c r="E594">
        <v>44296627</v>
      </c>
      <c r="F594" t="s">
        <v>322</v>
      </c>
      <c r="G594" t="s">
        <v>11</v>
      </c>
      <c r="H594" t="s">
        <v>245</v>
      </c>
      <c r="I594" t="s">
        <v>43</v>
      </c>
      <c r="J594">
        <v>2020</v>
      </c>
      <c r="K594" t="s">
        <v>60</v>
      </c>
      <c r="N594" t="s">
        <v>99</v>
      </c>
      <c r="AI594">
        <f t="shared" si="19"/>
        <v>1</v>
      </c>
      <c r="AJ594">
        <f>'TABLA PREVIOS'!E594</f>
        <v>279</v>
      </c>
      <c r="AK594">
        <f>VLOOKUP(E594,ALUMNOS!A:B,2,FALSE)</f>
        <v>184</v>
      </c>
    </row>
    <row r="595" spans="2:37" x14ac:dyDescent="0.25">
      <c r="B595" t="str">
        <f t="shared" si="18"/>
        <v>44296627MATEMÁTICA6º</v>
      </c>
      <c r="C595" t="s">
        <v>285</v>
      </c>
      <c r="D595" t="s">
        <v>128</v>
      </c>
      <c r="E595">
        <v>44296627</v>
      </c>
      <c r="F595" t="s">
        <v>322</v>
      </c>
      <c r="G595" t="s">
        <v>12</v>
      </c>
      <c r="H595" t="s">
        <v>245</v>
      </c>
      <c r="I595" t="s">
        <v>43</v>
      </c>
      <c r="J595">
        <v>2020</v>
      </c>
      <c r="K595" t="s">
        <v>60</v>
      </c>
      <c r="N595" t="s">
        <v>99</v>
      </c>
      <c r="AI595">
        <f t="shared" si="19"/>
        <v>1</v>
      </c>
      <c r="AJ595">
        <f>'TABLA PREVIOS'!E595</f>
        <v>280</v>
      </c>
      <c r="AK595">
        <f>VLOOKUP(E595,ALUMNOS!A:B,2,FALSE)</f>
        <v>184</v>
      </c>
    </row>
    <row r="596" spans="2:37" x14ac:dyDescent="0.25">
      <c r="B596" t="str">
        <f t="shared" si="18"/>
        <v>44296627QUÍMICA6º</v>
      </c>
      <c r="C596" t="s">
        <v>285</v>
      </c>
      <c r="D596" t="s">
        <v>128</v>
      </c>
      <c r="E596">
        <v>44296627</v>
      </c>
      <c r="F596" t="s">
        <v>322</v>
      </c>
      <c r="G596" t="s">
        <v>25</v>
      </c>
      <c r="H596" t="s">
        <v>245</v>
      </c>
      <c r="I596" t="s">
        <v>43</v>
      </c>
      <c r="J596">
        <v>2020</v>
      </c>
      <c r="K596" t="s">
        <v>60</v>
      </c>
      <c r="N596" t="s">
        <v>99</v>
      </c>
      <c r="AI596">
        <f t="shared" si="19"/>
        <v>1</v>
      </c>
      <c r="AJ596">
        <f>'TABLA PREVIOS'!E596</f>
        <v>281</v>
      </c>
      <c r="AK596">
        <f>VLOOKUP(E596,ALUMNOS!A:B,2,FALSE)</f>
        <v>184</v>
      </c>
    </row>
    <row r="597" spans="2:37" x14ac:dyDescent="0.25">
      <c r="B597" t="str">
        <f t="shared" si="18"/>
        <v>44296627SISTEMAS DE INFORMACIÓN CONTABLE6º</v>
      </c>
      <c r="C597" t="s">
        <v>285</v>
      </c>
      <c r="D597" t="s">
        <v>128</v>
      </c>
      <c r="E597">
        <v>44296627</v>
      </c>
      <c r="F597" t="s">
        <v>322</v>
      </c>
      <c r="G597" t="s">
        <v>29</v>
      </c>
      <c r="H597" t="s">
        <v>245</v>
      </c>
      <c r="I597" t="s">
        <v>43</v>
      </c>
      <c r="J597">
        <v>2020</v>
      </c>
      <c r="K597" t="s">
        <v>60</v>
      </c>
      <c r="N597" t="s">
        <v>99</v>
      </c>
      <c r="AI597">
        <f t="shared" si="19"/>
        <v>1</v>
      </c>
      <c r="AJ597">
        <f>'TABLA PREVIOS'!E597</f>
        <v>290</v>
      </c>
      <c r="AK597">
        <f>VLOOKUP(E597,ALUMNOS!A:B,2,FALSE)</f>
        <v>184</v>
      </c>
    </row>
    <row r="598" spans="2:37" x14ac:dyDescent="0.25">
      <c r="B598" t="str">
        <f t="shared" si="18"/>
        <v>44791401ADMINISTRACIÓN6º</v>
      </c>
      <c r="C598" t="s">
        <v>285</v>
      </c>
      <c r="D598" t="s">
        <v>128</v>
      </c>
      <c r="E598">
        <v>44791401</v>
      </c>
      <c r="F598" t="s">
        <v>323</v>
      </c>
      <c r="G598" t="s">
        <v>30</v>
      </c>
      <c r="H598" t="s">
        <v>245</v>
      </c>
      <c r="I598" t="s">
        <v>43</v>
      </c>
      <c r="J598">
        <v>2020</v>
      </c>
      <c r="K598" t="s">
        <v>60</v>
      </c>
      <c r="N598" t="s">
        <v>99</v>
      </c>
      <c r="AI598">
        <f t="shared" si="19"/>
        <v>1</v>
      </c>
      <c r="AJ598">
        <f>'TABLA PREVIOS'!E598</f>
        <v>285</v>
      </c>
      <c r="AK598">
        <f>VLOOKUP(E598,ALUMNOS!A:B,2,FALSE)</f>
        <v>259</v>
      </c>
    </row>
    <row r="599" spans="2:37" x14ac:dyDescent="0.25">
      <c r="B599" t="str">
        <f t="shared" si="18"/>
        <v>44791401ADMINISTRACIÓN FINANCIERA6º</v>
      </c>
      <c r="C599" t="s">
        <v>285</v>
      </c>
      <c r="D599" t="s">
        <v>128</v>
      </c>
      <c r="E599">
        <v>44791401</v>
      </c>
      <c r="F599" t="s">
        <v>323</v>
      </c>
      <c r="G599" t="s">
        <v>40</v>
      </c>
      <c r="H599" t="s">
        <v>245</v>
      </c>
      <c r="I599" t="s">
        <v>43</v>
      </c>
      <c r="J599">
        <v>2020</v>
      </c>
      <c r="K599" t="s">
        <v>60</v>
      </c>
      <c r="N599" t="s">
        <v>99</v>
      </c>
      <c r="AI599">
        <f t="shared" si="19"/>
        <v>1</v>
      </c>
      <c r="AJ599">
        <f>'TABLA PREVIOS'!E599</f>
        <v>289</v>
      </c>
      <c r="AK599">
        <f>VLOOKUP(E599,ALUMNOS!A:B,2,FALSE)</f>
        <v>259</v>
      </c>
    </row>
    <row r="600" spans="2:37" x14ac:dyDescent="0.25">
      <c r="B600" t="str">
        <f t="shared" si="18"/>
        <v>44791401CIUDADANÍA Y POLÍTICA6º</v>
      </c>
      <c r="C600" t="s">
        <v>285</v>
      </c>
      <c r="D600" t="s">
        <v>128</v>
      </c>
      <c r="E600">
        <v>44791401</v>
      </c>
      <c r="F600" t="s">
        <v>323</v>
      </c>
      <c r="G600" t="s">
        <v>37</v>
      </c>
      <c r="H600" t="s">
        <v>245</v>
      </c>
      <c r="I600" t="s">
        <v>43</v>
      </c>
      <c r="J600">
        <v>2020</v>
      </c>
      <c r="K600" t="s">
        <v>60</v>
      </c>
      <c r="N600" t="s">
        <v>99</v>
      </c>
      <c r="AI600">
        <f t="shared" si="19"/>
        <v>1</v>
      </c>
      <c r="AJ600">
        <f>'TABLA PREVIOS'!E600</f>
        <v>284</v>
      </c>
      <c r="AK600">
        <f>VLOOKUP(E600,ALUMNOS!A:B,2,FALSE)</f>
        <v>259</v>
      </c>
    </row>
    <row r="601" spans="2:37" x14ac:dyDescent="0.25">
      <c r="B601" t="str">
        <f t="shared" si="18"/>
        <v>44791401DERECHO6º</v>
      </c>
      <c r="C601" t="s">
        <v>285</v>
      </c>
      <c r="D601" t="s">
        <v>128</v>
      </c>
      <c r="E601">
        <v>44791401</v>
      </c>
      <c r="F601" t="s">
        <v>323</v>
      </c>
      <c r="G601" t="s">
        <v>38</v>
      </c>
      <c r="H601" t="s">
        <v>245</v>
      </c>
      <c r="I601" t="s">
        <v>43</v>
      </c>
      <c r="J601">
        <v>2020</v>
      </c>
      <c r="K601" t="s">
        <v>60</v>
      </c>
      <c r="N601" t="s">
        <v>99</v>
      </c>
      <c r="AI601">
        <f t="shared" si="19"/>
        <v>1</v>
      </c>
      <c r="AJ601">
        <f>'TABLA PREVIOS'!E601</f>
        <v>287</v>
      </c>
      <c r="AK601">
        <f>VLOOKUP(E601,ALUMNOS!A:B,2,FALSE)</f>
        <v>259</v>
      </c>
    </row>
    <row r="602" spans="2:37" x14ac:dyDescent="0.25">
      <c r="B602" t="str">
        <f t="shared" si="18"/>
        <v>44791401ECONOMÍA6º</v>
      </c>
      <c r="C602" t="s">
        <v>285</v>
      </c>
      <c r="D602" t="s">
        <v>128</v>
      </c>
      <c r="E602">
        <v>44791401</v>
      </c>
      <c r="F602" t="s">
        <v>323</v>
      </c>
      <c r="G602" t="s">
        <v>34</v>
      </c>
      <c r="H602" t="s">
        <v>245</v>
      </c>
      <c r="I602" t="s">
        <v>43</v>
      </c>
      <c r="J602">
        <v>2020</v>
      </c>
      <c r="K602" t="s">
        <v>60</v>
      </c>
      <c r="N602" t="s">
        <v>99</v>
      </c>
      <c r="AI602">
        <f t="shared" si="19"/>
        <v>1</v>
      </c>
      <c r="AJ602">
        <f>'TABLA PREVIOS'!E602</f>
        <v>286</v>
      </c>
      <c r="AK602">
        <f>VLOOKUP(E602,ALUMNOS!A:B,2,FALSE)</f>
        <v>259</v>
      </c>
    </row>
    <row r="603" spans="2:37" x14ac:dyDescent="0.25">
      <c r="B603" t="str">
        <f t="shared" si="18"/>
        <v>44791401FILOSOFÍA6º</v>
      </c>
      <c r="C603" t="s">
        <v>285</v>
      </c>
      <c r="D603" t="s">
        <v>128</v>
      </c>
      <c r="E603">
        <v>44791401</v>
      </c>
      <c r="F603" t="s">
        <v>323</v>
      </c>
      <c r="G603" t="s">
        <v>41</v>
      </c>
      <c r="H603" t="s">
        <v>245</v>
      </c>
      <c r="I603" t="s">
        <v>43</v>
      </c>
      <c r="J603">
        <v>2020</v>
      </c>
      <c r="K603" t="s">
        <v>60</v>
      </c>
      <c r="N603" t="s">
        <v>99</v>
      </c>
      <c r="AI603">
        <f t="shared" si="19"/>
        <v>1</v>
      </c>
      <c r="AJ603">
        <f>'TABLA PREVIOS'!E603</f>
        <v>292</v>
      </c>
      <c r="AK603">
        <f>VLOOKUP(E603,ALUMNOS!A:B,2,FALSE)</f>
        <v>259</v>
      </c>
    </row>
    <row r="604" spans="2:37" x14ac:dyDescent="0.25">
      <c r="B604" t="str">
        <f t="shared" si="18"/>
        <v>44791401FORMACIÓN PARA LA VIDA Y EL TRABAJO6º</v>
      </c>
      <c r="C604" t="s">
        <v>285</v>
      </c>
      <c r="D604" t="s">
        <v>128</v>
      </c>
      <c r="E604">
        <v>44791401</v>
      </c>
      <c r="F604" t="s">
        <v>323</v>
      </c>
      <c r="G604" t="s">
        <v>28</v>
      </c>
      <c r="H604" t="s">
        <v>245</v>
      </c>
      <c r="I604" t="s">
        <v>43</v>
      </c>
      <c r="J604">
        <v>2020</v>
      </c>
      <c r="K604" t="s">
        <v>60</v>
      </c>
      <c r="N604" t="s">
        <v>99</v>
      </c>
      <c r="AI604">
        <f t="shared" si="19"/>
        <v>1</v>
      </c>
      <c r="AJ604">
        <f>'TABLA PREVIOS'!E604</f>
        <v>291</v>
      </c>
      <c r="AK604">
        <f>VLOOKUP(E604,ALUMNOS!A:B,2,FALSE)</f>
        <v>259</v>
      </c>
    </row>
    <row r="605" spans="2:37" x14ac:dyDescent="0.25">
      <c r="B605" t="str">
        <f t="shared" si="18"/>
        <v>44791401LENGUA Y LITERATURA6º</v>
      </c>
      <c r="C605" t="s">
        <v>285</v>
      </c>
      <c r="D605" t="s">
        <v>128</v>
      </c>
      <c r="E605">
        <v>44791401</v>
      </c>
      <c r="F605" t="s">
        <v>323</v>
      </c>
      <c r="G605" t="s">
        <v>11</v>
      </c>
      <c r="H605" t="s">
        <v>245</v>
      </c>
      <c r="I605" t="s">
        <v>43</v>
      </c>
      <c r="J605">
        <v>2020</v>
      </c>
      <c r="K605" t="s">
        <v>60</v>
      </c>
      <c r="N605" t="s">
        <v>99</v>
      </c>
      <c r="AI605">
        <f t="shared" si="19"/>
        <v>1</v>
      </c>
      <c r="AJ605">
        <f>'TABLA PREVIOS'!E605</f>
        <v>279</v>
      </c>
      <c r="AK605">
        <f>VLOOKUP(E605,ALUMNOS!A:B,2,FALSE)</f>
        <v>259</v>
      </c>
    </row>
    <row r="606" spans="2:37" x14ac:dyDescent="0.25">
      <c r="B606" t="str">
        <f t="shared" si="18"/>
        <v>44791401MATEMÁTICA6º</v>
      </c>
      <c r="C606" t="s">
        <v>285</v>
      </c>
      <c r="D606" t="s">
        <v>128</v>
      </c>
      <c r="E606">
        <v>44791401</v>
      </c>
      <c r="F606" t="s">
        <v>323</v>
      </c>
      <c r="G606" t="s">
        <v>12</v>
      </c>
      <c r="H606" t="s">
        <v>245</v>
      </c>
      <c r="I606" t="s">
        <v>43</v>
      </c>
      <c r="J606">
        <v>2020</v>
      </c>
      <c r="K606" t="s">
        <v>60</v>
      </c>
      <c r="N606" t="s">
        <v>99</v>
      </c>
      <c r="AI606">
        <f t="shared" si="19"/>
        <v>1</v>
      </c>
      <c r="AJ606">
        <f>'TABLA PREVIOS'!E606</f>
        <v>280</v>
      </c>
      <c r="AK606">
        <f>VLOOKUP(E606,ALUMNOS!A:B,2,FALSE)</f>
        <v>259</v>
      </c>
    </row>
    <row r="607" spans="2:37" x14ac:dyDescent="0.25">
      <c r="B607" t="str">
        <f t="shared" si="18"/>
        <v>44791401QUÍMICA6º</v>
      </c>
      <c r="C607" t="s">
        <v>285</v>
      </c>
      <c r="D607" t="s">
        <v>128</v>
      </c>
      <c r="E607">
        <v>44791401</v>
      </c>
      <c r="F607" t="s">
        <v>323</v>
      </c>
      <c r="G607" t="s">
        <v>25</v>
      </c>
      <c r="H607" t="s">
        <v>245</v>
      </c>
      <c r="I607" t="s">
        <v>43</v>
      </c>
      <c r="J607">
        <v>2020</v>
      </c>
      <c r="K607" t="s">
        <v>60</v>
      </c>
      <c r="N607" t="s">
        <v>99</v>
      </c>
      <c r="AI607">
        <f t="shared" si="19"/>
        <v>1</v>
      </c>
      <c r="AJ607">
        <f>'TABLA PREVIOS'!E607</f>
        <v>281</v>
      </c>
      <c r="AK607">
        <f>VLOOKUP(E607,ALUMNOS!A:B,2,FALSE)</f>
        <v>259</v>
      </c>
    </row>
    <row r="608" spans="2:37" x14ac:dyDescent="0.25">
      <c r="B608" t="str">
        <f t="shared" si="18"/>
        <v>44791401SISTEMAS DE INFORMACIÓN CONTABLE6º</v>
      </c>
      <c r="C608" t="s">
        <v>285</v>
      </c>
      <c r="D608" t="s">
        <v>128</v>
      </c>
      <c r="E608">
        <v>44791401</v>
      </c>
      <c r="F608" t="s">
        <v>323</v>
      </c>
      <c r="G608" t="s">
        <v>29</v>
      </c>
      <c r="H608" t="s">
        <v>245</v>
      </c>
      <c r="I608" t="s">
        <v>43</v>
      </c>
      <c r="J608">
        <v>2020</v>
      </c>
      <c r="K608" t="s">
        <v>60</v>
      </c>
      <c r="N608" t="s">
        <v>99</v>
      </c>
      <c r="AI608">
        <f t="shared" si="19"/>
        <v>1</v>
      </c>
      <c r="AJ608">
        <f>'TABLA PREVIOS'!E608</f>
        <v>290</v>
      </c>
      <c r="AK608">
        <f>VLOOKUP(E608,ALUMNOS!A:B,2,FALSE)</f>
        <v>259</v>
      </c>
    </row>
    <row r="609" spans="2:37" x14ac:dyDescent="0.25">
      <c r="B609" t="str">
        <f t="shared" si="18"/>
        <v>43609636FÍSICA5º</v>
      </c>
      <c r="C609" t="s">
        <v>285</v>
      </c>
      <c r="D609" t="s">
        <v>128</v>
      </c>
      <c r="E609">
        <v>43609636</v>
      </c>
      <c r="F609" t="s">
        <v>324</v>
      </c>
      <c r="G609" t="s">
        <v>24</v>
      </c>
      <c r="H609" t="s">
        <v>220</v>
      </c>
      <c r="I609" t="s">
        <v>43</v>
      </c>
      <c r="J609">
        <v>2019</v>
      </c>
      <c r="K609" t="s">
        <v>60</v>
      </c>
      <c r="N609" t="s">
        <v>99</v>
      </c>
      <c r="AI609">
        <f t="shared" si="19"/>
        <v>1</v>
      </c>
      <c r="AJ609">
        <f>'TABLA PREVIOS'!E609</f>
        <v>266</v>
      </c>
      <c r="AK609">
        <f>VLOOKUP(E609,ALUMNOS!A:B,2,FALSE)</f>
        <v>304</v>
      </c>
    </row>
    <row r="610" spans="2:37" x14ac:dyDescent="0.25">
      <c r="B610" t="str">
        <f t="shared" si="18"/>
        <v>43609636LENGUA EXTRANJERA - INGLÉS5º</v>
      </c>
      <c r="C610" t="s">
        <v>285</v>
      </c>
      <c r="D610" t="s">
        <v>128</v>
      </c>
      <c r="E610">
        <v>43609636</v>
      </c>
      <c r="F610" t="s">
        <v>324</v>
      </c>
      <c r="G610" t="s">
        <v>16</v>
      </c>
      <c r="H610" t="s">
        <v>220</v>
      </c>
      <c r="I610" t="s">
        <v>43</v>
      </c>
      <c r="J610">
        <v>2019</v>
      </c>
      <c r="K610" t="s">
        <v>60</v>
      </c>
      <c r="N610" t="s">
        <v>99</v>
      </c>
      <c r="AI610">
        <f t="shared" si="19"/>
        <v>1</v>
      </c>
      <c r="AJ610">
        <f>'TABLA PREVIOS'!E610</f>
        <v>269</v>
      </c>
      <c r="AK610">
        <f>VLOOKUP(E610,ALUMNOS!A:B,2,FALSE)</f>
        <v>304</v>
      </c>
    </row>
    <row r="611" spans="2:37" x14ac:dyDescent="0.25">
      <c r="B611" t="str">
        <f t="shared" si="18"/>
        <v>43609636MATEMÁTICA5º</v>
      </c>
      <c r="C611" t="s">
        <v>285</v>
      </c>
      <c r="D611" t="s">
        <v>128</v>
      </c>
      <c r="E611">
        <v>43609636</v>
      </c>
      <c r="F611" t="s">
        <v>324</v>
      </c>
      <c r="G611" t="s">
        <v>12</v>
      </c>
      <c r="H611" t="s">
        <v>220</v>
      </c>
      <c r="I611" t="s">
        <v>43</v>
      </c>
      <c r="J611">
        <v>2019</v>
      </c>
      <c r="K611" t="s">
        <v>60</v>
      </c>
      <c r="N611" t="s">
        <v>99</v>
      </c>
      <c r="AI611">
        <f t="shared" si="19"/>
        <v>1</v>
      </c>
      <c r="AJ611">
        <f>'TABLA PREVIOS'!E611</f>
        <v>265</v>
      </c>
      <c r="AK611">
        <f>VLOOKUP(E611,ALUMNOS!A:B,2,FALSE)</f>
        <v>304</v>
      </c>
    </row>
    <row r="612" spans="2:37" x14ac:dyDescent="0.25">
      <c r="B612" t="str">
        <f t="shared" si="18"/>
        <v>43609636ADMINISTRACIÓN6º</v>
      </c>
      <c r="C612" t="s">
        <v>285</v>
      </c>
      <c r="D612" t="s">
        <v>128</v>
      </c>
      <c r="E612">
        <v>43609636</v>
      </c>
      <c r="F612" t="s">
        <v>324</v>
      </c>
      <c r="G612" t="s">
        <v>30</v>
      </c>
      <c r="H612" t="s">
        <v>245</v>
      </c>
      <c r="I612" t="s">
        <v>43</v>
      </c>
      <c r="J612">
        <v>2020</v>
      </c>
      <c r="K612" t="s">
        <v>60</v>
      </c>
      <c r="N612" t="s">
        <v>99</v>
      </c>
      <c r="AI612">
        <f t="shared" si="19"/>
        <v>1</v>
      </c>
      <c r="AJ612">
        <f>'TABLA PREVIOS'!E612</f>
        <v>285</v>
      </c>
      <c r="AK612">
        <f>VLOOKUP(E612,ALUMNOS!A:B,2,FALSE)</f>
        <v>304</v>
      </c>
    </row>
    <row r="613" spans="2:37" x14ac:dyDescent="0.25">
      <c r="B613" t="str">
        <f t="shared" si="18"/>
        <v>43609636CIUDADANÍA Y POLÍTICA6º</v>
      </c>
      <c r="C613" t="s">
        <v>285</v>
      </c>
      <c r="D613" t="s">
        <v>128</v>
      </c>
      <c r="E613">
        <v>43609636</v>
      </c>
      <c r="F613" t="s">
        <v>324</v>
      </c>
      <c r="G613" t="s">
        <v>37</v>
      </c>
      <c r="H613" t="s">
        <v>245</v>
      </c>
      <c r="I613" t="s">
        <v>43</v>
      </c>
      <c r="J613">
        <v>2020</v>
      </c>
      <c r="K613" t="s">
        <v>60</v>
      </c>
      <c r="N613" t="s">
        <v>99</v>
      </c>
      <c r="AI613">
        <f t="shared" si="19"/>
        <v>1</v>
      </c>
      <c r="AJ613">
        <f>'TABLA PREVIOS'!E613</f>
        <v>284</v>
      </c>
      <c r="AK613">
        <f>VLOOKUP(E613,ALUMNOS!A:B,2,FALSE)</f>
        <v>304</v>
      </c>
    </row>
    <row r="614" spans="2:37" x14ac:dyDescent="0.25">
      <c r="B614" t="str">
        <f t="shared" si="18"/>
        <v>43609636DERECHO6º</v>
      </c>
      <c r="C614" t="s">
        <v>285</v>
      </c>
      <c r="D614" t="s">
        <v>128</v>
      </c>
      <c r="E614">
        <v>43609636</v>
      </c>
      <c r="F614" t="s">
        <v>324</v>
      </c>
      <c r="G614" t="s">
        <v>38</v>
      </c>
      <c r="H614" t="s">
        <v>245</v>
      </c>
      <c r="I614" t="s">
        <v>43</v>
      </c>
      <c r="J614">
        <v>2020</v>
      </c>
      <c r="K614" t="s">
        <v>60</v>
      </c>
      <c r="N614" t="s">
        <v>99</v>
      </c>
      <c r="AI614">
        <f t="shared" si="19"/>
        <v>1</v>
      </c>
      <c r="AJ614">
        <f>'TABLA PREVIOS'!E614</f>
        <v>287</v>
      </c>
      <c r="AK614">
        <f>VLOOKUP(E614,ALUMNOS!A:B,2,FALSE)</f>
        <v>304</v>
      </c>
    </row>
    <row r="615" spans="2:37" x14ac:dyDescent="0.25">
      <c r="B615" t="str">
        <f t="shared" si="18"/>
        <v>43609636ECONOMÍA6º</v>
      </c>
      <c r="C615" t="s">
        <v>285</v>
      </c>
      <c r="D615" t="s">
        <v>128</v>
      </c>
      <c r="E615">
        <v>43609636</v>
      </c>
      <c r="F615" t="s">
        <v>324</v>
      </c>
      <c r="G615" t="s">
        <v>34</v>
      </c>
      <c r="H615" t="s">
        <v>245</v>
      </c>
      <c r="I615" t="s">
        <v>43</v>
      </c>
      <c r="J615">
        <v>2020</v>
      </c>
      <c r="K615" t="s">
        <v>60</v>
      </c>
      <c r="N615" t="s">
        <v>99</v>
      </c>
      <c r="AI615">
        <f t="shared" si="19"/>
        <v>1</v>
      </c>
      <c r="AJ615">
        <f>'TABLA PREVIOS'!E615</f>
        <v>286</v>
      </c>
      <c r="AK615">
        <f>VLOOKUP(E615,ALUMNOS!A:B,2,FALSE)</f>
        <v>304</v>
      </c>
    </row>
    <row r="616" spans="2:37" x14ac:dyDescent="0.25">
      <c r="B616" t="str">
        <f t="shared" si="18"/>
        <v>43609636EDUCACIÓN FÍSICA6º</v>
      </c>
      <c r="C616" t="s">
        <v>285</v>
      </c>
      <c r="D616" t="s">
        <v>128</v>
      </c>
      <c r="E616">
        <v>43609636</v>
      </c>
      <c r="F616" t="s">
        <v>324</v>
      </c>
      <c r="G616" t="s">
        <v>10</v>
      </c>
      <c r="H616" t="s">
        <v>245</v>
      </c>
      <c r="I616" t="s">
        <v>43</v>
      </c>
      <c r="J616">
        <v>2020</v>
      </c>
      <c r="K616" t="s">
        <v>60</v>
      </c>
      <c r="N616" t="s">
        <v>99</v>
      </c>
      <c r="AI616">
        <f t="shared" si="19"/>
        <v>1</v>
      </c>
      <c r="AJ616">
        <f>'TABLA PREVIOS'!E616</f>
        <v>278</v>
      </c>
      <c r="AK616">
        <f>VLOOKUP(E616,ALUMNOS!A:B,2,FALSE)</f>
        <v>304</v>
      </c>
    </row>
    <row r="617" spans="2:37" x14ac:dyDescent="0.25">
      <c r="B617" t="str">
        <f t="shared" si="18"/>
        <v>43609636FILOSOFÍA6º</v>
      </c>
      <c r="C617" t="s">
        <v>285</v>
      </c>
      <c r="D617" t="s">
        <v>128</v>
      </c>
      <c r="E617">
        <v>43609636</v>
      </c>
      <c r="F617" t="s">
        <v>324</v>
      </c>
      <c r="G617" t="s">
        <v>41</v>
      </c>
      <c r="H617" t="s">
        <v>245</v>
      </c>
      <c r="I617" t="s">
        <v>43</v>
      </c>
      <c r="J617">
        <v>2020</v>
      </c>
      <c r="K617" t="s">
        <v>60</v>
      </c>
      <c r="N617" t="s">
        <v>99</v>
      </c>
      <c r="AI617">
        <f t="shared" si="19"/>
        <v>1</v>
      </c>
      <c r="AJ617">
        <f>'TABLA PREVIOS'!E617</f>
        <v>292</v>
      </c>
      <c r="AK617">
        <f>VLOOKUP(E617,ALUMNOS!A:B,2,FALSE)</f>
        <v>304</v>
      </c>
    </row>
    <row r="618" spans="2:37" x14ac:dyDescent="0.25">
      <c r="B618" t="str">
        <f t="shared" si="18"/>
        <v>43609636FORMACIÓN PARA LA VIDA Y EL TRABAJO6º</v>
      </c>
      <c r="C618" t="s">
        <v>285</v>
      </c>
      <c r="D618" t="s">
        <v>128</v>
      </c>
      <c r="E618">
        <v>43609636</v>
      </c>
      <c r="F618" t="s">
        <v>324</v>
      </c>
      <c r="G618" t="s">
        <v>28</v>
      </c>
      <c r="H618" t="s">
        <v>245</v>
      </c>
      <c r="I618" t="s">
        <v>43</v>
      </c>
      <c r="J618">
        <v>2020</v>
      </c>
      <c r="K618" t="s">
        <v>60</v>
      </c>
      <c r="N618" t="s">
        <v>99</v>
      </c>
      <c r="AI618">
        <f t="shared" si="19"/>
        <v>1</v>
      </c>
      <c r="AJ618">
        <f>'TABLA PREVIOS'!E618</f>
        <v>291</v>
      </c>
      <c r="AK618">
        <f>VLOOKUP(E618,ALUMNOS!A:B,2,FALSE)</f>
        <v>304</v>
      </c>
    </row>
    <row r="619" spans="2:37" x14ac:dyDescent="0.25">
      <c r="B619" t="str">
        <f t="shared" si="18"/>
        <v>43609636LENGUA EXTRANJERA - INGLÉS6º</v>
      </c>
      <c r="C619" t="s">
        <v>285</v>
      </c>
      <c r="D619" t="s">
        <v>128</v>
      </c>
      <c r="E619">
        <v>43609636</v>
      </c>
      <c r="F619" t="s">
        <v>324</v>
      </c>
      <c r="G619" t="s">
        <v>16</v>
      </c>
      <c r="H619" t="s">
        <v>245</v>
      </c>
      <c r="I619" t="s">
        <v>43</v>
      </c>
      <c r="J619">
        <v>2020</v>
      </c>
      <c r="K619" t="s">
        <v>60</v>
      </c>
      <c r="N619" t="s">
        <v>99</v>
      </c>
      <c r="AI619">
        <f t="shared" si="19"/>
        <v>1</v>
      </c>
      <c r="AJ619">
        <f>'TABLA PREVIOS'!E619</f>
        <v>282</v>
      </c>
      <c r="AK619">
        <f>VLOOKUP(E619,ALUMNOS!A:B,2,FALSE)</f>
        <v>304</v>
      </c>
    </row>
    <row r="620" spans="2:37" x14ac:dyDescent="0.25">
      <c r="B620" t="str">
        <f t="shared" si="18"/>
        <v>43609636LENGUA Y LITERATURA6º</v>
      </c>
      <c r="C620" t="s">
        <v>285</v>
      </c>
      <c r="D620" t="s">
        <v>128</v>
      </c>
      <c r="E620">
        <v>43609636</v>
      </c>
      <c r="F620" t="s">
        <v>324</v>
      </c>
      <c r="G620" t="s">
        <v>11</v>
      </c>
      <c r="H620" t="s">
        <v>245</v>
      </c>
      <c r="I620" t="s">
        <v>43</v>
      </c>
      <c r="J620">
        <v>2020</v>
      </c>
      <c r="K620" t="s">
        <v>60</v>
      </c>
      <c r="N620" t="s">
        <v>99</v>
      </c>
      <c r="AI620">
        <f t="shared" si="19"/>
        <v>1</v>
      </c>
      <c r="AJ620">
        <f>'TABLA PREVIOS'!E620</f>
        <v>279</v>
      </c>
      <c r="AK620">
        <f>VLOOKUP(E620,ALUMNOS!A:B,2,FALSE)</f>
        <v>304</v>
      </c>
    </row>
    <row r="621" spans="2:37" x14ac:dyDescent="0.25">
      <c r="B621" t="str">
        <f t="shared" si="18"/>
        <v>43609636MATEMÁTICA6º</v>
      </c>
      <c r="C621" t="s">
        <v>285</v>
      </c>
      <c r="D621" t="s">
        <v>128</v>
      </c>
      <c r="E621">
        <v>43609636</v>
      </c>
      <c r="F621" t="s">
        <v>324</v>
      </c>
      <c r="G621" t="s">
        <v>12</v>
      </c>
      <c r="H621" t="s">
        <v>245</v>
      </c>
      <c r="I621" t="s">
        <v>43</v>
      </c>
      <c r="J621">
        <v>2020</v>
      </c>
      <c r="K621" t="s">
        <v>60</v>
      </c>
      <c r="N621" t="s">
        <v>99</v>
      </c>
      <c r="AI621">
        <f t="shared" si="19"/>
        <v>1</v>
      </c>
      <c r="AJ621">
        <f>'TABLA PREVIOS'!E621</f>
        <v>280</v>
      </c>
      <c r="AK621">
        <f>VLOOKUP(E621,ALUMNOS!A:B,2,FALSE)</f>
        <v>304</v>
      </c>
    </row>
    <row r="622" spans="2:37" x14ac:dyDescent="0.25">
      <c r="B622" t="str">
        <f t="shared" si="18"/>
        <v>43609636QUÍMICA6º</v>
      </c>
      <c r="C622" t="s">
        <v>285</v>
      </c>
      <c r="D622" t="s">
        <v>128</v>
      </c>
      <c r="E622">
        <v>43609636</v>
      </c>
      <c r="F622" t="s">
        <v>324</v>
      </c>
      <c r="G622" t="s">
        <v>25</v>
      </c>
      <c r="H622" t="s">
        <v>245</v>
      </c>
      <c r="I622" t="s">
        <v>43</v>
      </c>
      <c r="J622">
        <v>2020</v>
      </c>
      <c r="K622" t="s">
        <v>60</v>
      </c>
      <c r="N622" t="s">
        <v>99</v>
      </c>
      <c r="AI622">
        <f t="shared" si="19"/>
        <v>1</v>
      </c>
      <c r="AJ622">
        <f>'TABLA PREVIOS'!E622</f>
        <v>281</v>
      </c>
      <c r="AK622">
        <f>VLOOKUP(E622,ALUMNOS!A:B,2,FALSE)</f>
        <v>304</v>
      </c>
    </row>
    <row r="623" spans="2:37" x14ac:dyDescent="0.25">
      <c r="B623" t="str">
        <f t="shared" si="18"/>
        <v>43609636RESPONSABILIDAD SOCIAL DE LAS ORGANIZACIONES6º</v>
      </c>
      <c r="C623" t="s">
        <v>285</v>
      </c>
      <c r="D623" t="s">
        <v>128</v>
      </c>
      <c r="E623">
        <v>43609636</v>
      </c>
      <c r="F623" t="s">
        <v>324</v>
      </c>
      <c r="G623" t="s">
        <v>39</v>
      </c>
      <c r="H623" t="s">
        <v>245</v>
      </c>
      <c r="I623" t="s">
        <v>43</v>
      </c>
      <c r="J623">
        <v>2020</v>
      </c>
      <c r="K623" t="s">
        <v>60</v>
      </c>
      <c r="N623" t="s">
        <v>99</v>
      </c>
      <c r="AI623">
        <f t="shared" si="19"/>
        <v>1</v>
      </c>
      <c r="AJ623">
        <f>'TABLA PREVIOS'!E623</f>
        <v>288</v>
      </c>
      <c r="AK623">
        <f>VLOOKUP(E623,ALUMNOS!A:B,2,FALSE)</f>
        <v>304</v>
      </c>
    </row>
    <row r="624" spans="2:37" x14ac:dyDescent="0.25">
      <c r="B624" t="str">
        <f t="shared" si="18"/>
        <v>43609636SISTEMAS DE INFORMACIÓN CONTABLE6º</v>
      </c>
      <c r="C624" t="s">
        <v>285</v>
      </c>
      <c r="D624" t="s">
        <v>128</v>
      </c>
      <c r="E624">
        <v>43609636</v>
      </c>
      <c r="F624" t="s">
        <v>324</v>
      </c>
      <c r="G624" t="s">
        <v>29</v>
      </c>
      <c r="H624" t="s">
        <v>245</v>
      </c>
      <c r="I624" t="s">
        <v>43</v>
      </c>
      <c r="J624">
        <v>2020</v>
      </c>
      <c r="K624" t="s">
        <v>60</v>
      </c>
      <c r="N624" t="s">
        <v>99</v>
      </c>
      <c r="AI624">
        <f t="shared" si="19"/>
        <v>1</v>
      </c>
      <c r="AJ624">
        <f>'TABLA PREVIOS'!E624</f>
        <v>290</v>
      </c>
      <c r="AK624">
        <f>VLOOKUP(E624,ALUMNOS!A:B,2,FALSE)</f>
        <v>304</v>
      </c>
    </row>
    <row r="625" spans="2:37" x14ac:dyDescent="0.25">
      <c r="B625" t="str">
        <f t="shared" si="18"/>
        <v>44296634LENGUA EXTRANJERA - INGLÉS5º</v>
      </c>
      <c r="C625" t="s">
        <v>285</v>
      </c>
      <c r="D625" t="s">
        <v>128</v>
      </c>
      <c r="E625">
        <v>44296634</v>
      </c>
      <c r="F625" t="s">
        <v>325</v>
      </c>
      <c r="G625" t="s">
        <v>16</v>
      </c>
      <c r="H625" t="s">
        <v>220</v>
      </c>
      <c r="I625" t="s">
        <v>43</v>
      </c>
      <c r="J625">
        <v>2019</v>
      </c>
      <c r="K625" t="s">
        <v>60</v>
      </c>
      <c r="N625" t="s">
        <v>99</v>
      </c>
      <c r="AI625">
        <f t="shared" si="19"/>
        <v>1</v>
      </c>
      <c r="AJ625">
        <f>'TABLA PREVIOS'!E625</f>
        <v>269</v>
      </c>
      <c r="AK625">
        <f>VLOOKUP(E625,ALUMNOS!A:B,2,FALSE)</f>
        <v>775</v>
      </c>
    </row>
    <row r="626" spans="2:37" x14ac:dyDescent="0.25">
      <c r="B626" t="str">
        <f t="shared" si="18"/>
        <v>44296634MATEMÁTICA5º</v>
      </c>
      <c r="C626" t="s">
        <v>285</v>
      </c>
      <c r="D626" t="s">
        <v>128</v>
      </c>
      <c r="E626">
        <v>44296634</v>
      </c>
      <c r="F626" t="s">
        <v>325</v>
      </c>
      <c r="G626" t="s">
        <v>12</v>
      </c>
      <c r="H626" t="s">
        <v>220</v>
      </c>
      <c r="I626" t="s">
        <v>43</v>
      </c>
      <c r="J626">
        <v>2019</v>
      </c>
      <c r="K626" t="s">
        <v>60</v>
      </c>
      <c r="N626" t="s">
        <v>99</v>
      </c>
      <c r="AI626">
        <f t="shared" si="19"/>
        <v>1</v>
      </c>
      <c r="AJ626">
        <f>'TABLA PREVIOS'!E626</f>
        <v>265</v>
      </c>
      <c r="AK626">
        <f>VLOOKUP(E626,ALUMNOS!A:B,2,FALSE)</f>
        <v>775</v>
      </c>
    </row>
    <row r="627" spans="2:37" x14ac:dyDescent="0.25">
      <c r="B627" t="str">
        <f t="shared" si="18"/>
        <v>44296634ADMINISTRACIÓN6º</v>
      </c>
      <c r="C627" t="s">
        <v>285</v>
      </c>
      <c r="D627" t="s">
        <v>128</v>
      </c>
      <c r="E627">
        <v>44296634</v>
      </c>
      <c r="F627" t="s">
        <v>325</v>
      </c>
      <c r="G627" t="s">
        <v>30</v>
      </c>
      <c r="H627" t="s">
        <v>245</v>
      </c>
      <c r="I627" t="s">
        <v>43</v>
      </c>
      <c r="J627">
        <v>2020</v>
      </c>
      <c r="K627" t="s">
        <v>60</v>
      </c>
      <c r="N627" t="s">
        <v>99</v>
      </c>
      <c r="AI627">
        <f t="shared" si="19"/>
        <v>1</v>
      </c>
      <c r="AJ627">
        <f>'TABLA PREVIOS'!E627</f>
        <v>285</v>
      </c>
      <c r="AK627">
        <f>VLOOKUP(E627,ALUMNOS!A:B,2,FALSE)</f>
        <v>775</v>
      </c>
    </row>
    <row r="628" spans="2:37" x14ac:dyDescent="0.25">
      <c r="B628" t="str">
        <f t="shared" si="18"/>
        <v>44296634ADMINISTRACIÓN FINANCIERA6º</v>
      </c>
      <c r="C628" t="s">
        <v>285</v>
      </c>
      <c r="D628" t="s">
        <v>128</v>
      </c>
      <c r="E628">
        <v>44296634</v>
      </c>
      <c r="F628" t="s">
        <v>325</v>
      </c>
      <c r="G628" t="s">
        <v>40</v>
      </c>
      <c r="H628" t="s">
        <v>245</v>
      </c>
      <c r="I628" t="s">
        <v>43</v>
      </c>
      <c r="J628">
        <v>2020</v>
      </c>
      <c r="K628" t="s">
        <v>60</v>
      </c>
      <c r="N628" t="s">
        <v>99</v>
      </c>
      <c r="AI628">
        <f t="shared" si="19"/>
        <v>1</v>
      </c>
      <c r="AJ628">
        <f>'TABLA PREVIOS'!E628</f>
        <v>289</v>
      </c>
      <c r="AK628">
        <f>VLOOKUP(E628,ALUMNOS!A:B,2,FALSE)</f>
        <v>775</v>
      </c>
    </row>
    <row r="629" spans="2:37" x14ac:dyDescent="0.25">
      <c r="B629" t="str">
        <f t="shared" si="18"/>
        <v>44296634CIUDADANÍA Y POLÍTICA6º</v>
      </c>
      <c r="C629" t="s">
        <v>285</v>
      </c>
      <c r="D629" t="s">
        <v>128</v>
      </c>
      <c r="E629">
        <v>44296634</v>
      </c>
      <c r="F629" t="s">
        <v>325</v>
      </c>
      <c r="G629" t="s">
        <v>37</v>
      </c>
      <c r="H629" t="s">
        <v>245</v>
      </c>
      <c r="I629" t="s">
        <v>43</v>
      </c>
      <c r="J629">
        <v>2020</v>
      </c>
      <c r="K629" t="s">
        <v>60</v>
      </c>
      <c r="N629" t="s">
        <v>99</v>
      </c>
      <c r="AI629">
        <f t="shared" si="19"/>
        <v>1</v>
      </c>
      <c r="AJ629">
        <f>'TABLA PREVIOS'!E629</f>
        <v>284</v>
      </c>
      <c r="AK629">
        <f>VLOOKUP(E629,ALUMNOS!A:B,2,FALSE)</f>
        <v>775</v>
      </c>
    </row>
    <row r="630" spans="2:37" x14ac:dyDescent="0.25">
      <c r="B630" t="str">
        <f t="shared" si="18"/>
        <v>44296634DERECHO6º</v>
      </c>
      <c r="C630" t="s">
        <v>285</v>
      </c>
      <c r="D630" t="s">
        <v>128</v>
      </c>
      <c r="E630">
        <v>44296634</v>
      </c>
      <c r="F630" t="s">
        <v>325</v>
      </c>
      <c r="G630" t="s">
        <v>38</v>
      </c>
      <c r="H630" t="s">
        <v>245</v>
      </c>
      <c r="I630" t="s">
        <v>43</v>
      </c>
      <c r="J630">
        <v>2020</v>
      </c>
      <c r="K630" t="s">
        <v>60</v>
      </c>
      <c r="N630" t="s">
        <v>99</v>
      </c>
      <c r="AI630">
        <f t="shared" si="19"/>
        <v>1</v>
      </c>
      <c r="AJ630">
        <f>'TABLA PREVIOS'!E630</f>
        <v>287</v>
      </c>
      <c r="AK630">
        <f>VLOOKUP(E630,ALUMNOS!A:B,2,FALSE)</f>
        <v>775</v>
      </c>
    </row>
    <row r="631" spans="2:37" x14ac:dyDescent="0.25">
      <c r="B631" t="str">
        <f t="shared" si="18"/>
        <v>44296634ECONOMÍA6º</v>
      </c>
      <c r="C631" t="s">
        <v>285</v>
      </c>
      <c r="D631" t="s">
        <v>128</v>
      </c>
      <c r="E631">
        <v>44296634</v>
      </c>
      <c r="F631" t="s">
        <v>325</v>
      </c>
      <c r="G631" t="s">
        <v>34</v>
      </c>
      <c r="H631" t="s">
        <v>245</v>
      </c>
      <c r="I631" t="s">
        <v>43</v>
      </c>
      <c r="J631">
        <v>2020</v>
      </c>
      <c r="K631" t="s">
        <v>60</v>
      </c>
      <c r="N631" t="s">
        <v>99</v>
      </c>
      <c r="AI631">
        <f t="shared" si="19"/>
        <v>1</v>
      </c>
      <c r="AJ631">
        <f>'TABLA PREVIOS'!E631</f>
        <v>286</v>
      </c>
      <c r="AK631">
        <f>VLOOKUP(E631,ALUMNOS!A:B,2,FALSE)</f>
        <v>775</v>
      </c>
    </row>
    <row r="632" spans="2:37" x14ac:dyDescent="0.25">
      <c r="B632" t="str">
        <f t="shared" si="18"/>
        <v>44296634EDUCACIÓN FÍSICA6º</v>
      </c>
      <c r="C632" t="s">
        <v>285</v>
      </c>
      <c r="D632" t="s">
        <v>128</v>
      </c>
      <c r="E632">
        <v>44296634</v>
      </c>
      <c r="F632" t="s">
        <v>325</v>
      </c>
      <c r="G632" t="s">
        <v>10</v>
      </c>
      <c r="H632" t="s">
        <v>245</v>
      </c>
      <c r="I632" t="s">
        <v>43</v>
      </c>
      <c r="J632">
        <v>2020</v>
      </c>
      <c r="K632" t="s">
        <v>60</v>
      </c>
      <c r="N632" t="s">
        <v>99</v>
      </c>
      <c r="AI632">
        <f t="shared" si="19"/>
        <v>1</v>
      </c>
      <c r="AJ632">
        <f>'TABLA PREVIOS'!E632</f>
        <v>278</v>
      </c>
      <c r="AK632">
        <f>VLOOKUP(E632,ALUMNOS!A:B,2,FALSE)</f>
        <v>775</v>
      </c>
    </row>
    <row r="633" spans="2:37" x14ac:dyDescent="0.25">
      <c r="B633" t="str">
        <f t="shared" si="18"/>
        <v>44296634FILOSOFÍA6º</v>
      </c>
      <c r="C633" t="s">
        <v>285</v>
      </c>
      <c r="D633" t="s">
        <v>128</v>
      </c>
      <c r="E633">
        <v>44296634</v>
      </c>
      <c r="F633" t="s">
        <v>325</v>
      </c>
      <c r="G633" t="s">
        <v>41</v>
      </c>
      <c r="H633" t="s">
        <v>245</v>
      </c>
      <c r="I633" t="s">
        <v>43</v>
      </c>
      <c r="J633">
        <v>2020</v>
      </c>
      <c r="K633" t="s">
        <v>60</v>
      </c>
      <c r="N633" t="s">
        <v>99</v>
      </c>
      <c r="AI633">
        <f t="shared" si="19"/>
        <v>1</v>
      </c>
      <c r="AJ633">
        <f>'TABLA PREVIOS'!E633</f>
        <v>292</v>
      </c>
      <c r="AK633">
        <f>VLOOKUP(E633,ALUMNOS!A:B,2,FALSE)</f>
        <v>775</v>
      </c>
    </row>
    <row r="634" spans="2:37" x14ac:dyDescent="0.25">
      <c r="B634" t="str">
        <f t="shared" si="18"/>
        <v>44296634FORMACIÓN PARA LA VIDA Y EL TRABAJO6º</v>
      </c>
      <c r="C634" t="s">
        <v>285</v>
      </c>
      <c r="D634" t="s">
        <v>128</v>
      </c>
      <c r="E634">
        <v>44296634</v>
      </c>
      <c r="F634" t="s">
        <v>325</v>
      </c>
      <c r="G634" t="s">
        <v>28</v>
      </c>
      <c r="H634" t="s">
        <v>245</v>
      </c>
      <c r="I634" t="s">
        <v>43</v>
      </c>
      <c r="J634">
        <v>2020</v>
      </c>
      <c r="K634" t="s">
        <v>60</v>
      </c>
      <c r="N634" t="s">
        <v>99</v>
      </c>
      <c r="AI634">
        <f t="shared" si="19"/>
        <v>1</v>
      </c>
      <c r="AJ634">
        <f>'TABLA PREVIOS'!E634</f>
        <v>291</v>
      </c>
      <c r="AK634">
        <f>VLOOKUP(E634,ALUMNOS!A:B,2,FALSE)</f>
        <v>775</v>
      </c>
    </row>
    <row r="635" spans="2:37" x14ac:dyDescent="0.25">
      <c r="B635" t="str">
        <f t="shared" si="18"/>
        <v>44296634LENGUA EXTRANJERA - INGLÉS6º</v>
      </c>
      <c r="C635" t="s">
        <v>285</v>
      </c>
      <c r="D635" t="s">
        <v>128</v>
      </c>
      <c r="E635">
        <v>44296634</v>
      </c>
      <c r="F635" t="s">
        <v>325</v>
      </c>
      <c r="G635" t="s">
        <v>16</v>
      </c>
      <c r="H635" t="s">
        <v>245</v>
      </c>
      <c r="I635" t="s">
        <v>43</v>
      </c>
      <c r="J635">
        <v>2020</v>
      </c>
      <c r="K635" t="s">
        <v>60</v>
      </c>
      <c r="N635" t="s">
        <v>99</v>
      </c>
      <c r="AI635">
        <f t="shared" si="19"/>
        <v>1</v>
      </c>
      <c r="AJ635">
        <f>'TABLA PREVIOS'!E635</f>
        <v>282</v>
      </c>
      <c r="AK635">
        <f>VLOOKUP(E635,ALUMNOS!A:B,2,FALSE)</f>
        <v>775</v>
      </c>
    </row>
    <row r="636" spans="2:37" x14ac:dyDescent="0.25">
      <c r="B636" t="str">
        <f t="shared" si="18"/>
        <v>44296634LENGUA Y LITERATURA6º</v>
      </c>
      <c r="C636" t="s">
        <v>285</v>
      </c>
      <c r="D636" t="s">
        <v>128</v>
      </c>
      <c r="E636">
        <v>44296634</v>
      </c>
      <c r="F636" t="s">
        <v>325</v>
      </c>
      <c r="G636" t="s">
        <v>11</v>
      </c>
      <c r="H636" t="s">
        <v>245</v>
      </c>
      <c r="I636" t="s">
        <v>43</v>
      </c>
      <c r="J636">
        <v>2020</v>
      </c>
      <c r="K636" t="s">
        <v>60</v>
      </c>
      <c r="N636" t="s">
        <v>99</v>
      </c>
      <c r="AI636">
        <f t="shared" si="19"/>
        <v>1</v>
      </c>
      <c r="AJ636">
        <f>'TABLA PREVIOS'!E636</f>
        <v>279</v>
      </c>
      <c r="AK636">
        <f>VLOOKUP(E636,ALUMNOS!A:B,2,FALSE)</f>
        <v>775</v>
      </c>
    </row>
    <row r="637" spans="2:37" x14ac:dyDescent="0.25">
      <c r="B637" t="str">
        <f t="shared" si="18"/>
        <v>44296634MATEMÁTICA6º</v>
      </c>
      <c r="C637" t="s">
        <v>285</v>
      </c>
      <c r="D637" t="s">
        <v>128</v>
      </c>
      <c r="E637">
        <v>44296634</v>
      </c>
      <c r="F637" t="s">
        <v>325</v>
      </c>
      <c r="G637" t="s">
        <v>12</v>
      </c>
      <c r="H637" t="s">
        <v>245</v>
      </c>
      <c r="I637" t="s">
        <v>43</v>
      </c>
      <c r="J637">
        <v>2020</v>
      </c>
      <c r="K637" t="s">
        <v>60</v>
      </c>
      <c r="N637" t="s">
        <v>99</v>
      </c>
      <c r="AI637">
        <f t="shared" si="19"/>
        <v>1</v>
      </c>
      <c r="AJ637">
        <f>'TABLA PREVIOS'!E637</f>
        <v>280</v>
      </c>
      <c r="AK637">
        <f>VLOOKUP(E637,ALUMNOS!A:B,2,FALSE)</f>
        <v>775</v>
      </c>
    </row>
    <row r="638" spans="2:37" x14ac:dyDescent="0.25">
      <c r="B638" t="str">
        <f t="shared" si="18"/>
        <v>44296634QUÍMICA6º</v>
      </c>
      <c r="C638" t="s">
        <v>285</v>
      </c>
      <c r="D638" t="s">
        <v>128</v>
      </c>
      <c r="E638">
        <v>44296634</v>
      </c>
      <c r="F638" t="s">
        <v>325</v>
      </c>
      <c r="G638" t="s">
        <v>25</v>
      </c>
      <c r="H638" t="s">
        <v>245</v>
      </c>
      <c r="I638" t="s">
        <v>43</v>
      </c>
      <c r="J638">
        <v>2020</v>
      </c>
      <c r="K638" t="s">
        <v>60</v>
      </c>
      <c r="N638" t="s">
        <v>99</v>
      </c>
      <c r="AI638">
        <f t="shared" si="19"/>
        <v>1</v>
      </c>
      <c r="AJ638">
        <f>'TABLA PREVIOS'!E638</f>
        <v>281</v>
      </c>
      <c r="AK638">
        <f>VLOOKUP(E638,ALUMNOS!A:B,2,FALSE)</f>
        <v>775</v>
      </c>
    </row>
    <row r="639" spans="2:37" x14ac:dyDescent="0.25">
      <c r="B639" t="str">
        <f t="shared" si="18"/>
        <v>44296634SISTEMAS DE INFORMACIÓN CONTABLE6º</v>
      </c>
      <c r="C639" t="s">
        <v>285</v>
      </c>
      <c r="D639" t="s">
        <v>128</v>
      </c>
      <c r="E639">
        <v>44296634</v>
      </c>
      <c r="F639" t="s">
        <v>325</v>
      </c>
      <c r="G639" t="s">
        <v>29</v>
      </c>
      <c r="H639" t="s">
        <v>245</v>
      </c>
      <c r="I639" t="s">
        <v>43</v>
      </c>
      <c r="J639">
        <v>2020</v>
      </c>
      <c r="K639" t="s">
        <v>60</v>
      </c>
      <c r="N639" t="s">
        <v>99</v>
      </c>
      <c r="AI639">
        <f t="shared" si="19"/>
        <v>1</v>
      </c>
      <c r="AJ639">
        <f>'TABLA PREVIOS'!E639</f>
        <v>290</v>
      </c>
      <c r="AK639">
        <f>VLOOKUP(E639,ALUMNOS!A:B,2,FALSE)</f>
        <v>775</v>
      </c>
    </row>
    <row r="640" spans="2:37" x14ac:dyDescent="0.25">
      <c r="B640" t="str">
        <f t="shared" si="18"/>
        <v>44938174ADMINISTRACIÓN6º</v>
      </c>
      <c r="C640" t="s">
        <v>326</v>
      </c>
      <c r="D640" t="s">
        <v>96</v>
      </c>
      <c r="E640">
        <v>44938174</v>
      </c>
      <c r="F640" t="s">
        <v>327</v>
      </c>
      <c r="G640" t="s">
        <v>30</v>
      </c>
      <c r="H640" t="s">
        <v>245</v>
      </c>
      <c r="I640" t="s">
        <v>43</v>
      </c>
      <c r="J640">
        <v>2021</v>
      </c>
      <c r="K640" t="s">
        <v>60</v>
      </c>
      <c r="N640" t="s">
        <v>99</v>
      </c>
      <c r="AI640">
        <f t="shared" si="19"/>
        <v>1</v>
      </c>
      <c r="AJ640">
        <f>'TABLA PREVIOS'!E640</f>
        <v>285</v>
      </c>
      <c r="AK640">
        <f>VLOOKUP(E640,ALUMNOS!A:B,2,FALSE)</f>
        <v>13</v>
      </c>
    </row>
    <row r="641" spans="2:37" x14ac:dyDescent="0.25">
      <c r="B641" t="str">
        <f t="shared" si="18"/>
        <v>44938174ADMINISTRACIÓN FINANCIERA6º</v>
      </c>
      <c r="C641" t="s">
        <v>326</v>
      </c>
      <c r="D641" t="s">
        <v>96</v>
      </c>
      <c r="E641">
        <v>44938174</v>
      </c>
      <c r="F641" t="s">
        <v>327</v>
      </c>
      <c r="G641" t="s">
        <v>40</v>
      </c>
      <c r="H641" t="s">
        <v>245</v>
      </c>
      <c r="I641" t="s">
        <v>43</v>
      </c>
      <c r="J641">
        <v>2021</v>
      </c>
      <c r="K641" t="s">
        <v>60</v>
      </c>
      <c r="N641" t="s">
        <v>99</v>
      </c>
      <c r="AI641">
        <f t="shared" si="19"/>
        <v>1</v>
      </c>
      <c r="AJ641">
        <f>'TABLA PREVIOS'!E641</f>
        <v>289</v>
      </c>
      <c r="AK641">
        <f>VLOOKUP(E641,ALUMNOS!A:B,2,FALSE)</f>
        <v>13</v>
      </c>
    </row>
    <row r="642" spans="2:37" x14ac:dyDescent="0.25">
      <c r="B642" t="str">
        <f t="shared" si="18"/>
        <v>44938174DERECHO6º</v>
      </c>
      <c r="C642" t="s">
        <v>326</v>
      </c>
      <c r="D642" t="s">
        <v>96</v>
      </c>
      <c r="E642">
        <v>44938174</v>
      </c>
      <c r="F642" t="s">
        <v>327</v>
      </c>
      <c r="G642" t="s">
        <v>38</v>
      </c>
      <c r="H642" t="s">
        <v>245</v>
      </c>
      <c r="I642" t="s">
        <v>43</v>
      </c>
      <c r="J642">
        <v>2021</v>
      </c>
      <c r="K642" t="s">
        <v>60</v>
      </c>
      <c r="N642" t="s">
        <v>99</v>
      </c>
      <c r="AI642">
        <f t="shared" si="19"/>
        <v>1</v>
      </c>
      <c r="AJ642">
        <f>'TABLA PREVIOS'!E642</f>
        <v>287</v>
      </c>
      <c r="AK642">
        <f>VLOOKUP(E642,ALUMNOS!A:B,2,FALSE)</f>
        <v>13</v>
      </c>
    </row>
    <row r="643" spans="2:37" x14ac:dyDescent="0.25">
      <c r="B643" t="str">
        <f t="shared" ref="B643:B706" si="20">E643&amp;G643&amp;H643</f>
        <v>44938174ECONOMÍA6º</v>
      </c>
      <c r="C643" t="s">
        <v>326</v>
      </c>
      <c r="D643" t="s">
        <v>96</v>
      </c>
      <c r="E643">
        <v>44938174</v>
      </c>
      <c r="F643" t="s">
        <v>327</v>
      </c>
      <c r="G643" t="s">
        <v>34</v>
      </c>
      <c r="H643" t="s">
        <v>245</v>
      </c>
      <c r="I643" t="s">
        <v>43</v>
      </c>
      <c r="J643">
        <v>2021</v>
      </c>
      <c r="K643" t="s">
        <v>60</v>
      </c>
      <c r="N643" t="s">
        <v>99</v>
      </c>
      <c r="AI643">
        <f t="shared" ref="AI643:AI706" si="21">IF(VALUE(MAX(P643,T643,X643,AB643,AE643,))&gt;=7,VALUE(MAX(P643,T643,X643,AB643,AE643,)),1)</f>
        <v>1</v>
      </c>
      <c r="AJ643">
        <f>'TABLA PREVIOS'!E643</f>
        <v>286</v>
      </c>
      <c r="AK643">
        <f>VLOOKUP(E643,ALUMNOS!A:B,2,FALSE)</f>
        <v>13</v>
      </c>
    </row>
    <row r="644" spans="2:37" x14ac:dyDescent="0.25">
      <c r="B644" t="str">
        <f t="shared" si="20"/>
        <v>44938174RESPONSABILIDAD SOCIAL DE LAS ORGANIZACIONES6º</v>
      </c>
      <c r="C644" t="s">
        <v>326</v>
      </c>
      <c r="D644" t="s">
        <v>96</v>
      </c>
      <c r="E644">
        <v>44938174</v>
      </c>
      <c r="F644" t="s">
        <v>327</v>
      </c>
      <c r="G644" t="s">
        <v>39</v>
      </c>
      <c r="H644" t="s">
        <v>245</v>
      </c>
      <c r="I644" t="s">
        <v>43</v>
      </c>
      <c r="J644">
        <v>2021</v>
      </c>
      <c r="K644" t="s">
        <v>60</v>
      </c>
      <c r="N644" t="s">
        <v>99</v>
      </c>
      <c r="AI644">
        <f t="shared" si="21"/>
        <v>1</v>
      </c>
      <c r="AJ644">
        <f>'TABLA PREVIOS'!E644</f>
        <v>288</v>
      </c>
      <c r="AK644">
        <f>VLOOKUP(E644,ALUMNOS!A:B,2,FALSE)</f>
        <v>13</v>
      </c>
    </row>
    <row r="645" spans="2:37" x14ac:dyDescent="0.25">
      <c r="B645" t="str">
        <f t="shared" si="20"/>
        <v>44938174SISTEMAS DE INFORMACIÓN CONTABLE6º</v>
      </c>
      <c r="C645" t="s">
        <v>326</v>
      </c>
      <c r="D645" t="s">
        <v>96</v>
      </c>
      <c r="E645">
        <v>44938174</v>
      </c>
      <c r="F645" t="s">
        <v>327</v>
      </c>
      <c r="G645" t="s">
        <v>29</v>
      </c>
      <c r="H645" t="s">
        <v>245</v>
      </c>
      <c r="I645" t="s">
        <v>43</v>
      </c>
      <c r="J645">
        <v>2021</v>
      </c>
      <c r="K645" t="s">
        <v>60</v>
      </c>
      <c r="N645" t="s">
        <v>99</v>
      </c>
      <c r="AI645">
        <f t="shared" si="21"/>
        <v>1</v>
      </c>
      <c r="AJ645">
        <f>'TABLA PREVIOS'!E645</f>
        <v>290</v>
      </c>
      <c r="AK645">
        <f>VLOOKUP(E645,ALUMNOS!A:B,2,FALSE)</f>
        <v>13</v>
      </c>
    </row>
    <row r="646" spans="2:37" x14ac:dyDescent="0.25">
      <c r="B646" t="str">
        <f t="shared" si="20"/>
        <v>44936781ADMINISTRACIÓN4º</v>
      </c>
      <c r="C646" t="s">
        <v>326</v>
      </c>
      <c r="D646" t="s">
        <v>96</v>
      </c>
      <c r="E646">
        <v>44936781</v>
      </c>
      <c r="F646" t="s">
        <v>328</v>
      </c>
      <c r="G646" t="s">
        <v>30</v>
      </c>
      <c r="H646" t="s">
        <v>190</v>
      </c>
      <c r="I646" t="s">
        <v>44</v>
      </c>
      <c r="J646">
        <v>2019</v>
      </c>
      <c r="K646" t="s">
        <v>60</v>
      </c>
      <c r="N646" t="s">
        <v>99</v>
      </c>
      <c r="AI646">
        <f t="shared" si="21"/>
        <v>1</v>
      </c>
      <c r="AJ646">
        <f>'TABLA PREVIOS'!E646</f>
        <v>260</v>
      </c>
      <c r="AK646">
        <f>VLOOKUP(E646,ALUMNOS!A:B,2,FALSE)</f>
        <v>25</v>
      </c>
    </row>
    <row r="647" spans="2:37" x14ac:dyDescent="0.25">
      <c r="B647" t="str">
        <f t="shared" si="20"/>
        <v>44936781SISTEMAS DE INFORMACIÓN CONTABLE4º</v>
      </c>
      <c r="C647" t="s">
        <v>326</v>
      </c>
      <c r="D647" t="s">
        <v>96</v>
      </c>
      <c r="E647">
        <v>44936781</v>
      </c>
      <c r="F647" t="s">
        <v>328</v>
      </c>
      <c r="G647" t="s">
        <v>29</v>
      </c>
      <c r="H647" t="s">
        <v>190</v>
      </c>
      <c r="I647" t="s">
        <v>44</v>
      </c>
      <c r="J647">
        <v>2019</v>
      </c>
      <c r="K647" t="s">
        <v>60</v>
      </c>
      <c r="N647" t="s">
        <v>99</v>
      </c>
      <c r="AI647">
        <f t="shared" si="21"/>
        <v>1</v>
      </c>
      <c r="AJ647">
        <f>'TABLA PREVIOS'!E647</f>
        <v>259</v>
      </c>
      <c r="AK647">
        <f>VLOOKUP(E647,ALUMNOS!A:B,2,FALSE)</f>
        <v>25</v>
      </c>
    </row>
    <row r="648" spans="2:37" x14ac:dyDescent="0.25">
      <c r="B648" t="str">
        <f t="shared" si="20"/>
        <v>44936781ADMINISTRACIÓN6º</v>
      </c>
      <c r="C648" t="s">
        <v>326</v>
      </c>
      <c r="D648" t="s">
        <v>96</v>
      </c>
      <c r="E648">
        <v>44936781</v>
      </c>
      <c r="F648" t="s">
        <v>328</v>
      </c>
      <c r="G648" t="s">
        <v>30</v>
      </c>
      <c r="H648" t="s">
        <v>245</v>
      </c>
      <c r="I648" t="s">
        <v>43</v>
      </c>
      <c r="J648">
        <v>2021</v>
      </c>
      <c r="K648" t="s">
        <v>60</v>
      </c>
      <c r="N648" t="s">
        <v>99</v>
      </c>
      <c r="AI648">
        <f t="shared" si="21"/>
        <v>1</v>
      </c>
      <c r="AJ648">
        <f>'TABLA PREVIOS'!E648</f>
        <v>285</v>
      </c>
      <c r="AK648">
        <f>VLOOKUP(E648,ALUMNOS!A:B,2,FALSE)</f>
        <v>25</v>
      </c>
    </row>
    <row r="649" spans="2:37" x14ac:dyDescent="0.25">
      <c r="B649" t="str">
        <f t="shared" si="20"/>
        <v>44936781ADMINISTRACIÓN FINANCIERA6º</v>
      </c>
      <c r="C649" t="s">
        <v>326</v>
      </c>
      <c r="D649" t="s">
        <v>96</v>
      </c>
      <c r="E649">
        <v>44936781</v>
      </c>
      <c r="F649" t="s">
        <v>328</v>
      </c>
      <c r="G649" t="s">
        <v>40</v>
      </c>
      <c r="H649" t="s">
        <v>245</v>
      </c>
      <c r="I649" t="s">
        <v>43</v>
      </c>
      <c r="J649">
        <v>2021</v>
      </c>
      <c r="K649" t="s">
        <v>60</v>
      </c>
      <c r="N649" t="s">
        <v>99</v>
      </c>
      <c r="AI649">
        <f t="shared" si="21"/>
        <v>1</v>
      </c>
      <c r="AJ649">
        <f>'TABLA PREVIOS'!E649</f>
        <v>289</v>
      </c>
      <c r="AK649">
        <f>VLOOKUP(E649,ALUMNOS!A:B,2,FALSE)</f>
        <v>25</v>
      </c>
    </row>
    <row r="650" spans="2:37" x14ac:dyDescent="0.25">
      <c r="B650" t="str">
        <f t="shared" si="20"/>
        <v>44936781CIUDADANÍA Y POLÍTICA6º</v>
      </c>
      <c r="C650" t="s">
        <v>326</v>
      </c>
      <c r="D650" t="s">
        <v>96</v>
      </c>
      <c r="E650">
        <v>44936781</v>
      </c>
      <c r="F650" t="s">
        <v>328</v>
      </c>
      <c r="G650" t="s">
        <v>37</v>
      </c>
      <c r="H650" t="s">
        <v>245</v>
      </c>
      <c r="I650" t="s">
        <v>43</v>
      </c>
      <c r="J650">
        <v>2021</v>
      </c>
      <c r="K650" t="s">
        <v>60</v>
      </c>
      <c r="N650" t="s">
        <v>99</v>
      </c>
      <c r="AI650">
        <f t="shared" si="21"/>
        <v>1</v>
      </c>
      <c r="AJ650">
        <f>'TABLA PREVIOS'!E650</f>
        <v>284</v>
      </c>
      <c r="AK650">
        <f>VLOOKUP(E650,ALUMNOS!A:B,2,FALSE)</f>
        <v>25</v>
      </c>
    </row>
    <row r="651" spans="2:37" x14ac:dyDescent="0.25">
      <c r="B651" t="str">
        <f t="shared" si="20"/>
        <v>44936781DERECHO6º</v>
      </c>
      <c r="C651" t="s">
        <v>326</v>
      </c>
      <c r="D651" t="s">
        <v>96</v>
      </c>
      <c r="E651">
        <v>44936781</v>
      </c>
      <c r="F651" t="s">
        <v>328</v>
      </c>
      <c r="G651" t="s">
        <v>38</v>
      </c>
      <c r="H651" t="s">
        <v>245</v>
      </c>
      <c r="I651" t="s">
        <v>43</v>
      </c>
      <c r="J651">
        <v>2021</v>
      </c>
      <c r="K651" t="s">
        <v>60</v>
      </c>
      <c r="N651" t="s">
        <v>99</v>
      </c>
      <c r="AI651">
        <f t="shared" si="21"/>
        <v>1</v>
      </c>
      <c r="AJ651">
        <f>'TABLA PREVIOS'!E651</f>
        <v>287</v>
      </c>
      <c r="AK651">
        <f>VLOOKUP(E651,ALUMNOS!A:B,2,FALSE)</f>
        <v>25</v>
      </c>
    </row>
    <row r="652" spans="2:37" x14ac:dyDescent="0.25">
      <c r="B652" t="str">
        <f t="shared" si="20"/>
        <v>44936781ECONOMÍA6º</v>
      </c>
      <c r="C652" t="s">
        <v>326</v>
      </c>
      <c r="D652" t="s">
        <v>96</v>
      </c>
      <c r="E652">
        <v>44936781</v>
      </c>
      <c r="F652" t="s">
        <v>328</v>
      </c>
      <c r="G652" t="s">
        <v>34</v>
      </c>
      <c r="H652" t="s">
        <v>245</v>
      </c>
      <c r="I652" t="s">
        <v>43</v>
      </c>
      <c r="J652">
        <v>2021</v>
      </c>
      <c r="K652" t="s">
        <v>60</v>
      </c>
      <c r="N652" t="s">
        <v>99</v>
      </c>
      <c r="AI652">
        <f t="shared" si="21"/>
        <v>1</v>
      </c>
      <c r="AJ652">
        <f>'TABLA PREVIOS'!E652</f>
        <v>286</v>
      </c>
      <c r="AK652">
        <f>VLOOKUP(E652,ALUMNOS!A:B,2,FALSE)</f>
        <v>25</v>
      </c>
    </row>
    <row r="653" spans="2:37" x14ac:dyDescent="0.25">
      <c r="B653" t="str">
        <f t="shared" si="20"/>
        <v>44936781FILOSOFÍA6º</v>
      </c>
      <c r="C653" t="s">
        <v>326</v>
      </c>
      <c r="D653" t="s">
        <v>96</v>
      </c>
      <c r="E653">
        <v>44936781</v>
      </c>
      <c r="F653" t="s">
        <v>328</v>
      </c>
      <c r="G653" t="s">
        <v>41</v>
      </c>
      <c r="H653" t="s">
        <v>245</v>
      </c>
      <c r="I653" t="s">
        <v>43</v>
      </c>
      <c r="J653">
        <v>2021</v>
      </c>
      <c r="K653" t="s">
        <v>60</v>
      </c>
      <c r="N653" t="s">
        <v>99</v>
      </c>
      <c r="AI653">
        <f t="shared" si="21"/>
        <v>1</v>
      </c>
      <c r="AJ653">
        <f>'TABLA PREVIOS'!E653</f>
        <v>292</v>
      </c>
      <c r="AK653">
        <f>VLOOKUP(E653,ALUMNOS!A:B,2,FALSE)</f>
        <v>25</v>
      </c>
    </row>
    <row r="654" spans="2:37" x14ac:dyDescent="0.25">
      <c r="B654" t="str">
        <f t="shared" si="20"/>
        <v>44936781FORMACIÓN PARA LA VIDA Y EL TRABAJO6º</v>
      </c>
      <c r="C654" t="s">
        <v>326</v>
      </c>
      <c r="D654" t="s">
        <v>96</v>
      </c>
      <c r="E654">
        <v>44936781</v>
      </c>
      <c r="F654" t="s">
        <v>328</v>
      </c>
      <c r="G654" t="s">
        <v>28</v>
      </c>
      <c r="H654" t="s">
        <v>245</v>
      </c>
      <c r="I654" t="s">
        <v>43</v>
      </c>
      <c r="J654">
        <v>2021</v>
      </c>
      <c r="K654" t="s">
        <v>60</v>
      </c>
      <c r="N654" t="s">
        <v>99</v>
      </c>
      <c r="AI654">
        <f t="shared" si="21"/>
        <v>1</v>
      </c>
      <c r="AJ654">
        <f>'TABLA PREVIOS'!E654</f>
        <v>291</v>
      </c>
      <c r="AK654">
        <f>VLOOKUP(E654,ALUMNOS!A:B,2,FALSE)</f>
        <v>25</v>
      </c>
    </row>
    <row r="655" spans="2:37" x14ac:dyDescent="0.25">
      <c r="B655" t="str">
        <f t="shared" si="20"/>
        <v>44936781MATEMÁTICA6º</v>
      </c>
      <c r="C655" t="s">
        <v>326</v>
      </c>
      <c r="D655" t="s">
        <v>96</v>
      </c>
      <c r="E655">
        <v>44936781</v>
      </c>
      <c r="F655" t="s">
        <v>328</v>
      </c>
      <c r="G655" t="s">
        <v>12</v>
      </c>
      <c r="H655" t="s">
        <v>245</v>
      </c>
      <c r="I655" t="s">
        <v>43</v>
      </c>
      <c r="J655">
        <v>2021</v>
      </c>
      <c r="K655" t="s">
        <v>60</v>
      </c>
      <c r="N655" t="s">
        <v>99</v>
      </c>
      <c r="AI655">
        <f t="shared" si="21"/>
        <v>1</v>
      </c>
      <c r="AJ655">
        <f>'TABLA PREVIOS'!E655</f>
        <v>280</v>
      </c>
      <c r="AK655">
        <f>VLOOKUP(E655,ALUMNOS!A:B,2,FALSE)</f>
        <v>25</v>
      </c>
    </row>
    <row r="656" spans="2:37" x14ac:dyDescent="0.25">
      <c r="B656" t="str">
        <f t="shared" si="20"/>
        <v>44936781QUÍMICA6º</v>
      </c>
      <c r="C656" t="s">
        <v>326</v>
      </c>
      <c r="D656" t="s">
        <v>96</v>
      </c>
      <c r="E656">
        <v>44936781</v>
      </c>
      <c r="F656" t="s">
        <v>328</v>
      </c>
      <c r="G656" t="s">
        <v>25</v>
      </c>
      <c r="H656" t="s">
        <v>245</v>
      </c>
      <c r="I656" t="s">
        <v>43</v>
      </c>
      <c r="J656">
        <v>2021</v>
      </c>
      <c r="K656" t="s">
        <v>60</v>
      </c>
      <c r="N656" t="s">
        <v>99</v>
      </c>
      <c r="AI656">
        <f t="shared" si="21"/>
        <v>1</v>
      </c>
      <c r="AJ656">
        <f>'TABLA PREVIOS'!E656</f>
        <v>281</v>
      </c>
      <c r="AK656">
        <f>VLOOKUP(E656,ALUMNOS!A:B,2,FALSE)</f>
        <v>25</v>
      </c>
    </row>
    <row r="657" spans="2:37" x14ac:dyDescent="0.25">
      <c r="B657" t="str">
        <f t="shared" si="20"/>
        <v>44936781RESPONSABILIDAD SOCIAL DE LAS ORGANIZACIONES6º</v>
      </c>
      <c r="C657" t="s">
        <v>326</v>
      </c>
      <c r="D657" t="s">
        <v>96</v>
      </c>
      <c r="E657">
        <v>44936781</v>
      </c>
      <c r="F657" t="s">
        <v>328</v>
      </c>
      <c r="G657" t="s">
        <v>39</v>
      </c>
      <c r="H657" t="s">
        <v>245</v>
      </c>
      <c r="I657" t="s">
        <v>43</v>
      </c>
      <c r="J657">
        <v>2021</v>
      </c>
      <c r="K657" t="s">
        <v>60</v>
      </c>
      <c r="N657" t="s">
        <v>99</v>
      </c>
      <c r="AI657">
        <f t="shared" si="21"/>
        <v>1</v>
      </c>
      <c r="AJ657">
        <f>'TABLA PREVIOS'!E657</f>
        <v>288</v>
      </c>
      <c r="AK657">
        <f>VLOOKUP(E657,ALUMNOS!A:B,2,FALSE)</f>
        <v>25</v>
      </c>
    </row>
    <row r="658" spans="2:37" x14ac:dyDescent="0.25">
      <c r="B658" t="str">
        <f t="shared" si="20"/>
        <v>44936781SISTEMAS DE INFORMACIÓN CONTABLE6º</v>
      </c>
      <c r="C658" t="s">
        <v>326</v>
      </c>
      <c r="D658" t="s">
        <v>96</v>
      </c>
      <c r="E658">
        <v>44936781</v>
      </c>
      <c r="F658" t="s">
        <v>328</v>
      </c>
      <c r="G658" t="s">
        <v>29</v>
      </c>
      <c r="H658" t="s">
        <v>245</v>
      </c>
      <c r="I658" t="s">
        <v>43</v>
      </c>
      <c r="J658">
        <v>2021</v>
      </c>
      <c r="K658" t="s">
        <v>60</v>
      </c>
      <c r="N658" t="s">
        <v>99</v>
      </c>
      <c r="AI658">
        <f t="shared" si="21"/>
        <v>1</v>
      </c>
      <c r="AJ658">
        <f>'TABLA PREVIOS'!E658</f>
        <v>290</v>
      </c>
      <c r="AK658">
        <f>VLOOKUP(E658,ALUMNOS!A:B,2,FALSE)</f>
        <v>25</v>
      </c>
    </row>
    <row r="659" spans="2:37" x14ac:dyDescent="0.25">
      <c r="B659" t="str">
        <f t="shared" si="20"/>
        <v>45614539MATEMÁTICA5º</v>
      </c>
      <c r="C659" t="s">
        <v>326</v>
      </c>
      <c r="D659" t="s">
        <v>96</v>
      </c>
      <c r="E659">
        <v>45614539</v>
      </c>
      <c r="F659" t="s">
        <v>329</v>
      </c>
      <c r="G659" t="s">
        <v>12</v>
      </c>
      <c r="H659" t="s">
        <v>220</v>
      </c>
      <c r="I659" t="s">
        <v>43</v>
      </c>
      <c r="J659">
        <v>2020</v>
      </c>
      <c r="K659" t="s">
        <v>60</v>
      </c>
      <c r="N659" t="s">
        <v>99</v>
      </c>
      <c r="O659">
        <v>45405</v>
      </c>
      <c r="P659" t="s">
        <v>50</v>
      </c>
      <c r="Q659">
        <v>68</v>
      </c>
      <c r="R659">
        <v>32</v>
      </c>
      <c r="AI659">
        <f t="shared" si="21"/>
        <v>1</v>
      </c>
      <c r="AJ659">
        <f>'TABLA PREVIOS'!E659</f>
        <v>265</v>
      </c>
      <c r="AK659">
        <f>VLOOKUP(E659,ALUMNOS!A:B,2,FALSE)</f>
        <v>58</v>
      </c>
    </row>
    <row r="660" spans="2:37" x14ac:dyDescent="0.25">
      <c r="B660" t="str">
        <f t="shared" si="20"/>
        <v>45698126MATEMÁTICA5º</v>
      </c>
      <c r="C660" t="s">
        <v>326</v>
      </c>
      <c r="D660" t="s">
        <v>96</v>
      </c>
      <c r="E660">
        <v>45698126</v>
      </c>
      <c r="F660" t="s">
        <v>330</v>
      </c>
      <c r="G660" t="s">
        <v>12</v>
      </c>
      <c r="H660" t="s">
        <v>220</v>
      </c>
      <c r="I660" t="s">
        <v>43</v>
      </c>
      <c r="J660">
        <v>2020</v>
      </c>
      <c r="K660" t="s">
        <v>60</v>
      </c>
      <c r="N660" t="s">
        <v>99</v>
      </c>
      <c r="AI660">
        <f t="shared" si="21"/>
        <v>1</v>
      </c>
      <c r="AJ660">
        <f>'TABLA PREVIOS'!E660</f>
        <v>265</v>
      </c>
      <c r="AK660">
        <f>VLOOKUP(E660,ALUMNOS!A:B,2,FALSE)</f>
        <v>169</v>
      </c>
    </row>
    <row r="661" spans="2:37" x14ac:dyDescent="0.25">
      <c r="B661" t="str">
        <f t="shared" si="20"/>
        <v>45698126PSICOLOGÍA5º</v>
      </c>
      <c r="C661" t="s">
        <v>326</v>
      </c>
      <c r="D661" t="s">
        <v>96</v>
      </c>
      <c r="E661">
        <v>45698126</v>
      </c>
      <c r="F661" t="s">
        <v>330</v>
      </c>
      <c r="G661" t="s">
        <v>33</v>
      </c>
      <c r="H661" t="s">
        <v>220</v>
      </c>
      <c r="I661" t="s">
        <v>43</v>
      </c>
      <c r="J661">
        <v>2020</v>
      </c>
      <c r="K661" t="s">
        <v>60</v>
      </c>
      <c r="N661" t="s">
        <v>99</v>
      </c>
      <c r="AI661">
        <f t="shared" si="21"/>
        <v>1</v>
      </c>
      <c r="AJ661">
        <f>'TABLA PREVIOS'!E661</f>
        <v>271</v>
      </c>
      <c r="AK661">
        <f>VLOOKUP(E661,ALUMNOS!A:B,2,FALSE)</f>
        <v>169</v>
      </c>
    </row>
    <row r="662" spans="2:37" x14ac:dyDescent="0.25">
      <c r="B662" t="str">
        <f t="shared" si="20"/>
        <v>45698126ADMINISTRACIÓN6º</v>
      </c>
      <c r="C662" t="s">
        <v>326</v>
      </c>
      <c r="D662" t="s">
        <v>96</v>
      </c>
      <c r="E662">
        <v>45698126</v>
      </c>
      <c r="F662" t="s">
        <v>330</v>
      </c>
      <c r="G662" t="s">
        <v>30</v>
      </c>
      <c r="H662" t="s">
        <v>245</v>
      </c>
      <c r="I662" t="s">
        <v>43</v>
      </c>
      <c r="J662">
        <v>2021</v>
      </c>
      <c r="K662" t="s">
        <v>60</v>
      </c>
      <c r="N662" t="s">
        <v>99</v>
      </c>
      <c r="AI662">
        <f t="shared" si="21"/>
        <v>1</v>
      </c>
      <c r="AJ662">
        <f>'TABLA PREVIOS'!E662</f>
        <v>285</v>
      </c>
      <c r="AK662">
        <f>VLOOKUP(E662,ALUMNOS!A:B,2,FALSE)</f>
        <v>169</v>
      </c>
    </row>
    <row r="663" spans="2:37" x14ac:dyDescent="0.25">
      <c r="B663" t="str">
        <f t="shared" si="20"/>
        <v>45698126ADMINISTRACIÓN FINANCIERA6º</v>
      </c>
      <c r="C663" t="s">
        <v>326</v>
      </c>
      <c r="D663" t="s">
        <v>96</v>
      </c>
      <c r="E663">
        <v>45698126</v>
      </c>
      <c r="F663" t="s">
        <v>330</v>
      </c>
      <c r="G663" t="s">
        <v>40</v>
      </c>
      <c r="H663" t="s">
        <v>245</v>
      </c>
      <c r="I663" t="s">
        <v>43</v>
      </c>
      <c r="J663">
        <v>2021</v>
      </c>
      <c r="K663" t="s">
        <v>60</v>
      </c>
      <c r="N663" t="s">
        <v>99</v>
      </c>
      <c r="AI663">
        <f t="shared" si="21"/>
        <v>1</v>
      </c>
      <c r="AJ663">
        <f>'TABLA PREVIOS'!E663</f>
        <v>289</v>
      </c>
      <c r="AK663">
        <f>VLOOKUP(E663,ALUMNOS!A:B,2,FALSE)</f>
        <v>169</v>
      </c>
    </row>
    <row r="664" spans="2:37" x14ac:dyDescent="0.25">
      <c r="B664" t="str">
        <f t="shared" si="20"/>
        <v>45698126CIUDADANÍA Y POLÍTICA6º</v>
      </c>
      <c r="C664" t="s">
        <v>326</v>
      </c>
      <c r="D664" t="s">
        <v>96</v>
      </c>
      <c r="E664">
        <v>45698126</v>
      </c>
      <c r="F664" t="s">
        <v>330</v>
      </c>
      <c r="G664" t="s">
        <v>37</v>
      </c>
      <c r="H664" t="s">
        <v>245</v>
      </c>
      <c r="I664" t="s">
        <v>43</v>
      </c>
      <c r="J664">
        <v>2021</v>
      </c>
      <c r="K664" t="s">
        <v>60</v>
      </c>
      <c r="N664" t="s">
        <v>99</v>
      </c>
      <c r="AI664">
        <f t="shared" si="21"/>
        <v>1</v>
      </c>
      <c r="AJ664">
        <f>'TABLA PREVIOS'!E664</f>
        <v>284</v>
      </c>
      <c r="AK664">
        <f>VLOOKUP(E664,ALUMNOS!A:B,2,FALSE)</f>
        <v>169</v>
      </c>
    </row>
    <row r="665" spans="2:37" x14ac:dyDescent="0.25">
      <c r="B665" t="str">
        <f t="shared" si="20"/>
        <v>45698126DERECHO6º</v>
      </c>
      <c r="C665" t="s">
        <v>326</v>
      </c>
      <c r="D665" t="s">
        <v>96</v>
      </c>
      <c r="E665">
        <v>45698126</v>
      </c>
      <c r="F665" t="s">
        <v>330</v>
      </c>
      <c r="G665" t="s">
        <v>38</v>
      </c>
      <c r="H665" t="s">
        <v>245</v>
      </c>
      <c r="I665" t="s">
        <v>43</v>
      </c>
      <c r="J665">
        <v>2021</v>
      </c>
      <c r="K665" t="s">
        <v>60</v>
      </c>
      <c r="N665" t="s">
        <v>99</v>
      </c>
      <c r="AI665">
        <f t="shared" si="21"/>
        <v>1</v>
      </c>
      <c r="AJ665">
        <f>'TABLA PREVIOS'!E665</f>
        <v>287</v>
      </c>
      <c r="AK665">
        <f>VLOOKUP(E665,ALUMNOS!A:B,2,FALSE)</f>
        <v>169</v>
      </c>
    </row>
    <row r="666" spans="2:37" x14ac:dyDescent="0.25">
      <c r="B666" t="str">
        <f t="shared" si="20"/>
        <v>45698126ECONOMÍA6º</v>
      </c>
      <c r="C666" t="s">
        <v>326</v>
      </c>
      <c r="D666" t="s">
        <v>96</v>
      </c>
      <c r="E666">
        <v>45698126</v>
      </c>
      <c r="F666" t="s">
        <v>330</v>
      </c>
      <c r="G666" t="s">
        <v>34</v>
      </c>
      <c r="H666" t="s">
        <v>245</v>
      </c>
      <c r="I666" t="s">
        <v>43</v>
      </c>
      <c r="J666">
        <v>2021</v>
      </c>
      <c r="K666" t="s">
        <v>60</v>
      </c>
      <c r="N666" t="s">
        <v>99</v>
      </c>
      <c r="AI666">
        <f t="shared" si="21"/>
        <v>1</v>
      </c>
      <c r="AJ666">
        <f>'TABLA PREVIOS'!E666</f>
        <v>286</v>
      </c>
      <c r="AK666">
        <f>VLOOKUP(E666,ALUMNOS!A:B,2,FALSE)</f>
        <v>169</v>
      </c>
    </row>
    <row r="667" spans="2:37" x14ac:dyDescent="0.25">
      <c r="B667" t="str">
        <f t="shared" si="20"/>
        <v>45698126FILOSOFÍA6º</v>
      </c>
      <c r="C667" t="s">
        <v>326</v>
      </c>
      <c r="D667" t="s">
        <v>96</v>
      </c>
      <c r="E667">
        <v>45698126</v>
      </c>
      <c r="F667" t="s">
        <v>330</v>
      </c>
      <c r="G667" t="s">
        <v>41</v>
      </c>
      <c r="H667" t="s">
        <v>245</v>
      </c>
      <c r="I667" t="s">
        <v>43</v>
      </c>
      <c r="J667">
        <v>2021</v>
      </c>
      <c r="K667" t="s">
        <v>60</v>
      </c>
      <c r="N667" t="s">
        <v>99</v>
      </c>
      <c r="AI667">
        <f t="shared" si="21"/>
        <v>1</v>
      </c>
      <c r="AJ667">
        <f>'TABLA PREVIOS'!E667</f>
        <v>292</v>
      </c>
      <c r="AK667">
        <f>VLOOKUP(E667,ALUMNOS!A:B,2,FALSE)</f>
        <v>169</v>
      </c>
    </row>
    <row r="668" spans="2:37" x14ac:dyDescent="0.25">
      <c r="B668" t="str">
        <f t="shared" si="20"/>
        <v>45698126FORMACIÓN PARA LA VIDA Y EL TRABAJO6º</v>
      </c>
      <c r="C668" t="s">
        <v>326</v>
      </c>
      <c r="D668" t="s">
        <v>96</v>
      </c>
      <c r="E668">
        <v>45698126</v>
      </c>
      <c r="F668" t="s">
        <v>330</v>
      </c>
      <c r="G668" t="s">
        <v>28</v>
      </c>
      <c r="H668" t="s">
        <v>245</v>
      </c>
      <c r="I668" t="s">
        <v>43</v>
      </c>
      <c r="J668">
        <v>2021</v>
      </c>
      <c r="K668" t="s">
        <v>60</v>
      </c>
      <c r="N668" t="s">
        <v>99</v>
      </c>
      <c r="AI668">
        <f t="shared" si="21"/>
        <v>1</v>
      </c>
      <c r="AJ668">
        <f>'TABLA PREVIOS'!E668</f>
        <v>291</v>
      </c>
      <c r="AK668">
        <f>VLOOKUP(E668,ALUMNOS!A:B,2,FALSE)</f>
        <v>169</v>
      </c>
    </row>
    <row r="669" spans="2:37" x14ac:dyDescent="0.25">
      <c r="B669" t="str">
        <f t="shared" si="20"/>
        <v>45698126LENGUA EXTRANJERA - INGLÉS6º</v>
      </c>
      <c r="C669" t="s">
        <v>326</v>
      </c>
      <c r="D669" t="s">
        <v>96</v>
      </c>
      <c r="E669">
        <v>45698126</v>
      </c>
      <c r="F669" t="s">
        <v>330</v>
      </c>
      <c r="G669" t="s">
        <v>16</v>
      </c>
      <c r="H669" t="s">
        <v>245</v>
      </c>
      <c r="I669" t="s">
        <v>43</v>
      </c>
      <c r="J669">
        <v>2021</v>
      </c>
      <c r="K669" t="s">
        <v>60</v>
      </c>
      <c r="N669" t="s">
        <v>99</v>
      </c>
      <c r="AI669">
        <f t="shared" si="21"/>
        <v>1</v>
      </c>
      <c r="AJ669">
        <f>'TABLA PREVIOS'!E669</f>
        <v>282</v>
      </c>
      <c r="AK669">
        <f>VLOOKUP(E669,ALUMNOS!A:B,2,FALSE)</f>
        <v>169</v>
      </c>
    </row>
    <row r="670" spans="2:37" x14ac:dyDescent="0.25">
      <c r="B670" t="str">
        <f t="shared" si="20"/>
        <v>45698126LENGUA Y LITERATURA6º</v>
      </c>
      <c r="C670" t="s">
        <v>326</v>
      </c>
      <c r="D670" t="s">
        <v>96</v>
      </c>
      <c r="E670">
        <v>45698126</v>
      </c>
      <c r="F670" t="s">
        <v>330</v>
      </c>
      <c r="G670" t="s">
        <v>11</v>
      </c>
      <c r="H670" t="s">
        <v>245</v>
      </c>
      <c r="I670" t="s">
        <v>43</v>
      </c>
      <c r="J670">
        <v>2021</v>
      </c>
      <c r="K670" t="s">
        <v>60</v>
      </c>
      <c r="N670" t="s">
        <v>99</v>
      </c>
      <c r="AI670">
        <f t="shared" si="21"/>
        <v>1</v>
      </c>
      <c r="AJ670">
        <f>'TABLA PREVIOS'!E670</f>
        <v>279</v>
      </c>
      <c r="AK670">
        <f>VLOOKUP(E670,ALUMNOS!A:B,2,FALSE)</f>
        <v>169</v>
      </c>
    </row>
    <row r="671" spans="2:37" x14ac:dyDescent="0.25">
      <c r="B671" t="str">
        <f t="shared" si="20"/>
        <v>45698126MATEMÁTICA6º</v>
      </c>
      <c r="C671" t="s">
        <v>326</v>
      </c>
      <c r="D671" t="s">
        <v>96</v>
      </c>
      <c r="E671">
        <v>45698126</v>
      </c>
      <c r="F671" t="s">
        <v>330</v>
      </c>
      <c r="G671" t="s">
        <v>12</v>
      </c>
      <c r="H671" t="s">
        <v>245</v>
      </c>
      <c r="I671" t="s">
        <v>43</v>
      </c>
      <c r="J671">
        <v>2021</v>
      </c>
      <c r="K671" t="s">
        <v>60</v>
      </c>
      <c r="N671" t="s">
        <v>99</v>
      </c>
      <c r="AI671">
        <f t="shared" si="21"/>
        <v>1</v>
      </c>
      <c r="AJ671">
        <f>'TABLA PREVIOS'!E671</f>
        <v>280</v>
      </c>
      <c r="AK671">
        <f>VLOOKUP(E671,ALUMNOS!A:B,2,FALSE)</f>
        <v>169</v>
      </c>
    </row>
    <row r="672" spans="2:37" x14ac:dyDescent="0.25">
      <c r="B672" t="str">
        <f t="shared" si="20"/>
        <v>45698126QUÍMICA6º</v>
      </c>
      <c r="C672" t="s">
        <v>326</v>
      </c>
      <c r="D672" t="s">
        <v>96</v>
      </c>
      <c r="E672">
        <v>45698126</v>
      </c>
      <c r="F672" t="s">
        <v>330</v>
      </c>
      <c r="G672" t="s">
        <v>25</v>
      </c>
      <c r="H672" t="s">
        <v>245</v>
      </c>
      <c r="I672" t="s">
        <v>43</v>
      </c>
      <c r="J672">
        <v>2021</v>
      </c>
      <c r="K672" t="s">
        <v>60</v>
      </c>
      <c r="N672" t="s">
        <v>99</v>
      </c>
      <c r="AI672">
        <f t="shared" si="21"/>
        <v>1</v>
      </c>
      <c r="AJ672">
        <f>'TABLA PREVIOS'!E672</f>
        <v>281</v>
      </c>
      <c r="AK672">
        <f>VLOOKUP(E672,ALUMNOS!A:B,2,FALSE)</f>
        <v>169</v>
      </c>
    </row>
    <row r="673" spans="2:37" x14ac:dyDescent="0.25">
      <c r="B673" t="str">
        <f t="shared" si="20"/>
        <v>45698126RESPONSABILIDAD SOCIAL DE LAS ORGANIZACIONES6º</v>
      </c>
      <c r="C673" t="s">
        <v>326</v>
      </c>
      <c r="D673" t="s">
        <v>96</v>
      </c>
      <c r="E673">
        <v>45698126</v>
      </c>
      <c r="F673" t="s">
        <v>330</v>
      </c>
      <c r="G673" t="s">
        <v>39</v>
      </c>
      <c r="H673" t="s">
        <v>245</v>
      </c>
      <c r="I673" t="s">
        <v>43</v>
      </c>
      <c r="J673">
        <v>2021</v>
      </c>
      <c r="K673" t="s">
        <v>60</v>
      </c>
      <c r="N673" t="s">
        <v>99</v>
      </c>
      <c r="AI673">
        <f t="shared" si="21"/>
        <v>1</v>
      </c>
      <c r="AJ673">
        <f>'TABLA PREVIOS'!E673</f>
        <v>288</v>
      </c>
      <c r="AK673">
        <f>VLOOKUP(E673,ALUMNOS!A:B,2,FALSE)</f>
        <v>169</v>
      </c>
    </row>
    <row r="674" spans="2:37" x14ac:dyDescent="0.25">
      <c r="B674" t="str">
        <f t="shared" si="20"/>
        <v>45698126SISTEMAS DE INFORMACIÓN CONTABLE6º</v>
      </c>
      <c r="C674" t="s">
        <v>326</v>
      </c>
      <c r="D674" t="s">
        <v>96</v>
      </c>
      <c r="E674">
        <v>45698126</v>
      </c>
      <c r="F674" t="s">
        <v>330</v>
      </c>
      <c r="G674" t="s">
        <v>29</v>
      </c>
      <c r="H674" t="s">
        <v>245</v>
      </c>
      <c r="I674" t="s">
        <v>43</v>
      </c>
      <c r="J674">
        <v>2021</v>
      </c>
      <c r="K674" t="s">
        <v>60</v>
      </c>
      <c r="N674" t="s">
        <v>99</v>
      </c>
      <c r="AI674">
        <f t="shared" si="21"/>
        <v>1</v>
      </c>
      <c r="AJ674">
        <f>'TABLA PREVIOS'!E674</f>
        <v>290</v>
      </c>
      <c r="AK674">
        <f>VLOOKUP(E674,ALUMNOS!A:B,2,FALSE)</f>
        <v>169</v>
      </c>
    </row>
    <row r="675" spans="2:37" x14ac:dyDescent="0.25">
      <c r="B675" t="str">
        <f t="shared" si="20"/>
        <v>45092236MATEMÁTICA5º</v>
      </c>
      <c r="C675" t="s">
        <v>326</v>
      </c>
      <c r="D675" t="s">
        <v>96</v>
      </c>
      <c r="E675">
        <v>45092236</v>
      </c>
      <c r="F675" t="s">
        <v>331</v>
      </c>
      <c r="G675" t="s">
        <v>12</v>
      </c>
      <c r="H675" t="s">
        <v>220</v>
      </c>
      <c r="I675" t="s">
        <v>43</v>
      </c>
      <c r="J675">
        <v>2020</v>
      </c>
      <c r="K675" t="s">
        <v>60</v>
      </c>
      <c r="N675" t="s">
        <v>99</v>
      </c>
      <c r="O675">
        <v>45405</v>
      </c>
      <c r="P675" t="s">
        <v>50</v>
      </c>
      <c r="Q675">
        <v>68</v>
      </c>
      <c r="R675">
        <v>32</v>
      </c>
      <c r="AI675">
        <f t="shared" si="21"/>
        <v>1</v>
      </c>
      <c r="AJ675">
        <f>'TABLA PREVIOS'!E675</f>
        <v>265</v>
      </c>
      <c r="AK675">
        <f>VLOOKUP(E675,ALUMNOS!A:B,2,FALSE)</f>
        <v>255</v>
      </c>
    </row>
    <row r="676" spans="2:37" x14ac:dyDescent="0.25">
      <c r="B676" t="str">
        <f t="shared" si="20"/>
        <v>44237180PSICOLOGÍA5º</v>
      </c>
      <c r="C676" t="s">
        <v>326</v>
      </c>
      <c r="D676" t="s">
        <v>96</v>
      </c>
      <c r="E676">
        <v>44237180</v>
      </c>
      <c r="F676" t="s">
        <v>332</v>
      </c>
      <c r="G676" t="s">
        <v>33</v>
      </c>
      <c r="H676" t="s">
        <v>220</v>
      </c>
      <c r="I676" t="s">
        <v>43</v>
      </c>
      <c r="J676">
        <v>2020</v>
      </c>
      <c r="K676" t="s">
        <v>60</v>
      </c>
      <c r="N676" t="s">
        <v>99</v>
      </c>
      <c r="AI676">
        <f t="shared" si="21"/>
        <v>1</v>
      </c>
      <c r="AJ676">
        <f>'TABLA PREVIOS'!E676</f>
        <v>271</v>
      </c>
      <c r="AK676">
        <f>VLOOKUP(E676,ALUMNOS!A:B,2,FALSE)</f>
        <v>299</v>
      </c>
    </row>
    <row r="677" spans="2:37" x14ac:dyDescent="0.25">
      <c r="B677" t="str">
        <f t="shared" si="20"/>
        <v>44237180SISTEMAS DE INFORMACIÓN CONTABLE5º</v>
      </c>
      <c r="C677" t="s">
        <v>326</v>
      </c>
      <c r="D677" t="s">
        <v>96</v>
      </c>
      <c r="E677">
        <v>44237180</v>
      </c>
      <c r="F677" t="s">
        <v>332</v>
      </c>
      <c r="G677" t="s">
        <v>29</v>
      </c>
      <c r="H677" t="s">
        <v>220</v>
      </c>
      <c r="I677" t="s">
        <v>43</v>
      </c>
      <c r="J677">
        <v>2020</v>
      </c>
      <c r="K677" t="s">
        <v>60</v>
      </c>
      <c r="N677" t="s">
        <v>99</v>
      </c>
      <c r="AI677">
        <f t="shared" si="21"/>
        <v>1</v>
      </c>
      <c r="AJ677">
        <f>'TABLA PREVIOS'!E677</f>
        <v>273</v>
      </c>
      <c r="AK677">
        <f>VLOOKUP(E677,ALUMNOS!A:B,2,FALSE)</f>
        <v>299</v>
      </c>
    </row>
    <row r="678" spans="2:37" x14ac:dyDescent="0.25">
      <c r="B678" t="str">
        <f t="shared" si="20"/>
        <v>44237180ADMINISTRACIÓN6º</v>
      </c>
      <c r="C678" t="s">
        <v>326</v>
      </c>
      <c r="D678" t="s">
        <v>96</v>
      </c>
      <c r="E678">
        <v>44237180</v>
      </c>
      <c r="F678" t="s">
        <v>332</v>
      </c>
      <c r="G678" t="s">
        <v>30</v>
      </c>
      <c r="H678" t="s">
        <v>245</v>
      </c>
      <c r="I678" t="s">
        <v>43</v>
      </c>
      <c r="J678">
        <v>2021</v>
      </c>
      <c r="K678" t="s">
        <v>60</v>
      </c>
      <c r="N678" t="s">
        <v>99</v>
      </c>
      <c r="AI678">
        <f t="shared" si="21"/>
        <v>1</v>
      </c>
      <c r="AJ678">
        <f>'TABLA PREVIOS'!E678</f>
        <v>285</v>
      </c>
      <c r="AK678">
        <f>VLOOKUP(E678,ALUMNOS!A:B,2,FALSE)</f>
        <v>299</v>
      </c>
    </row>
    <row r="679" spans="2:37" x14ac:dyDescent="0.25">
      <c r="B679" t="str">
        <f t="shared" si="20"/>
        <v>44237180ADMINISTRACIÓN FINANCIERA6º</v>
      </c>
      <c r="C679" t="s">
        <v>326</v>
      </c>
      <c r="D679" t="s">
        <v>96</v>
      </c>
      <c r="E679">
        <v>44237180</v>
      </c>
      <c r="F679" t="s">
        <v>332</v>
      </c>
      <c r="G679" t="s">
        <v>40</v>
      </c>
      <c r="H679" t="s">
        <v>245</v>
      </c>
      <c r="I679" t="s">
        <v>43</v>
      </c>
      <c r="J679">
        <v>2021</v>
      </c>
      <c r="K679" t="s">
        <v>60</v>
      </c>
      <c r="N679" t="s">
        <v>99</v>
      </c>
      <c r="AI679">
        <f t="shared" si="21"/>
        <v>1</v>
      </c>
      <c r="AJ679">
        <f>'TABLA PREVIOS'!E679</f>
        <v>289</v>
      </c>
      <c r="AK679">
        <f>VLOOKUP(E679,ALUMNOS!A:B,2,FALSE)</f>
        <v>299</v>
      </c>
    </row>
    <row r="680" spans="2:37" x14ac:dyDescent="0.25">
      <c r="B680" t="str">
        <f t="shared" si="20"/>
        <v>44237180DERECHO6º</v>
      </c>
      <c r="C680" t="s">
        <v>326</v>
      </c>
      <c r="D680" t="s">
        <v>96</v>
      </c>
      <c r="E680">
        <v>44237180</v>
      </c>
      <c r="F680" t="s">
        <v>332</v>
      </c>
      <c r="G680" t="s">
        <v>38</v>
      </c>
      <c r="H680" t="s">
        <v>245</v>
      </c>
      <c r="I680" t="s">
        <v>43</v>
      </c>
      <c r="J680">
        <v>2021</v>
      </c>
      <c r="K680" t="s">
        <v>60</v>
      </c>
      <c r="N680" t="s">
        <v>99</v>
      </c>
      <c r="AI680">
        <f t="shared" si="21"/>
        <v>1</v>
      </c>
      <c r="AJ680">
        <f>'TABLA PREVIOS'!E680</f>
        <v>287</v>
      </c>
      <c r="AK680">
        <f>VLOOKUP(E680,ALUMNOS!A:B,2,FALSE)</f>
        <v>299</v>
      </c>
    </row>
    <row r="681" spans="2:37" x14ac:dyDescent="0.25">
      <c r="B681" t="str">
        <f t="shared" si="20"/>
        <v>44237180ECONOMÍA6º</v>
      </c>
      <c r="C681" t="s">
        <v>326</v>
      </c>
      <c r="D681" t="s">
        <v>96</v>
      </c>
      <c r="E681">
        <v>44237180</v>
      </c>
      <c r="F681" t="s">
        <v>332</v>
      </c>
      <c r="G681" t="s">
        <v>34</v>
      </c>
      <c r="H681" t="s">
        <v>245</v>
      </c>
      <c r="I681" t="s">
        <v>43</v>
      </c>
      <c r="J681">
        <v>2021</v>
      </c>
      <c r="K681" t="s">
        <v>60</v>
      </c>
      <c r="N681" t="s">
        <v>99</v>
      </c>
      <c r="AI681">
        <f t="shared" si="21"/>
        <v>1</v>
      </c>
      <c r="AJ681">
        <f>'TABLA PREVIOS'!E681</f>
        <v>286</v>
      </c>
      <c r="AK681">
        <f>VLOOKUP(E681,ALUMNOS!A:B,2,FALSE)</f>
        <v>299</v>
      </c>
    </row>
    <row r="682" spans="2:37" x14ac:dyDescent="0.25">
      <c r="B682" t="str">
        <f t="shared" si="20"/>
        <v>44237180RESPONSABILIDAD SOCIAL DE LAS ORGANIZACIONES6º</v>
      </c>
      <c r="C682" t="s">
        <v>326</v>
      </c>
      <c r="D682" t="s">
        <v>96</v>
      </c>
      <c r="E682">
        <v>44237180</v>
      </c>
      <c r="F682" t="s">
        <v>332</v>
      </c>
      <c r="G682" t="s">
        <v>39</v>
      </c>
      <c r="H682" t="s">
        <v>245</v>
      </c>
      <c r="I682" t="s">
        <v>43</v>
      </c>
      <c r="J682">
        <v>2021</v>
      </c>
      <c r="K682" t="s">
        <v>60</v>
      </c>
      <c r="N682" t="s">
        <v>99</v>
      </c>
      <c r="AI682">
        <f t="shared" si="21"/>
        <v>1</v>
      </c>
      <c r="AJ682">
        <f>'TABLA PREVIOS'!E682</f>
        <v>288</v>
      </c>
      <c r="AK682">
        <f>VLOOKUP(E682,ALUMNOS!A:B,2,FALSE)</f>
        <v>299</v>
      </c>
    </row>
    <row r="683" spans="2:37" x14ac:dyDescent="0.25">
      <c r="B683" t="str">
        <f t="shared" si="20"/>
        <v>44237180SISTEMAS DE INFORMACIÓN CONTABLE6º</v>
      </c>
      <c r="C683" t="s">
        <v>326</v>
      </c>
      <c r="D683" t="s">
        <v>96</v>
      </c>
      <c r="E683">
        <v>44237180</v>
      </c>
      <c r="F683" t="s">
        <v>332</v>
      </c>
      <c r="G683" t="s">
        <v>29</v>
      </c>
      <c r="H683" t="s">
        <v>245</v>
      </c>
      <c r="I683" t="s">
        <v>43</v>
      </c>
      <c r="J683">
        <v>2021</v>
      </c>
      <c r="K683" t="s">
        <v>60</v>
      </c>
      <c r="N683" t="s">
        <v>99</v>
      </c>
      <c r="AI683">
        <f t="shared" si="21"/>
        <v>1</v>
      </c>
      <c r="AJ683">
        <f>'TABLA PREVIOS'!E683</f>
        <v>290</v>
      </c>
      <c r="AK683">
        <f>VLOOKUP(E683,ALUMNOS!A:B,2,FALSE)</f>
        <v>299</v>
      </c>
    </row>
    <row r="684" spans="2:37" x14ac:dyDescent="0.25">
      <c r="B684" t="str">
        <f t="shared" si="20"/>
        <v>45349594MATEMÁTICA4º</v>
      </c>
      <c r="C684" t="s">
        <v>326</v>
      </c>
      <c r="D684" t="s">
        <v>96</v>
      </c>
      <c r="E684">
        <v>45349594</v>
      </c>
      <c r="F684" t="s">
        <v>333</v>
      </c>
      <c r="G684" t="s">
        <v>12</v>
      </c>
      <c r="H684" t="s">
        <v>190</v>
      </c>
      <c r="I684" t="s">
        <v>43</v>
      </c>
      <c r="J684">
        <v>2019</v>
      </c>
      <c r="K684" t="s">
        <v>60</v>
      </c>
      <c r="N684" t="s">
        <v>99</v>
      </c>
      <c r="AI684">
        <f t="shared" si="21"/>
        <v>1</v>
      </c>
      <c r="AJ684">
        <f>'TABLA PREVIOS'!E684</f>
        <v>252</v>
      </c>
      <c r="AK684">
        <f>VLOOKUP(E684,ALUMNOS!A:B,2,FALSE)</f>
        <v>335</v>
      </c>
    </row>
    <row r="685" spans="2:37" x14ac:dyDescent="0.25">
      <c r="B685" t="str">
        <f t="shared" si="20"/>
        <v>45349594ADMINISTRACIÓN6º</v>
      </c>
      <c r="C685" t="s">
        <v>326</v>
      </c>
      <c r="D685" t="s">
        <v>96</v>
      </c>
      <c r="E685">
        <v>45349594</v>
      </c>
      <c r="F685" t="s">
        <v>333</v>
      </c>
      <c r="G685" t="s">
        <v>30</v>
      </c>
      <c r="H685" t="s">
        <v>245</v>
      </c>
      <c r="I685" t="s">
        <v>43</v>
      </c>
      <c r="J685">
        <v>2021</v>
      </c>
      <c r="K685" t="s">
        <v>60</v>
      </c>
      <c r="N685" t="s">
        <v>99</v>
      </c>
      <c r="AI685">
        <f t="shared" si="21"/>
        <v>1</v>
      </c>
      <c r="AJ685">
        <f>'TABLA PREVIOS'!E685</f>
        <v>285</v>
      </c>
      <c r="AK685">
        <f>VLOOKUP(E685,ALUMNOS!A:B,2,FALSE)</f>
        <v>335</v>
      </c>
    </row>
    <row r="686" spans="2:37" x14ac:dyDescent="0.25">
      <c r="B686" t="str">
        <f t="shared" si="20"/>
        <v>45349594ADMINISTRACIÓN FINANCIERA6º</v>
      </c>
      <c r="C686" t="s">
        <v>326</v>
      </c>
      <c r="D686" t="s">
        <v>96</v>
      </c>
      <c r="E686">
        <v>45349594</v>
      </c>
      <c r="F686" t="s">
        <v>333</v>
      </c>
      <c r="G686" t="s">
        <v>40</v>
      </c>
      <c r="H686" t="s">
        <v>245</v>
      </c>
      <c r="I686" t="s">
        <v>43</v>
      </c>
      <c r="J686">
        <v>2021</v>
      </c>
      <c r="K686" t="s">
        <v>60</v>
      </c>
      <c r="N686" t="s">
        <v>99</v>
      </c>
      <c r="AI686">
        <f t="shared" si="21"/>
        <v>1</v>
      </c>
      <c r="AJ686">
        <f>'TABLA PREVIOS'!E686</f>
        <v>289</v>
      </c>
      <c r="AK686">
        <f>VLOOKUP(E686,ALUMNOS!A:B,2,FALSE)</f>
        <v>335</v>
      </c>
    </row>
    <row r="687" spans="2:37" x14ac:dyDescent="0.25">
      <c r="B687" t="str">
        <f t="shared" si="20"/>
        <v>45349594DERECHO6º</v>
      </c>
      <c r="C687" t="s">
        <v>326</v>
      </c>
      <c r="D687" t="s">
        <v>96</v>
      </c>
      <c r="E687">
        <v>45349594</v>
      </c>
      <c r="F687" t="s">
        <v>333</v>
      </c>
      <c r="G687" t="s">
        <v>38</v>
      </c>
      <c r="H687" t="s">
        <v>245</v>
      </c>
      <c r="I687" t="s">
        <v>43</v>
      </c>
      <c r="J687">
        <v>2021</v>
      </c>
      <c r="K687" t="s">
        <v>60</v>
      </c>
      <c r="N687" t="s">
        <v>99</v>
      </c>
      <c r="AI687">
        <f t="shared" si="21"/>
        <v>1</v>
      </c>
      <c r="AJ687">
        <f>'TABLA PREVIOS'!E687</f>
        <v>287</v>
      </c>
      <c r="AK687">
        <f>VLOOKUP(E687,ALUMNOS!A:B,2,FALSE)</f>
        <v>335</v>
      </c>
    </row>
    <row r="688" spans="2:37" x14ac:dyDescent="0.25">
      <c r="B688" t="str">
        <f t="shared" si="20"/>
        <v>45349594ECONOMÍA6º</v>
      </c>
      <c r="C688" t="s">
        <v>326</v>
      </c>
      <c r="D688" t="s">
        <v>96</v>
      </c>
      <c r="E688">
        <v>45349594</v>
      </c>
      <c r="F688" t="s">
        <v>333</v>
      </c>
      <c r="G688" t="s">
        <v>34</v>
      </c>
      <c r="H688" t="s">
        <v>245</v>
      </c>
      <c r="I688" t="s">
        <v>43</v>
      </c>
      <c r="J688">
        <v>2021</v>
      </c>
      <c r="K688" t="s">
        <v>60</v>
      </c>
      <c r="N688" t="s">
        <v>99</v>
      </c>
      <c r="AI688">
        <f t="shared" si="21"/>
        <v>1</v>
      </c>
      <c r="AJ688">
        <f>'TABLA PREVIOS'!E688</f>
        <v>286</v>
      </c>
      <c r="AK688">
        <f>VLOOKUP(E688,ALUMNOS!A:B,2,FALSE)</f>
        <v>335</v>
      </c>
    </row>
    <row r="689" spans="2:37" x14ac:dyDescent="0.25">
      <c r="B689" t="str">
        <f t="shared" si="20"/>
        <v>45349594MATEMÁTICA6º</v>
      </c>
      <c r="C689" t="s">
        <v>326</v>
      </c>
      <c r="D689" t="s">
        <v>96</v>
      </c>
      <c r="E689">
        <v>45349594</v>
      </c>
      <c r="F689" t="s">
        <v>333</v>
      </c>
      <c r="G689" t="s">
        <v>12</v>
      </c>
      <c r="H689" t="s">
        <v>245</v>
      </c>
      <c r="I689" t="s">
        <v>43</v>
      </c>
      <c r="J689">
        <v>2021</v>
      </c>
      <c r="K689" t="s">
        <v>60</v>
      </c>
      <c r="N689" t="s">
        <v>99</v>
      </c>
      <c r="AI689">
        <f t="shared" si="21"/>
        <v>1</v>
      </c>
      <c r="AJ689">
        <f>'TABLA PREVIOS'!E689</f>
        <v>280</v>
      </c>
      <c r="AK689">
        <f>VLOOKUP(E689,ALUMNOS!A:B,2,FALSE)</f>
        <v>335</v>
      </c>
    </row>
    <row r="690" spans="2:37" x14ac:dyDescent="0.25">
      <c r="B690" t="str">
        <f t="shared" si="20"/>
        <v>45349594RESPONSABILIDAD SOCIAL DE LAS ORGANIZACIONES6º</v>
      </c>
      <c r="C690" t="s">
        <v>326</v>
      </c>
      <c r="D690" t="s">
        <v>96</v>
      </c>
      <c r="E690">
        <v>45349594</v>
      </c>
      <c r="F690" t="s">
        <v>333</v>
      </c>
      <c r="G690" t="s">
        <v>39</v>
      </c>
      <c r="H690" t="s">
        <v>245</v>
      </c>
      <c r="I690" t="s">
        <v>43</v>
      </c>
      <c r="J690">
        <v>2021</v>
      </c>
      <c r="K690" t="s">
        <v>60</v>
      </c>
      <c r="N690" t="s">
        <v>99</v>
      </c>
      <c r="AI690">
        <f t="shared" si="21"/>
        <v>1</v>
      </c>
      <c r="AJ690">
        <f>'TABLA PREVIOS'!E690</f>
        <v>288</v>
      </c>
      <c r="AK690">
        <f>VLOOKUP(E690,ALUMNOS!A:B,2,FALSE)</f>
        <v>335</v>
      </c>
    </row>
    <row r="691" spans="2:37" x14ac:dyDescent="0.25">
      <c r="B691" t="str">
        <f t="shared" si="20"/>
        <v>45349594SISTEMAS DE INFORMACIÓN CONTABLE6º</v>
      </c>
      <c r="C691" t="s">
        <v>326</v>
      </c>
      <c r="D691" t="s">
        <v>96</v>
      </c>
      <c r="E691">
        <v>45349594</v>
      </c>
      <c r="F691" t="s">
        <v>333</v>
      </c>
      <c r="G691" t="s">
        <v>29</v>
      </c>
      <c r="H691" t="s">
        <v>245</v>
      </c>
      <c r="I691" t="s">
        <v>43</v>
      </c>
      <c r="J691">
        <v>2021</v>
      </c>
      <c r="K691" t="s">
        <v>60</v>
      </c>
      <c r="N691" t="s">
        <v>99</v>
      </c>
      <c r="AI691">
        <f t="shared" si="21"/>
        <v>1</v>
      </c>
      <c r="AJ691">
        <f>'TABLA PREVIOS'!E691</f>
        <v>290</v>
      </c>
      <c r="AK691">
        <f>VLOOKUP(E691,ALUMNOS!A:B,2,FALSE)</f>
        <v>335</v>
      </c>
    </row>
    <row r="692" spans="2:37" x14ac:dyDescent="0.25">
      <c r="B692" t="str">
        <f t="shared" si="20"/>
        <v>45349596MATEMÁTICA5º</v>
      </c>
      <c r="C692" t="s">
        <v>326</v>
      </c>
      <c r="D692" t="s">
        <v>96</v>
      </c>
      <c r="E692">
        <v>45349596</v>
      </c>
      <c r="F692" t="s">
        <v>334</v>
      </c>
      <c r="G692" t="s">
        <v>12</v>
      </c>
      <c r="H692" t="s">
        <v>220</v>
      </c>
      <c r="I692" t="s">
        <v>43</v>
      </c>
      <c r="J692">
        <v>2020</v>
      </c>
      <c r="K692" t="s">
        <v>60</v>
      </c>
      <c r="N692" t="s">
        <v>99</v>
      </c>
      <c r="AI692">
        <f t="shared" si="21"/>
        <v>1</v>
      </c>
      <c r="AJ692">
        <f>'TABLA PREVIOS'!E692</f>
        <v>265</v>
      </c>
      <c r="AK692">
        <f>VLOOKUP(E692,ALUMNOS!A:B,2,FALSE)</f>
        <v>344</v>
      </c>
    </row>
    <row r="693" spans="2:37" x14ac:dyDescent="0.25">
      <c r="B693" t="str">
        <f t="shared" si="20"/>
        <v>45349596SISTEMAS DE INFORMACIÓN CONTABLE5º</v>
      </c>
      <c r="C693" t="s">
        <v>326</v>
      </c>
      <c r="D693" t="s">
        <v>96</v>
      </c>
      <c r="E693">
        <v>45349596</v>
      </c>
      <c r="F693" t="s">
        <v>334</v>
      </c>
      <c r="G693" t="s">
        <v>29</v>
      </c>
      <c r="H693" t="s">
        <v>220</v>
      </c>
      <c r="I693" t="s">
        <v>43</v>
      </c>
      <c r="J693">
        <v>2020</v>
      </c>
      <c r="K693" t="s">
        <v>60</v>
      </c>
      <c r="N693" t="s">
        <v>99</v>
      </c>
      <c r="AI693">
        <f t="shared" si="21"/>
        <v>1</v>
      </c>
      <c r="AJ693">
        <f>'TABLA PREVIOS'!E693</f>
        <v>273</v>
      </c>
      <c r="AK693">
        <f>VLOOKUP(E693,ALUMNOS!A:B,2,FALSE)</f>
        <v>344</v>
      </c>
    </row>
    <row r="694" spans="2:37" x14ac:dyDescent="0.25">
      <c r="B694" t="str">
        <f t="shared" si="20"/>
        <v>45349596ADMINISTRACIÓN6º</v>
      </c>
      <c r="C694" t="s">
        <v>326</v>
      </c>
      <c r="D694" t="s">
        <v>96</v>
      </c>
      <c r="E694">
        <v>45349596</v>
      </c>
      <c r="F694" t="s">
        <v>334</v>
      </c>
      <c r="G694" t="s">
        <v>30</v>
      </c>
      <c r="H694" t="s">
        <v>245</v>
      </c>
      <c r="I694" t="s">
        <v>43</v>
      </c>
      <c r="J694">
        <v>2021</v>
      </c>
      <c r="K694" t="s">
        <v>60</v>
      </c>
      <c r="N694" t="s">
        <v>99</v>
      </c>
      <c r="AI694">
        <f t="shared" si="21"/>
        <v>1</v>
      </c>
      <c r="AJ694">
        <f>'TABLA PREVIOS'!E694</f>
        <v>285</v>
      </c>
      <c r="AK694">
        <f>VLOOKUP(E694,ALUMNOS!A:B,2,FALSE)</f>
        <v>344</v>
      </c>
    </row>
    <row r="695" spans="2:37" x14ac:dyDescent="0.25">
      <c r="B695" t="str">
        <f t="shared" si="20"/>
        <v>45349596ADMINISTRACIÓN FINANCIERA6º</v>
      </c>
      <c r="C695" t="s">
        <v>326</v>
      </c>
      <c r="D695" t="s">
        <v>96</v>
      </c>
      <c r="E695">
        <v>45349596</v>
      </c>
      <c r="F695" t="s">
        <v>334</v>
      </c>
      <c r="G695" t="s">
        <v>40</v>
      </c>
      <c r="H695" t="s">
        <v>245</v>
      </c>
      <c r="I695" t="s">
        <v>43</v>
      </c>
      <c r="J695">
        <v>2021</v>
      </c>
      <c r="K695" t="s">
        <v>60</v>
      </c>
      <c r="N695" t="s">
        <v>99</v>
      </c>
      <c r="AI695">
        <f t="shared" si="21"/>
        <v>1</v>
      </c>
      <c r="AJ695">
        <f>'TABLA PREVIOS'!E695</f>
        <v>289</v>
      </c>
      <c r="AK695">
        <f>VLOOKUP(E695,ALUMNOS!A:B,2,FALSE)</f>
        <v>344</v>
      </c>
    </row>
    <row r="696" spans="2:37" x14ac:dyDescent="0.25">
      <c r="B696" t="str">
        <f t="shared" si="20"/>
        <v>45349596DERECHO6º</v>
      </c>
      <c r="C696" t="s">
        <v>326</v>
      </c>
      <c r="D696" t="s">
        <v>96</v>
      </c>
      <c r="E696">
        <v>45349596</v>
      </c>
      <c r="F696" t="s">
        <v>334</v>
      </c>
      <c r="G696" t="s">
        <v>38</v>
      </c>
      <c r="H696" t="s">
        <v>245</v>
      </c>
      <c r="I696" t="s">
        <v>43</v>
      </c>
      <c r="J696">
        <v>2021</v>
      </c>
      <c r="K696" t="s">
        <v>60</v>
      </c>
      <c r="N696" t="s">
        <v>99</v>
      </c>
      <c r="AI696">
        <f t="shared" si="21"/>
        <v>1</v>
      </c>
      <c r="AJ696">
        <f>'TABLA PREVIOS'!E696</f>
        <v>287</v>
      </c>
      <c r="AK696">
        <f>VLOOKUP(E696,ALUMNOS!A:B,2,FALSE)</f>
        <v>344</v>
      </c>
    </row>
    <row r="697" spans="2:37" x14ac:dyDescent="0.25">
      <c r="B697" t="str">
        <f t="shared" si="20"/>
        <v>45349596ECONOMÍA6º</v>
      </c>
      <c r="C697" t="s">
        <v>326</v>
      </c>
      <c r="D697" t="s">
        <v>96</v>
      </c>
      <c r="E697">
        <v>45349596</v>
      </c>
      <c r="F697" t="s">
        <v>334</v>
      </c>
      <c r="G697" t="s">
        <v>34</v>
      </c>
      <c r="H697" t="s">
        <v>245</v>
      </c>
      <c r="I697" t="s">
        <v>43</v>
      </c>
      <c r="J697">
        <v>2021</v>
      </c>
      <c r="K697" t="s">
        <v>60</v>
      </c>
      <c r="N697" t="s">
        <v>99</v>
      </c>
      <c r="AI697">
        <f t="shared" si="21"/>
        <v>1</v>
      </c>
      <c r="AJ697">
        <f>'TABLA PREVIOS'!E697</f>
        <v>286</v>
      </c>
      <c r="AK697">
        <f>VLOOKUP(E697,ALUMNOS!A:B,2,FALSE)</f>
        <v>344</v>
      </c>
    </row>
    <row r="698" spans="2:37" x14ac:dyDescent="0.25">
      <c r="B698" t="str">
        <f t="shared" si="20"/>
        <v>45349596MATEMÁTICA6º</v>
      </c>
      <c r="C698" t="s">
        <v>326</v>
      </c>
      <c r="D698" t="s">
        <v>96</v>
      </c>
      <c r="E698">
        <v>45349596</v>
      </c>
      <c r="F698" t="s">
        <v>334</v>
      </c>
      <c r="G698" t="s">
        <v>12</v>
      </c>
      <c r="H698" t="s">
        <v>245</v>
      </c>
      <c r="I698" t="s">
        <v>43</v>
      </c>
      <c r="J698">
        <v>2021</v>
      </c>
      <c r="K698" t="s">
        <v>60</v>
      </c>
      <c r="N698" t="s">
        <v>99</v>
      </c>
      <c r="AI698">
        <f t="shared" si="21"/>
        <v>1</v>
      </c>
      <c r="AJ698">
        <f>'TABLA PREVIOS'!E698</f>
        <v>280</v>
      </c>
      <c r="AK698">
        <f>VLOOKUP(E698,ALUMNOS!A:B,2,FALSE)</f>
        <v>344</v>
      </c>
    </row>
    <row r="699" spans="2:37" x14ac:dyDescent="0.25">
      <c r="B699" t="str">
        <f t="shared" si="20"/>
        <v>45349596RESPONSABILIDAD SOCIAL DE LAS ORGANIZACIONES6º</v>
      </c>
      <c r="C699" t="s">
        <v>326</v>
      </c>
      <c r="D699" t="s">
        <v>96</v>
      </c>
      <c r="E699">
        <v>45349596</v>
      </c>
      <c r="F699" t="s">
        <v>334</v>
      </c>
      <c r="G699" t="s">
        <v>39</v>
      </c>
      <c r="H699" t="s">
        <v>245</v>
      </c>
      <c r="I699" t="s">
        <v>43</v>
      </c>
      <c r="J699">
        <v>2021</v>
      </c>
      <c r="K699" t="s">
        <v>60</v>
      </c>
      <c r="N699" t="s">
        <v>99</v>
      </c>
      <c r="AI699">
        <f t="shared" si="21"/>
        <v>1</v>
      </c>
      <c r="AJ699">
        <f>'TABLA PREVIOS'!E699</f>
        <v>288</v>
      </c>
      <c r="AK699">
        <f>VLOOKUP(E699,ALUMNOS!A:B,2,FALSE)</f>
        <v>344</v>
      </c>
    </row>
    <row r="700" spans="2:37" x14ac:dyDescent="0.25">
      <c r="B700" t="str">
        <f t="shared" si="20"/>
        <v>45349596SISTEMAS DE INFORMACIÓN CONTABLE6º</v>
      </c>
      <c r="C700" t="s">
        <v>326</v>
      </c>
      <c r="D700" t="s">
        <v>96</v>
      </c>
      <c r="E700">
        <v>45349596</v>
      </c>
      <c r="F700" t="s">
        <v>334</v>
      </c>
      <c r="G700" t="s">
        <v>29</v>
      </c>
      <c r="H700" t="s">
        <v>245</v>
      </c>
      <c r="I700" t="s">
        <v>43</v>
      </c>
      <c r="J700">
        <v>2021</v>
      </c>
      <c r="K700" t="s">
        <v>60</v>
      </c>
      <c r="N700" t="s">
        <v>99</v>
      </c>
      <c r="AI700">
        <f t="shared" si="21"/>
        <v>1</v>
      </c>
      <c r="AJ700">
        <f>'TABLA PREVIOS'!E700</f>
        <v>290</v>
      </c>
      <c r="AK700">
        <f>VLOOKUP(E700,ALUMNOS!A:B,2,FALSE)</f>
        <v>344</v>
      </c>
    </row>
    <row r="701" spans="2:37" x14ac:dyDescent="0.25">
      <c r="B701" t="str">
        <f t="shared" si="20"/>
        <v>45349568EDUCACIÓN FÍSICA4º</v>
      </c>
      <c r="C701" t="s">
        <v>326</v>
      </c>
      <c r="D701" t="s">
        <v>96</v>
      </c>
      <c r="E701">
        <v>45349568</v>
      </c>
      <c r="F701" t="s">
        <v>335</v>
      </c>
      <c r="G701" t="s">
        <v>10</v>
      </c>
      <c r="H701" t="s">
        <v>190</v>
      </c>
      <c r="I701" t="s">
        <v>43</v>
      </c>
      <c r="J701">
        <v>2019</v>
      </c>
      <c r="K701" t="s">
        <v>60</v>
      </c>
      <c r="N701" t="s">
        <v>99</v>
      </c>
      <c r="AI701">
        <f t="shared" si="21"/>
        <v>1</v>
      </c>
      <c r="AJ701">
        <f>'TABLA PREVIOS'!E701</f>
        <v>250</v>
      </c>
      <c r="AK701">
        <f>VLOOKUP(E701,ALUMNOS!A:B,2,FALSE)</f>
        <v>555</v>
      </c>
    </row>
    <row r="702" spans="2:37" x14ac:dyDescent="0.25">
      <c r="B702" t="str">
        <f t="shared" si="20"/>
        <v>45349568MATEMÁTICA5º</v>
      </c>
      <c r="C702" t="s">
        <v>326</v>
      </c>
      <c r="D702" t="s">
        <v>96</v>
      </c>
      <c r="E702">
        <v>45349568</v>
      </c>
      <c r="F702" t="s">
        <v>335</v>
      </c>
      <c r="G702" t="s">
        <v>12</v>
      </c>
      <c r="H702" t="s">
        <v>220</v>
      </c>
      <c r="I702" t="s">
        <v>43</v>
      </c>
      <c r="J702">
        <v>2020</v>
      </c>
      <c r="K702" t="s">
        <v>60</v>
      </c>
      <c r="N702" t="s">
        <v>99</v>
      </c>
      <c r="AI702">
        <f t="shared" si="21"/>
        <v>1</v>
      </c>
      <c r="AJ702">
        <f>'TABLA PREVIOS'!E702</f>
        <v>265</v>
      </c>
      <c r="AK702">
        <f>VLOOKUP(E702,ALUMNOS!A:B,2,FALSE)</f>
        <v>555</v>
      </c>
    </row>
    <row r="703" spans="2:37" x14ac:dyDescent="0.25">
      <c r="B703" t="str">
        <f t="shared" si="20"/>
        <v>45349568SISTEMAS DE INFORMACIÓN CONTABLE5º</v>
      </c>
      <c r="C703" t="s">
        <v>326</v>
      </c>
      <c r="D703" t="s">
        <v>96</v>
      </c>
      <c r="E703">
        <v>45349568</v>
      </c>
      <c r="F703" t="s">
        <v>335</v>
      </c>
      <c r="G703" t="s">
        <v>29</v>
      </c>
      <c r="H703" t="s">
        <v>220</v>
      </c>
      <c r="I703" t="s">
        <v>43</v>
      </c>
      <c r="J703">
        <v>2020</v>
      </c>
      <c r="K703" t="s">
        <v>60</v>
      </c>
      <c r="N703" t="s">
        <v>99</v>
      </c>
      <c r="AI703">
        <f t="shared" si="21"/>
        <v>1</v>
      </c>
      <c r="AJ703">
        <f>'TABLA PREVIOS'!E703</f>
        <v>273</v>
      </c>
      <c r="AK703">
        <f>VLOOKUP(E703,ALUMNOS!A:B,2,FALSE)</f>
        <v>555</v>
      </c>
    </row>
    <row r="704" spans="2:37" x14ac:dyDescent="0.25">
      <c r="B704" t="str">
        <f t="shared" si="20"/>
        <v>45349568ADMINISTRACIÓN6º</v>
      </c>
      <c r="C704" t="s">
        <v>326</v>
      </c>
      <c r="D704" t="s">
        <v>96</v>
      </c>
      <c r="E704">
        <v>45349568</v>
      </c>
      <c r="F704" t="s">
        <v>335</v>
      </c>
      <c r="G704" t="s">
        <v>30</v>
      </c>
      <c r="H704" t="s">
        <v>245</v>
      </c>
      <c r="I704" t="s">
        <v>43</v>
      </c>
      <c r="J704">
        <v>2021</v>
      </c>
      <c r="K704" t="s">
        <v>60</v>
      </c>
      <c r="N704" t="s">
        <v>99</v>
      </c>
      <c r="AI704">
        <f t="shared" si="21"/>
        <v>1</v>
      </c>
      <c r="AJ704">
        <f>'TABLA PREVIOS'!E704</f>
        <v>285</v>
      </c>
      <c r="AK704">
        <f>VLOOKUP(E704,ALUMNOS!A:B,2,FALSE)</f>
        <v>555</v>
      </c>
    </row>
    <row r="705" spans="2:37" x14ac:dyDescent="0.25">
      <c r="B705" t="str">
        <f t="shared" si="20"/>
        <v>45349568ADMINISTRACIÓN FINANCIERA6º</v>
      </c>
      <c r="C705" t="s">
        <v>326</v>
      </c>
      <c r="D705" t="s">
        <v>96</v>
      </c>
      <c r="E705">
        <v>45349568</v>
      </c>
      <c r="F705" t="s">
        <v>335</v>
      </c>
      <c r="G705" t="s">
        <v>40</v>
      </c>
      <c r="H705" t="s">
        <v>245</v>
      </c>
      <c r="I705" t="s">
        <v>43</v>
      </c>
      <c r="J705">
        <v>2021</v>
      </c>
      <c r="K705" t="s">
        <v>60</v>
      </c>
      <c r="N705" t="s">
        <v>99</v>
      </c>
      <c r="AI705">
        <f t="shared" si="21"/>
        <v>1</v>
      </c>
      <c r="AJ705">
        <f>'TABLA PREVIOS'!E705</f>
        <v>289</v>
      </c>
      <c r="AK705">
        <f>VLOOKUP(E705,ALUMNOS!A:B,2,FALSE)</f>
        <v>555</v>
      </c>
    </row>
    <row r="706" spans="2:37" x14ac:dyDescent="0.25">
      <c r="B706" t="str">
        <f t="shared" si="20"/>
        <v>45349568DERECHO6º</v>
      </c>
      <c r="C706" t="s">
        <v>326</v>
      </c>
      <c r="D706" t="s">
        <v>96</v>
      </c>
      <c r="E706">
        <v>45349568</v>
      </c>
      <c r="F706" t="s">
        <v>335</v>
      </c>
      <c r="G706" t="s">
        <v>38</v>
      </c>
      <c r="H706" t="s">
        <v>245</v>
      </c>
      <c r="I706" t="s">
        <v>43</v>
      </c>
      <c r="J706">
        <v>2021</v>
      </c>
      <c r="K706" t="s">
        <v>60</v>
      </c>
      <c r="N706" t="s">
        <v>99</v>
      </c>
      <c r="AI706">
        <f t="shared" si="21"/>
        <v>1</v>
      </c>
      <c r="AJ706">
        <f>'TABLA PREVIOS'!E706</f>
        <v>287</v>
      </c>
      <c r="AK706">
        <f>VLOOKUP(E706,ALUMNOS!A:B,2,FALSE)</f>
        <v>555</v>
      </c>
    </row>
    <row r="707" spans="2:37" x14ac:dyDescent="0.25">
      <c r="B707" t="str">
        <f t="shared" ref="B707:B770" si="22">E707&amp;G707&amp;H707</f>
        <v>45349568ECONOMÍA6º</v>
      </c>
      <c r="C707" t="s">
        <v>326</v>
      </c>
      <c r="D707" t="s">
        <v>96</v>
      </c>
      <c r="E707">
        <v>45349568</v>
      </c>
      <c r="F707" t="s">
        <v>335</v>
      </c>
      <c r="G707" t="s">
        <v>34</v>
      </c>
      <c r="H707" t="s">
        <v>245</v>
      </c>
      <c r="I707" t="s">
        <v>43</v>
      </c>
      <c r="J707">
        <v>2021</v>
      </c>
      <c r="K707" t="s">
        <v>60</v>
      </c>
      <c r="N707" t="s">
        <v>99</v>
      </c>
      <c r="AI707">
        <f t="shared" ref="AI707:AI770" si="23">IF(VALUE(MAX(P707,T707,X707,AB707,AE707,))&gt;=7,VALUE(MAX(P707,T707,X707,AB707,AE707,)),1)</f>
        <v>1</v>
      </c>
      <c r="AJ707">
        <f>'TABLA PREVIOS'!E707</f>
        <v>286</v>
      </c>
      <c r="AK707">
        <f>VLOOKUP(E707,ALUMNOS!A:B,2,FALSE)</f>
        <v>555</v>
      </c>
    </row>
    <row r="708" spans="2:37" x14ac:dyDescent="0.25">
      <c r="B708" t="str">
        <f t="shared" si="22"/>
        <v>45349568LENGUA Y LITERATURA6º</v>
      </c>
      <c r="C708" t="s">
        <v>326</v>
      </c>
      <c r="D708" t="s">
        <v>96</v>
      </c>
      <c r="E708">
        <v>45349568</v>
      </c>
      <c r="F708" t="s">
        <v>335</v>
      </c>
      <c r="G708" t="s">
        <v>11</v>
      </c>
      <c r="H708" t="s">
        <v>245</v>
      </c>
      <c r="I708" t="s">
        <v>43</v>
      </c>
      <c r="J708">
        <v>2021</v>
      </c>
      <c r="K708" t="s">
        <v>60</v>
      </c>
      <c r="N708" t="s">
        <v>99</v>
      </c>
      <c r="AI708">
        <f t="shared" si="23"/>
        <v>1</v>
      </c>
      <c r="AJ708">
        <f>'TABLA PREVIOS'!E708</f>
        <v>279</v>
      </c>
      <c r="AK708">
        <f>VLOOKUP(E708,ALUMNOS!A:B,2,FALSE)</f>
        <v>555</v>
      </c>
    </row>
    <row r="709" spans="2:37" x14ac:dyDescent="0.25">
      <c r="B709" t="str">
        <f t="shared" si="22"/>
        <v>45349568QUÍMICA6º</v>
      </c>
      <c r="C709" t="s">
        <v>326</v>
      </c>
      <c r="D709" t="s">
        <v>96</v>
      </c>
      <c r="E709">
        <v>45349568</v>
      </c>
      <c r="F709" t="s">
        <v>335</v>
      </c>
      <c r="G709" t="s">
        <v>25</v>
      </c>
      <c r="H709" t="s">
        <v>245</v>
      </c>
      <c r="I709" t="s">
        <v>43</v>
      </c>
      <c r="J709">
        <v>2021</v>
      </c>
      <c r="K709" t="s">
        <v>60</v>
      </c>
      <c r="N709" t="s">
        <v>99</v>
      </c>
      <c r="AI709">
        <f t="shared" si="23"/>
        <v>1</v>
      </c>
      <c r="AJ709">
        <f>'TABLA PREVIOS'!E709</f>
        <v>281</v>
      </c>
      <c r="AK709">
        <f>VLOOKUP(E709,ALUMNOS!A:B,2,FALSE)</f>
        <v>555</v>
      </c>
    </row>
    <row r="710" spans="2:37" x14ac:dyDescent="0.25">
      <c r="B710" t="str">
        <f t="shared" si="22"/>
        <v>45349568RESPONSABILIDAD SOCIAL DE LAS ORGANIZACIONES6º</v>
      </c>
      <c r="C710" t="s">
        <v>326</v>
      </c>
      <c r="D710" t="s">
        <v>96</v>
      </c>
      <c r="E710">
        <v>45349568</v>
      </c>
      <c r="F710" t="s">
        <v>335</v>
      </c>
      <c r="G710" t="s">
        <v>39</v>
      </c>
      <c r="H710" t="s">
        <v>245</v>
      </c>
      <c r="I710" t="s">
        <v>43</v>
      </c>
      <c r="J710">
        <v>2021</v>
      </c>
      <c r="K710" t="s">
        <v>60</v>
      </c>
      <c r="N710" t="s">
        <v>99</v>
      </c>
      <c r="AI710">
        <f t="shared" si="23"/>
        <v>1</v>
      </c>
      <c r="AJ710">
        <f>'TABLA PREVIOS'!E710</f>
        <v>288</v>
      </c>
      <c r="AK710">
        <f>VLOOKUP(E710,ALUMNOS!A:B,2,FALSE)</f>
        <v>555</v>
      </c>
    </row>
    <row r="711" spans="2:37" x14ac:dyDescent="0.25">
      <c r="B711" t="str">
        <f t="shared" si="22"/>
        <v>45349568SISTEMAS DE INFORMACIÓN CONTABLE6º</v>
      </c>
      <c r="C711" t="s">
        <v>326</v>
      </c>
      <c r="D711" t="s">
        <v>96</v>
      </c>
      <c r="E711">
        <v>45349568</v>
      </c>
      <c r="F711" t="s">
        <v>335</v>
      </c>
      <c r="G711" t="s">
        <v>29</v>
      </c>
      <c r="H711" t="s">
        <v>245</v>
      </c>
      <c r="I711" t="s">
        <v>43</v>
      </c>
      <c r="J711">
        <v>2021</v>
      </c>
      <c r="K711" t="s">
        <v>60</v>
      </c>
      <c r="N711" t="s">
        <v>99</v>
      </c>
      <c r="AI711">
        <f t="shared" si="23"/>
        <v>1</v>
      </c>
      <c r="AJ711">
        <f>'TABLA PREVIOS'!E711</f>
        <v>290</v>
      </c>
      <c r="AK711">
        <f>VLOOKUP(E711,ALUMNOS!A:B,2,FALSE)</f>
        <v>555</v>
      </c>
    </row>
    <row r="712" spans="2:37" x14ac:dyDescent="0.25">
      <c r="B712" t="str">
        <f t="shared" si="22"/>
        <v>45083749ADMINISTRACIÓN6º</v>
      </c>
      <c r="C712" t="s">
        <v>326</v>
      </c>
      <c r="D712" t="s">
        <v>96</v>
      </c>
      <c r="E712">
        <v>45083749</v>
      </c>
      <c r="F712" t="s">
        <v>336</v>
      </c>
      <c r="G712" t="s">
        <v>30</v>
      </c>
      <c r="H712" t="s">
        <v>245</v>
      </c>
      <c r="I712" t="s">
        <v>43</v>
      </c>
      <c r="J712">
        <v>2021</v>
      </c>
      <c r="K712" t="s">
        <v>60</v>
      </c>
      <c r="N712" t="s">
        <v>99</v>
      </c>
      <c r="AI712">
        <f t="shared" si="23"/>
        <v>1</v>
      </c>
      <c r="AJ712">
        <f>'TABLA PREVIOS'!E712</f>
        <v>285</v>
      </c>
      <c r="AK712">
        <f>VLOOKUP(E712,ALUMNOS!A:B,2,FALSE)</f>
        <v>574</v>
      </c>
    </row>
    <row r="713" spans="2:37" x14ac:dyDescent="0.25">
      <c r="B713" t="str">
        <f t="shared" si="22"/>
        <v>45083749ADMINISTRACIÓN FINANCIERA6º</v>
      </c>
      <c r="C713" t="s">
        <v>326</v>
      </c>
      <c r="D713" t="s">
        <v>96</v>
      </c>
      <c r="E713">
        <v>45083749</v>
      </c>
      <c r="F713" t="s">
        <v>336</v>
      </c>
      <c r="G713" t="s">
        <v>40</v>
      </c>
      <c r="H713" t="s">
        <v>245</v>
      </c>
      <c r="I713" t="s">
        <v>43</v>
      </c>
      <c r="J713">
        <v>2021</v>
      </c>
      <c r="K713" t="s">
        <v>60</v>
      </c>
      <c r="N713" t="s">
        <v>99</v>
      </c>
      <c r="AI713">
        <f t="shared" si="23"/>
        <v>1</v>
      </c>
      <c r="AJ713">
        <f>'TABLA PREVIOS'!E713</f>
        <v>289</v>
      </c>
      <c r="AK713">
        <f>VLOOKUP(E713,ALUMNOS!A:B,2,FALSE)</f>
        <v>574</v>
      </c>
    </row>
    <row r="714" spans="2:37" x14ac:dyDescent="0.25">
      <c r="B714" t="str">
        <f t="shared" si="22"/>
        <v>45083749DERECHO6º</v>
      </c>
      <c r="C714" t="s">
        <v>326</v>
      </c>
      <c r="D714" t="s">
        <v>96</v>
      </c>
      <c r="E714">
        <v>45083749</v>
      </c>
      <c r="F714" t="s">
        <v>336</v>
      </c>
      <c r="G714" t="s">
        <v>38</v>
      </c>
      <c r="H714" t="s">
        <v>245</v>
      </c>
      <c r="I714" t="s">
        <v>43</v>
      </c>
      <c r="J714">
        <v>2021</v>
      </c>
      <c r="K714" t="s">
        <v>60</v>
      </c>
      <c r="N714" t="s">
        <v>99</v>
      </c>
      <c r="AI714">
        <f t="shared" si="23"/>
        <v>1</v>
      </c>
      <c r="AJ714">
        <f>'TABLA PREVIOS'!E714</f>
        <v>287</v>
      </c>
      <c r="AK714">
        <f>VLOOKUP(E714,ALUMNOS!A:B,2,FALSE)</f>
        <v>574</v>
      </c>
    </row>
    <row r="715" spans="2:37" x14ac:dyDescent="0.25">
      <c r="B715" t="str">
        <f t="shared" si="22"/>
        <v>45083749ECONOMÍA6º</v>
      </c>
      <c r="C715" t="s">
        <v>326</v>
      </c>
      <c r="D715" t="s">
        <v>96</v>
      </c>
      <c r="E715">
        <v>45083749</v>
      </c>
      <c r="F715" t="s">
        <v>336</v>
      </c>
      <c r="G715" t="s">
        <v>34</v>
      </c>
      <c r="H715" t="s">
        <v>245</v>
      </c>
      <c r="I715" t="s">
        <v>43</v>
      </c>
      <c r="J715">
        <v>2021</v>
      </c>
      <c r="K715" t="s">
        <v>60</v>
      </c>
      <c r="N715" t="s">
        <v>99</v>
      </c>
      <c r="AI715">
        <f t="shared" si="23"/>
        <v>1</v>
      </c>
      <c r="AJ715">
        <f>'TABLA PREVIOS'!E715</f>
        <v>286</v>
      </c>
      <c r="AK715">
        <f>VLOOKUP(E715,ALUMNOS!A:B,2,FALSE)</f>
        <v>574</v>
      </c>
    </row>
    <row r="716" spans="2:37" x14ac:dyDescent="0.25">
      <c r="B716" t="str">
        <f t="shared" si="22"/>
        <v>45083749RESPONSABILIDAD SOCIAL DE LAS ORGANIZACIONES6º</v>
      </c>
      <c r="C716" t="s">
        <v>326</v>
      </c>
      <c r="D716" t="s">
        <v>96</v>
      </c>
      <c r="E716">
        <v>45083749</v>
      </c>
      <c r="F716" t="s">
        <v>336</v>
      </c>
      <c r="G716" t="s">
        <v>39</v>
      </c>
      <c r="H716" t="s">
        <v>245</v>
      </c>
      <c r="I716" t="s">
        <v>43</v>
      </c>
      <c r="J716">
        <v>2021</v>
      </c>
      <c r="K716" t="s">
        <v>60</v>
      </c>
      <c r="N716" t="s">
        <v>99</v>
      </c>
      <c r="AI716">
        <f t="shared" si="23"/>
        <v>1</v>
      </c>
      <c r="AJ716">
        <f>'TABLA PREVIOS'!E716</f>
        <v>288</v>
      </c>
      <c r="AK716">
        <f>VLOOKUP(E716,ALUMNOS!A:B,2,FALSE)</f>
        <v>574</v>
      </c>
    </row>
    <row r="717" spans="2:37" x14ac:dyDescent="0.25">
      <c r="B717" t="str">
        <f t="shared" si="22"/>
        <v>45083749SISTEMAS DE INFORMACIÓN CONTABLE6º</v>
      </c>
      <c r="C717" t="s">
        <v>326</v>
      </c>
      <c r="D717" t="s">
        <v>96</v>
      </c>
      <c r="E717">
        <v>45083749</v>
      </c>
      <c r="F717" t="s">
        <v>336</v>
      </c>
      <c r="G717" t="s">
        <v>29</v>
      </c>
      <c r="H717" t="s">
        <v>245</v>
      </c>
      <c r="I717" t="s">
        <v>43</v>
      </c>
      <c r="J717">
        <v>2021</v>
      </c>
      <c r="K717" t="s">
        <v>60</v>
      </c>
      <c r="N717" t="s">
        <v>99</v>
      </c>
      <c r="AI717">
        <f t="shared" si="23"/>
        <v>1</v>
      </c>
      <c r="AJ717">
        <f>'TABLA PREVIOS'!E717</f>
        <v>290</v>
      </c>
      <c r="AK717">
        <f>VLOOKUP(E717,ALUMNOS!A:B,2,FALSE)</f>
        <v>574</v>
      </c>
    </row>
    <row r="718" spans="2:37" x14ac:dyDescent="0.25">
      <c r="B718" t="str">
        <f t="shared" si="22"/>
        <v>45484430EDUCACIÓN ARTÍSTICA - MÚSICA5º</v>
      </c>
      <c r="C718" t="s">
        <v>326</v>
      </c>
      <c r="D718" t="s">
        <v>96</v>
      </c>
      <c r="E718">
        <v>45484430</v>
      </c>
      <c r="F718" t="s">
        <v>337</v>
      </c>
      <c r="G718" t="s">
        <v>23</v>
      </c>
      <c r="H718" t="s">
        <v>220</v>
      </c>
      <c r="I718" t="s">
        <v>43</v>
      </c>
      <c r="J718">
        <v>2020</v>
      </c>
      <c r="K718" t="s">
        <v>60</v>
      </c>
      <c r="N718" t="s">
        <v>99</v>
      </c>
      <c r="AI718">
        <f t="shared" si="23"/>
        <v>1</v>
      </c>
      <c r="AJ718">
        <f>'TABLA PREVIOS'!E718</f>
        <v>270</v>
      </c>
      <c r="AK718">
        <f>VLOOKUP(E718,ALUMNOS!A:B,2,FALSE)</f>
        <v>776</v>
      </c>
    </row>
    <row r="719" spans="2:37" x14ac:dyDescent="0.25">
      <c r="B719" t="str">
        <f t="shared" si="22"/>
        <v>45484430SISTEMAS DE INFORMACIÓN CONTABLE5º</v>
      </c>
      <c r="C719" t="s">
        <v>326</v>
      </c>
      <c r="D719" t="s">
        <v>96</v>
      </c>
      <c r="E719">
        <v>45484430</v>
      </c>
      <c r="F719" t="s">
        <v>337</v>
      </c>
      <c r="G719" t="s">
        <v>29</v>
      </c>
      <c r="H719" t="s">
        <v>220</v>
      </c>
      <c r="I719" t="s">
        <v>43</v>
      </c>
      <c r="J719">
        <v>2020</v>
      </c>
      <c r="K719" t="s">
        <v>60</v>
      </c>
      <c r="N719" t="s">
        <v>99</v>
      </c>
      <c r="AI719">
        <f t="shared" si="23"/>
        <v>1</v>
      </c>
      <c r="AJ719">
        <f>'TABLA PREVIOS'!E719</f>
        <v>273</v>
      </c>
      <c r="AK719">
        <f>VLOOKUP(E719,ALUMNOS!A:B,2,FALSE)</f>
        <v>776</v>
      </c>
    </row>
    <row r="720" spans="2:37" x14ac:dyDescent="0.25">
      <c r="B720" t="str">
        <f t="shared" si="22"/>
        <v>45484430CIUDADANÍA Y POLÍTICA6º</v>
      </c>
      <c r="C720" t="s">
        <v>326</v>
      </c>
      <c r="D720" t="s">
        <v>96</v>
      </c>
      <c r="E720">
        <v>45484430</v>
      </c>
      <c r="F720" t="s">
        <v>337</v>
      </c>
      <c r="G720" t="s">
        <v>37</v>
      </c>
      <c r="H720" t="s">
        <v>245</v>
      </c>
      <c r="I720" t="s">
        <v>43</v>
      </c>
      <c r="J720">
        <v>2021</v>
      </c>
      <c r="K720" t="s">
        <v>60</v>
      </c>
      <c r="N720" t="s">
        <v>99</v>
      </c>
      <c r="AI720">
        <f t="shared" si="23"/>
        <v>1</v>
      </c>
      <c r="AJ720">
        <f>'TABLA PREVIOS'!E720</f>
        <v>284</v>
      </c>
      <c r="AK720">
        <f>VLOOKUP(E720,ALUMNOS!A:B,2,FALSE)</f>
        <v>776</v>
      </c>
    </row>
    <row r="721" spans="2:37" x14ac:dyDescent="0.25">
      <c r="B721" t="str">
        <f t="shared" si="22"/>
        <v>45484430FILOSOFÍA6º</v>
      </c>
      <c r="C721" t="s">
        <v>326</v>
      </c>
      <c r="D721" t="s">
        <v>96</v>
      </c>
      <c r="E721">
        <v>45484430</v>
      </c>
      <c r="F721" t="s">
        <v>337</v>
      </c>
      <c r="G721" t="s">
        <v>41</v>
      </c>
      <c r="H721" t="s">
        <v>245</v>
      </c>
      <c r="I721" t="s">
        <v>43</v>
      </c>
      <c r="J721">
        <v>2021</v>
      </c>
      <c r="K721" t="s">
        <v>60</v>
      </c>
      <c r="N721" t="s">
        <v>99</v>
      </c>
      <c r="AI721">
        <f t="shared" si="23"/>
        <v>1</v>
      </c>
      <c r="AJ721">
        <f>'TABLA PREVIOS'!E721</f>
        <v>292</v>
      </c>
      <c r="AK721">
        <f>VLOOKUP(E721,ALUMNOS!A:B,2,FALSE)</f>
        <v>776</v>
      </c>
    </row>
    <row r="722" spans="2:37" x14ac:dyDescent="0.25">
      <c r="B722" t="str">
        <f t="shared" si="22"/>
        <v>45484430LENGUA Y LITERATURA6º</v>
      </c>
      <c r="C722" t="s">
        <v>326</v>
      </c>
      <c r="D722" t="s">
        <v>96</v>
      </c>
      <c r="E722">
        <v>45484430</v>
      </c>
      <c r="F722" t="s">
        <v>337</v>
      </c>
      <c r="G722" t="s">
        <v>11</v>
      </c>
      <c r="H722" t="s">
        <v>245</v>
      </c>
      <c r="I722" t="s">
        <v>43</v>
      </c>
      <c r="J722">
        <v>2021</v>
      </c>
      <c r="K722" t="s">
        <v>60</v>
      </c>
      <c r="N722" t="s">
        <v>99</v>
      </c>
      <c r="AI722">
        <f t="shared" si="23"/>
        <v>1</v>
      </c>
      <c r="AJ722">
        <f>'TABLA PREVIOS'!E722</f>
        <v>279</v>
      </c>
      <c r="AK722">
        <f>VLOOKUP(E722,ALUMNOS!A:B,2,FALSE)</f>
        <v>776</v>
      </c>
    </row>
    <row r="723" spans="2:37" x14ac:dyDescent="0.25">
      <c r="B723" t="str">
        <f t="shared" si="22"/>
        <v>45484430QUÍMICA6º</v>
      </c>
      <c r="C723" t="s">
        <v>326</v>
      </c>
      <c r="D723" t="s">
        <v>96</v>
      </c>
      <c r="E723">
        <v>45484430</v>
      </c>
      <c r="F723" t="s">
        <v>337</v>
      </c>
      <c r="G723" t="s">
        <v>25</v>
      </c>
      <c r="H723" t="s">
        <v>245</v>
      </c>
      <c r="I723" t="s">
        <v>43</v>
      </c>
      <c r="J723">
        <v>2021</v>
      </c>
      <c r="K723" t="s">
        <v>60</v>
      </c>
      <c r="N723" t="s">
        <v>99</v>
      </c>
      <c r="AI723">
        <f t="shared" si="23"/>
        <v>1</v>
      </c>
      <c r="AJ723">
        <f>'TABLA PREVIOS'!E723</f>
        <v>281</v>
      </c>
      <c r="AK723">
        <f>VLOOKUP(E723,ALUMNOS!A:B,2,FALSE)</f>
        <v>776</v>
      </c>
    </row>
    <row r="724" spans="2:37" x14ac:dyDescent="0.25">
      <c r="B724" t="str">
        <f t="shared" si="22"/>
        <v>45484413GEOGRAFÍA5º</v>
      </c>
      <c r="C724" t="s">
        <v>326</v>
      </c>
      <c r="D724" t="s">
        <v>96</v>
      </c>
      <c r="E724">
        <v>45484413</v>
      </c>
      <c r="F724" t="s">
        <v>338</v>
      </c>
      <c r="G724" t="s">
        <v>26</v>
      </c>
      <c r="H724" t="s">
        <v>220</v>
      </c>
      <c r="I724" t="s">
        <v>43</v>
      </c>
      <c r="J724">
        <v>2020</v>
      </c>
      <c r="K724" t="s">
        <v>60</v>
      </c>
      <c r="N724" t="s">
        <v>99</v>
      </c>
      <c r="AI724">
        <f t="shared" si="23"/>
        <v>1</v>
      </c>
      <c r="AJ724">
        <f>'TABLA PREVIOS'!E724</f>
        <v>267</v>
      </c>
      <c r="AK724">
        <f>VLOOKUP(E724,ALUMNOS!A:B,2,FALSE)</f>
        <v>779</v>
      </c>
    </row>
    <row r="725" spans="2:37" x14ac:dyDescent="0.25">
      <c r="B725" t="str">
        <f t="shared" si="22"/>
        <v>45484413SISTEMAS DE INFORMACIÓN CONTABLE5º</v>
      </c>
      <c r="C725" t="s">
        <v>326</v>
      </c>
      <c r="D725" t="s">
        <v>96</v>
      </c>
      <c r="E725">
        <v>45484413</v>
      </c>
      <c r="F725" t="s">
        <v>338</v>
      </c>
      <c r="G725" t="s">
        <v>29</v>
      </c>
      <c r="H725" t="s">
        <v>220</v>
      </c>
      <c r="I725" t="s">
        <v>43</v>
      </c>
      <c r="J725">
        <v>2020</v>
      </c>
      <c r="K725" t="s">
        <v>60</v>
      </c>
      <c r="N725" t="s">
        <v>99</v>
      </c>
      <c r="AI725">
        <f t="shared" si="23"/>
        <v>1</v>
      </c>
      <c r="AJ725">
        <f>'TABLA PREVIOS'!E725</f>
        <v>273</v>
      </c>
      <c r="AK725">
        <f>VLOOKUP(E725,ALUMNOS!A:B,2,FALSE)</f>
        <v>779</v>
      </c>
    </row>
    <row r="726" spans="2:37" x14ac:dyDescent="0.25">
      <c r="B726" t="str">
        <f t="shared" si="22"/>
        <v>45484413ADMINISTRACIÓN6º</v>
      </c>
      <c r="C726" t="s">
        <v>326</v>
      </c>
      <c r="D726" t="s">
        <v>96</v>
      </c>
      <c r="E726">
        <v>45484413</v>
      </c>
      <c r="F726" t="s">
        <v>338</v>
      </c>
      <c r="G726" t="s">
        <v>30</v>
      </c>
      <c r="H726" t="s">
        <v>245</v>
      </c>
      <c r="I726" t="s">
        <v>43</v>
      </c>
      <c r="J726">
        <v>2021</v>
      </c>
      <c r="K726" t="s">
        <v>60</v>
      </c>
      <c r="N726" t="s">
        <v>99</v>
      </c>
      <c r="AI726">
        <f t="shared" si="23"/>
        <v>1</v>
      </c>
      <c r="AJ726">
        <f>'TABLA PREVIOS'!E726</f>
        <v>285</v>
      </c>
      <c r="AK726">
        <f>VLOOKUP(E726,ALUMNOS!A:B,2,FALSE)</f>
        <v>779</v>
      </c>
    </row>
    <row r="727" spans="2:37" x14ac:dyDescent="0.25">
      <c r="B727" t="str">
        <f t="shared" si="22"/>
        <v>45484413ADMINISTRACIÓN FINANCIERA6º</v>
      </c>
      <c r="C727" t="s">
        <v>326</v>
      </c>
      <c r="D727" t="s">
        <v>96</v>
      </c>
      <c r="E727">
        <v>45484413</v>
      </c>
      <c r="F727" t="s">
        <v>338</v>
      </c>
      <c r="G727" t="s">
        <v>40</v>
      </c>
      <c r="H727" t="s">
        <v>245</v>
      </c>
      <c r="I727" t="s">
        <v>43</v>
      </c>
      <c r="J727">
        <v>2021</v>
      </c>
      <c r="K727" t="s">
        <v>60</v>
      </c>
      <c r="N727" t="s">
        <v>99</v>
      </c>
      <c r="AI727">
        <f t="shared" si="23"/>
        <v>1</v>
      </c>
      <c r="AJ727">
        <f>'TABLA PREVIOS'!E727</f>
        <v>289</v>
      </c>
      <c r="AK727">
        <f>VLOOKUP(E727,ALUMNOS!A:B,2,FALSE)</f>
        <v>779</v>
      </c>
    </row>
    <row r="728" spans="2:37" x14ac:dyDescent="0.25">
      <c r="B728" t="str">
        <f t="shared" si="22"/>
        <v>45484413DERECHO6º</v>
      </c>
      <c r="C728" t="s">
        <v>326</v>
      </c>
      <c r="D728" t="s">
        <v>96</v>
      </c>
      <c r="E728">
        <v>45484413</v>
      </c>
      <c r="F728" t="s">
        <v>338</v>
      </c>
      <c r="G728" t="s">
        <v>38</v>
      </c>
      <c r="H728" t="s">
        <v>245</v>
      </c>
      <c r="I728" t="s">
        <v>43</v>
      </c>
      <c r="J728">
        <v>2021</v>
      </c>
      <c r="K728" t="s">
        <v>60</v>
      </c>
      <c r="N728" t="s">
        <v>99</v>
      </c>
      <c r="AI728">
        <f t="shared" si="23"/>
        <v>1</v>
      </c>
      <c r="AJ728">
        <f>'TABLA PREVIOS'!E728</f>
        <v>287</v>
      </c>
      <c r="AK728">
        <f>VLOOKUP(E728,ALUMNOS!A:B,2,FALSE)</f>
        <v>779</v>
      </c>
    </row>
    <row r="729" spans="2:37" x14ac:dyDescent="0.25">
      <c r="B729" t="str">
        <f t="shared" si="22"/>
        <v>45484413ECONOMÍA6º</v>
      </c>
      <c r="C729" t="s">
        <v>326</v>
      </c>
      <c r="D729" t="s">
        <v>96</v>
      </c>
      <c r="E729">
        <v>45484413</v>
      </c>
      <c r="F729" t="s">
        <v>338</v>
      </c>
      <c r="G729" t="s">
        <v>34</v>
      </c>
      <c r="H729" t="s">
        <v>245</v>
      </c>
      <c r="I729" t="s">
        <v>43</v>
      </c>
      <c r="J729">
        <v>2021</v>
      </c>
      <c r="K729" t="s">
        <v>60</v>
      </c>
      <c r="N729" t="s">
        <v>99</v>
      </c>
      <c r="AI729">
        <f t="shared" si="23"/>
        <v>1</v>
      </c>
      <c r="AJ729">
        <f>'TABLA PREVIOS'!E729</f>
        <v>286</v>
      </c>
      <c r="AK729">
        <f>VLOOKUP(E729,ALUMNOS!A:B,2,FALSE)</f>
        <v>779</v>
      </c>
    </row>
    <row r="730" spans="2:37" x14ac:dyDescent="0.25">
      <c r="B730" t="str">
        <f t="shared" si="22"/>
        <v>45484413QUÍMICA6º</v>
      </c>
      <c r="C730" t="s">
        <v>326</v>
      </c>
      <c r="D730" t="s">
        <v>96</v>
      </c>
      <c r="E730">
        <v>45484413</v>
      </c>
      <c r="F730" t="s">
        <v>338</v>
      </c>
      <c r="G730" t="s">
        <v>25</v>
      </c>
      <c r="H730" t="s">
        <v>245</v>
      </c>
      <c r="I730" t="s">
        <v>43</v>
      </c>
      <c r="J730">
        <v>2021</v>
      </c>
      <c r="K730" t="s">
        <v>60</v>
      </c>
      <c r="N730" t="s">
        <v>99</v>
      </c>
      <c r="AI730">
        <f t="shared" si="23"/>
        <v>1</v>
      </c>
      <c r="AJ730">
        <f>'TABLA PREVIOS'!E730</f>
        <v>281</v>
      </c>
      <c r="AK730">
        <f>VLOOKUP(E730,ALUMNOS!A:B,2,FALSE)</f>
        <v>779</v>
      </c>
    </row>
    <row r="731" spans="2:37" x14ac:dyDescent="0.25">
      <c r="B731" t="str">
        <f t="shared" si="22"/>
        <v>45484413RESPONSABILIDAD SOCIAL DE LAS ORGANIZACIONES6º</v>
      </c>
      <c r="C731" t="s">
        <v>326</v>
      </c>
      <c r="D731" t="s">
        <v>96</v>
      </c>
      <c r="E731">
        <v>45484413</v>
      </c>
      <c r="F731" t="s">
        <v>338</v>
      </c>
      <c r="G731" t="s">
        <v>39</v>
      </c>
      <c r="H731" t="s">
        <v>245</v>
      </c>
      <c r="I731" t="s">
        <v>43</v>
      </c>
      <c r="J731">
        <v>2021</v>
      </c>
      <c r="K731" t="s">
        <v>60</v>
      </c>
      <c r="N731" t="s">
        <v>99</v>
      </c>
      <c r="AI731">
        <f t="shared" si="23"/>
        <v>1</v>
      </c>
      <c r="AJ731">
        <f>'TABLA PREVIOS'!E731</f>
        <v>288</v>
      </c>
      <c r="AK731">
        <f>VLOOKUP(E731,ALUMNOS!A:B,2,FALSE)</f>
        <v>779</v>
      </c>
    </row>
    <row r="732" spans="2:37" x14ac:dyDescent="0.25">
      <c r="B732" t="str">
        <f t="shared" si="22"/>
        <v>45484413SISTEMAS DE INFORMACIÓN CONTABLE6º</v>
      </c>
      <c r="C732" t="s">
        <v>326</v>
      </c>
      <c r="D732" t="s">
        <v>96</v>
      </c>
      <c r="E732">
        <v>45484413</v>
      </c>
      <c r="F732" t="s">
        <v>338</v>
      </c>
      <c r="G732" t="s">
        <v>29</v>
      </c>
      <c r="H732" t="s">
        <v>245</v>
      </c>
      <c r="I732" t="s">
        <v>43</v>
      </c>
      <c r="J732">
        <v>2021</v>
      </c>
      <c r="K732" t="s">
        <v>60</v>
      </c>
      <c r="N732" t="s">
        <v>99</v>
      </c>
      <c r="AI732">
        <f t="shared" si="23"/>
        <v>1</v>
      </c>
      <c r="AJ732">
        <f>'TABLA PREVIOS'!E732</f>
        <v>290</v>
      </c>
      <c r="AK732">
        <f>VLOOKUP(E732,ALUMNOS!A:B,2,FALSE)</f>
        <v>779</v>
      </c>
    </row>
    <row r="733" spans="2:37" x14ac:dyDescent="0.25">
      <c r="B733" t="str">
        <f t="shared" si="22"/>
        <v>45674069ADMINISTRACIÓN6º</v>
      </c>
      <c r="C733" t="s">
        <v>326</v>
      </c>
      <c r="D733" t="s">
        <v>109</v>
      </c>
      <c r="E733">
        <v>45674069</v>
      </c>
      <c r="F733" t="s">
        <v>339</v>
      </c>
      <c r="G733" t="s">
        <v>30</v>
      </c>
      <c r="H733" t="s">
        <v>245</v>
      </c>
      <c r="I733" t="s">
        <v>43</v>
      </c>
      <c r="J733">
        <v>2021</v>
      </c>
      <c r="K733" t="s">
        <v>60</v>
      </c>
      <c r="N733" t="s">
        <v>99</v>
      </c>
      <c r="AI733">
        <f t="shared" si="23"/>
        <v>1</v>
      </c>
      <c r="AJ733">
        <f>'TABLA PREVIOS'!E733</f>
        <v>285</v>
      </c>
      <c r="AK733">
        <f>VLOOKUP(E733,ALUMNOS!A:B,2,FALSE)</f>
        <v>179</v>
      </c>
    </row>
    <row r="734" spans="2:37" x14ac:dyDescent="0.25">
      <c r="B734" t="str">
        <f t="shared" si="22"/>
        <v>45674069ADMINISTRACIÓN FINANCIERA6º</v>
      </c>
      <c r="C734" t="s">
        <v>326</v>
      </c>
      <c r="D734" t="s">
        <v>109</v>
      </c>
      <c r="E734">
        <v>45674069</v>
      </c>
      <c r="F734" t="s">
        <v>339</v>
      </c>
      <c r="G734" t="s">
        <v>40</v>
      </c>
      <c r="H734" t="s">
        <v>245</v>
      </c>
      <c r="I734" t="s">
        <v>43</v>
      </c>
      <c r="J734">
        <v>2021</v>
      </c>
      <c r="K734" t="s">
        <v>60</v>
      </c>
      <c r="N734" t="s">
        <v>99</v>
      </c>
      <c r="AI734">
        <f t="shared" si="23"/>
        <v>1</v>
      </c>
      <c r="AJ734">
        <f>'TABLA PREVIOS'!E734</f>
        <v>289</v>
      </c>
      <c r="AK734">
        <f>VLOOKUP(E734,ALUMNOS!A:B,2,FALSE)</f>
        <v>179</v>
      </c>
    </row>
    <row r="735" spans="2:37" x14ac:dyDescent="0.25">
      <c r="B735" t="str">
        <f t="shared" si="22"/>
        <v>45674069DERECHO6º</v>
      </c>
      <c r="C735" t="s">
        <v>326</v>
      </c>
      <c r="D735" t="s">
        <v>109</v>
      </c>
      <c r="E735">
        <v>45674069</v>
      </c>
      <c r="F735" t="s">
        <v>339</v>
      </c>
      <c r="G735" t="s">
        <v>38</v>
      </c>
      <c r="H735" t="s">
        <v>245</v>
      </c>
      <c r="I735" t="s">
        <v>43</v>
      </c>
      <c r="J735">
        <v>2021</v>
      </c>
      <c r="K735" t="s">
        <v>60</v>
      </c>
      <c r="N735" t="s">
        <v>99</v>
      </c>
      <c r="AI735">
        <f t="shared" si="23"/>
        <v>1</v>
      </c>
      <c r="AJ735">
        <f>'TABLA PREVIOS'!E735</f>
        <v>287</v>
      </c>
      <c r="AK735">
        <f>VLOOKUP(E735,ALUMNOS!A:B,2,FALSE)</f>
        <v>179</v>
      </c>
    </row>
    <row r="736" spans="2:37" x14ac:dyDescent="0.25">
      <c r="B736" t="str">
        <f t="shared" si="22"/>
        <v>45674069ECONOMÍA6º</v>
      </c>
      <c r="C736" t="s">
        <v>326</v>
      </c>
      <c r="D736" t="s">
        <v>109</v>
      </c>
      <c r="E736">
        <v>45674069</v>
      </c>
      <c r="F736" t="s">
        <v>339</v>
      </c>
      <c r="G736" t="s">
        <v>34</v>
      </c>
      <c r="H736" t="s">
        <v>245</v>
      </c>
      <c r="I736" t="s">
        <v>43</v>
      </c>
      <c r="J736">
        <v>2021</v>
      </c>
      <c r="K736" t="s">
        <v>60</v>
      </c>
      <c r="N736" t="s">
        <v>99</v>
      </c>
      <c r="AI736">
        <f t="shared" si="23"/>
        <v>1</v>
      </c>
      <c r="AJ736">
        <f>'TABLA PREVIOS'!E736</f>
        <v>286</v>
      </c>
      <c r="AK736">
        <f>VLOOKUP(E736,ALUMNOS!A:B,2,FALSE)</f>
        <v>179</v>
      </c>
    </row>
    <row r="737" spans="2:37" x14ac:dyDescent="0.25">
      <c r="B737" t="str">
        <f t="shared" si="22"/>
        <v>45674069RESPONSABILIDAD SOCIAL DE LAS ORGANIZACIONES6º</v>
      </c>
      <c r="C737" t="s">
        <v>326</v>
      </c>
      <c r="D737" t="s">
        <v>109</v>
      </c>
      <c r="E737">
        <v>45674069</v>
      </c>
      <c r="F737" t="s">
        <v>339</v>
      </c>
      <c r="G737" t="s">
        <v>39</v>
      </c>
      <c r="H737" t="s">
        <v>245</v>
      </c>
      <c r="I737" t="s">
        <v>43</v>
      </c>
      <c r="J737">
        <v>2021</v>
      </c>
      <c r="K737" t="s">
        <v>60</v>
      </c>
      <c r="N737" t="s">
        <v>99</v>
      </c>
      <c r="AI737">
        <f t="shared" si="23"/>
        <v>1</v>
      </c>
      <c r="AJ737">
        <f>'TABLA PREVIOS'!E737</f>
        <v>288</v>
      </c>
      <c r="AK737">
        <f>VLOOKUP(E737,ALUMNOS!A:B,2,FALSE)</f>
        <v>179</v>
      </c>
    </row>
    <row r="738" spans="2:37" x14ac:dyDescent="0.25">
      <c r="B738" t="str">
        <f t="shared" si="22"/>
        <v>45674069SISTEMAS DE INFORMACIÓN CONTABLE6º</v>
      </c>
      <c r="C738" t="s">
        <v>326</v>
      </c>
      <c r="D738" t="s">
        <v>109</v>
      </c>
      <c r="E738">
        <v>45674069</v>
      </c>
      <c r="F738" t="s">
        <v>339</v>
      </c>
      <c r="G738" t="s">
        <v>29</v>
      </c>
      <c r="H738" t="s">
        <v>245</v>
      </c>
      <c r="I738" t="s">
        <v>43</v>
      </c>
      <c r="J738">
        <v>2021</v>
      </c>
      <c r="K738" t="s">
        <v>60</v>
      </c>
      <c r="N738" t="s">
        <v>99</v>
      </c>
      <c r="AI738">
        <f t="shared" si="23"/>
        <v>1</v>
      </c>
      <c r="AJ738">
        <f>'TABLA PREVIOS'!E738</f>
        <v>290</v>
      </c>
      <c r="AK738">
        <f>VLOOKUP(E738,ALUMNOS!A:B,2,FALSE)</f>
        <v>179</v>
      </c>
    </row>
    <row r="739" spans="2:37" x14ac:dyDescent="0.25">
      <c r="B739" t="str">
        <f t="shared" si="22"/>
        <v>45484422ADMINISTRACIÓN6º</v>
      </c>
      <c r="C739" t="s">
        <v>326</v>
      </c>
      <c r="D739" t="s">
        <v>109</v>
      </c>
      <c r="E739">
        <v>45484422</v>
      </c>
      <c r="F739" t="s">
        <v>340</v>
      </c>
      <c r="G739" t="s">
        <v>30</v>
      </c>
      <c r="H739" t="s">
        <v>245</v>
      </c>
      <c r="I739" t="s">
        <v>43</v>
      </c>
      <c r="J739">
        <v>2021</v>
      </c>
      <c r="K739" t="s">
        <v>60</v>
      </c>
      <c r="N739" t="s">
        <v>99</v>
      </c>
      <c r="AI739">
        <f t="shared" si="23"/>
        <v>1</v>
      </c>
      <c r="AJ739">
        <f>'TABLA PREVIOS'!E739</f>
        <v>285</v>
      </c>
      <c r="AK739">
        <f>VLOOKUP(E739,ALUMNOS!A:B,2,FALSE)</f>
        <v>258</v>
      </c>
    </row>
    <row r="740" spans="2:37" x14ac:dyDescent="0.25">
      <c r="B740" t="str">
        <f t="shared" si="22"/>
        <v>45484422ADMINISTRACIÓN FINANCIERA6º</v>
      </c>
      <c r="C740" t="s">
        <v>326</v>
      </c>
      <c r="D740" t="s">
        <v>109</v>
      </c>
      <c r="E740">
        <v>45484422</v>
      </c>
      <c r="F740" t="s">
        <v>340</v>
      </c>
      <c r="G740" t="s">
        <v>40</v>
      </c>
      <c r="H740" t="s">
        <v>245</v>
      </c>
      <c r="I740" t="s">
        <v>43</v>
      </c>
      <c r="J740">
        <v>2021</v>
      </c>
      <c r="K740" t="s">
        <v>60</v>
      </c>
      <c r="N740" t="s">
        <v>99</v>
      </c>
      <c r="AI740">
        <f t="shared" si="23"/>
        <v>1</v>
      </c>
      <c r="AJ740">
        <f>'TABLA PREVIOS'!E740</f>
        <v>289</v>
      </c>
      <c r="AK740">
        <f>VLOOKUP(E740,ALUMNOS!A:B,2,FALSE)</f>
        <v>258</v>
      </c>
    </row>
    <row r="741" spans="2:37" x14ac:dyDescent="0.25">
      <c r="B741" t="str">
        <f t="shared" si="22"/>
        <v>45484422DERECHO6º</v>
      </c>
      <c r="C741" t="s">
        <v>326</v>
      </c>
      <c r="D741" t="s">
        <v>109</v>
      </c>
      <c r="E741">
        <v>45484422</v>
      </c>
      <c r="F741" t="s">
        <v>340</v>
      </c>
      <c r="G741" t="s">
        <v>38</v>
      </c>
      <c r="H741" t="s">
        <v>245</v>
      </c>
      <c r="I741" t="s">
        <v>43</v>
      </c>
      <c r="J741">
        <v>2021</v>
      </c>
      <c r="K741" t="s">
        <v>60</v>
      </c>
      <c r="N741" t="s">
        <v>99</v>
      </c>
      <c r="AI741">
        <f t="shared" si="23"/>
        <v>1</v>
      </c>
      <c r="AJ741">
        <f>'TABLA PREVIOS'!E741</f>
        <v>287</v>
      </c>
      <c r="AK741">
        <f>VLOOKUP(E741,ALUMNOS!A:B,2,FALSE)</f>
        <v>258</v>
      </c>
    </row>
    <row r="742" spans="2:37" x14ac:dyDescent="0.25">
      <c r="B742" t="str">
        <f t="shared" si="22"/>
        <v>45484422ECONOMÍA6º</v>
      </c>
      <c r="C742" t="s">
        <v>326</v>
      </c>
      <c r="D742" t="s">
        <v>109</v>
      </c>
      <c r="E742">
        <v>45484422</v>
      </c>
      <c r="F742" t="s">
        <v>340</v>
      </c>
      <c r="G742" t="s">
        <v>34</v>
      </c>
      <c r="H742" t="s">
        <v>245</v>
      </c>
      <c r="I742" t="s">
        <v>43</v>
      </c>
      <c r="J742">
        <v>2021</v>
      </c>
      <c r="K742" t="s">
        <v>60</v>
      </c>
      <c r="N742" t="s">
        <v>99</v>
      </c>
      <c r="AI742">
        <f t="shared" si="23"/>
        <v>1</v>
      </c>
      <c r="AJ742">
        <f>'TABLA PREVIOS'!E742</f>
        <v>286</v>
      </c>
      <c r="AK742">
        <f>VLOOKUP(E742,ALUMNOS!A:B,2,FALSE)</f>
        <v>258</v>
      </c>
    </row>
    <row r="743" spans="2:37" x14ac:dyDescent="0.25">
      <c r="B743" t="str">
        <f t="shared" si="22"/>
        <v>45484422RESPONSABILIDAD SOCIAL DE LAS ORGANIZACIONES6º</v>
      </c>
      <c r="C743" t="s">
        <v>326</v>
      </c>
      <c r="D743" t="s">
        <v>109</v>
      </c>
      <c r="E743">
        <v>45484422</v>
      </c>
      <c r="F743" t="s">
        <v>340</v>
      </c>
      <c r="G743" t="s">
        <v>39</v>
      </c>
      <c r="H743" t="s">
        <v>245</v>
      </c>
      <c r="I743" t="s">
        <v>43</v>
      </c>
      <c r="J743">
        <v>2021</v>
      </c>
      <c r="K743" t="s">
        <v>60</v>
      </c>
      <c r="N743" t="s">
        <v>99</v>
      </c>
      <c r="AI743">
        <f t="shared" si="23"/>
        <v>1</v>
      </c>
      <c r="AJ743">
        <f>'TABLA PREVIOS'!E743</f>
        <v>288</v>
      </c>
      <c r="AK743">
        <f>VLOOKUP(E743,ALUMNOS!A:B,2,FALSE)</f>
        <v>258</v>
      </c>
    </row>
    <row r="744" spans="2:37" x14ac:dyDescent="0.25">
      <c r="B744" t="str">
        <f t="shared" si="22"/>
        <v>45484422SISTEMAS DE INFORMACIÓN CONTABLE6º</v>
      </c>
      <c r="C744" t="s">
        <v>326</v>
      </c>
      <c r="D744" t="s">
        <v>109</v>
      </c>
      <c r="E744">
        <v>45484422</v>
      </c>
      <c r="F744" t="s">
        <v>340</v>
      </c>
      <c r="G744" t="s">
        <v>29</v>
      </c>
      <c r="H744" t="s">
        <v>245</v>
      </c>
      <c r="I744" t="s">
        <v>43</v>
      </c>
      <c r="J744">
        <v>2021</v>
      </c>
      <c r="K744" t="s">
        <v>60</v>
      </c>
      <c r="N744" t="s">
        <v>99</v>
      </c>
      <c r="AI744">
        <f t="shared" si="23"/>
        <v>1</v>
      </c>
      <c r="AJ744">
        <f>'TABLA PREVIOS'!E744</f>
        <v>290</v>
      </c>
      <c r="AK744">
        <f>VLOOKUP(E744,ALUMNOS!A:B,2,FALSE)</f>
        <v>258</v>
      </c>
    </row>
    <row r="745" spans="2:37" x14ac:dyDescent="0.25">
      <c r="B745" t="str">
        <f t="shared" si="22"/>
        <v>45272090ADMINISTRACIÓN4º</v>
      </c>
      <c r="C745" t="s">
        <v>326</v>
      </c>
      <c r="D745" t="s">
        <v>109</v>
      </c>
      <c r="E745">
        <v>45272090</v>
      </c>
      <c r="F745" t="s">
        <v>341</v>
      </c>
      <c r="G745" t="s">
        <v>30</v>
      </c>
      <c r="H745" t="s">
        <v>190</v>
      </c>
      <c r="I745" t="s">
        <v>44</v>
      </c>
      <c r="J745">
        <v>2019</v>
      </c>
      <c r="K745" t="s">
        <v>60</v>
      </c>
      <c r="N745" t="s">
        <v>99</v>
      </c>
      <c r="AI745">
        <f t="shared" si="23"/>
        <v>1</v>
      </c>
      <c r="AJ745">
        <f>'TABLA PREVIOS'!E745</f>
        <v>260</v>
      </c>
      <c r="AK745">
        <f>VLOOKUP(E745,ALUMNOS!A:B,2,FALSE)</f>
        <v>261</v>
      </c>
    </row>
    <row r="746" spans="2:37" x14ac:dyDescent="0.25">
      <c r="B746" t="str">
        <f t="shared" si="22"/>
        <v>45272090ADMINISTRACIÓN5º</v>
      </c>
      <c r="C746" t="s">
        <v>326</v>
      </c>
      <c r="D746" t="s">
        <v>109</v>
      </c>
      <c r="E746">
        <v>45272090</v>
      </c>
      <c r="F746" t="s">
        <v>341</v>
      </c>
      <c r="G746" t="s">
        <v>30</v>
      </c>
      <c r="H746" t="s">
        <v>220</v>
      </c>
      <c r="I746" t="s">
        <v>43</v>
      </c>
      <c r="J746">
        <v>2020</v>
      </c>
      <c r="K746" t="s">
        <v>60</v>
      </c>
      <c r="N746" t="s">
        <v>99</v>
      </c>
      <c r="AI746">
        <f t="shared" si="23"/>
        <v>1</v>
      </c>
      <c r="AJ746">
        <f>'TABLA PREVIOS'!E746</f>
        <v>274</v>
      </c>
      <c r="AK746">
        <f>VLOOKUP(E746,ALUMNOS!A:B,2,FALSE)</f>
        <v>261</v>
      </c>
    </row>
    <row r="747" spans="2:37" x14ac:dyDescent="0.25">
      <c r="B747" t="str">
        <f t="shared" si="22"/>
        <v>45272090PSICOLOGÍA5º</v>
      </c>
      <c r="C747" t="s">
        <v>326</v>
      </c>
      <c r="D747" t="s">
        <v>109</v>
      </c>
      <c r="E747">
        <v>45272090</v>
      </c>
      <c r="F747" t="s">
        <v>341</v>
      </c>
      <c r="G747" t="s">
        <v>33</v>
      </c>
      <c r="H747" t="s">
        <v>220</v>
      </c>
      <c r="I747" t="s">
        <v>43</v>
      </c>
      <c r="J747">
        <v>2020</v>
      </c>
      <c r="K747" t="s">
        <v>60</v>
      </c>
      <c r="N747" t="s">
        <v>99</v>
      </c>
      <c r="AI747">
        <f t="shared" si="23"/>
        <v>1</v>
      </c>
      <c r="AJ747">
        <f>'TABLA PREVIOS'!E747</f>
        <v>271</v>
      </c>
      <c r="AK747">
        <f>VLOOKUP(E747,ALUMNOS!A:B,2,FALSE)</f>
        <v>261</v>
      </c>
    </row>
    <row r="748" spans="2:37" x14ac:dyDescent="0.25">
      <c r="B748" t="str">
        <f t="shared" si="22"/>
        <v>45245009ADMINISTRACIÓN6º</v>
      </c>
      <c r="C748" t="s">
        <v>326</v>
      </c>
      <c r="D748" t="s">
        <v>109</v>
      </c>
      <c r="E748">
        <v>45245009</v>
      </c>
      <c r="F748" t="s">
        <v>342</v>
      </c>
      <c r="G748" t="s">
        <v>30</v>
      </c>
      <c r="H748" t="s">
        <v>245</v>
      </c>
      <c r="I748" t="s">
        <v>43</v>
      </c>
      <c r="J748">
        <v>2021</v>
      </c>
      <c r="K748" t="s">
        <v>60</v>
      </c>
      <c r="N748" t="s">
        <v>99</v>
      </c>
      <c r="AI748">
        <f t="shared" si="23"/>
        <v>1</v>
      </c>
      <c r="AJ748">
        <f>'TABLA PREVIOS'!E748</f>
        <v>285</v>
      </c>
      <c r="AK748">
        <f>VLOOKUP(E748,ALUMNOS!A:B,2,FALSE)</f>
        <v>331</v>
      </c>
    </row>
    <row r="749" spans="2:37" x14ac:dyDescent="0.25">
      <c r="B749" t="str">
        <f t="shared" si="22"/>
        <v>45245009ADMINISTRACIÓN FINANCIERA6º</v>
      </c>
      <c r="C749" t="s">
        <v>326</v>
      </c>
      <c r="D749" t="s">
        <v>109</v>
      </c>
      <c r="E749">
        <v>45245009</v>
      </c>
      <c r="F749" t="s">
        <v>342</v>
      </c>
      <c r="G749" t="s">
        <v>40</v>
      </c>
      <c r="H749" t="s">
        <v>245</v>
      </c>
      <c r="I749" t="s">
        <v>43</v>
      </c>
      <c r="J749">
        <v>2021</v>
      </c>
      <c r="K749" t="s">
        <v>60</v>
      </c>
      <c r="N749" t="s">
        <v>99</v>
      </c>
      <c r="AI749">
        <f t="shared" si="23"/>
        <v>1</v>
      </c>
      <c r="AJ749">
        <f>'TABLA PREVIOS'!E749</f>
        <v>289</v>
      </c>
      <c r="AK749">
        <f>VLOOKUP(E749,ALUMNOS!A:B,2,FALSE)</f>
        <v>331</v>
      </c>
    </row>
    <row r="750" spans="2:37" x14ac:dyDescent="0.25">
      <c r="B750" t="str">
        <f t="shared" si="22"/>
        <v>45245009DERECHO6º</v>
      </c>
      <c r="C750" t="s">
        <v>326</v>
      </c>
      <c r="D750" t="s">
        <v>109</v>
      </c>
      <c r="E750">
        <v>45245009</v>
      </c>
      <c r="F750" t="s">
        <v>342</v>
      </c>
      <c r="G750" t="s">
        <v>38</v>
      </c>
      <c r="H750" t="s">
        <v>245</v>
      </c>
      <c r="I750" t="s">
        <v>43</v>
      </c>
      <c r="J750">
        <v>2021</v>
      </c>
      <c r="K750" t="s">
        <v>60</v>
      </c>
      <c r="N750" t="s">
        <v>99</v>
      </c>
      <c r="AI750">
        <f t="shared" si="23"/>
        <v>1</v>
      </c>
      <c r="AJ750">
        <f>'TABLA PREVIOS'!E750</f>
        <v>287</v>
      </c>
      <c r="AK750">
        <f>VLOOKUP(E750,ALUMNOS!A:B,2,FALSE)</f>
        <v>331</v>
      </c>
    </row>
    <row r="751" spans="2:37" x14ac:dyDescent="0.25">
      <c r="B751" t="str">
        <f t="shared" si="22"/>
        <v>45245009ECONOMÍA6º</v>
      </c>
      <c r="C751" t="s">
        <v>326</v>
      </c>
      <c r="D751" t="s">
        <v>109</v>
      </c>
      <c r="E751">
        <v>45245009</v>
      </c>
      <c r="F751" t="s">
        <v>342</v>
      </c>
      <c r="G751" t="s">
        <v>34</v>
      </c>
      <c r="H751" t="s">
        <v>245</v>
      </c>
      <c r="I751" t="s">
        <v>43</v>
      </c>
      <c r="J751">
        <v>2021</v>
      </c>
      <c r="K751" t="s">
        <v>60</v>
      </c>
      <c r="N751" t="s">
        <v>99</v>
      </c>
      <c r="AI751">
        <f t="shared" si="23"/>
        <v>1</v>
      </c>
      <c r="AJ751">
        <f>'TABLA PREVIOS'!E751</f>
        <v>286</v>
      </c>
      <c r="AK751">
        <f>VLOOKUP(E751,ALUMNOS!A:B,2,FALSE)</f>
        <v>331</v>
      </c>
    </row>
    <row r="752" spans="2:37" x14ac:dyDescent="0.25">
      <c r="B752" t="str">
        <f t="shared" si="22"/>
        <v>45245009RESPONSABILIDAD SOCIAL DE LAS ORGANIZACIONES6º</v>
      </c>
      <c r="C752" t="s">
        <v>326</v>
      </c>
      <c r="D752" t="s">
        <v>109</v>
      </c>
      <c r="E752">
        <v>45245009</v>
      </c>
      <c r="F752" t="s">
        <v>342</v>
      </c>
      <c r="G752" t="s">
        <v>39</v>
      </c>
      <c r="H752" t="s">
        <v>245</v>
      </c>
      <c r="I752" t="s">
        <v>43</v>
      </c>
      <c r="J752">
        <v>2021</v>
      </c>
      <c r="K752" t="s">
        <v>60</v>
      </c>
      <c r="N752" t="s">
        <v>99</v>
      </c>
      <c r="AI752">
        <f t="shared" si="23"/>
        <v>1</v>
      </c>
      <c r="AJ752">
        <f>'TABLA PREVIOS'!E752</f>
        <v>288</v>
      </c>
      <c r="AK752">
        <f>VLOOKUP(E752,ALUMNOS!A:B,2,FALSE)</f>
        <v>331</v>
      </c>
    </row>
    <row r="753" spans="2:37" x14ac:dyDescent="0.25">
      <c r="B753" t="str">
        <f t="shared" si="22"/>
        <v>45245009SISTEMAS DE INFORMACIÓN CONTABLE6º</v>
      </c>
      <c r="C753" t="s">
        <v>326</v>
      </c>
      <c r="D753" t="s">
        <v>109</v>
      </c>
      <c r="E753">
        <v>45245009</v>
      </c>
      <c r="F753" t="s">
        <v>342</v>
      </c>
      <c r="G753" t="s">
        <v>29</v>
      </c>
      <c r="H753" t="s">
        <v>245</v>
      </c>
      <c r="I753" t="s">
        <v>43</v>
      </c>
      <c r="J753">
        <v>2021</v>
      </c>
      <c r="K753" t="s">
        <v>60</v>
      </c>
      <c r="N753" t="s">
        <v>99</v>
      </c>
      <c r="AI753">
        <f t="shared" si="23"/>
        <v>1</v>
      </c>
      <c r="AJ753">
        <f>'TABLA PREVIOS'!E753</f>
        <v>290</v>
      </c>
      <c r="AK753">
        <f>VLOOKUP(E753,ALUMNOS!A:B,2,FALSE)</f>
        <v>331</v>
      </c>
    </row>
    <row r="754" spans="2:37" x14ac:dyDescent="0.25">
      <c r="B754" t="str">
        <f t="shared" si="22"/>
        <v>44973705ADMINISTRACIÓN6º</v>
      </c>
      <c r="C754" t="s">
        <v>326</v>
      </c>
      <c r="D754" t="s">
        <v>109</v>
      </c>
      <c r="E754">
        <v>44973705</v>
      </c>
      <c r="F754" t="s">
        <v>343</v>
      </c>
      <c r="G754" t="s">
        <v>30</v>
      </c>
      <c r="H754" t="s">
        <v>245</v>
      </c>
      <c r="I754" t="s">
        <v>43</v>
      </c>
      <c r="J754">
        <v>2021</v>
      </c>
      <c r="K754" t="s">
        <v>60</v>
      </c>
      <c r="N754" t="s">
        <v>99</v>
      </c>
      <c r="AI754">
        <f t="shared" si="23"/>
        <v>1</v>
      </c>
      <c r="AJ754">
        <f>'TABLA PREVIOS'!E754</f>
        <v>285</v>
      </c>
      <c r="AK754">
        <f>VLOOKUP(E754,ALUMNOS!A:B,2,FALSE)</f>
        <v>434</v>
      </c>
    </row>
    <row r="755" spans="2:37" x14ac:dyDescent="0.25">
      <c r="B755" t="str">
        <f t="shared" si="22"/>
        <v>44973705ADMINISTRACIÓN FINANCIERA6º</v>
      </c>
      <c r="C755" t="s">
        <v>326</v>
      </c>
      <c r="D755" t="s">
        <v>109</v>
      </c>
      <c r="E755">
        <v>44973705</v>
      </c>
      <c r="F755" t="s">
        <v>343</v>
      </c>
      <c r="G755" t="s">
        <v>40</v>
      </c>
      <c r="H755" t="s">
        <v>245</v>
      </c>
      <c r="I755" t="s">
        <v>43</v>
      </c>
      <c r="J755">
        <v>2021</v>
      </c>
      <c r="K755" t="s">
        <v>60</v>
      </c>
      <c r="N755" t="s">
        <v>99</v>
      </c>
      <c r="AI755">
        <f t="shared" si="23"/>
        <v>1</v>
      </c>
      <c r="AJ755">
        <f>'TABLA PREVIOS'!E755</f>
        <v>289</v>
      </c>
      <c r="AK755">
        <f>VLOOKUP(E755,ALUMNOS!A:B,2,FALSE)</f>
        <v>434</v>
      </c>
    </row>
    <row r="756" spans="2:37" x14ac:dyDescent="0.25">
      <c r="B756" t="str">
        <f t="shared" si="22"/>
        <v>44973705CIUDADANÍA Y POLÍTICA6º</v>
      </c>
      <c r="C756" t="s">
        <v>326</v>
      </c>
      <c r="D756" t="s">
        <v>109</v>
      </c>
      <c r="E756">
        <v>44973705</v>
      </c>
      <c r="F756" t="s">
        <v>343</v>
      </c>
      <c r="G756" t="s">
        <v>37</v>
      </c>
      <c r="H756" t="s">
        <v>245</v>
      </c>
      <c r="I756" t="s">
        <v>43</v>
      </c>
      <c r="J756">
        <v>2021</v>
      </c>
      <c r="K756" t="s">
        <v>60</v>
      </c>
      <c r="N756" t="s">
        <v>99</v>
      </c>
      <c r="AI756">
        <f t="shared" si="23"/>
        <v>1</v>
      </c>
      <c r="AJ756">
        <f>'TABLA PREVIOS'!E756</f>
        <v>284</v>
      </c>
      <c r="AK756">
        <f>VLOOKUP(E756,ALUMNOS!A:B,2,FALSE)</f>
        <v>434</v>
      </c>
    </row>
    <row r="757" spans="2:37" x14ac:dyDescent="0.25">
      <c r="B757" t="str">
        <f t="shared" si="22"/>
        <v>44973705DERECHO6º</v>
      </c>
      <c r="C757" t="s">
        <v>326</v>
      </c>
      <c r="D757" t="s">
        <v>109</v>
      </c>
      <c r="E757">
        <v>44973705</v>
      </c>
      <c r="F757" t="s">
        <v>343</v>
      </c>
      <c r="G757" t="s">
        <v>38</v>
      </c>
      <c r="H757" t="s">
        <v>245</v>
      </c>
      <c r="I757" t="s">
        <v>43</v>
      </c>
      <c r="J757">
        <v>2021</v>
      </c>
      <c r="K757" t="s">
        <v>60</v>
      </c>
      <c r="N757" t="s">
        <v>99</v>
      </c>
      <c r="AI757">
        <f t="shared" si="23"/>
        <v>1</v>
      </c>
      <c r="AJ757">
        <f>'TABLA PREVIOS'!E757</f>
        <v>287</v>
      </c>
      <c r="AK757">
        <f>VLOOKUP(E757,ALUMNOS!A:B,2,FALSE)</f>
        <v>434</v>
      </c>
    </row>
    <row r="758" spans="2:37" x14ac:dyDescent="0.25">
      <c r="B758" t="str">
        <f t="shared" si="22"/>
        <v>44973705ECONOMÍA6º</v>
      </c>
      <c r="C758" t="s">
        <v>326</v>
      </c>
      <c r="D758" t="s">
        <v>109</v>
      </c>
      <c r="E758">
        <v>44973705</v>
      </c>
      <c r="F758" t="s">
        <v>343</v>
      </c>
      <c r="G758" t="s">
        <v>34</v>
      </c>
      <c r="H758" t="s">
        <v>245</v>
      </c>
      <c r="I758" t="s">
        <v>43</v>
      </c>
      <c r="J758">
        <v>2021</v>
      </c>
      <c r="K758" t="s">
        <v>60</v>
      </c>
      <c r="N758" t="s">
        <v>99</v>
      </c>
      <c r="AI758">
        <f t="shared" si="23"/>
        <v>1</v>
      </c>
      <c r="AJ758">
        <f>'TABLA PREVIOS'!E758</f>
        <v>286</v>
      </c>
      <c r="AK758">
        <f>VLOOKUP(E758,ALUMNOS!A:B,2,FALSE)</f>
        <v>434</v>
      </c>
    </row>
    <row r="759" spans="2:37" x14ac:dyDescent="0.25">
      <c r="B759" t="str">
        <f t="shared" si="22"/>
        <v>44973705FILOSOFÍA6º</v>
      </c>
      <c r="C759" t="s">
        <v>326</v>
      </c>
      <c r="D759" t="s">
        <v>109</v>
      </c>
      <c r="E759">
        <v>44973705</v>
      </c>
      <c r="F759" t="s">
        <v>343</v>
      </c>
      <c r="G759" t="s">
        <v>41</v>
      </c>
      <c r="H759" t="s">
        <v>245</v>
      </c>
      <c r="I759" t="s">
        <v>43</v>
      </c>
      <c r="J759">
        <v>2021</v>
      </c>
      <c r="K759" t="s">
        <v>60</v>
      </c>
      <c r="N759" t="s">
        <v>99</v>
      </c>
      <c r="AI759">
        <f t="shared" si="23"/>
        <v>1</v>
      </c>
      <c r="AJ759">
        <f>'TABLA PREVIOS'!E759</f>
        <v>292</v>
      </c>
      <c r="AK759">
        <f>VLOOKUP(E759,ALUMNOS!A:B,2,FALSE)</f>
        <v>434</v>
      </c>
    </row>
    <row r="760" spans="2:37" x14ac:dyDescent="0.25">
      <c r="B760" t="str">
        <f t="shared" si="22"/>
        <v>44973705RESPONSABILIDAD SOCIAL DE LAS ORGANIZACIONES6º</v>
      </c>
      <c r="C760" t="s">
        <v>326</v>
      </c>
      <c r="D760" t="s">
        <v>109</v>
      </c>
      <c r="E760">
        <v>44973705</v>
      </c>
      <c r="F760" t="s">
        <v>343</v>
      </c>
      <c r="G760" t="s">
        <v>39</v>
      </c>
      <c r="H760" t="s">
        <v>245</v>
      </c>
      <c r="I760" t="s">
        <v>43</v>
      </c>
      <c r="J760">
        <v>2021</v>
      </c>
      <c r="K760" t="s">
        <v>60</v>
      </c>
      <c r="N760" t="s">
        <v>99</v>
      </c>
      <c r="AI760">
        <f t="shared" si="23"/>
        <v>1</v>
      </c>
      <c r="AJ760">
        <f>'TABLA PREVIOS'!E760</f>
        <v>288</v>
      </c>
      <c r="AK760">
        <f>VLOOKUP(E760,ALUMNOS!A:B,2,FALSE)</f>
        <v>434</v>
      </c>
    </row>
    <row r="761" spans="2:37" x14ac:dyDescent="0.25">
      <c r="B761" t="str">
        <f t="shared" si="22"/>
        <v>44973705SISTEMAS DE INFORMACIÓN CONTABLE6º</v>
      </c>
      <c r="C761" t="s">
        <v>326</v>
      </c>
      <c r="D761" t="s">
        <v>109</v>
      </c>
      <c r="E761">
        <v>44973705</v>
      </c>
      <c r="F761" t="s">
        <v>343</v>
      </c>
      <c r="G761" t="s">
        <v>29</v>
      </c>
      <c r="H761" t="s">
        <v>245</v>
      </c>
      <c r="I761" t="s">
        <v>43</v>
      </c>
      <c r="J761">
        <v>2021</v>
      </c>
      <c r="K761" t="s">
        <v>60</v>
      </c>
      <c r="N761" t="s">
        <v>99</v>
      </c>
      <c r="AI761">
        <f t="shared" si="23"/>
        <v>1</v>
      </c>
      <c r="AJ761">
        <f>'TABLA PREVIOS'!E761</f>
        <v>290</v>
      </c>
      <c r="AK761">
        <f>VLOOKUP(E761,ALUMNOS!A:B,2,FALSE)</f>
        <v>434</v>
      </c>
    </row>
    <row r="762" spans="2:37" x14ac:dyDescent="0.25">
      <c r="B762" t="str">
        <f t="shared" si="22"/>
        <v>45235868CIENCIAS SOCIALES - HISTORIA2º</v>
      </c>
      <c r="C762" t="s">
        <v>326</v>
      </c>
      <c r="D762" t="s">
        <v>109</v>
      </c>
      <c r="E762">
        <v>45235868</v>
      </c>
      <c r="F762" t="s">
        <v>344</v>
      </c>
      <c r="G762" t="s">
        <v>22</v>
      </c>
      <c r="H762" t="s">
        <v>95</v>
      </c>
      <c r="I762" t="s">
        <v>43</v>
      </c>
      <c r="J762">
        <v>2017</v>
      </c>
      <c r="K762" t="s">
        <v>59</v>
      </c>
      <c r="N762" t="s">
        <v>99</v>
      </c>
      <c r="AI762">
        <f t="shared" si="23"/>
        <v>1</v>
      </c>
      <c r="AJ762">
        <f>'TABLA PREVIOS'!E762</f>
        <v>233</v>
      </c>
      <c r="AK762">
        <f>VLOOKUP(E762,ALUMNOS!A:B,2,FALSE)</f>
        <v>512</v>
      </c>
    </row>
    <row r="763" spans="2:37" x14ac:dyDescent="0.25">
      <c r="B763" t="str">
        <f t="shared" si="22"/>
        <v>45235868FÍSICA5º</v>
      </c>
      <c r="C763" t="s">
        <v>326</v>
      </c>
      <c r="D763" t="s">
        <v>109</v>
      </c>
      <c r="E763">
        <v>45235868</v>
      </c>
      <c r="F763" t="s">
        <v>344</v>
      </c>
      <c r="G763" t="s">
        <v>24</v>
      </c>
      <c r="H763" t="s">
        <v>220</v>
      </c>
      <c r="I763" t="s">
        <v>43</v>
      </c>
      <c r="J763">
        <v>2020</v>
      </c>
      <c r="K763" t="s">
        <v>60</v>
      </c>
      <c r="N763" t="s">
        <v>99</v>
      </c>
      <c r="AI763">
        <f t="shared" si="23"/>
        <v>1</v>
      </c>
      <c r="AJ763">
        <f>'TABLA PREVIOS'!E763</f>
        <v>266</v>
      </c>
      <c r="AK763">
        <f>VLOOKUP(E763,ALUMNOS!A:B,2,FALSE)</f>
        <v>512</v>
      </c>
    </row>
    <row r="764" spans="2:37" x14ac:dyDescent="0.25">
      <c r="B764" t="str">
        <f t="shared" si="22"/>
        <v>45235868ADMINISTRACIÓN6º</v>
      </c>
      <c r="C764" t="s">
        <v>326</v>
      </c>
      <c r="D764" t="s">
        <v>109</v>
      </c>
      <c r="E764">
        <v>45235868</v>
      </c>
      <c r="F764" t="s">
        <v>344</v>
      </c>
      <c r="G764" t="s">
        <v>30</v>
      </c>
      <c r="H764" t="s">
        <v>245</v>
      </c>
      <c r="I764" t="s">
        <v>43</v>
      </c>
      <c r="J764">
        <v>2021</v>
      </c>
      <c r="K764" t="s">
        <v>60</v>
      </c>
      <c r="N764" t="s">
        <v>99</v>
      </c>
      <c r="AI764">
        <f t="shared" si="23"/>
        <v>1</v>
      </c>
      <c r="AJ764">
        <f>'TABLA PREVIOS'!E764</f>
        <v>285</v>
      </c>
      <c r="AK764">
        <f>VLOOKUP(E764,ALUMNOS!A:B,2,FALSE)</f>
        <v>512</v>
      </c>
    </row>
    <row r="765" spans="2:37" x14ac:dyDescent="0.25">
      <c r="B765" t="str">
        <f t="shared" si="22"/>
        <v>45235868ADMINISTRACIÓN FINANCIERA6º</v>
      </c>
      <c r="C765" t="s">
        <v>326</v>
      </c>
      <c r="D765" t="s">
        <v>109</v>
      </c>
      <c r="E765">
        <v>45235868</v>
      </c>
      <c r="F765" t="s">
        <v>344</v>
      </c>
      <c r="G765" t="s">
        <v>40</v>
      </c>
      <c r="H765" t="s">
        <v>245</v>
      </c>
      <c r="I765" t="s">
        <v>43</v>
      </c>
      <c r="J765">
        <v>2021</v>
      </c>
      <c r="K765" t="s">
        <v>60</v>
      </c>
      <c r="N765" t="s">
        <v>99</v>
      </c>
      <c r="AI765">
        <f t="shared" si="23"/>
        <v>1</v>
      </c>
      <c r="AJ765">
        <f>'TABLA PREVIOS'!E765</f>
        <v>289</v>
      </c>
      <c r="AK765">
        <f>VLOOKUP(E765,ALUMNOS!A:B,2,FALSE)</f>
        <v>512</v>
      </c>
    </row>
    <row r="766" spans="2:37" x14ac:dyDescent="0.25">
      <c r="B766" t="str">
        <f t="shared" si="22"/>
        <v>45235868DERECHO6º</v>
      </c>
      <c r="C766" t="s">
        <v>326</v>
      </c>
      <c r="D766" t="s">
        <v>109</v>
      </c>
      <c r="E766">
        <v>45235868</v>
      </c>
      <c r="F766" t="s">
        <v>344</v>
      </c>
      <c r="G766" t="s">
        <v>38</v>
      </c>
      <c r="H766" t="s">
        <v>245</v>
      </c>
      <c r="I766" t="s">
        <v>43</v>
      </c>
      <c r="J766">
        <v>2021</v>
      </c>
      <c r="K766" t="s">
        <v>60</v>
      </c>
      <c r="N766" t="s">
        <v>99</v>
      </c>
      <c r="AI766">
        <f t="shared" si="23"/>
        <v>1</v>
      </c>
      <c r="AJ766">
        <f>'TABLA PREVIOS'!E766</f>
        <v>287</v>
      </c>
      <c r="AK766">
        <f>VLOOKUP(E766,ALUMNOS!A:B,2,FALSE)</f>
        <v>512</v>
      </c>
    </row>
    <row r="767" spans="2:37" x14ac:dyDescent="0.25">
      <c r="B767" t="str">
        <f t="shared" si="22"/>
        <v>45235868ECONOMÍA6º</v>
      </c>
      <c r="C767" t="s">
        <v>326</v>
      </c>
      <c r="D767" t="s">
        <v>109</v>
      </c>
      <c r="E767">
        <v>45235868</v>
      </c>
      <c r="F767" t="s">
        <v>344</v>
      </c>
      <c r="G767" t="s">
        <v>34</v>
      </c>
      <c r="H767" t="s">
        <v>245</v>
      </c>
      <c r="I767" t="s">
        <v>43</v>
      </c>
      <c r="J767">
        <v>2021</v>
      </c>
      <c r="K767" t="s">
        <v>60</v>
      </c>
      <c r="N767" t="s">
        <v>99</v>
      </c>
      <c r="AI767">
        <f t="shared" si="23"/>
        <v>1</v>
      </c>
      <c r="AJ767">
        <f>'TABLA PREVIOS'!E767</f>
        <v>286</v>
      </c>
      <c r="AK767">
        <f>VLOOKUP(E767,ALUMNOS!A:B,2,FALSE)</f>
        <v>512</v>
      </c>
    </row>
    <row r="768" spans="2:37" x14ac:dyDescent="0.25">
      <c r="B768" t="str">
        <f t="shared" si="22"/>
        <v>45235868RESPONSABILIDAD SOCIAL DE LAS ORGANIZACIONES6º</v>
      </c>
      <c r="C768" t="s">
        <v>326</v>
      </c>
      <c r="D768" t="s">
        <v>109</v>
      </c>
      <c r="E768">
        <v>45235868</v>
      </c>
      <c r="F768" t="s">
        <v>344</v>
      </c>
      <c r="G768" t="s">
        <v>39</v>
      </c>
      <c r="H768" t="s">
        <v>245</v>
      </c>
      <c r="I768" t="s">
        <v>43</v>
      </c>
      <c r="J768">
        <v>2021</v>
      </c>
      <c r="K768" t="s">
        <v>60</v>
      </c>
      <c r="N768" t="s">
        <v>99</v>
      </c>
      <c r="AI768">
        <f t="shared" si="23"/>
        <v>1</v>
      </c>
      <c r="AJ768">
        <f>'TABLA PREVIOS'!E768</f>
        <v>288</v>
      </c>
      <c r="AK768">
        <f>VLOOKUP(E768,ALUMNOS!A:B,2,FALSE)</f>
        <v>512</v>
      </c>
    </row>
    <row r="769" spans="2:37" x14ac:dyDescent="0.25">
      <c r="B769" t="str">
        <f t="shared" si="22"/>
        <v>45235868SISTEMAS DE INFORMACIÓN CONTABLE6º</v>
      </c>
      <c r="C769" t="s">
        <v>326</v>
      </c>
      <c r="D769" t="s">
        <v>109</v>
      </c>
      <c r="E769">
        <v>45235868</v>
      </c>
      <c r="F769" t="s">
        <v>344</v>
      </c>
      <c r="G769" t="s">
        <v>29</v>
      </c>
      <c r="H769" t="s">
        <v>245</v>
      </c>
      <c r="I769" t="s">
        <v>43</v>
      </c>
      <c r="J769">
        <v>2021</v>
      </c>
      <c r="K769" t="s">
        <v>60</v>
      </c>
      <c r="N769" t="s">
        <v>99</v>
      </c>
      <c r="AI769">
        <f t="shared" si="23"/>
        <v>1</v>
      </c>
      <c r="AJ769">
        <f>'TABLA PREVIOS'!E769</f>
        <v>290</v>
      </c>
      <c r="AK769">
        <f>VLOOKUP(E769,ALUMNOS!A:B,2,FALSE)</f>
        <v>512</v>
      </c>
    </row>
    <row r="770" spans="2:37" x14ac:dyDescent="0.25">
      <c r="B770" t="str">
        <f t="shared" si="22"/>
        <v>44372158ADMINISTRACIÓN4º</v>
      </c>
      <c r="C770" t="s">
        <v>326</v>
      </c>
      <c r="D770" t="s">
        <v>109</v>
      </c>
      <c r="E770">
        <v>44372158</v>
      </c>
      <c r="F770" t="s">
        <v>345</v>
      </c>
      <c r="G770" t="s">
        <v>30</v>
      </c>
      <c r="H770" t="s">
        <v>190</v>
      </c>
      <c r="I770" t="s">
        <v>44</v>
      </c>
      <c r="J770">
        <v>2019</v>
      </c>
      <c r="K770" t="s">
        <v>60</v>
      </c>
      <c r="N770" t="s">
        <v>99</v>
      </c>
      <c r="AI770">
        <f t="shared" si="23"/>
        <v>1</v>
      </c>
      <c r="AJ770">
        <f>'TABLA PREVIOS'!E770</f>
        <v>260</v>
      </c>
      <c r="AK770">
        <f>VLOOKUP(E770,ALUMNOS!A:B,2,FALSE)</f>
        <v>733</v>
      </c>
    </row>
    <row r="771" spans="2:37" x14ac:dyDescent="0.25">
      <c r="B771" t="str">
        <f t="shared" ref="B771:B834" si="24">E771&amp;G771&amp;H771</f>
        <v>44372158SISTEMAS DE INFORMACIÓN CONTABLE4º</v>
      </c>
      <c r="C771" t="s">
        <v>326</v>
      </c>
      <c r="D771" t="s">
        <v>109</v>
      </c>
      <c r="E771">
        <v>44372158</v>
      </c>
      <c r="F771" t="s">
        <v>345</v>
      </c>
      <c r="G771" t="s">
        <v>29</v>
      </c>
      <c r="H771" t="s">
        <v>190</v>
      </c>
      <c r="I771" t="s">
        <v>44</v>
      </c>
      <c r="J771">
        <v>2019</v>
      </c>
      <c r="K771" t="s">
        <v>60</v>
      </c>
      <c r="N771" t="s">
        <v>99</v>
      </c>
      <c r="AI771">
        <f t="shared" ref="AI771:AI834" si="25">IF(VALUE(MAX(P771,T771,X771,AB771,AE771,))&gt;=7,VALUE(MAX(P771,T771,X771,AB771,AE771,)),1)</f>
        <v>1</v>
      </c>
      <c r="AJ771">
        <f>'TABLA PREVIOS'!E771</f>
        <v>259</v>
      </c>
      <c r="AK771">
        <f>VLOOKUP(E771,ALUMNOS!A:B,2,FALSE)</f>
        <v>733</v>
      </c>
    </row>
    <row r="772" spans="2:37" x14ac:dyDescent="0.25">
      <c r="B772" t="str">
        <f t="shared" si="24"/>
        <v>44372158ADMINISTRACIÓN5º</v>
      </c>
      <c r="C772" t="s">
        <v>326</v>
      </c>
      <c r="D772" t="s">
        <v>109</v>
      </c>
      <c r="E772">
        <v>44372158</v>
      </c>
      <c r="F772" t="s">
        <v>345</v>
      </c>
      <c r="G772" t="s">
        <v>30</v>
      </c>
      <c r="H772" t="s">
        <v>220</v>
      </c>
      <c r="I772" t="s">
        <v>44</v>
      </c>
      <c r="J772">
        <v>2020</v>
      </c>
      <c r="K772" t="s">
        <v>60</v>
      </c>
      <c r="N772" t="s">
        <v>99</v>
      </c>
      <c r="AI772">
        <f t="shared" si="25"/>
        <v>1</v>
      </c>
      <c r="AJ772">
        <f>'TABLA PREVIOS'!E772</f>
        <v>274</v>
      </c>
      <c r="AK772">
        <f>VLOOKUP(E772,ALUMNOS!A:B,2,FALSE)</f>
        <v>733</v>
      </c>
    </row>
    <row r="773" spans="2:37" x14ac:dyDescent="0.25">
      <c r="B773" t="str">
        <f t="shared" si="24"/>
        <v>44372158ECONOMÍA5º</v>
      </c>
      <c r="C773" t="s">
        <v>326</v>
      </c>
      <c r="D773" t="s">
        <v>109</v>
      </c>
      <c r="E773">
        <v>44372158</v>
      </c>
      <c r="F773" t="s">
        <v>345</v>
      </c>
      <c r="G773" t="s">
        <v>34</v>
      </c>
      <c r="H773" t="s">
        <v>220</v>
      </c>
      <c r="I773" t="s">
        <v>44</v>
      </c>
      <c r="J773">
        <v>2020</v>
      </c>
      <c r="K773" t="s">
        <v>60</v>
      </c>
      <c r="N773" t="s">
        <v>99</v>
      </c>
      <c r="AI773">
        <f t="shared" si="25"/>
        <v>1</v>
      </c>
      <c r="AJ773">
        <f>'TABLA PREVIOS'!E773</f>
        <v>275</v>
      </c>
      <c r="AK773">
        <f>VLOOKUP(E773,ALUMNOS!A:B,2,FALSE)</f>
        <v>733</v>
      </c>
    </row>
    <row r="774" spans="2:37" x14ac:dyDescent="0.25">
      <c r="B774" t="str">
        <f t="shared" si="24"/>
        <v>44372158HISTORIA5º</v>
      </c>
      <c r="C774" t="s">
        <v>326</v>
      </c>
      <c r="D774" t="s">
        <v>109</v>
      </c>
      <c r="E774">
        <v>44372158</v>
      </c>
      <c r="F774" t="s">
        <v>345</v>
      </c>
      <c r="G774" t="s">
        <v>27</v>
      </c>
      <c r="H774" t="s">
        <v>220</v>
      </c>
      <c r="I774" t="s">
        <v>43</v>
      </c>
      <c r="J774">
        <v>2020</v>
      </c>
      <c r="K774" t="s">
        <v>60</v>
      </c>
      <c r="N774" t="s">
        <v>99</v>
      </c>
      <c r="AI774">
        <f t="shared" si="25"/>
        <v>1</v>
      </c>
      <c r="AJ774">
        <f>'TABLA PREVIOS'!E774</f>
        <v>268</v>
      </c>
      <c r="AK774">
        <f>VLOOKUP(E774,ALUMNOS!A:B,2,FALSE)</f>
        <v>733</v>
      </c>
    </row>
    <row r="775" spans="2:37" x14ac:dyDescent="0.25">
      <c r="B775" t="str">
        <f t="shared" si="24"/>
        <v>44372158SISTEMAS DE INFORMACIÓN CONTABLE5º</v>
      </c>
      <c r="C775" t="s">
        <v>326</v>
      </c>
      <c r="D775" t="s">
        <v>109</v>
      </c>
      <c r="E775">
        <v>44372158</v>
      </c>
      <c r="F775" t="s">
        <v>345</v>
      </c>
      <c r="G775" t="s">
        <v>29</v>
      </c>
      <c r="H775" t="s">
        <v>220</v>
      </c>
      <c r="I775" t="s">
        <v>44</v>
      </c>
      <c r="J775">
        <v>2020</v>
      </c>
      <c r="K775" t="s">
        <v>60</v>
      </c>
      <c r="N775" t="s">
        <v>99</v>
      </c>
      <c r="AI775">
        <f t="shared" si="25"/>
        <v>1</v>
      </c>
      <c r="AJ775">
        <f>'TABLA PREVIOS'!E775</f>
        <v>273</v>
      </c>
      <c r="AK775">
        <f>VLOOKUP(E775,ALUMNOS!A:B,2,FALSE)</f>
        <v>733</v>
      </c>
    </row>
    <row r="776" spans="2:37" x14ac:dyDescent="0.25">
      <c r="B776" t="str">
        <f t="shared" si="24"/>
        <v>44372158ADMINISTRACIÓN6º</v>
      </c>
      <c r="C776" t="s">
        <v>326</v>
      </c>
      <c r="D776" t="s">
        <v>109</v>
      </c>
      <c r="E776">
        <v>44372158</v>
      </c>
      <c r="F776" t="s">
        <v>345</v>
      </c>
      <c r="G776" t="s">
        <v>30</v>
      </c>
      <c r="H776" t="s">
        <v>245</v>
      </c>
      <c r="I776" t="s">
        <v>43</v>
      </c>
      <c r="J776">
        <v>2021</v>
      </c>
      <c r="K776" t="s">
        <v>60</v>
      </c>
      <c r="N776" t="s">
        <v>99</v>
      </c>
      <c r="AI776">
        <f t="shared" si="25"/>
        <v>1</v>
      </c>
      <c r="AJ776">
        <f>'TABLA PREVIOS'!E776</f>
        <v>285</v>
      </c>
      <c r="AK776">
        <f>VLOOKUP(E776,ALUMNOS!A:B,2,FALSE)</f>
        <v>733</v>
      </c>
    </row>
    <row r="777" spans="2:37" x14ac:dyDescent="0.25">
      <c r="B777" t="str">
        <f t="shared" si="24"/>
        <v>44372158ADMINISTRACIÓN FINANCIERA6º</v>
      </c>
      <c r="C777" t="s">
        <v>326</v>
      </c>
      <c r="D777" t="s">
        <v>109</v>
      </c>
      <c r="E777">
        <v>44372158</v>
      </c>
      <c r="F777" t="s">
        <v>345</v>
      </c>
      <c r="G777" t="s">
        <v>40</v>
      </c>
      <c r="H777" t="s">
        <v>245</v>
      </c>
      <c r="I777" t="s">
        <v>43</v>
      </c>
      <c r="J777">
        <v>2021</v>
      </c>
      <c r="K777" t="s">
        <v>60</v>
      </c>
      <c r="N777" t="s">
        <v>99</v>
      </c>
      <c r="AI777">
        <f t="shared" si="25"/>
        <v>1</v>
      </c>
      <c r="AJ777">
        <f>'TABLA PREVIOS'!E777</f>
        <v>289</v>
      </c>
      <c r="AK777">
        <f>VLOOKUP(E777,ALUMNOS!A:B,2,FALSE)</f>
        <v>733</v>
      </c>
    </row>
    <row r="778" spans="2:37" x14ac:dyDescent="0.25">
      <c r="B778" t="str">
        <f t="shared" si="24"/>
        <v>44372158CIUDADANÍA Y POLÍTICA6º</v>
      </c>
      <c r="C778" t="s">
        <v>326</v>
      </c>
      <c r="D778" t="s">
        <v>109</v>
      </c>
      <c r="E778">
        <v>44372158</v>
      </c>
      <c r="F778" t="s">
        <v>345</v>
      </c>
      <c r="G778" t="s">
        <v>37</v>
      </c>
      <c r="H778" t="s">
        <v>245</v>
      </c>
      <c r="I778" t="s">
        <v>43</v>
      </c>
      <c r="J778">
        <v>2021</v>
      </c>
      <c r="K778" t="s">
        <v>60</v>
      </c>
      <c r="N778" t="s">
        <v>99</v>
      </c>
      <c r="AI778">
        <f t="shared" si="25"/>
        <v>1</v>
      </c>
      <c r="AJ778">
        <f>'TABLA PREVIOS'!E778</f>
        <v>284</v>
      </c>
      <c r="AK778">
        <f>VLOOKUP(E778,ALUMNOS!A:B,2,FALSE)</f>
        <v>733</v>
      </c>
    </row>
    <row r="779" spans="2:37" x14ac:dyDescent="0.25">
      <c r="B779" t="str">
        <f t="shared" si="24"/>
        <v>44372158DERECHO6º</v>
      </c>
      <c r="C779" t="s">
        <v>326</v>
      </c>
      <c r="D779" t="s">
        <v>109</v>
      </c>
      <c r="E779">
        <v>44372158</v>
      </c>
      <c r="F779" t="s">
        <v>345</v>
      </c>
      <c r="G779" t="s">
        <v>38</v>
      </c>
      <c r="H779" t="s">
        <v>245</v>
      </c>
      <c r="I779" t="s">
        <v>43</v>
      </c>
      <c r="J779">
        <v>2021</v>
      </c>
      <c r="K779" t="s">
        <v>60</v>
      </c>
      <c r="N779" t="s">
        <v>99</v>
      </c>
      <c r="AI779">
        <f t="shared" si="25"/>
        <v>1</v>
      </c>
      <c r="AJ779">
        <f>'TABLA PREVIOS'!E779</f>
        <v>287</v>
      </c>
      <c r="AK779">
        <f>VLOOKUP(E779,ALUMNOS!A:B,2,FALSE)</f>
        <v>733</v>
      </c>
    </row>
    <row r="780" spans="2:37" x14ac:dyDescent="0.25">
      <c r="B780" t="str">
        <f t="shared" si="24"/>
        <v>44372158ECONOMÍA6º</v>
      </c>
      <c r="C780" t="s">
        <v>326</v>
      </c>
      <c r="D780" t="s">
        <v>109</v>
      </c>
      <c r="E780">
        <v>44372158</v>
      </c>
      <c r="F780" t="s">
        <v>345</v>
      </c>
      <c r="G780" t="s">
        <v>34</v>
      </c>
      <c r="H780" t="s">
        <v>245</v>
      </c>
      <c r="I780" t="s">
        <v>43</v>
      </c>
      <c r="J780">
        <v>2021</v>
      </c>
      <c r="K780" t="s">
        <v>60</v>
      </c>
      <c r="N780" t="s">
        <v>99</v>
      </c>
      <c r="AI780">
        <f t="shared" si="25"/>
        <v>1</v>
      </c>
      <c r="AJ780">
        <f>'TABLA PREVIOS'!E780</f>
        <v>286</v>
      </c>
      <c r="AK780">
        <f>VLOOKUP(E780,ALUMNOS!A:B,2,FALSE)</f>
        <v>733</v>
      </c>
    </row>
    <row r="781" spans="2:37" x14ac:dyDescent="0.25">
      <c r="B781" t="str">
        <f t="shared" si="24"/>
        <v>44372158FILOSOFÍA6º</v>
      </c>
      <c r="C781" t="s">
        <v>326</v>
      </c>
      <c r="D781" t="s">
        <v>109</v>
      </c>
      <c r="E781">
        <v>44372158</v>
      </c>
      <c r="F781" t="s">
        <v>345</v>
      </c>
      <c r="G781" t="s">
        <v>41</v>
      </c>
      <c r="H781" t="s">
        <v>245</v>
      </c>
      <c r="I781" t="s">
        <v>43</v>
      </c>
      <c r="J781">
        <v>2021</v>
      </c>
      <c r="K781" t="s">
        <v>60</v>
      </c>
      <c r="N781" t="s">
        <v>99</v>
      </c>
      <c r="AI781">
        <f t="shared" si="25"/>
        <v>1</v>
      </c>
      <c r="AJ781">
        <f>'TABLA PREVIOS'!E781</f>
        <v>292</v>
      </c>
      <c r="AK781">
        <f>VLOOKUP(E781,ALUMNOS!A:B,2,FALSE)</f>
        <v>733</v>
      </c>
    </row>
    <row r="782" spans="2:37" x14ac:dyDescent="0.25">
      <c r="B782" t="str">
        <f t="shared" si="24"/>
        <v>44372158RESPONSABILIDAD SOCIAL DE LAS ORGANIZACIONES6º</v>
      </c>
      <c r="C782" t="s">
        <v>326</v>
      </c>
      <c r="D782" t="s">
        <v>109</v>
      </c>
      <c r="E782">
        <v>44372158</v>
      </c>
      <c r="F782" t="s">
        <v>345</v>
      </c>
      <c r="G782" t="s">
        <v>39</v>
      </c>
      <c r="H782" t="s">
        <v>245</v>
      </c>
      <c r="I782" t="s">
        <v>43</v>
      </c>
      <c r="J782">
        <v>2021</v>
      </c>
      <c r="K782" t="s">
        <v>60</v>
      </c>
      <c r="N782" t="s">
        <v>99</v>
      </c>
      <c r="AI782">
        <f t="shared" si="25"/>
        <v>1</v>
      </c>
      <c r="AJ782">
        <f>'TABLA PREVIOS'!E782</f>
        <v>288</v>
      </c>
      <c r="AK782">
        <f>VLOOKUP(E782,ALUMNOS!A:B,2,FALSE)</f>
        <v>733</v>
      </c>
    </row>
    <row r="783" spans="2:37" x14ac:dyDescent="0.25">
      <c r="B783" t="str">
        <f t="shared" si="24"/>
        <v>44372158SISTEMAS DE INFORMACIÓN CONTABLE6º</v>
      </c>
      <c r="C783" t="s">
        <v>326</v>
      </c>
      <c r="D783" t="s">
        <v>109</v>
      </c>
      <c r="E783">
        <v>44372158</v>
      </c>
      <c r="F783" t="s">
        <v>345</v>
      </c>
      <c r="G783" t="s">
        <v>29</v>
      </c>
      <c r="H783" t="s">
        <v>245</v>
      </c>
      <c r="I783" t="s">
        <v>43</v>
      </c>
      <c r="J783">
        <v>2021</v>
      </c>
      <c r="K783" t="s">
        <v>60</v>
      </c>
      <c r="N783" t="s">
        <v>99</v>
      </c>
      <c r="AI783">
        <f t="shared" si="25"/>
        <v>1</v>
      </c>
      <c r="AJ783">
        <f>'TABLA PREVIOS'!E783</f>
        <v>290</v>
      </c>
      <c r="AK783">
        <f>VLOOKUP(E783,ALUMNOS!A:B,2,FALSE)</f>
        <v>733</v>
      </c>
    </row>
    <row r="784" spans="2:37" x14ac:dyDescent="0.25">
      <c r="B784" t="str">
        <f t="shared" si="24"/>
        <v>44274429HISTORIA3º</v>
      </c>
      <c r="C784" t="s">
        <v>326</v>
      </c>
      <c r="D784" t="s">
        <v>128</v>
      </c>
      <c r="E784">
        <v>44274429</v>
      </c>
      <c r="F784" t="s">
        <v>346</v>
      </c>
      <c r="G784" t="s">
        <v>27</v>
      </c>
      <c r="H784" t="s">
        <v>143</v>
      </c>
      <c r="I784" t="s">
        <v>43</v>
      </c>
      <c r="J784">
        <v>2018</v>
      </c>
      <c r="K784" t="s">
        <v>59</v>
      </c>
      <c r="N784" t="s">
        <v>99</v>
      </c>
      <c r="AI784">
        <f t="shared" si="25"/>
        <v>1</v>
      </c>
      <c r="AJ784">
        <f>'TABLA PREVIOS'!E784</f>
        <v>244</v>
      </c>
      <c r="AK784">
        <f>VLOOKUP(E784,ALUMNOS!A:B,2,FALSE)</f>
        <v>39</v>
      </c>
    </row>
    <row r="785" spans="2:37" x14ac:dyDescent="0.25">
      <c r="B785" t="str">
        <f t="shared" si="24"/>
        <v>44274429SISTEMAS DE INFORMACIÓN CONTABLE4º</v>
      </c>
      <c r="C785" t="s">
        <v>326</v>
      </c>
      <c r="D785" t="s">
        <v>128</v>
      </c>
      <c r="E785">
        <v>44274429</v>
      </c>
      <c r="F785" t="s">
        <v>346</v>
      </c>
      <c r="G785" t="s">
        <v>29</v>
      </c>
      <c r="H785" t="s">
        <v>190</v>
      </c>
      <c r="I785" t="s">
        <v>43</v>
      </c>
      <c r="J785">
        <v>2019</v>
      </c>
      <c r="K785" t="s">
        <v>60</v>
      </c>
      <c r="N785" t="s">
        <v>99</v>
      </c>
      <c r="AI785">
        <f t="shared" si="25"/>
        <v>1</v>
      </c>
      <c r="AJ785">
        <f>'TABLA PREVIOS'!E785</f>
        <v>259</v>
      </c>
      <c r="AK785">
        <f>VLOOKUP(E785,ALUMNOS!A:B,2,FALSE)</f>
        <v>39</v>
      </c>
    </row>
    <row r="786" spans="2:37" x14ac:dyDescent="0.25">
      <c r="B786" t="str">
        <f t="shared" si="24"/>
        <v>44274429MATEMÁTICA5º</v>
      </c>
      <c r="C786" t="s">
        <v>326</v>
      </c>
      <c r="D786" t="s">
        <v>128</v>
      </c>
      <c r="E786">
        <v>44274429</v>
      </c>
      <c r="F786" t="s">
        <v>346</v>
      </c>
      <c r="G786" t="s">
        <v>12</v>
      </c>
      <c r="H786" t="s">
        <v>220</v>
      </c>
      <c r="I786" t="s">
        <v>43</v>
      </c>
      <c r="J786">
        <v>2020</v>
      </c>
      <c r="K786" t="s">
        <v>60</v>
      </c>
      <c r="N786" t="s">
        <v>99</v>
      </c>
      <c r="AI786">
        <f t="shared" si="25"/>
        <v>1</v>
      </c>
      <c r="AJ786">
        <f>'TABLA PREVIOS'!E786</f>
        <v>265</v>
      </c>
      <c r="AK786">
        <f>VLOOKUP(E786,ALUMNOS!A:B,2,FALSE)</f>
        <v>39</v>
      </c>
    </row>
    <row r="787" spans="2:37" x14ac:dyDescent="0.25">
      <c r="B787" t="str">
        <f t="shared" si="24"/>
        <v>44274429ADMINISTRACIÓN6º</v>
      </c>
      <c r="C787" t="s">
        <v>326</v>
      </c>
      <c r="D787" t="s">
        <v>128</v>
      </c>
      <c r="E787">
        <v>44274429</v>
      </c>
      <c r="F787" t="s">
        <v>346</v>
      </c>
      <c r="G787" t="s">
        <v>30</v>
      </c>
      <c r="H787" t="s">
        <v>245</v>
      </c>
      <c r="I787" t="s">
        <v>43</v>
      </c>
      <c r="J787">
        <v>2021</v>
      </c>
      <c r="K787" t="s">
        <v>60</v>
      </c>
      <c r="N787" t="s">
        <v>99</v>
      </c>
      <c r="AI787">
        <f t="shared" si="25"/>
        <v>1</v>
      </c>
      <c r="AJ787">
        <f>'TABLA PREVIOS'!E787</f>
        <v>285</v>
      </c>
      <c r="AK787">
        <f>VLOOKUP(E787,ALUMNOS!A:B,2,FALSE)</f>
        <v>39</v>
      </c>
    </row>
    <row r="788" spans="2:37" x14ac:dyDescent="0.25">
      <c r="B788" t="str">
        <f t="shared" si="24"/>
        <v>44274429ADMINISTRACIÓN FINANCIERA6º</v>
      </c>
      <c r="C788" t="s">
        <v>326</v>
      </c>
      <c r="D788" t="s">
        <v>128</v>
      </c>
      <c r="E788">
        <v>44274429</v>
      </c>
      <c r="F788" t="s">
        <v>346</v>
      </c>
      <c r="G788" t="s">
        <v>40</v>
      </c>
      <c r="H788" t="s">
        <v>245</v>
      </c>
      <c r="I788" t="s">
        <v>43</v>
      </c>
      <c r="J788">
        <v>2021</v>
      </c>
      <c r="K788" t="s">
        <v>60</v>
      </c>
      <c r="N788" t="s">
        <v>99</v>
      </c>
      <c r="AI788">
        <f t="shared" si="25"/>
        <v>1</v>
      </c>
      <c r="AJ788">
        <f>'TABLA PREVIOS'!E788</f>
        <v>289</v>
      </c>
      <c r="AK788">
        <f>VLOOKUP(E788,ALUMNOS!A:B,2,FALSE)</f>
        <v>39</v>
      </c>
    </row>
    <row r="789" spans="2:37" x14ac:dyDescent="0.25">
      <c r="B789" t="str">
        <f t="shared" si="24"/>
        <v>44274429DERECHO6º</v>
      </c>
      <c r="C789" t="s">
        <v>326</v>
      </c>
      <c r="D789" t="s">
        <v>128</v>
      </c>
      <c r="E789">
        <v>44274429</v>
      </c>
      <c r="F789" t="s">
        <v>346</v>
      </c>
      <c r="G789" t="s">
        <v>38</v>
      </c>
      <c r="H789" t="s">
        <v>245</v>
      </c>
      <c r="I789" t="s">
        <v>43</v>
      </c>
      <c r="J789">
        <v>2021</v>
      </c>
      <c r="K789" t="s">
        <v>60</v>
      </c>
      <c r="N789" t="s">
        <v>99</v>
      </c>
      <c r="AI789">
        <f t="shared" si="25"/>
        <v>1</v>
      </c>
      <c r="AJ789">
        <f>'TABLA PREVIOS'!E789</f>
        <v>287</v>
      </c>
      <c r="AK789">
        <f>VLOOKUP(E789,ALUMNOS!A:B,2,FALSE)</f>
        <v>39</v>
      </c>
    </row>
    <row r="790" spans="2:37" x14ac:dyDescent="0.25">
      <c r="B790" t="str">
        <f t="shared" si="24"/>
        <v>44274429ECONOMÍA6º</v>
      </c>
      <c r="C790" t="s">
        <v>326</v>
      </c>
      <c r="D790" t="s">
        <v>128</v>
      </c>
      <c r="E790">
        <v>44274429</v>
      </c>
      <c r="F790" t="s">
        <v>346</v>
      </c>
      <c r="G790" t="s">
        <v>34</v>
      </c>
      <c r="H790" t="s">
        <v>245</v>
      </c>
      <c r="I790" t="s">
        <v>43</v>
      </c>
      <c r="J790">
        <v>2021</v>
      </c>
      <c r="K790" t="s">
        <v>60</v>
      </c>
      <c r="N790" t="s">
        <v>99</v>
      </c>
      <c r="AI790">
        <f t="shared" si="25"/>
        <v>1</v>
      </c>
      <c r="AJ790">
        <f>'TABLA PREVIOS'!E790</f>
        <v>286</v>
      </c>
      <c r="AK790">
        <f>VLOOKUP(E790,ALUMNOS!A:B,2,FALSE)</f>
        <v>39</v>
      </c>
    </row>
    <row r="791" spans="2:37" x14ac:dyDescent="0.25">
      <c r="B791" t="str">
        <f t="shared" si="24"/>
        <v>44274429LENGUA EXTRANJERA - INGLÉS6º</v>
      </c>
      <c r="C791" t="s">
        <v>326</v>
      </c>
      <c r="D791" t="s">
        <v>128</v>
      </c>
      <c r="E791">
        <v>44274429</v>
      </c>
      <c r="F791" t="s">
        <v>346</v>
      </c>
      <c r="G791" t="s">
        <v>16</v>
      </c>
      <c r="H791" t="s">
        <v>245</v>
      </c>
      <c r="I791" t="s">
        <v>43</v>
      </c>
      <c r="J791">
        <v>2021</v>
      </c>
      <c r="K791" t="s">
        <v>60</v>
      </c>
      <c r="N791" t="s">
        <v>99</v>
      </c>
      <c r="AI791">
        <f t="shared" si="25"/>
        <v>1</v>
      </c>
      <c r="AJ791">
        <f>'TABLA PREVIOS'!E791</f>
        <v>282</v>
      </c>
      <c r="AK791">
        <f>VLOOKUP(E791,ALUMNOS!A:B,2,FALSE)</f>
        <v>39</v>
      </c>
    </row>
    <row r="792" spans="2:37" x14ac:dyDescent="0.25">
      <c r="B792" t="str">
        <f t="shared" si="24"/>
        <v>44274429MATEMÁTICA6º</v>
      </c>
      <c r="C792" t="s">
        <v>326</v>
      </c>
      <c r="D792" t="s">
        <v>128</v>
      </c>
      <c r="E792">
        <v>44274429</v>
      </c>
      <c r="F792" t="s">
        <v>346</v>
      </c>
      <c r="G792" t="s">
        <v>12</v>
      </c>
      <c r="H792" t="s">
        <v>245</v>
      </c>
      <c r="I792" t="s">
        <v>43</v>
      </c>
      <c r="J792">
        <v>2021</v>
      </c>
      <c r="K792" t="s">
        <v>60</v>
      </c>
      <c r="N792" t="s">
        <v>99</v>
      </c>
      <c r="AI792">
        <f t="shared" si="25"/>
        <v>1</v>
      </c>
      <c r="AJ792">
        <f>'TABLA PREVIOS'!E792</f>
        <v>280</v>
      </c>
      <c r="AK792">
        <f>VLOOKUP(E792,ALUMNOS!A:B,2,FALSE)</f>
        <v>39</v>
      </c>
    </row>
    <row r="793" spans="2:37" x14ac:dyDescent="0.25">
      <c r="B793" t="str">
        <f t="shared" si="24"/>
        <v>44274429RESPONSABILIDAD SOCIAL DE LAS ORGANIZACIONES6º</v>
      </c>
      <c r="C793" t="s">
        <v>326</v>
      </c>
      <c r="D793" t="s">
        <v>128</v>
      </c>
      <c r="E793">
        <v>44274429</v>
      </c>
      <c r="F793" t="s">
        <v>346</v>
      </c>
      <c r="G793" t="s">
        <v>39</v>
      </c>
      <c r="H793" t="s">
        <v>245</v>
      </c>
      <c r="I793" t="s">
        <v>43</v>
      </c>
      <c r="J793">
        <v>2021</v>
      </c>
      <c r="K793" t="s">
        <v>60</v>
      </c>
      <c r="N793" t="s">
        <v>99</v>
      </c>
      <c r="AI793">
        <f t="shared" si="25"/>
        <v>1</v>
      </c>
      <c r="AJ793">
        <f>'TABLA PREVIOS'!E793</f>
        <v>288</v>
      </c>
      <c r="AK793">
        <f>VLOOKUP(E793,ALUMNOS!A:B,2,FALSE)</f>
        <v>39</v>
      </c>
    </row>
    <row r="794" spans="2:37" x14ac:dyDescent="0.25">
      <c r="B794" t="str">
        <f t="shared" si="24"/>
        <v>44274429SISTEMAS DE INFORMACIÓN CONTABLE6º</v>
      </c>
      <c r="C794" t="s">
        <v>326</v>
      </c>
      <c r="D794" t="s">
        <v>128</v>
      </c>
      <c r="E794">
        <v>44274429</v>
      </c>
      <c r="F794" t="s">
        <v>346</v>
      </c>
      <c r="G794" t="s">
        <v>29</v>
      </c>
      <c r="H794" t="s">
        <v>245</v>
      </c>
      <c r="I794" t="s">
        <v>43</v>
      </c>
      <c r="J794">
        <v>2021</v>
      </c>
      <c r="K794" t="s">
        <v>60</v>
      </c>
      <c r="N794" t="s">
        <v>99</v>
      </c>
      <c r="AI794">
        <f t="shared" si="25"/>
        <v>1</v>
      </c>
      <c r="AJ794">
        <f>'TABLA PREVIOS'!E794</f>
        <v>290</v>
      </c>
      <c r="AK794">
        <f>VLOOKUP(E794,ALUMNOS!A:B,2,FALSE)</f>
        <v>39</v>
      </c>
    </row>
    <row r="795" spans="2:37" x14ac:dyDescent="0.25">
      <c r="B795" t="str">
        <f t="shared" si="24"/>
        <v>45591905MATEMÁTICA5º</v>
      </c>
      <c r="C795" t="s">
        <v>326</v>
      </c>
      <c r="D795" t="s">
        <v>128</v>
      </c>
      <c r="E795">
        <v>45591905</v>
      </c>
      <c r="F795" t="s">
        <v>347</v>
      </c>
      <c r="G795" t="s">
        <v>12</v>
      </c>
      <c r="H795" t="s">
        <v>220</v>
      </c>
      <c r="I795" t="s">
        <v>43</v>
      </c>
      <c r="J795">
        <v>2020</v>
      </c>
      <c r="K795" t="s">
        <v>60</v>
      </c>
      <c r="N795" t="s">
        <v>99</v>
      </c>
      <c r="AI795">
        <f t="shared" si="25"/>
        <v>1</v>
      </c>
      <c r="AJ795">
        <f>'TABLA PREVIOS'!E795</f>
        <v>265</v>
      </c>
      <c r="AK795">
        <f>VLOOKUP(E795,ALUMNOS!A:B,2,FALSE)</f>
        <v>102</v>
      </c>
    </row>
    <row r="796" spans="2:37" x14ac:dyDescent="0.25">
      <c r="B796" t="str">
        <f t="shared" si="24"/>
        <v>45591905LENGUA EXTRANJERA - INGLÉS6º</v>
      </c>
      <c r="C796" t="s">
        <v>326</v>
      </c>
      <c r="D796" t="s">
        <v>128</v>
      </c>
      <c r="E796">
        <v>45591905</v>
      </c>
      <c r="F796" t="s">
        <v>347</v>
      </c>
      <c r="G796" t="s">
        <v>16</v>
      </c>
      <c r="H796" t="s">
        <v>245</v>
      </c>
      <c r="I796" t="s">
        <v>43</v>
      </c>
      <c r="J796">
        <v>2021</v>
      </c>
      <c r="K796" t="s">
        <v>60</v>
      </c>
      <c r="N796" t="s">
        <v>99</v>
      </c>
      <c r="AI796">
        <f t="shared" si="25"/>
        <v>1</v>
      </c>
      <c r="AJ796">
        <f>'TABLA PREVIOS'!E796</f>
        <v>282</v>
      </c>
      <c r="AK796">
        <f>VLOOKUP(E796,ALUMNOS!A:B,2,FALSE)</f>
        <v>102</v>
      </c>
    </row>
    <row r="797" spans="2:37" x14ac:dyDescent="0.25">
      <c r="B797" t="str">
        <f t="shared" si="24"/>
        <v>45403864ADMINISTRACIÓN6º</v>
      </c>
      <c r="C797" t="s">
        <v>326</v>
      </c>
      <c r="D797" t="s">
        <v>128</v>
      </c>
      <c r="E797">
        <v>45403864</v>
      </c>
      <c r="F797" t="s">
        <v>348</v>
      </c>
      <c r="G797" t="s">
        <v>30</v>
      </c>
      <c r="H797" t="s">
        <v>245</v>
      </c>
      <c r="I797" t="s">
        <v>43</v>
      </c>
      <c r="J797">
        <v>2021</v>
      </c>
      <c r="K797" t="s">
        <v>60</v>
      </c>
      <c r="N797" t="s">
        <v>99</v>
      </c>
      <c r="O797">
        <v>45411</v>
      </c>
      <c r="P797" t="s">
        <v>50</v>
      </c>
      <c r="Q797">
        <v>68</v>
      </c>
      <c r="R797">
        <v>49</v>
      </c>
      <c r="AI797">
        <f t="shared" si="25"/>
        <v>1</v>
      </c>
      <c r="AJ797">
        <f>'TABLA PREVIOS'!E797</f>
        <v>285</v>
      </c>
      <c r="AK797">
        <f>VLOOKUP(E797,ALUMNOS!A:B,2,FALSE)</f>
        <v>142</v>
      </c>
    </row>
    <row r="798" spans="2:37" x14ac:dyDescent="0.25">
      <c r="B798" t="str">
        <f t="shared" si="24"/>
        <v>45403864ADMINISTRACIÓN FINANCIERA6º</v>
      </c>
      <c r="C798" t="s">
        <v>326</v>
      </c>
      <c r="D798" t="s">
        <v>128</v>
      </c>
      <c r="E798">
        <v>45403864</v>
      </c>
      <c r="F798" t="s">
        <v>348</v>
      </c>
      <c r="G798" t="s">
        <v>40</v>
      </c>
      <c r="H798" t="s">
        <v>245</v>
      </c>
      <c r="I798" t="s">
        <v>43</v>
      </c>
      <c r="J798">
        <v>2021</v>
      </c>
      <c r="K798" t="s">
        <v>60</v>
      </c>
      <c r="N798" t="s">
        <v>99</v>
      </c>
      <c r="O798">
        <v>45411</v>
      </c>
      <c r="P798" t="s">
        <v>50</v>
      </c>
      <c r="Q798">
        <v>68</v>
      </c>
      <c r="R798">
        <v>50</v>
      </c>
      <c r="AI798">
        <f t="shared" si="25"/>
        <v>1</v>
      </c>
      <c r="AJ798">
        <f>'TABLA PREVIOS'!E798</f>
        <v>289</v>
      </c>
      <c r="AK798">
        <f>VLOOKUP(E798,ALUMNOS!A:B,2,FALSE)</f>
        <v>142</v>
      </c>
    </row>
    <row r="799" spans="2:37" x14ac:dyDescent="0.25">
      <c r="B799" t="str">
        <f t="shared" si="24"/>
        <v>45403864DERECHO6º</v>
      </c>
      <c r="C799" t="s">
        <v>326</v>
      </c>
      <c r="D799" t="s">
        <v>128</v>
      </c>
      <c r="E799">
        <v>45403864</v>
      </c>
      <c r="F799" t="s">
        <v>348</v>
      </c>
      <c r="G799" t="s">
        <v>38</v>
      </c>
      <c r="H799" t="s">
        <v>245</v>
      </c>
      <c r="I799" t="s">
        <v>43</v>
      </c>
      <c r="J799">
        <v>2021</v>
      </c>
      <c r="K799" t="s">
        <v>60</v>
      </c>
      <c r="N799" t="s">
        <v>99</v>
      </c>
      <c r="O799">
        <v>45411</v>
      </c>
      <c r="P799" t="s">
        <v>50</v>
      </c>
      <c r="Q799">
        <v>68</v>
      </c>
      <c r="R799">
        <v>46</v>
      </c>
      <c r="AI799">
        <f t="shared" si="25"/>
        <v>1</v>
      </c>
      <c r="AJ799">
        <f>'TABLA PREVIOS'!E799</f>
        <v>287</v>
      </c>
      <c r="AK799">
        <f>VLOOKUP(E799,ALUMNOS!A:B,2,FALSE)</f>
        <v>142</v>
      </c>
    </row>
    <row r="800" spans="2:37" x14ac:dyDescent="0.25">
      <c r="B800" t="str">
        <f t="shared" si="24"/>
        <v>45403864ECONOMÍA6º</v>
      </c>
      <c r="C800" t="s">
        <v>326</v>
      </c>
      <c r="D800" t="s">
        <v>128</v>
      </c>
      <c r="E800">
        <v>45403864</v>
      </c>
      <c r="F800" t="s">
        <v>348</v>
      </c>
      <c r="G800" t="s">
        <v>34</v>
      </c>
      <c r="H800" t="s">
        <v>245</v>
      </c>
      <c r="I800" t="s">
        <v>43</v>
      </c>
      <c r="J800">
        <v>2021</v>
      </c>
      <c r="K800" t="s">
        <v>60</v>
      </c>
      <c r="N800" t="s">
        <v>99</v>
      </c>
      <c r="O800">
        <v>45411</v>
      </c>
      <c r="P800" t="s">
        <v>50</v>
      </c>
      <c r="Q800">
        <v>68</v>
      </c>
      <c r="R800">
        <v>48</v>
      </c>
      <c r="AI800">
        <f t="shared" si="25"/>
        <v>1</v>
      </c>
      <c r="AJ800">
        <f>'TABLA PREVIOS'!E800</f>
        <v>286</v>
      </c>
      <c r="AK800">
        <f>VLOOKUP(E800,ALUMNOS!A:B,2,FALSE)</f>
        <v>142</v>
      </c>
    </row>
    <row r="801" spans="2:37" x14ac:dyDescent="0.25">
      <c r="B801" t="str">
        <f t="shared" si="24"/>
        <v>45403864LENGUA Y LITERATURA6º</v>
      </c>
      <c r="C801" t="s">
        <v>326</v>
      </c>
      <c r="D801" t="s">
        <v>128</v>
      </c>
      <c r="E801">
        <v>45403864</v>
      </c>
      <c r="F801" t="s">
        <v>348</v>
      </c>
      <c r="G801" t="s">
        <v>11</v>
      </c>
      <c r="H801" t="s">
        <v>245</v>
      </c>
      <c r="I801" t="s">
        <v>43</v>
      </c>
      <c r="J801">
        <v>2021</v>
      </c>
      <c r="K801" t="s">
        <v>60</v>
      </c>
      <c r="N801" t="s">
        <v>99</v>
      </c>
      <c r="O801">
        <v>45411</v>
      </c>
      <c r="P801" t="s">
        <v>50</v>
      </c>
      <c r="Q801">
        <v>68</v>
      </c>
      <c r="R801">
        <v>41</v>
      </c>
      <c r="AI801">
        <f t="shared" si="25"/>
        <v>1</v>
      </c>
      <c r="AJ801">
        <f>'TABLA PREVIOS'!E801</f>
        <v>279</v>
      </c>
      <c r="AK801">
        <f>VLOOKUP(E801,ALUMNOS!A:B,2,FALSE)</f>
        <v>142</v>
      </c>
    </row>
    <row r="802" spans="2:37" x14ac:dyDescent="0.25">
      <c r="B802" t="str">
        <f t="shared" si="24"/>
        <v>45403864RESPONSABILIDAD SOCIAL DE LAS ORGANIZACIONES6º</v>
      </c>
      <c r="C802" t="s">
        <v>326</v>
      </c>
      <c r="D802" t="s">
        <v>128</v>
      </c>
      <c r="E802">
        <v>45403864</v>
      </c>
      <c r="F802" t="s">
        <v>348</v>
      </c>
      <c r="G802" t="s">
        <v>39</v>
      </c>
      <c r="H802" t="s">
        <v>245</v>
      </c>
      <c r="I802" t="s">
        <v>43</v>
      </c>
      <c r="J802">
        <v>2021</v>
      </c>
      <c r="K802" t="s">
        <v>60</v>
      </c>
      <c r="N802" t="s">
        <v>99</v>
      </c>
      <c r="O802">
        <v>45411</v>
      </c>
      <c r="P802" t="s">
        <v>50</v>
      </c>
      <c r="Q802">
        <v>68</v>
      </c>
      <c r="R802">
        <v>47</v>
      </c>
      <c r="AI802">
        <f t="shared" si="25"/>
        <v>1</v>
      </c>
      <c r="AJ802">
        <f>'TABLA PREVIOS'!E802</f>
        <v>288</v>
      </c>
      <c r="AK802">
        <f>VLOOKUP(E802,ALUMNOS!A:B,2,FALSE)</f>
        <v>142</v>
      </c>
    </row>
    <row r="803" spans="2:37" x14ac:dyDescent="0.25">
      <c r="B803" t="str">
        <f t="shared" si="24"/>
        <v>45403864SISTEMAS DE INFORMACIÓN CONTABLE6º</v>
      </c>
      <c r="C803" t="s">
        <v>326</v>
      </c>
      <c r="D803" t="s">
        <v>128</v>
      </c>
      <c r="E803">
        <v>45403864</v>
      </c>
      <c r="F803" t="s">
        <v>348</v>
      </c>
      <c r="G803" t="s">
        <v>29</v>
      </c>
      <c r="H803" t="s">
        <v>245</v>
      </c>
      <c r="I803" t="s">
        <v>43</v>
      </c>
      <c r="J803">
        <v>2021</v>
      </c>
      <c r="K803" t="s">
        <v>60</v>
      </c>
      <c r="N803" t="s">
        <v>99</v>
      </c>
      <c r="O803">
        <v>45411</v>
      </c>
      <c r="P803" t="s">
        <v>50</v>
      </c>
      <c r="Q803">
        <v>68</v>
      </c>
      <c r="R803">
        <v>51</v>
      </c>
      <c r="AI803">
        <f t="shared" si="25"/>
        <v>1</v>
      </c>
      <c r="AJ803">
        <f>'TABLA PREVIOS'!E803</f>
        <v>290</v>
      </c>
      <c r="AK803">
        <f>VLOOKUP(E803,ALUMNOS!A:B,2,FALSE)</f>
        <v>142</v>
      </c>
    </row>
    <row r="804" spans="2:37" x14ac:dyDescent="0.25">
      <c r="B804" t="str">
        <f t="shared" si="24"/>
        <v>44975703CIUDADANÍA Y POLÍTICA6º</v>
      </c>
      <c r="C804" t="s">
        <v>326</v>
      </c>
      <c r="D804" t="s">
        <v>128</v>
      </c>
      <c r="E804">
        <v>44975703</v>
      </c>
      <c r="F804" t="s">
        <v>349</v>
      </c>
      <c r="G804" t="s">
        <v>37</v>
      </c>
      <c r="H804" t="s">
        <v>245</v>
      </c>
      <c r="I804" t="s">
        <v>43</v>
      </c>
      <c r="J804">
        <v>2021</v>
      </c>
      <c r="K804" t="s">
        <v>60</v>
      </c>
      <c r="N804" t="s">
        <v>99</v>
      </c>
      <c r="AI804">
        <f t="shared" si="25"/>
        <v>1</v>
      </c>
      <c r="AJ804">
        <f>'TABLA PREVIOS'!E804</f>
        <v>284</v>
      </c>
      <c r="AK804">
        <f>VLOOKUP(E804,ALUMNOS!A:B,2,FALSE)</f>
        <v>225</v>
      </c>
    </row>
    <row r="805" spans="2:37" x14ac:dyDescent="0.25">
      <c r="B805" t="str">
        <f t="shared" si="24"/>
        <v>44975703FILOSOFÍA6º</v>
      </c>
      <c r="C805" t="s">
        <v>326</v>
      </c>
      <c r="D805" t="s">
        <v>128</v>
      </c>
      <c r="E805">
        <v>44975703</v>
      </c>
      <c r="F805" t="s">
        <v>349</v>
      </c>
      <c r="G805" t="s">
        <v>41</v>
      </c>
      <c r="H805" t="s">
        <v>245</v>
      </c>
      <c r="I805" t="s">
        <v>43</v>
      </c>
      <c r="J805">
        <v>2021</v>
      </c>
      <c r="K805" t="s">
        <v>60</v>
      </c>
      <c r="N805" t="s">
        <v>99</v>
      </c>
      <c r="AI805">
        <f t="shared" si="25"/>
        <v>1</v>
      </c>
      <c r="AJ805">
        <f>'TABLA PREVIOS'!E805</f>
        <v>292</v>
      </c>
      <c r="AK805">
        <f>VLOOKUP(E805,ALUMNOS!A:B,2,FALSE)</f>
        <v>225</v>
      </c>
    </row>
    <row r="806" spans="2:37" x14ac:dyDescent="0.25">
      <c r="B806" t="str">
        <f t="shared" si="24"/>
        <v>44975703LENGUA Y LITERATURA6º</v>
      </c>
      <c r="C806" t="s">
        <v>326</v>
      </c>
      <c r="D806" t="s">
        <v>128</v>
      </c>
      <c r="E806">
        <v>44975703</v>
      </c>
      <c r="F806" t="s">
        <v>349</v>
      </c>
      <c r="G806" t="s">
        <v>11</v>
      </c>
      <c r="H806" t="s">
        <v>245</v>
      </c>
      <c r="I806" t="s">
        <v>43</v>
      </c>
      <c r="J806">
        <v>2021</v>
      </c>
      <c r="K806" t="s">
        <v>60</v>
      </c>
      <c r="N806" t="s">
        <v>99</v>
      </c>
      <c r="AI806">
        <f t="shared" si="25"/>
        <v>1</v>
      </c>
      <c r="AJ806">
        <f>'TABLA PREVIOS'!E806</f>
        <v>279</v>
      </c>
      <c r="AK806">
        <f>VLOOKUP(E806,ALUMNOS!A:B,2,FALSE)</f>
        <v>225</v>
      </c>
    </row>
    <row r="807" spans="2:37" x14ac:dyDescent="0.25">
      <c r="B807" t="str">
        <f t="shared" si="24"/>
        <v>45349587MATEMÁTICA3º</v>
      </c>
      <c r="C807" t="s">
        <v>326</v>
      </c>
      <c r="D807" t="s">
        <v>128</v>
      </c>
      <c r="E807">
        <v>45349587</v>
      </c>
      <c r="F807" t="s">
        <v>350</v>
      </c>
      <c r="G807" t="s">
        <v>12</v>
      </c>
      <c r="H807" t="s">
        <v>143</v>
      </c>
      <c r="I807" t="s">
        <v>43</v>
      </c>
      <c r="J807">
        <v>2018</v>
      </c>
      <c r="K807" t="s">
        <v>59</v>
      </c>
      <c r="N807" t="s">
        <v>99</v>
      </c>
      <c r="AI807">
        <f t="shared" si="25"/>
        <v>1</v>
      </c>
      <c r="AJ807">
        <f>'TABLA PREVIOS'!E807</f>
        <v>240</v>
      </c>
      <c r="AK807">
        <f>VLOOKUP(E807,ALUMNOS!A:B,2,FALSE)</f>
        <v>228</v>
      </c>
    </row>
    <row r="808" spans="2:37" x14ac:dyDescent="0.25">
      <c r="B808" t="str">
        <f t="shared" si="24"/>
        <v>45349587LENGUA EXTRANJERA - INGLÉS6º</v>
      </c>
      <c r="C808" t="s">
        <v>326</v>
      </c>
      <c r="D808" t="s">
        <v>128</v>
      </c>
      <c r="E808">
        <v>45349587</v>
      </c>
      <c r="F808" t="s">
        <v>350</v>
      </c>
      <c r="G808" t="s">
        <v>16</v>
      </c>
      <c r="H808" t="s">
        <v>245</v>
      </c>
      <c r="I808" t="s">
        <v>43</v>
      </c>
      <c r="J808">
        <v>2021</v>
      </c>
      <c r="K808" t="s">
        <v>60</v>
      </c>
      <c r="N808" t="s">
        <v>99</v>
      </c>
      <c r="AI808">
        <f t="shared" si="25"/>
        <v>1</v>
      </c>
      <c r="AJ808">
        <f>'TABLA PREVIOS'!E808</f>
        <v>282</v>
      </c>
      <c r="AK808">
        <f>VLOOKUP(E808,ALUMNOS!A:B,2,FALSE)</f>
        <v>228</v>
      </c>
    </row>
    <row r="809" spans="2:37" x14ac:dyDescent="0.25">
      <c r="B809" t="str">
        <f t="shared" si="24"/>
        <v>45349587MATEMÁTICA6º</v>
      </c>
      <c r="C809" t="s">
        <v>326</v>
      </c>
      <c r="D809" t="s">
        <v>128</v>
      </c>
      <c r="E809">
        <v>45349587</v>
      </c>
      <c r="F809" t="s">
        <v>350</v>
      </c>
      <c r="G809" t="s">
        <v>12</v>
      </c>
      <c r="H809" t="s">
        <v>245</v>
      </c>
      <c r="I809" t="s">
        <v>43</v>
      </c>
      <c r="J809">
        <v>2021</v>
      </c>
      <c r="K809" t="s">
        <v>60</v>
      </c>
      <c r="N809" t="s">
        <v>99</v>
      </c>
      <c r="AI809">
        <f t="shared" si="25"/>
        <v>1</v>
      </c>
      <c r="AJ809">
        <f>'TABLA PREVIOS'!E809</f>
        <v>280</v>
      </c>
      <c r="AK809">
        <f>VLOOKUP(E809,ALUMNOS!A:B,2,FALSE)</f>
        <v>228</v>
      </c>
    </row>
    <row r="810" spans="2:37" x14ac:dyDescent="0.25">
      <c r="B810" t="str">
        <f t="shared" si="24"/>
        <v>45484418MATEMÁTICA5º</v>
      </c>
      <c r="C810" t="s">
        <v>326</v>
      </c>
      <c r="D810" t="s">
        <v>128</v>
      </c>
      <c r="E810">
        <v>45484418</v>
      </c>
      <c r="F810" t="s">
        <v>351</v>
      </c>
      <c r="G810" t="s">
        <v>12</v>
      </c>
      <c r="H810" t="s">
        <v>220</v>
      </c>
      <c r="I810" t="s">
        <v>43</v>
      </c>
      <c r="J810">
        <v>2020</v>
      </c>
      <c r="K810" t="s">
        <v>60</v>
      </c>
      <c r="N810" t="s">
        <v>99</v>
      </c>
      <c r="AI810">
        <f t="shared" si="25"/>
        <v>1</v>
      </c>
      <c r="AJ810">
        <f>'TABLA PREVIOS'!E810</f>
        <v>265</v>
      </c>
      <c r="AK810">
        <f>VLOOKUP(E810,ALUMNOS!A:B,2,FALSE)</f>
        <v>703</v>
      </c>
    </row>
    <row r="811" spans="2:37" x14ac:dyDescent="0.25">
      <c r="B811" t="str">
        <f t="shared" si="24"/>
        <v>43992124LENGUA EXTRANJERA - INGLÉS3º</v>
      </c>
      <c r="C811" t="s">
        <v>326</v>
      </c>
      <c r="D811" t="s">
        <v>128</v>
      </c>
      <c r="E811">
        <v>43992124</v>
      </c>
      <c r="F811" t="s">
        <v>352</v>
      </c>
      <c r="G811" t="s">
        <v>16</v>
      </c>
      <c r="H811" t="s">
        <v>143</v>
      </c>
      <c r="I811" t="s">
        <v>43</v>
      </c>
      <c r="J811">
        <v>2018</v>
      </c>
      <c r="K811" t="s">
        <v>59</v>
      </c>
      <c r="N811" t="s">
        <v>99</v>
      </c>
      <c r="AI811">
        <f t="shared" si="25"/>
        <v>1</v>
      </c>
      <c r="AJ811">
        <f>'TABLA PREVIOS'!E811</f>
        <v>245</v>
      </c>
      <c r="AK811">
        <f>VLOOKUP(E811,ALUMNOS!A:B,2,FALSE)</f>
        <v>755</v>
      </c>
    </row>
    <row r="812" spans="2:37" x14ac:dyDescent="0.25">
      <c r="B812" t="str">
        <f t="shared" si="24"/>
        <v>43992124LENGUA EXTRANJERA - INGLÉS4º</v>
      </c>
      <c r="C812" t="s">
        <v>326</v>
      </c>
      <c r="D812" t="s">
        <v>128</v>
      </c>
      <c r="E812">
        <v>43992124</v>
      </c>
      <c r="F812" t="s">
        <v>352</v>
      </c>
      <c r="G812" t="s">
        <v>16</v>
      </c>
      <c r="H812" t="s">
        <v>190</v>
      </c>
      <c r="I812" t="s">
        <v>43</v>
      </c>
      <c r="J812">
        <v>2019</v>
      </c>
      <c r="K812" t="s">
        <v>60</v>
      </c>
      <c r="N812" t="s">
        <v>99</v>
      </c>
      <c r="AI812">
        <f t="shared" si="25"/>
        <v>1</v>
      </c>
      <c r="AJ812">
        <f>'TABLA PREVIOS'!E812</f>
        <v>256</v>
      </c>
      <c r="AK812">
        <f>VLOOKUP(E812,ALUMNOS!A:B,2,FALSE)</f>
        <v>755</v>
      </c>
    </row>
    <row r="813" spans="2:37" x14ac:dyDescent="0.25">
      <c r="B813" t="str">
        <f t="shared" si="24"/>
        <v>43992124SISTEMAS DE INFORMACIÓN CONTABLE4º</v>
      </c>
      <c r="C813" t="s">
        <v>326</v>
      </c>
      <c r="D813" t="s">
        <v>128</v>
      </c>
      <c r="E813">
        <v>43992124</v>
      </c>
      <c r="F813" t="s">
        <v>352</v>
      </c>
      <c r="G813" t="s">
        <v>29</v>
      </c>
      <c r="H813" t="s">
        <v>190</v>
      </c>
      <c r="I813" t="s">
        <v>43</v>
      </c>
      <c r="J813">
        <v>2019</v>
      </c>
      <c r="K813" t="s">
        <v>60</v>
      </c>
      <c r="N813" t="s">
        <v>99</v>
      </c>
      <c r="AI813">
        <f t="shared" si="25"/>
        <v>1</v>
      </c>
      <c r="AJ813">
        <f>'TABLA PREVIOS'!E813</f>
        <v>259</v>
      </c>
      <c r="AK813">
        <f>VLOOKUP(E813,ALUMNOS!A:B,2,FALSE)</f>
        <v>755</v>
      </c>
    </row>
    <row r="814" spans="2:37" x14ac:dyDescent="0.25">
      <c r="B814" t="str">
        <f t="shared" si="24"/>
        <v>43992124ADMINISTRACIÓN6º</v>
      </c>
      <c r="C814" t="s">
        <v>326</v>
      </c>
      <c r="D814" t="s">
        <v>128</v>
      </c>
      <c r="E814">
        <v>43992124</v>
      </c>
      <c r="F814" t="s">
        <v>352</v>
      </c>
      <c r="G814" t="s">
        <v>30</v>
      </c>
      <c r="H814" t="s">
        <v>245</v>
      </c>
      <c r="I814" t="s">
        <v>43</v>
      </c>
      <c r="J814">
        <v>2019</v>
      </c>
      <c r="K814" t="s">
        <v>60</v>
      </c>
      <c r="N814" t="s">
        <v>99</v>
      </c>
      <c r="AI814">
        <f t="shared" si="25"/>
        <v>1</v>
      </c>
      <c r="AJ814">
        <f>'TABLA PREVIOS'!E814</f>
        <v>285</v>
      </c>
      <c r="AK814">
        <f>VLOOKUP(E814,ALUMNOS!A:B,2,FALSE)</f>
        <v>755</v>
      </c>
    </row>
    <row r="815" spans="2:37" x14ac:dyDescent="0.25">
      <c r="B815" t="str">
        <f t="shared" si="24"/>
        <v>43992124ADMINISTRACIÓN FINANCIERA6º</v>
      </c>
      <c r="C815" t="s">
        <v>326</v>
      </c>
      <c r="D815" t="s">
        <v>128</v>
      </c>
      <c r="E815">
        <v>43992124</v>
      </c>
      <c r="F815" t="s">
        <v>352</v>
      </c>
      <c r="G815" t="s">
        <v>40</v>
      </c>
      <c r="H815" t="s">
        <v>245</v>
      </c>
      <c r="I815" t="s">
        <v>43</v>
      </c>
      <c r="J815">
        <v>2019</v>
      </c>
      <c r="K815" t="s">
        <v>60</v>
      </c>
      <c r="N815" t="s">
        <v>99</v>
      </c>
      <c r="AI815">
        <f t="shared" si="25"/>
        <v>1</v>
      </c>
      <c r="AJ815">
        <f>'TABLA PREVIOS'!E815</f>
        <v>289</v>
      </c>
      <c r="AK815">
        <f>VLOOKUP(E815,ALUMNOS!A:B,2,FALSE)</f>
        <v>755</v>
      </c>
    </row>
    <row r="816" spans="2:37" x14ac:dyDescent="0.25">
      <c r="B816" t="str">
        <f t="shared" si="24"/>
        <v>43992124CIUDADANÍA Y POLÍTICA6º</v>
      </c>
      <c r="C816" t="s">
        <v>326</v>
      </c>
      <c r="D816" t="s">
        <v>128</v>
      </c>
      <c r="E816">
        <v>43992124</v>
      </c>
      <c r="F816" t="s">
        <v>352</v>
      </c>
      <c r="G816" t="s">
        <v>37</v>
      </c>
      <c r="H816" t="s">
        <v>245</v>
      </c>
      <c r="I816" t="s">
        <v>43</v>
      </c>
      <c r="J816">
        <v>2019</v>
      </c>
      <c r="K816" t="s">
        <v>60</v>
      </c>
      <c r="N816" t="s">
        <v>99</v>
      </c>
      <c r="AI816">
        <f t="shared" si="25"/>
        <v>1</v>
      </c>
      <c r="AJ816">
        <f>'TABLA PREVIOS'!E816</f>
        <v>284</v>
      </c>
      <c r="AK816">
        <f>VLOOKUP(E816,ALUMNOS!A:B,2,FALSE)</f>
        <v>755</v>
      </c>
    </row>
    <row r="817" spans="2:37" x14ac:dyDescent="0.25">
      <c r="B817" t="str">
        <f t="shared" si="24"/>
        <v>43992124DERECHO6º</v>
      </c>
      <c r="C817" t="s">
        <v>326</v>
      </c>
      <c r="D817" t="s">
        <v>128</v>
      </c>
      <c r="E817">
        <v>43992124</v>
      </c>
      <c r="F817" t="s">
        <v>352</v>
      </c>
      <c r="G817" t="s">
        <v>38</v>
      </c>
      <c r="H817" t="s">
        <v>245</v>
      </c>
      <c r="I817" t="s">
        <v>43</v>
      </c>
      <c r="J817">
        <v>2019</v>
      </c>
      <c r="K817" t="s">
        <v>60</v>
      </c>
      <c r="N817" t="s">
        <v>99</v>
      </c>
      <c r="AI817">
        <f t="shared" si="25"/>
        <v>1</v>
      </c>
      <c r="AJ817">
        <f>'TABLA PREVIOS'!E817</f>
        <v>287</v>
      </c>
      <c r="AK817">
        <f>VLOOKUP(E817,ALUMNOS!A:B,2,FALSE)</f>
        <v>755</v>
      </c>
    </row>
    <row r="818" spans="2:37" x14ac:dyDescent="0.25">
      <c r="B818" t="str">
        <f t="shared" si="24"/>
        <v>43992124ECONOMÍA6º</v>
      </c>
      <c r="C818" t="s">
        <v>326</v>
      </c>
      <c r="D818" t="s">
        <v>128</v>
      </c>
      <c r="E818">
        <v>43992124</v>
      </c>
      <c r="F818" t="s">
        <v>352</v>
      </c>
      <c r="G818" t="s">
        <v>34</v>
      </c>
      <c r="H818" t="s">
        <v>245</v>
      </c>
      <c r="I818" t="s">
        <v>43</v>
      </c>
      <c r="J818">
        <v>2019</v>
      </c>
      <c r="K818" t="s">
        <v>60</v>
      </c>
      <c r="N818" t="s">
        <v>99</v>
      </c>
      <c r="AI818">
        <f t="shared" si="25"/>
        <v>1</v>
      </c>
      <c r="AJ818">
        <f>'TABLA PREVIOS'!E818</f>
        <v>286</v>
      </c>
      <c r="AK818">
        <f>VLOOKUP(E818,ALUMNOS!A:B,2,FALSE)</f>
        <v>755</v>
      </c>
    </row>
    <row r="819" spans="2:37" x14ac:dyDescent="0.25">
      <c r="B819" t="str">
        <f t="shared" si="24"/>
        <v>43992124FILOSOFÍA6º</v>
      </c>
      <c r="C819" t="s">
        <v>326</v>
      </c>
      <c r="D819" t="s">
        <v>128</v>
      </c>
      <c r="E819">
        <v>43992124</v>
      </c>
      <c r="F819" t="s">
        <v>352</v>
      </c>
      <c r="G819" t="s">
        <v>41</v>
      </c>
      <c r="H819" t="s">
        <v>245</v>
      </c>
      <c r="I819" t="s">
        <v>43</v>
      </c>
      <c r="J819">
        <v>2019</v>
      </c>
      <c r="K819" t="s">
        <v>60</v>
      </c>
      <c r="N819" t="s">
        <v>99</v>
      </c>
      <c r="AI819">
        <f t="shared" si="25"/>
        <v>1</v>
      </c>
      <c r="AJ819">
        <f>'TABLA PREVIOS'!E819</f>
        <v>292</v>
      </c>
      <c r="AK819">
        <f>VLOOKUP(E819,ALUMNOS!A:B,2,FALSE)</f>
        <v>755</v>
      </c>
    </row>
    <row r="820" spans="2:37" x14ac:dyDescent="0.25">
      <c r="B820" t="str">
        <f t="shared" si="24"/>
        <v>43992124LENGUA EXTRANJERA - INGLÉS6º</v>
      </c>
      <c r="C820" t="s">
        <v>326</v>
      </c>
      <c r="D820" t="s">
        <v>128</v>
      </c>
      <c r="E820">
        <v>43992124</v>
      </c>
      <c r="F820" t="s">
        <v>352</v>
      </c>
      <c r="G820" t="s">
        <v>16</v>
      </c>
      <c r="H820" t="s">
        <v>245</v>
      </c>
      <c r="I820" t="s">
        <v>43</v>
      </c>
      <c r="J820">
        <v>2019</v>
      </c>
      <c r="K820" t="s">
        <v>60</v>
      </c>
      <c r="N820" t="s">
        <v>99</v>
      </c>
      <c r="AI820">
        <f t="shared" si="25"/>
        <v>1</v>
      </c>
      <c r="AJ820">
        <f>'TABLA PREVIOS'!E820</f>
        <v>282</v>
      </c>
      <c r="AK820">
        <f>VLOOKUP(E820,ALUMNOS!A:B,2,FALSE)</f>
        <v>755</v>
      </c>
    </row>
    <row r="821" spans="2:37" x14ac:dyDescent="0.25">
      <c r="B821" t="str">
        <f t="shared" si="24"/>
        <v>43992124MATEMÁTICA6º</v>
      </c>
      <c r="C821" t="s">
        <v>326</v>
      </c>
      <c r="D821" t="s">
        <v>128</v>
      </c>
      <c r="E821">
        <v>43992124</v>
      </c>
      <c r="F821" t="s">
        <v>352</v>
      </c>
      <c r="G821" t="s">
        <v>12</v>
      </c>
      <c r="H821" t="s">
        <v>245</v>
      </c>
      <c r="I821" t="s">
        <v>43</v>
      </c>
      <c r="J821">
        <v>2019</v>
      </c>
      <c r="K821" t="s">
        <v>60</v>
      </c>
      <c r="N821" t="s">
        <v>99</v>
      </c>
      <c r="AI821">
        <f t="shared" si="25"/>
        <v>1</v>
      </c>
      <c r="AJ821">
        <f>'TABLA PREVIOS'!E821</f>
        <v>280</v>
      </c>
      <c r="AK821">
        <f>VLOOKUP(E821,ALUMNOS!A:B,2,FALSE)</f>
        <v>755</v>
      </c>
    </row>
    <row r="822" spans="2:37" x14ac:dyDescent="0.25">
      <c r="B822" t="str">
        <f t="shared" si="24"/>
        <v>43992124RESPONSABILIDAD SOCIAL DE LAS ORGANIZACIONES6º</v>
      </c>
      <c r="C822" t="s">
        <v>326</v>
      </c>
      <c r="D822" t="s">
        <v>128</v>
      </c>
      <c r="E822">
        <v>43992124</v>
      </c>
      <c r="F822" t="s">
        <v>352</v>
      </c>
      <c r="G822" t="s">
        <v>39</v>
      </c>
      <c r="H822" t="s">
        <v>245</v>
      </c>
      <c r="I822" t="s">
        <v>43</v>
      </c>
      <c r="J822">
        <v>2019</v>
      </c>
      <c r="K822" t="s">
        <v>60</v>
      </c>
      <c r="N822" t="s">
        <v>99</v>
      </c>
      <c r="AI822">
        <f t="shared" si="25"/>
        <v>1</v>
      </c>
      <c r="AJ822">
        <f>'TABLA PREVIOS'!E822</f>
        <v>288</v>
      </c>
      <c r="AK822">
        <f>VLOOKUP(E822,ALUMNOS!A:B,2,FALSE)</f>
        <v>755</v>
      </c>
    </row>
    <row r="823" spans="2:37" x14ac:dyDescent="0.25">
      <c r="B823" t="str">
        <f t="shared" si="24"/>
        <v>43992124SISTEMAS DE INFORMACIÓN CONTABLE6º</v>
      </c>
      <c r="C823" t="s">
        <v>326</v>
      </c>
      <c r="D823" t="s">
        <v>128</v>
      </c>
      <c r="E823">
        <v>43992124</v>
      </c>
      <c r="F823" t="s">
        <v>352</v>
      </c>
      <c r="G823" t="s">
        <v>29</v>
      </c>
      <c r="H823" t="s">
        <v>245</v>
      </c>
      <c r="I823" t="s">
        <v>43</v>
      </c>
      <c r="J823">
        <v>2019</v>
      </c>
      <c r="K823" t="s">
        <v>60</v>
      </c>
      <c r="N823" t="s">
        <v>99</v>
      </c>
      <c r="AI823">
        <f t="shared" si="25"/>
        <v>1</v>
      </c>
      <c r="AJ823">
        <f>'TABLA PREVIOS'!E823</f>
        <v>290</v>
      </c>
      <c r="AK823">
        <f>VLOOKUP(E823,ALUMNOS!A:B,2,FALSE)</f>
        <v>755</v>
      </c>
    </row>
    <row r="824" spans="2:37" x14ac:dyDescent="0.25">
      <c r="B824" t="str">
        <f t="shared" si="24"/>
        <v>46037365ECONOMÍA6º</v>
      </c>
      <c r="C824" t="s">
        <v>353</v>
      </c>
      <c r="E824">
        <v>46037365</v>
      </c>
      <c r="F824" t="s">
        <v>354</v>
      </c>
      <c r="G824" t="s">
        <v>34</v>
      </c>
      <c r="H824" t="s">
        <v>245</v>
      </c>
      <c r="I824" t="s">
        <v>43</v>
      </c>
      <c r="J824">
        <v>2022</v>
      </c>
      <c r="K824" t="s">
        <v>60</v>
      </c>
      <c r="N824" t="s">
        <v>99</v>
      </c>
      <c r="AI824">
        <f t="shared" si="25"/>
        <v>1</v>
      </c>
      <c r="AJ824">
        <f>'TABLA PREVIOS'!E824</f>
        <v>286</v>
      </c>
      <c r="AK824">
        <f>VLOOKUP(E824,ALUMNOS!A:B,2,FALSE)</f>
        <v>37</v>
      </c>
    </row>
    <row r="825" spans="2:37" x14ac:dyDescent="0.25">
      <c r="B825" t="str">
        <f t="shared" si="24"/>
        <v>46037365FILOSOFÍA6º</v>
      </c>
      <c r="C825" t="s">
        <v>353</v>
      </c>
      <c r="E825">
        <v>46037365</v>
      </c>
      <c r="F825" t="s">
        <v>354</v>
      </c>
      <c r="G825" t="s">
        <v>41</v>
      </c>
      <c r="H825" t="s">
        <v>245</v>
      </c>
      <c r="I825" t="s">
        <v>43</v>
      </c>
      <c r="J825">
        <v>2022</v>
      </c>
      <c r="K825" t="s">
        <v>60</v>
      </c>
      <c r="N825" t="s">
        <v>99</v>
      </c>
      <c r="AI825">
        <f t="shared" si="25"/>
        <v>1</v>
      </c>
      <c r="AJ825">
        <f>'TABLA PREVIOS'!E825</f>
        <v>292</v>
      </c>
      <c r="AK825">
        <f>VLOOKUP(E825,ALUMNOS!A:B,2,FALSE)</f>
        <v>37</v>
      </c>
    </row>
    <row r="826" spans="2:37" x14ac:dyDescent="0.25">
      <c r="B826" t="str">
        <f t="shared" si="24"/>
        <v>46037365RESPONSABILIDAD SOCIAL DE LAS ORGANIZACIONES6º</v>
      </c>
      <c r="C826" t="s">
        <v>353</v>
      </c>
      <c r="E826">
        <v>46037365</v>
      </c>
      <c r="F826" t="s">
        <v>354</v>
      </c>
      <c r="G826" t="s">
        <v>39</v>
      </c>
      <c r="H826" t="s">
        <v>245</v>
      </c>
      <c r="I826" t="s">
        <v>43</v>
      </c>
      <c r="J826">
        <v>2022</v>
      </c>
      <c r="K826" t="s">
        <v>60</v>
      </c>
      <c r="N826" t="s">
        <v>99</v>
      </c>
      <c r="AI826">
        <f t="shared" si="25"/>
        <v>1</v>
      </c>
      <c r="AJ826">
        <f>'TABLA PREVIOS'!E826</f>
        <v>288</v>
      </c>
      <c r="AK826">
        <f>VLOOKUP(E826,ALUMNOS!A:B,2,FALSE)</f>
        <v>37</v>
      </c>
    </row>
    <row r="827" spans="2:37" x14ac:dyDescent="0.25">
      <c r="B827" t="str">
        <f t="shared" si="24"/>
        <v>46037365SISTEMAS DE INFORMACIÓN CONTABLE6º</v>
      </c>
      <c r="C827" t="s">
        <v>353</v>
      </c>
      <c r="E827">
        <v>46037365</v>
      </c>
      <c r="F827" t="s">
        <v>354</v>
      </c>
      <c r="G827" t="s">
        <v>29</v>
      </c>
      <c r="H827" t="s">
        <v>245</v>
      </c>
      <c r="I827" t="s">
        <v>43</v>
      </c>
      <c r="J827">
        <v>2022</v>
      </c>
      <c r="K827" t="s">
        <v>60</v>
      </c>
      <c r="N827" t="s">
        <v>99</v>
      </c>
      <c r="AI827">
        <f t="shared" si="25"/>
        <v>1</v>
      </c>
      <c r="AJ827">
        <f>'TABLA PREVIOS'!E827</f>
        <v>290</v>
      </c>
      <c r="AK827">
        <f>VLOOKUP(E827,ALUMNOS!A:B,2,FALSE)</f>
        <v>37</v>
      </c>
    </row>
    <row r="828" spans="2:37" x14ac:dyDescent="0.25">
      <c r="B828" t="str">
        <f t="shared" si="24"/>
        <v>45698136LENGUA Y LITERATURA2º</v>
      </c>
      <c r="C828" t="s">
        <v>353</v>
      </c>
      <c r="E828">
        <v>45698136</v>
      </c>
      <c r="F828" t="s">
        <v>355</v>
      </c>
      <c r="G828" t="s">
        <v>11</v>
      </c>
      <c r="H828" t="s">
        <v>95</v>
      </c>
      <c r="I828" t="s">
        <v>43</v>
      </c>
      <c r="J828">
        <v>2018</v>
      </c>
      <c r="K828" t="s">
        <v>59</v>
      </c>
      <c r="N828" t="s">
        <v>99</v>
      </c>
      <c r="AI828">
        <f t="shared" si="25"/>
        <v>1</v>
      </c>
      <c r="AJ828">
        <f>'TABLA PREVIOS'!E828</f>
        <v>229</v>
      </c>
      <c r="AK828">
        <f>VLOOKUP(E828,ALUMNOS!A:B,2,FALSE)</f>
        <v>82</v>
      </c>
    </row>
    <row r="829" spans="2:37" x14ac:dyDescent="0.25">
      <c r="B829" t="str">
        <f t="shared" si="24"/>
        <v>45698136ADMINISTRACIÓN5º</v>
      </c>
      <c r="C829" t="s">
        <v>353</v>
      </c>
      <c r="E829">
        <v>45698136</v>
      </c>
      <c r="F829" t="s">
        <v>355</v>
      </c>
      <c r="G829" t="s">
        <v>30</v>
      </c>
      <c r="H829" t="s">
        <v>220</v>
      </c>
      <c r="I829" t="s">
        <v>43</v>
      </c>
      <c r="J829">
        <v>2021</v>
      </c>
      <c r="K829" t="s">
        <v>60</v>
      </c>
      <c r="M829" t="s">
        <v>356</v>
      </c>
      <c r="N829" t="s">
        <v>99</v>
      </c>
      <c r="AI829">
        <f t="shared" si="25"/>
        <v>1</v>
      </c>
      <c r="AJ829">
        <f>'TABLA PREVIOS'!E829</f>
        <v>274</v>
      </c>
      <c r="AK829">
        <f>VLOOKUP(E829,ALUMNOS!A:B,2,FALSE)</f>
        <v>82</v>
      </c>
    </row>
    <row r="830" spans="2:37" x14ac:dyDescent="0.25">
      <c r="B830" t="str">
        <f t="shared" si="24"/>
        <v>45698136ADMINISTRACIÓN DE LA PRODUCCIÓN Y COMERCIALIZACIÓN5º</v>
      </c>
      <c r="C830" t="s">
        <v>353</v>
      </c>
      <c r="E830">
        <v>45698136</v>
      </c>
      <c r="F830" t="s">
        <v>355</v>
      </c>
      <c r="G830" t="s">
        <v>32</v>
      </c>
      <c r="H830" t="s">
        <v>220</v>
      </c>
      <c r="I830" t="s">
        <v>43</v>
      </c>
      <c r="J830">
        <v>2021</v>
      </c>
      <c r="K830" t="s">
        <v>60</v>
      </c>
      <c r="M830" t="s">
        <v>356</v>
      </c>
      <c r="N830" t="s">
        <v>99</v>
      </c>
      <c r="AI830">
        <f t="shared" si="25"/>
        <v>1</v>
      </c>
      <c r="AJ830">
        <f>'TABLA PREVIOS'!E830</f>
        <v>277</v>
      </c>
      <c r="AK830">
        <f>VLOOKUP(E830,ALUMNOS!A:B,2,FALSE)</f>
        <v>82</v>
      </c>
    </row>
    <row r="831" spans="2:37" x14ac:dyDescent="0.25">
      <c r="B831" t="str">
        <f t="shared" si="24"/>
        <v>45698136ADMINISTRACIÓN DE RECURSOS HUMANOS5º</v>
      </c>
      <c r="C831" t="s">
        <v>353</v>
      </c>
      <c r="E831">
        <v>45698136</v>
      </c>
      <c r="F831" t="s">
        <v>355</v>
      </c>
      <c r="G831" t="s">
        <v>35</v>
      </c>
      <c r="H831" t="s">
        <v>220</v>
      </c>
      <c r="I831" t="s">
        <v>43</v>
      </c>
      <c r="J831">
        <v>2021</v>
      </c>
      <c r="K831" t="s">
        <v>60</v>
      </c>
      <c r="M831" t="s">
        <v>356</v>
      </c>
      <c r="N831" t="s">
        <v>99</v>
      </c>
      <c r="AI831">
        <f t="shared" si="25"/>
        <v>1</v>
      </c>
      <c r="AJ831">
        <f>'TABLA PREVIOS'!E831</f>
        <v>276</v>
      </c>
      <c r="AK831">
        <f>VLOOKUP(E831,ALUMNOS!A:B,2,FALSE)</f>
        <v>82</v>
      </c>
    </row>
    <row r="832" spans="2:37" x14ac:dyDescent="0.25">
      <c r="B832" t="str">
        <f t="shared" si="24"/>
        <v>45698136ECONOMÍA5º</v>
      </c>
      <c r="C832" t="s">
        <v>353</v>
      </c>
      <c r="E832">
        <v>45698136</v>
      </c>
      <c r="F832" t="s">
        <v>355</v>
      </c>
      <c r="G832" t="s">
        <v>34</v>
      </c>
      <c r="H832" t="s">
        <v>220</v>
      </c>
      <c r="I832" t="s">
        <v>43</v>
      </c>
      <c r="J832">
        <v>2021</v>
      </c>
      <c r="K832" t="s">
        <v>60</v>
      </c>
      <c r="M832" t="s">
        <v>356</v>
      </c>
      <c r="N832" t="s">
        <v>99</v>
      </c>
      <c r="AI832">
        <f t="shared" si="25"/>
        <v>1</v>
      </c>
      <c r="AJ832">
        <f>'TABLA PREVIOS'!E832</f>
        <v>275</v>
      </c>
      <c r="AK832">
        <f>VLOOKUP(E832,ALUMNOS!A:B,2,FALSE)</f>
        <v>82</v>
      </c>
    </row>
    <row r="833" spans="2:37" x14ac:dyDescent="0.25">
      <c r="B833" t="str">
        <f t="shared" si="24"/>
        <v>45698136LENGUA Y LITERATURA5º</v>
      </c>
      <c r="C833" t="s">
        <v>353</v>
      </c>
      <c r="E833">
        <v>45698136</v>
      </c>
      <c r="F833" t="s">
        <v>355</v>
      </c>
      <c r="G833" t="s">
        <v>11</v>
      </c>
      <c r="H833" t="s">
        <v>220</v>
      </c>
      <c r="I833" t="s">
        <v>43</v>
      </c>
      <c r="J833">
        <v>2021</v>
      </c>
      <c r="K833" t="s">
        <v>60</v>
      </c>
      <c r="N833" t="s">
        <v>99</v>
      </c>
      <c r="AI833">
        <f t="shared" si="25"/>
        <v>1</v>
      </c>
      <c r="AJ833">
        <f>'TABLA PREVIOS'!E833</f>
        <v>264</v>
      </c>
      <c r="AK833">
        <f>VLOOKUP(E833,ALUMNOS!A:B,2,FALSE)</f>
        <v>82</v>
      </c>
    </row>
    <row r="834" spans="2:37" x14ac:dyDescent="0.25">
      <c r="B834" t="str">
        <f t="shared" si="24"/>
        <v>45698136SISTEMAS DE INFORMACIÓN CONTABLE5º</v>
      </c>
      <c r="C834" t="s">
        <v>353</v>
      </c>
      <c r="E834">
        <v>45698136</v>
      </c>
      <c r="F834" t="s">
        <v>355</v>
      </c>
      <c r="G834" t="s">
        <v>29</v>
      </c>
      <c r="H834" t="s">
        <v>220</v>
      </c>
      <c r="I834" t="s">
        <v>43</v>
      </c>
      <c r="J834">
        <v>2021</v>
      </c>
      <c r="K834" t="s">
        <v>60</v>
      </c>
      <c r="M834" t="s">
        <v>356</v>
      </c>
      <c r="N834" t="s">
        <v>99</v>
      </c>
      <c r="AI834">
        <f t="shared" si="25"/>
        <v>1</v>
      </c>
      <c r="AJ834">
        <f>'TABLA PREVIOS'!E834</f>
        <v>273</v>
      </c>
      <c r="AK834">
        <f>VLOOKUP(E834,ALUMNOS!A:B,2,FALSE)</f>
        <v>82</v>
      </c>
    </row>
    <row r="835" spans="2:37" x14ac:dyDescent="0.25">
      <c r="B835" t="str">
        <f t="shared" ref="B835:B898" si="26">E835&amp;G835&amp;H835</f>
        <v>45698136DERECHO6º</v>
      </c>
      <c r="C835" t="s">
        <v>353</v>
      </c>
      <c r="E835">
        <v>45698136</v>
      </c>
      <c r="F835" t="s">
        <v>355</v>
      </c>
      <c r="G835" t="s">
        <v>38</v>
      </c>
      <c r="H835" t="s">
        <v>245</v>
      </c>
      <c r="I835" t="s">
        <v>43</v>
      </c>
      <c r="J835">
        <v>2022</v>
      </c>
      <c r="K835" t="s">
        <v>60</v>
      </c>
      <c r="N835" t="s">
        <v>99</v>
      </c>
      <c r="AI835">
        <f t="shared" ref="AI835:AI898" si="27">IF(VALUE(MAX(P835,T835,X835,AB835,AE835,))&gt;=7,VALUE(MAX(P835,T835,X835,AB835,AE835,)),1)</f>
        <v>1</v>
      </c>
      <c r="AJ835">
        <f>'TABLA PREVIOS'!E835</f>
        <v>287</v>
      </c>
      <c r="AK835">
        <f>VLOOKUP(E835,ALUMNOS!A:B,2,FALSE)</f>
        <v>82</v>
      </c>
    </row>
    <row r="836" spans="2:37" x14ac:dyDescent="0.25">
      <c r="B836" t="str">
        <f t="shared" si="26"/>
        <v>45698136ECONOMÍA6º</v>
      </c>
      <c r="C836" t="s">
        <v>353</v>
      </c>
      <c r="E836">
        <v>45698136</v>
      </c>
      <c r="F836" t="s">
        <v>355</v>
      </c>
      <c r="G836" t="s">
        <v>34</v>
      </c>
      <c r="H836" t="s">
        <v>245</v>
      </c>
      <c r="I836" t="s">
        <v>43</v>
      </c>
      <c r="J836">
        <v>2022</v>
      </c>
      <c r="K836" t="s">
        <v>60</v>
      </c>
      <c r="N836" t="s">
        <v>99</v>
      </c>
      <c r="AI836">
        <f t="shared" si="27"/>
        <v>1</v>
      </c>
      <c r="AJ836">
        <f>'TABLA PREVIOS'!E836</f>
        <v>286</v>
      </c>
      <c r="AK836">
        <f>VLOOKUP(E836,ALUMNOS!A:B,2,FALSE)</f>
        <v>82</v>
      </c>
    </row>
    <row r="837" spans="2:37" x14ac:dyDescent="0.25">
      <c r="B837" t="str">
        <f t="shared" si="26"/>
        <v>45698136EDUCACIÓN FÍSICA6º</v>
      </c>
      <c r="C837" t="s">
        <v>353</v>
      </c>
      <c r="E837">
        <v>45698136</v>
      </c>
      <c r="F837" t="s">
        <v>355</v>
      </c>
      <c r="G837" t="s">
        <v>10</v>
      </c>
      <c r="H837" t="s">
        <v>245</v>
      </c>
      <c r="I837" t="s">
        <v>43</v>
      </c>
      <c r="J837">
        <v>2022</v>
      </c>
      <c r="K837" t="s">
        <v>60</v>
      </c>
      <c r="N837" t="s">
        <v>99</v>
      </c>
      <c r="AI837">
        <f t="shared" si="27"/>
        <v>1</v>
      </c>
      <c r="AJ837">
        <f>'TABLA PREVIOS'!E837</f>
        <v>278</v>
      </c>
      <c r="AK837">
        <f>VLOOKUP(E837,ALUMNOS!A:B,2,FALSE)</f>
        <v>82</v>
      </c>
    </row>
    <row r="838" spans="2:37" x14ac:dyDescent="0.25">
      <c r="B838" t="str">
        <f t="shared" si="26"/>
        <v>45698136FILOSOFÍA6º</v>
      </c>
      <c r="C838" t="s">
        <v>353</v>
      </c>
      <c r="E838">
        <v>45698136</v>
      </c>
      <c r="F838" t="s">
        <v>355</v>
      </c>
      <c r="G838" t="s">
        <v>41</v>
      </c>
      <c r="H838" t="s">
        <v>245</v>
      </c>
      <c r="I838" t="s">
        <v>43</v>
      </c>
      <c r="J838">
        <v>2022</v>
      </c>
      <c r="K838" t="s">
        <v>60</v>
      </c>
      <c r="N838" t="s">
        <v>99</v>
      </c>
      <c r="AI838">
        <f t="shared" si="27"/>
        <v>1</v>
      </c>
      <c r="AJ838">
        <f>'TABLA PREVIOS'!E838</f>
        <v>292</v>
      </c>
      <c r="AK838">
        <f>VLOOKUP(E838,ALUMNOS!A:B,2,FALSE)</f>
        <v>82</v>
      </c>
    </row>
    <row r="839" spans="2:37" x14ac:dyDescent="0.25">
      <c r="B839" t="str">
        <f t="shared" si="26"/>
        <v>45698136FORMACIÓN PARA LA VIDA Y EL TRABAJO6º</v>
      </c>
      <c r="C839" t="s">
        <v>353</v>
      </c>
      <c r="E839">
        <v>45698136</v>
      </c>
      <c r="F839" t="s">
        <v>355</v>
      </c>
      <c r="G839" t="s">
        <v>28</v>
      </c>
      <c r="H839" t="s">
        <v>245</v>
      </c>
      <c r="I839" t="s">
        <v>43</v>
      </c>
      <c r="J839">
        <v>2022</v>
      </c>
      <c r="K839" t="s">
        <v>60</v>
      </c>
      <c r="N839" t="s">
        <v>99</v>
      </c>
      <c r="AI839">
        <f t="shared" si="27"/>
        <v>1</v>
      </c>
      <c r="AJ839">
        <f>'TABLA PREVIOS'!E839</f>
        <v>291</v>
      </c>
      <c r="AK839">
        <f>VLOOKUP(E839,ALUMNOS!A:B,2,FALSE)</f>
        <v>82</v>
      </c>
    </row>
    <row r="840" spans="2:37" x14ac:dyDescent="0.25">
      <c r="B840" t="str">
        <f t="shared" si="26"/>
        <v>45698136LENGUA EXTRANJERA - INGLÉS6º</v>
      </c>
      <c r="C840" t="s">
        <v>353</v>
      </c>
      <c r="E840">
        <v>45698136</v>
      </c>
      <c r="F840" t="s">
        <v>355</v>
      </c>
      <c r="G840" t="s">
        <v>16</v>
      </c>
      <c r="H840" t="s">
        <v>245</v>
      </c>
      <c r="I840" t="s">
        <v>43</v>
      </c>
      <c r="J840">
        <v>2022</v>
      </c>
      <c r="K840" t="s">
        <v>60</v>
      </c>
      <c r="N840" t="s">
        <v>99</v>
      </c>
      <c r="AI840">
        <f t="shared" si="27"/>
        <v>1</v>
      </c>
      <c r="AJ840">
        <f>'TABLA PREVIOS'!E840</f>
        <v>282</v>
      </c>
      <c r="AK840">
        <f>VLOOKUP(E840,ALUMNOS!A:B,2,FALSE)</f>
        <v>82</v>
      </c>
    </row>
    <row r="841" spans="2:37" x14ac:dyDescent="0.25">
      <c r="B841" t="str">
        <f t="shared" si="26"/>
        <v>45698136MATEMÁTICA6º</v>
      </c>
      <c r="C841" t="s">
        <v>353</v>
      </c>
      <c r="E841">
        <v>45698136</v>
      </c>
      <c r="F841" t="s">
        <v>355</v>
      </c>
      <c r="G841" t="s">
        <v>12</v>
      </c>
      <c r="H841" t="s">
        <v>245</v>
      </c>
      <c r="I841" t="s">
        <v>43</v>
      </c>
      <c r="J841">
        <v>2022</v>
      </c>
      <c r="K841" t="s">
        <v>60</v>
      </c>
      <c r="N841" t="s">
        <v>99</v>
      </c>
      <c r="AI841">
        <f t="shared" si="27"/>
        <v>1</v>
      </c>
      <c r="AJ841">
        <f>'TABLA PREVIOS'!E841</f>
        <v>280</v>
      </c>
      <c r="AK841">
        <f>VLOOKUP(E841,ALUMNOS!A:B,2,FALSE)</f>
        <v>82</v>
      </c>
    </row>
    <row r="842" spans="2:37" x14ac:dyDescent="0.25">
      <c r="B842" t="str">
        <f t="shared" si="26"/>
        <v>45698136RESPONSABILIDAD SOCIAL DE LAS ORGANIZACIONES6º</v>
      </c>
      <c r="C842" t="s">
        <v>353</v>
      </c>
      <c r="E842">
        <v>45698136</v>
      </c>
      <c r="F842" t="s">
        <v>355</v>
      </c>
      <c r="G842" t="s">
        <v>39</v>
      </c>
      <c r="H842" t="s">
        <v>245</v>
      </c>
      <c r="I842" t="s">
        <v>43</v>
      </c>
      <c r="J842">
        <v>2022</v>
      </c>
      <c r="K842" t="s">
        <v>60</v>
      </c>
      <c r="N842" t="s">
        <v>99</v>
      </c>
      <c r="AI842">
        <f t="shared" si="27"/>
        <v>1</v>
      </c>
      <c r="AJ842">
        <f>'TABLA PREVIOS'!E842</f>
        <v>288</v>
      </c>
      <c r="AK842">
        <f>VLOOKUP(E842,ALUMNOS!A:B,2,FALSE)</f>
        <v>82</v>
      </c>
    </row>
    <row r="843" spans="2:37" x14ac:dyDescent="0.25">
      <c r="B843" t="str">
        <f t="shared" si="26"/>
        <v>45698136SISTEMAS DE INFORMACIÓN CONTABLE6º</v>
      </c>
      <c r="C843" t="s">
        <v>353</v>
      </c>
      <c r="E843">
        <v>45698136</v>
      </c>
      <c r="F843" t="s">
        <v>355</v>
      </c>
      <c r="G843" t="s">
        <v>29</v>
      </c>
      <c r="H843" t="s">
        <v>245</v>
      </c>
      <c r="I843" t="s">
        <v>43</v>
      </c>
      <c r="J843">
        <v>2022</v>
      </c>
      <c r="K843" t="s">
        <v>60</v>
      </c>
      <c r="N843" t="s">
        <v>99</v>
      </c>
      <c r="AI843">
        <f t="shared" si="27"/>
        <v>1</v>
      </c>
      <c r="AJ843">
        <f>'TABLA PREVIOS'!E843</f>
        <v>290</v>
      </c>
      <c r="AK843">
        <f>VLOOKUP(E843,ALUMNOS!A:B,2,FALSE)</f>
        <v>82</v>
      </c>
    </row>
    <row r="844" spans="2:37" x14ac:dyDescent="0.25">
      <c r="B844" t="str">
        <f t="shared" si="26"/>
        <v>46035103GEOGRAFÍA3º</v>
      </c>
      <c r="C844" t="s">
        <v>353</v>
      </c>
      <c r="E844">
        <v>46035103</v>
      </c>
      <c r="F844" t="s">
        <v>357</v>
      </c>
      <c r="G844" t="s">
        <v>26</v>
      </c>
      <c r="H844" t="s">
        <v>143</v>
      </c>
      <c r="I844" t="s">
        <v>43</v>
      </c>
      <c r="J844">
        <v>2019</v>
      </c>
      <c r="K844" t="s">
        <v>59</v>
      </c>
      <c r="M844" t="s">
        <v>358</v>
      </c>
      <c r="N844" t="s">
        <v>99</v>
      </c>
      <c r="AI844">
        <f t="shared" si="27"/>
        <v>1</v>
      </c>
      <c r="AJ844">
        <f>'TABLA PREVIOS'!E844</f>
        <v>243</v>
      </c>
      <c r="AK844">
        <f>VLOOKUP(E844,ALUMNOS!A:B,2,FALSE)</f>
        <v>90</v>
      </c>
    </row>
    <row r="845" spans="2:37" x14ac:dyDescent="0.25">
      <c r="B845" t="str">
        <f t="shared" si="26"/>
        <v>46035103LENGUA EXTRANJERA - INGLÉS3º</v>
      </c>
      <c r="C845" t="s">
        <v>353</v>
      </c>
      <c r="E845">
        <v>46035103</v>
      </c>
      <c r="F845" t="s">
        <v>357</v>
      </c>
      <c r="G845" t="s">
        <v>16</v>
      </c>
      <c r="H845" t="s">
        <v>143</v>
      </c>
      <c r="I845" t="s">
        <v>43</v>
      </c>
      <c r="J845">
        <v>2019</v>
      </c>
      <c r="K845" t="s">
        <v>59</v>
      </c>
      <c r="N845" t="s">
        <v>99</v>
      </c>
      <c r="AI845">
        <f t="shared" si="27"/>
        <v>1</v>
      </c>
      <c r="AJ845">
        <f>'TABLA PREVIOS'!E845</f>
        <v>245</v>
      </c>
      <c r="AK845">
        <f>VLOOKUP(E845,ALUMNOS!A:B,2,FALSE)</f>
        <v>90</v>
      </c>
    </row>
    <row r="846" spans="2:37" x14ac:dyDescent="0.25">
      <c r="B846" t="str">
        <f t="shared" si="26"/>
        <v>46035103MATEMÁTICA3º</v>
      </c>
      <c r="C846" t="s">
        <v>353</v>
      </c>
      <c r="E846">
        <v>46035103</v>
      </c>
      <c r="F846" t="s">
        <v>357</v>
      </c>
      <c r="G846" t="s">
        <v>12</v>
      </c>
      <c r="H846" t="s">
        <v>143</v>
      </c>
      <c r="I846" t="s">
        <v>43</v>
      </c>
      <c r="J846">
        <v>2019</v>
      </c>
      <c r="K846" t="s">
        <v>59</v>
      </c>
      <c r="N846" t="s">
        <v>99</v>
      </c>
      <c r="AI846">
        <f t="shared" si="27"/>
        <v>1</v>
      </c>
      <c r="AJ846">
        <f>'TABLA PREVIOS'!E846</f>
        <v>240</v>
      </c>
      <c r="AK846">
        <f>VLOOKUP(E846,ALUMNOS!A:B,2,FALSE)</f>
        <v>90</v>
      </c>
    </row>
    <row r="847" spans="2:37" x14ac:dyDescent="0.25">
      <c r="B847" t="str">
        <f t="shared" si="26"/>
        <v>46035103CIUDADANÍA Y POLÍTICA6º</v>
      </c>
      <c r="C847" t="s">
        <v>353</v>
      </c>
      <c r="E847">
        <v>46035103</v>
      </c>
      <c r="F847" t="s">
        <v>357</v>
      </c>
      <c r="G847" t="s">
        <v>37</v>
      </c>
      <c r="H847" t="s">
        <v>245</v>
      </c>
      <c r="I847" t="s">
        <v>43</v>
      </c>
      <c r="J847">
        <v>2022</v>
      </c>
      <c r="K847" t="s">
        <v>60</v>
      </c>
      <c r="N847" t="s">
        <v>99</v>
      </c>
      <c r="AI847">
        <f t="shared" si="27"/>
        <v>1</v>
      </c>
      <c r="AJ847">
        <f>'TABLA PREVIOS'!E847</f>
        <v>284</v>
      </c>
      <c r="AK847">
        <f>VLOOKUP(E847,ALUMNOS!A:B,2,FALSE)</f>
        <v>90</v>
      </c>
    </row>
    <row r="848" spans="2:37" x14ac:dyDescent="0.25">
      <c r="B848" t="str">
        <f t="shared" si="26"/>
        <v>46035103DERECHO6º</v>
      </c>
      <c r="C848" t="s">
        <v>353</v>
      </c>
      <c r="E848">
        <v>46035103</v>
      </c>
      <c r="F848" t="s">
        <v>357</v>
      </c>
      <c r="G848" t="s">
        <v>38</v>
      </c>
      <c r="H848" t="s">
        <v>245</v>
      </c>
      <c r="I848" t="s">
        <v>43</v>
      </c>
      <c r="J848">
        <v>2022</v>
      </c>
      <c r="K848" t="s">
        <v>60</v>
      </c>
      <c r="N848" t="s">
        <v>99</v>
      </c>
      <c r="AI848">
        <f t="shared" si="27"/>
        <v>1</v>
      </c>
      <c r="AJ848">
        <f>'TABLA PREVIOS'!E848</f>
        <v>287</v>
      </c>
      <c r="AK848">
        <f>VLOOKUP(E848,ALUMNOS!A:B,2,FALSE)</f>
        <v>90</v>
      </c>
    </row>
    <row r="849" spans="2:37" x14ac:dyDescent="0.25">
      <c r="B849" t="str">
        <f t="shared" si="26"/>
        <v>46035103ECONOMÍA6º</v>
      </c>
      <c r="C849" t="s">
        <v>353</v>
      </c>
      <c r="E849">
        <v>46035103</v>
      </c>
      <c r="F849" t="s">
        <v>357</v>
      </c>
      <c r="G849" t="s">
        <v>34</v>
      </c>
      <c r="H849" t="s">
        <v>245</v>
      </c>
      <c r="I849" t="s">
        <v>43</v>
      </c>
      <c r="J849">
        <v>2022</v>
      </c>
      <c r="K849" t="s">
        <v>60</v>
      </c>
      <c r="N849" t="s">
        <v>99</v>
      </c>
      <c r="AI849">
        <f t="shared" si="27"/>
        <v>1</v>
      </c>
      <c r="AJ849">
        <f>'TABLA PREVIOS'!E849</f>
        <v>286</v>
      </c>
      <c r="AK849">
        <f>VLOOKUP(E849,ALUMNOS!A:B,2,FALSE)</f>
        <v>90</v>
      </c>
    </row>
    <row r="850" spans="2:37" x14ac:dyDescent="0.25">
      <c r="B850" t="str">
        <f t="shared" si="26"/>
        <v>46035103FILOSOFÍA6º</v>
      </c>
      <c r="C850" t="s">
        <v>353</v>
      </c>
      <c r="E850">
        <v>46035103</v>
      </c>
      <c r="F850" t="s">
        <v>357</v>
      </c>
      <c r="G850" t="s">
        <v>41</v>
      </c>
      <c r="H850" t="s">
        <v>245</v>
      </c>
      <c r="I850" t="s">
        <v>43</v>
      </c>
      <c r="J850">
        <v>2022</v>
      </c>
      <c r="K850" t="s">
        <v>60</v>
      </c>
      <c r="N850" t="s">
        <v>99</v>
      </c>
      <c r="AI850">
        <f t="shared" si="27"/>
        <v>1</v>
      </c>
      <c r="AJ850">
        <f>'TABLA PREVIOS'!E850</f>
        <v>292</v>
      </c>
      <c r="AK850">
        <f>VLOOKUP(E850,ALUMNOS!A:B,2,FALSE)</f>
        <v>90</v>
      </c>
    </row>
    <row r="851" spans="2:37" x14ac:dyDescent="0.25">
      <c r="B851" t="str">
        <f t="shared" si="26"/>
        <v>46035103LENGUA Y LITERATURA6º</v>
      </c>
      <c r="C851" t="s">
        <v>353</v>
      </c>
      <c r="E851">
        <v>46035103</v>
      </c>
      <c r="F851" t="s">
        <v>357</v>
      </c>
      <c r="G851" t="s">
        <v>11</v>
      </c>
      <c r="H851" t="s">
        <v>245</v>
      </c>
      <c r="I851" t="s">
        <v>43</v>
      </c>
      <c r="J851">
        <v>2022</v>
      </c>
      <c r="K851" t="s">
        <v>60</v>
      </c>
      <c r="N851" t="s">
        <v>99</v>
      </c>
      <c r="AI851">
        <f t="shared" si="27"/>
        <v>1</v>
      </c>
      <c r="AJ851">
        <f>'TABLA PREVIOS'!E851</f>
        <v>279</v>
      </c>
      <c r="AK851">
        <f>VLOOKUP(E851,ALUMNOS!A:B,2,FALSE)</f>
        <v>90</v>
      </c>
    </row>
    <row r="852" spans="2:37" x14ac:dyDescent="0.25">
      <c r="B852" t="str">
        <f t="shared" si="26"/>
        <v>46035103QUÍMICA6º</v>
      </c>
      <c r="C852" t="s">
        <v>353</v>
      </c>
      <c r="E852">
        <v>46035103</v>
      </c>
      <c r="F852" t="s">
        <v>357</v>
      </c>
      <c r="G852" t="s">
        <v>25</v>
      </c>
      <c r="H852" t="s">
        <v>245</v>
      </c>
      <c r="I852" t="s">
        <v>43</v>
      </c>
      <c r="J852">
        <v>2022</v>
      </c>
      <c r="K852" t="s">
        <v>60</v>
      </c>
      <c r="N852" t="s">
        <v>99</v>
      </c>
      <c r="AI852">
        <f t="shared" si="27"/>
        <v>1</v>
      </c>
      <c r="AJ852">
        <f>'TABLA PREVIOS'!E852</f>
        <v>281</v>
      </c>
      <c r="AK852">
        <f>VLOOKUP(E852,ALUMNOS!A:B,2,FALSE)</f>
        <v>90</v>
      </c>
    </row>
    <row r="853" spans="2:37" x14ac:dyDescent="0.25">
      <c r="B853" t="str">
        <f t="shared" si="26"/>
        <v>46035103RESPONSABILIDAD SOCIAL DE LAS ORGANIZACIONES6º</v>
      </c>
      <c r="C853" t="s">
        <v>353</v>
      </c>
      <c r="E853">
        <v>46035103</v>
      </c>
      <c r="F853" t="s">
        <v>357</v>
      </c>
      <c r="G853" t="s">
        <v>39</v>
      </c>
      <c r="H853" t="s">
        <v>245</v>
      </c>
      <c r="I853" t="s">
        <v>43</v>
      </c>
      <c r="J853">
        <v>2022</v>
      </c>
      <c r="K853" t="s">
        <v>60</v>
      </c>
      <c r="N853" t="s">
        <v>99</v>
      </c>
      <c r="AI853">
        <f t="shared" si="27"/>
        <v>1</v>
      </c>
      <c r="AJ853">
        <f>'TABLA PREVIOS'!E853</f>
        <v>288</v>
      </c>
      <c r="AK853">
        <f>VLOOKUP(E853,ALUMNOS!A:B,2,FALSE)</f>
        <v>90</v>
      </c>
    </row>
    <row r="854" spans="2:37" x14ac:dyDescent="0.25">
      <c r="B854" t="str">
        <f t="shared" si="26"/>
        <v>46035103SISTEMAS DE INFORMACIÓN CONTABLE6º</v>
      </c>
      <c r="C854" t="s">
        <v>353</v>
      </c>
      <c r="E854">
        <v>46035103</v>
      </c>
      <c r="F854" t="s">
        <v>357</v>
      </c>
      <c r="G854" t="s">
        <v>29</v>
      </c>
      <c r="H854" t="s">
        <v>245</v>
      </c>
      <c r="I854" t="s">
        <v>43</v>
      </c>
      <c r="J854">
        <v>2022</v>
      </c>
      <c r="K854" t="s">
        <v>60</v>
      </c>
      <c r="N854" t="s">
        <v>99</v>
      </c>
      <c r="AI854">
        <f t="shared" si="27"/>
        <v>1</v>
      </c>
      <c r="AJ854">
        <f>'TABLA PREVIOS'!E854</f>
        <v>290</v>
      </c>
      <c r="AK854">
        <f>VLOOKUP(E854,ALUMNOS!A:B,2,FALSE)</f>
        <v>90</v>
      </c>
    </row>
    <row r="855" spans="2:37" x14ac:dyDescent="0.25">
      <c r="B855" t="str">
        <f t="shared" si="26"/>
        <v>45868257ADMINISTRACIÓN5º</v>
      </c>
      <c r="C855" t="s">
        <v>353</v>
      </c>
      <c r="E855">
        <v>45868257</v>
      </c>
      <c r="F855" t="s">
        <v>359</v>
      </c>
      <c r="G855" t="s">
        <v>30</v>
      </c>
      <c r="H855" t="s">
        <v>220</v>
      </c>
      <c r="I855" t="s">
        <v>43</v>
      </c>
      <c r="J855">
        <v>2021</v>
      </c>
      <c r="K855" t="s">
        <v>60</v>
      </c>
      <c r="N855" t="s">
        <v>99</v>
      </c>
      <c r="AI855">
        <f t="shared" si="27"/>
        <v>1</v>
      </c>
      <c r="AJ855">
        <f>'TABLA PREVIOS'!E855</f>
        <v>274</v>
      </c>
      <c r="AK855">
        <f>VLOOKUP(E855,ALUMNOS!A:B,2,FALSE)</f>
        <v>128</v>
      </c>
    </row>
    <row r="856" spans="2:37" x14ac:dyDescent="0.25">
      <c r="B856" t="str">
        <f t="shared" si="26"/>
        <v>45868257ADMINISTRACIÓN DE LA PRODUCCIÓN Y COMERCIALIZACIÓN5º</v>
      </c>
      <c r="C856" t="s">
        <v>353</v>
      </c>
      <c r="E856">
        <v>45868257</v>
      </c>
      <c r="F856" t="s">
        <v>359</v>
      </c>
      <c r="G856" t="s">
        <v>32</v>
      </c>
      <c r="H856" t="s">
        <v>220</v>
      </c>
      <c r="I856" t="s">
        <v>43</v>
      </c>
      <c r="J856">
        <v>2021</v>
      </c>
      <c r="K856" t="s">
        <v>60</v>
      </c>
      <c r="N856" t="s">
        <v>99</v>
      </c>
      <c r="AI856">
        <f t="shared" si="27"/>
        <v>1</v>
      </c>
      <c r="AJ856">
        <f>'TABLA PREVIOS'!E856</f>
        <v>277</v>
      </c>
      <c r="AK856">
        <f>VLOOKUP(E856,ALUMNOS!A:B,2,FALSE)</f>
        <v>128</v>
      </c>
    </row>
    <row r="857" spans="2:37" x14ac:dyDescent="0.25">
      <c r="B857" t="str">
        <f t="shared" si="26"/>
        <v>45868257ADMINISTRACIÓN DE RECURSOS HUMANOS5º</v>
      </c>
      <c r="C857" t="s">
        <v>353</v>
      </c>
      <c r="E857">
        <v>45868257</v>
      </c>
      <c r="F857" t="s">
        <v>359</v>
      </c>
      <c r="G857" t="s">
        <v>35</v>
      </c>
      <c r="H857" t="s">
        <v>220</v>
      </c>
      <c r="I857" t="s">
        <v>43</v>
      </c>
      <c r="J857">
        <v>2021</v>
      </c>
      <c r="K857" t="s">
        <v>60</v>
      </c>
      <c r="N857" t="s">
        <v>99</v>
      </c>
      <c r="AI857">
        <f t="shared" si="27"/>
        <v>1</v>
      </c>
      <c r="AJ857">
        <f>'TABLA PREVIOS'!E857</f>
        <v>276</v>
      </c>
      <c r="AK857">
        <f>VLOOKUP(E857,ALUMNOS!A:B,2,FALSE)</f>
        <v>128</v>
      </c>
    </row>
    <row r="858" spans="2:37" x14ac:dyDescent="0.25">
      <c r="B858" t="str">
        <f t="shared" si="26"/>
        <v>45868257ECONOMÍA5º</v>
      </c>
      <c r="C858" t="s">
        <v>353</v>
      </c>
      <c r="E858">
        <v>45868257</v>
      </c>
      <c r="F858" t="s">
        <v>359</v>
      </c>
      <c r="G858" t="s">
        <v>34</v>
      </c>
      <c r="H858" t="s">
        <v>220</v>
      </c>
      <c r="I858" t="s">
        <v>43</v>
      </c>
      <c r="J858">
        <v>2021</v>
      </c>
      <c r="K858" t="s">
        <v>60</v>
      </c>
      <c r="N858" t="s">
        <v>99</v>
      </c>
      <c r="AI858">
        <f t="shared" si="27"/>
        <v>1</v>
      </c>
      <c r="AJ858">
        <f>'TABLA PREVIOS'!E858</f>
        <v>275</v>
      </c>
      <c r="AK858">
        <f>VLOOKUP(E858,ALUMNOS!A:B,2,FALSE)</f>
        <v>128</v>
      </c>
    </row>
    <row r="859" spans="2:37" x14ac:dyDescent="0.25">
      <c r="B859" t="str">
        <f t="shared" si="26"/>
        <v>45868257SISTEMAS DE INFORMACIÓN CONTABLE5º</v>
      </c>
      <c r="C859" t="s">
        <v>353</v>
      </c>
      <c r="E859">
        <v>45868257</v>
      </c>
      <c r="F859" t="s">
        <v>359</v>
      </c>
      <c r="G859" t="s">
        <v>29</v>
      </c>
      <c r="H859" t="s">
        <v>220</v>
      </c>
      <c r="I859" t="s">
        <v>43</v>
      </c>
      <c r="J859">
        <v>2021</v>
      </c>
      <c r="K859" t="s">
        <v>60</v>
      </c>
      <c r="N859" t="s">
        <v>99</v>
      </c>
      <c r="AI859">
        <f t="shared" si="27"/>
        <v>1</v>
      </c>
      <c r="AJ859">
        <f>'TABLA PREVIOS'!E859</f>
        <v>273</v>
      </c>
      <c r="AK859">
        <f>VLOOKUP(E859,ALUMNOS!A:B,2,FALSE)</f>
        <v>128</v>
      </c>
    </row>
    <row r="860" spans="2:37" x14ac:dyDescent="0.25">
      <c r="B860" t="str">
        <f t="shared" si="26"/>
        <v>45868257ADMINISTRACIÓN FINANCIERA6º</v>
      </c>
      <c r="C860" t="s">
        <v>353</v>
      </c>
      <c r="E860">
        <v>45868257</v>
      </c>
      <c r="F860" t="s">
        <v>359</v>
      </c>
      <c r="G860" t="s">
        <v>40</v>
      </c>
      <c r="H860" t="s">
        <v>245</v>
      </c>
      <c r="I860" t="s">
        <v>43</v>
      </c>
      <c r="J860">
        <v>2022</v>
      </c>
      <c r="K860" t="s">
        <v>60</v>
      </c>
      <c r="N860" t="s">
        <v>99</v>
      </c>
      <c r="AI860">
        <f t="shared" si="27"/>
        <v>1</v>
      </c>
      <c r="AJ860">
        <f>'TABLA PREVIOS'!E860</f>
        <v>289</v>
      </c>
      <c r="AK860">
        <f>VLOOKUP(E860,ALUMNOS!A:B,2,FALSE)</f>
        <v>128</v>
      </c>
    </row>
    <row r="861" spans="2:37" x14ac:dyDescent="0.25">
      <c r="B861" t="str">
        <f t="shared" si="26"/>
        <v>45868257FILOSOFÍA6º</v>
      </c>
      <c r="C861" t="s">
        <v>353</v>
      </c>
      <c r="E861">
        <v>45868257</v>
      </c>
      <c r="F861" t="s">
        <v>359</v>
      </c>
      <c r="G861" t="s">
        <v>41</v>
      </c>
      <c r="H861" t="s">
        <v>245</v>
      </c>
      <c r="I861" t="s">
        <v>43</v>
      </c>
      <c r="J861">
        <v>2022</v>
      </c>
      <c r="K861" t="s">
        <v>60</v>
      </c>
      <c r="N861" t="s">
        <v>99</v>
      </c>
      <c r="AI861">
        <f t="shared" si="27"/>
        <v>1</v>
      </c>
      <c r="AJ861">
        <f>'TABLA PREVIOS'!E861</f>
        <v>292</v>
      </c>
      <c r="AK861">
        <f>VLOOKUP(E861,ALUMNOS!A:B,2,FALSE)</f>
        <v>128</v>
      </c>
    </row>
    <row r="862" spans="2:37" x14ac:dyDescent="0.25">
      <c r="B862" t="str">
        <f t="shared" si="26"/>
        <v>45868257FORMACIÓN PARA LA VIDA Y EL TRABAJO6º</v>
      </c>
      <c r="C862" t="s">
        <v>353</v>
      </c>
      <c r="E862">
        <v>45868257</v>
      </c>
      <c r="F862" t="s">
        <v>359</v>
      </c>
      <c r="G862" t="s">
        <v>28</v>
      </c>
      <c r="H862" t="s">
        <v>245</v>
      </c>
      <c r="I862" t="s">
        <v>43</v>
      </c>
      <c r="J862">
        <v>2022</v>
      </c>
      <c r="K862" t="s">
        <v>60</v>
      </c>
      <c r="N862" t="s">
        <v>99</v>
      </c>
      <c r="AI862">
        <f t="shared" si="27"/>
        <v>1</v>
      </c>
      <c r="AJ862">
        <f>'TABLA PREVIOS'!E862</f>
        <v>291</v>
      </c>
      <c r="AK862">
        <f>VLOOKUP(E862,ALUMNOS!A:B,2,FALSE)</f>
        <v>128</v>
      </c>
    </row>
    <row r="863" spans="2:37" x14ac:dyDescent="0.25">
      <c r="B863" t="str">
        <f t="shared" si="26"/>
        <v>45722960HISTORIA3º</v>
      </c>
      <c r="C863" t="s">
        <v>353</v>
      </c>
      <c r="E863">
        <v>45722960</v>
      </c>
      <c r="F863" t="s">
        <v>360</v>
      </c>
      <c r="G863" t="s">
        <v>27</v>
      </c>
      <c r="H863" t="s">
        <v>143</v>
      </c>
      <c r="I863" t="s">
        <v>43</v>
      </c>
      <c r="J863">
        <v>2019</v>
      </c>
      <c r="K863" t="s">
        <v>59</v>
      </c>
      <c r="M863" t="s">
        <v>4</v>
      </c>
      <c r="N863" t="s">
        <v>99</v>
      </c>
      <c r="AI863">
        <f t="shared" si="27"/>
        <v>1</v>
      </c>
      <c r="AJ863">
        <f>'TABLA PREVIOS'!E863</f>
        <v>244</v>
      </c>
      <c r="AK863">
        <f>VLOOKUP(E863,ALUMNOS!A:B,2,FALSE)</f>
        <v>130</v>
      </c>
    </row>
    <row r="864" spans="2:37" x14ac:dyDescent="0.25">
      <c r="B864" t="str">
        <f t="shared" si="26"/>
        <v>45722960MATEMÁTICA4º</v>
      </c>
      <c r="C864" t="s">
        <v>353</v>
      </c>
      <c r="E864">
        <v>45722960</v>
      </c>
      <c r="F864" t="s">
        <v>360</v>
      </c>
      <c r="G864" t="s">
        <v>12</v>
      </c>
      <c r="H864" t="s">
        <v>190</v>
      </c>
      <c r="I864" t="s">
        <v>43</v>
      </c>
      <c r="J864">
        <v>2020</v>
      </c>
      <c r="K864" t="s">
        <v>60</v>
      </c>
      <c r="N864" t="s">
        <v>99</v>
      </c>
      <c r="AI864">
        <f t="shared" si="27"/>
        <v>1</v>
      </c>
      <c r="AJ864">
        <f>'TABLA PREVIOS'!E864</f>
        <v>252</v>
      </c>
      <c r="AK864">
        <f>VLOOKUP(E864,ALUMNOS!A:B,2,FALSE)</f>
        <v>130</v>
      </c>
    </row>
    <row r="865" spans="2:37" x14ac:dyDescent="0.25">
      <c r="B865" t="str">
        <f t="shared" si="26"/>
        <v>45722960MATEMÁTICA5º</v>
      </c>
      <c r="C865" t="s">
        <v>353</v>
      </c>
      <c r="E865">
        <v>45722960</v>
      </c>
      <c r="F865" t="s">
        <v>360</v>
      </c>
      <c r="G865" t="s">
        <v>12</v>
      </c>
      <c r="H865" t="s">
        <v>220</v>
      </c>
      <c r="I865" t="s">
        <v>43</v>
      </c>
      <c r="J865">
        <v>2021</v>
      </c>
      <c r="K865" t="s">
        <v>60</v>
      </c>
      <c r="N865" t="s">
        <v>99</v>
      </c>
      <c r="AI865">
        <f t="shared" si="27"/>
        <v>1</v>
      </c>
      <c r="AJ865">
        <f>'TABLA PREVIOS'!E865</f>
        <v>265</v>
      </c>
      <c r="AK865">
        <f>VLOOKUP(E865,ALUMNOS!A:B,2,FALSE)</f>
        <v>130</v>
      </c>
    </row>
    <row r="866" spans="2:37" x14ac:dyDescent="0.25">
      <c r="B866" t="str">
        <f t="shared" si="26"/>
        <v>45722960ADMINISTRACIÓN6º</v>
      </c>
      <c r="C866" t="s">
        <v>353</v>
      </c>
      <c r="E866">
        <v>45722960</v>
      </c>
      <c r="F866" t="s">
        <v>360</v>
      </c>
      <c r="G866" t="s">
        <v>30</v>
      </c>
      <c r="H866" t="s">
        <v>245</v>
      </c>
      <c r="I866" t="s">
        <v>43</v>
      </c>
      <c r="J866">
        <v>2022</v>
      </c>
      <c r="K866" t="s">
        <v>60</v>
      </c>
      <c r="N866" t="s">
        <v>99</v>
      </c>
      <c r="AI866">
        <f t="shared" si="27"/>
        <v>1</v>
      </c>
      <c r="AJ866">
        <f>'TABLA PREVIOS'!E866</f>
        <v>285</v>
      </c>
      <c r="AK866">
        <f>VLOOKUP(E866,ALUMNOS!A:B,2,FALSE)</f>
        <v>130</v>
      </c>
    </row>
    <row r="867" spans="2:37" x14ac:dyDescent="0.25">
      <c r="B867" t="str">
        <f t="shared" si="26"/>
        <v>45722960CIUDADANÍA Y POLÍTICA6º</v>
      </c>
      <c r="C867" t="s">
        <v>353</v>
      </c>
      <c r="E867">
        <v>45722960</v>
      </c>
      <c r="F867" t="s">
        <v>360</v>
      </c>
      <c r="G867" t="s">
        <v>37</v>
      </c>
      <c r="H867" t="s">
        <v>245</v>
      </c>
      <c r="I867" t="s">
        <v>43</v>
      </c>
      <c r="J867">
        <v>2022</v>
      </c>
      <c r="K867" t="s">
        <v>60</v>
      </c>
      <c r="N867" t="s">
        <v>99</v>
      </c>
      <c r="AI867">
        <f t="shared" si="27"/>
        <v>1</v>
      </c>
      <c r="AJ867">
        <f>'TABLA PREVIOS'!E867</f>
        <v>284</v>
      </c>
      <c r="AK867">
        <f>VLOOKUP(E867,ALUMNOS!A:B,2,FALSE)</f>
        <v>130</v>
      </c>
    </row>
    <row r="868" spans="2:37" x14ac:dyDescent="0.25">
      <c r="B868" t="str">
        <f t="shared" si="26"/>
        <v>45722960DERECHO6º</v>
      </c>
      <c r="C868" t="s">
        <v>353</v>
      </c>
      <c r="E868">
        <v>45722960</v>
      </c>
      <c r="F868" t="s">
        <v>360</v>
      </c>
      <c r="G868" t="s">
        <v>38</v>
      </c>
      <c r="H868" t="s">
        <v>245</v>
      </c>
      <c r="I868" t="s">
        <v>43</v>
      </c>
      <c r="J868">
        <v>2022</v>
      </c>
      <c r="K868" t="s">
        <v>60</v>
      </c>
      <c r="N868" t="s">
        <v>99</v>
      </c>
      <c r="AI868">
        <f t="shared" si="27"/>
        <v>1</v>
      </c>
      <c r="AJ868">
        <f>'TABLA PREVIOS'!E868</f>
        <v>287</v>
      </c>
      <c r="AK868">
        <f>VLOOKUP(E868,ALUMNOS!A:B,2,FALSE)</f>
        <v>130</v>
      </c>
    </row>
    <row r="869" spans="2:37" x14ac:dyDescent="0.25">
      <c r="B869" t="str">
        <f t="shared" si="26"/>
        <v>45722960ECONOMÍA6º</v>
      </c>
      <c r="C869" t="s">
        <v>353</v>
      </c>
      <c r="E869">
        <v>45722960</v>
      </c>
      <c r="F869" t="s">
        <v>360</v>
      </c>
      <c r="G869" t="s">
        <v>34</v>
      </c>
      <c r="H869" t="s">
        <v>245</v>
      </c>
      <c r="I869" t="s">
        <v>43</v>
      </c>
      <c r="J869">
        <v>2022</v>
      </c>
      <c r="K869" t="s">
        <v>60</v>
      </c>
      <c r="N869" t="s">
        <v>99</v>
      </c>
      <c r="AI869">
        <f t="shared" si="27"/>
        <v>1</v>
      </c>
      <c r="AJ869">
        <f>'TABLA PREVIOS'!E869</f>
        <v>286</v>
      </c>
      <c r="AK869">
        <f>VLOOKUP(E869,ALUMNOS!A:B,2,FALSE)</f>
        <v>130</v>
      </c>
    </row>
    <row r="870" spans="2:37" x14ac:dyDescent="0.25">
      <c r="B870" t="str">
        <f t="shared" si="26"/>
        <v>45722960EDUCACIÓN ARTÍSTICA - TEATRO6º</v>
      </c>
      <c r="C870" t="s">
        <v>353</v>
      </c>
      <c r="E870">
        <v>45722960</v>
      </c>
      <c r="F870" t="s">
        <v>360</v>
      </c>
      <c r="G870" t="s">
        <v>36</v>
      </c>
      <c r="H870" t="s">
        <v>245</v>
      </c>
      <c r="I870" t="s">
        <v>43</v>
      </c>
      <c r="J870">
        <v>2022</v>
      </c>
      <c r="K870" t="s">
        <v>60</v>
      </c>
      <c r="N870" t="s">
        <v>99</v>
      </c>
      <c r="AI870">
        <f t="shared" si="27"/>
        <v>1</v>
      </c>
      <c r="AJ870">
        <f>'TABLA PREVIOS'!E870</f>
        <v>283</v>
      </c>
      <c r="AK870">
        <f>VLOOKUP(E870,ALUMNOS!A:B,2,FALSE)</f>
        <v>130</v>
      </c>
    </row>
    <row r="871" spans="2:37" x14ac:dyDescent="0.25">
      <c r="B871" t="str">
        <f t="shared" si="26"/>
        <v>45722960EDUCACIÓN FÍSICA6º</v>
      </c>
      <c r="C871" t="s">
        <v>353</v>
      </c>
      <c r="E871">
        <v>45722960</v>
      </c>
      <c r="F871" t="s">
        <v>360</v>
      </c>
      <c r="G871" t="s">
        <v>10</v>
      </c>
      <c r="H871" t="s">
        <v>245</v>
      </c>
      <c r="I871" t="s">
        <v>43</v>
      </c>
      <c r="J871">
        <v>2022</v>
      </c>
      <c r="K871" t="s">
        <v>60</v>
      </c>
      <c r="N871" t="s">
        <v>99</v>
      </c>
      <c r="AI871">
        <f t="shared" si="27"/>
        <v>1</v>
      </c>
      <c r="AJ871">
        <f>'TABLA PREVIOS'!E871</f>
        <v>278</v>
      </c>
      <c r="AK871">
        <f>VLOOKUP(E871,ALUMNOS!A:B,2,FALSE)</f>
        <v>130</v>
      </c>
    </row>
    <row r="872" spans="2:37" x14ac:dyDescent="0.25">
      <c r="B872" t="str">
        <f t="shared" si="26"/>
        <v>45722960FILOSOFÍA6º</v>
      </c>
      <c r="C872" t="s">
        <v>353</v>
      </c>
      <c r="E872">
        <v>45722960</v>
      </c>
      <c r="F872" t="s">
        <v>360</v>
      </c>
      <c r="G872" t="s">
        <v>41</v>
      </c>
      <c r="H872" t="s">
        <v>245</v>
      </c>
      <c r="I872" t="s">
        <v>43</v>
      </c>
      <c r="J872">
        <v>2022</v>
      </c>
      <c r="K872" t="s">
        <v>60</v>
      </c>
      <c r="N872" t="s">
        <v>99</v>
      </c>
      <c r="AI872">
        <f t="shared" si="27"/>
        <v>1</v>
      </c>
      <c r="AJ872">
        <f>'TABLA PREVIOS'!E872</f>
        <v>292</v>
      </c>
      <c r="AK872">
        <f>VLOOKUP(E872,ALUMNOS!A:B,2,FALSE)</f>
        <v>130</v>
      </c>
    </row>
    <row r="873" spans="2:37" x14ac:dyDescent="0.25">
      <c r="B873" t="str">
        <f t="shared" si="26"/>
        <v>45722960FORMACIÓN PARA LA VIDA Y EL TRABAJO6º</v>
      </c>
      <c r="C873" t="s">
        <v>353</v>
      </c>
      <c r="E873">
        <v>45722960</v>
      </c>
      <c r="F873" t="s">
        <v>360</v>
      </c>
      <c r="G873" t="s">
        <v>28</v>
      </c>
      <c r="H873" t="s">
        <v>245</v>
      </c>
      <c r="I873" t="s">
        <v>43</v>
      </c>
      <c r="J873">
        <v>2022</v>
      </c>
      <c r="K873" t="s">
        <v>60</v>
      </c>
      <c r="N873" t="s">
        <v>99</v>
      </c>
      <c r="AI873">
        <f t="shared" si="27"/>
        <v>1</v>
      </c>
      <c r="AJ873">
        <f>'TABLA PREVIOS'!E873</f>
        <v>291</v>
      </c>
      <c r="AK873">
        <f>VLOOKUP(E873,ALUMNOS!A:B,2,FALSE)</f>
        <v>130</v>
      </c>
    </row>
    <row r="874" spans="2:37" x14ac:dyDescent="0.25">
      <c r="B874" t="str">
        <f t="shared" si="26"/>
        <v>45722960LENGUA EXTRANJERA - INGLÉS6º</v>
      </c>
      <c r="C874" t="s">
        <v>353</v>
      </c>
      <c r="E874">
        <v>45722960</v>
      </c>
      <c r="F874" t="s">
        <v>360</v>
      </c>
      <c r="G874" t="s">
        <v>16</v>
      </c>
      <c r="H874" t="s">
        <v>245</v>
      </c>
      <c r="I874" t="s">
        <v>43</v>
      </c>
      <c r="J874">
        <v>2022</v>
      </c>
      <c r="K874" t="s">
        <v>60</v>
      </c>
      <c r="N874" t="s">
        <v>99</v>
      </c>
      <c r="AI874">
        <f t="shared" si="27"/>
        <v>1</v>
      </c>
      <c r="AJ874">
        <f>'TABLA PREVIOS'!E874</f>
        <v>282</v>
      </c>
      <c r="AK874">
        <f>VLOOKUP(E874,ALUMNOS!A:B,2,FALSE)</f>
        <v>130</v>
      </c>
    </row>
    <row r="875" spans="2:37" x14ac:dyDescent="0.25">
      <c r="B875" t="str">
        <f t="shared" si="26"/>
        <v>45722960LENGUA Y LITERATURA6º</v>
      </c>
      <c r="C875" t="s">
        <v>353</v>
      </c>
      <c r="E875">
        <v>45722960</v>
      </c>
      <c r="F875" t="s">
        <v>360</v>
      </c>
      <c r="G875" t="s">
        <v>11</v>
      </c>
      <c r="H875" t="s">
        <v>245</v>
      </c>
      <c r="I875" t="s">
        <v>43</v>
      </c>
      <c r="J875">
        <v>2022</v>
      </c>
      <c r="K875" t="s">
        <v>60</v>
      </c>
      <c r="N875" t="s">
        <v>99</v>
      </c>
      <c r="AI875">
        <f t="shared" si="27"/>
        <v>1</v>
      </c>
      <c r="AJ875">
        <f>'TABLA PREVIOS'!E875</f>
        <v>279</v>
      </c>
      <c r="AK875">
        <f>VLOOKUP(E875,ALUMNOS!A:B,2,FALSE)</f>
        <v>130</v>
      </c>
    </row>
    <row r="876" spans="2:37" x14ac:dyDescent="0.25">
      <c r="B876" t="str">
        <f t="shared" si="26"/>
        <v>45722960MATEMÁTICA6º</v>
      </c>
      <c r="C876" t="s">
        <v>353</v>
      </c>
      <c r="E876">
        <v>45722960</v>
      </c>
      <c r="F876" t="s">
        <v>360</v>
      </c>
      <c r="G876" t="s">
        <v>12</v>
      </c>
      <c r="H876" t="s">
        <v>245</v>
      </c>
      <c r="I876" t="s">
        <v>43</v>
      </c>
      <c r="J876">
        <v>2022</v>
      </c>
      <c r="K876" t="s">
        <v>60</v>
      </c>
      <c r="N876" t="s">
        <v>99</v>
      </c>
      <c r="AI876">
        <f t="shared" si="27"/>
        <v>1</v>
      </c>
      <c r="AJ876">
        <f>'TABLA PREVIOS'!E876</f>
        <v>280</v>
      </c>
      <c r="AK876">
        <f>VLOOKUP(E876,ALUMNOS!A:B,2,FALSE)</f>
        <v>130</v>
      </c>
    </row>
    <row r="877" spans="2:37" x14ac:dyDescent="0.25">
      <c r="B877" t="str">
        <f t="shared" si="26"/>
        <v>45722960QUÍMICA6º</v>
      </c>
      <c r="C877" t="s">
        <v>353</v>
      </c>
      <c r="E877">
        <v>45722960</v>
      </c>
      <c r="F877" t="s">
        <v>360</v>
      </c>
      <c r="G877" t="s">
        <v>25</v>
      </c>
      <c r="H877" t="s">
        <v>245</v>
      </c>
      <c r="I877" t="s">
        <v>43</v>
      </c>
      <c r="J877">
        <v>2022</v>
      </c>
      <c r="K877" t="s">
        <v>60</v>
      </c>
      <c r="N877" t="s">
        <v>99</v>
      </c>
      <c r="AI877">
        <f t="shared" si="27"/>
        <v>1</v>
      </c>
      <c r="AJ877">
        <f>'TABLA PREVIOS'!E877</f>
        <v>281</v>
      </c>
      <c r="AK877">
        <f>VLOOKUP(E877,ALUMNOS!A:B,2,FALSE)</f>
        <v>130</v>
      </c>
    </row>
    <row r="878" spans="2:37" x14ac:dyDescent="0.25">
      <c r="B878" t="str">
        <f t="shared" si="26"/>
        <v>45722960RESPONSABILIDAD SOCIAL DE LAS ORGANIZACIONES6º</v>
      </c>
      <c r="C878" t="s">
        <v>353</v>
      </c>
      <c r="E878">
        <v>45722960</v>
      </c>
      <c r="F878" t="s">
        <v>360</v>
      </c>
      <c r="G878" t="s">
        <v>39</v>
      </c>
      <c r="H878" t="s">
        <v>245</v>
      </c>
      <c r="I878" t="s">
        <v>43</v>
      </c>
      <c r="J878">
        <v>2022</v>
      </c>
      <c r="K878" t="s">
        <v>60</v>
      </c>
      <c r="N878" t="s">
        <v>99</v>
      </c>
      <c r="AI878">
        <f t="shared" si="27"/>
        <v>1</v>
      </c>
      <c r="AJ878">
        <f>'TABLA PREVIOS'!E878</f>
        <v>288</v>
      </c>
      <c r="AK878">
        <f>VLOOKUP(E878,ALUMNOS!A:B,2,FALSE)</f>
        <v>130</v>
      </c>
    </row>
    <row r="879" spans="2:37" x14ac:dyDescent="0.25">
      <c r="B879" t="str">
        <f t="shared" si="26"/>
        <v>45722960SISTEMAS DE INFORMACIÓN CONTABLE6º</v>
      </c>
      <c r="C879" t="s">
        <v>353</v>
      </c>
      <c r="E879">
        <v>45722960</v>
      </c>
      <c r="F879" t="s">
        <v>360</v>
      </c>
      <c r="G879" t="s">
        <v>29</v>
      </c>
      <c r="H879" t="s">
        <v>245</v>
      </c>
      <c r="I879" t="s">
        <v>43</v>
      </c>
      <c r="J879">
        <v>2022</v>
      </c>
      <c r="K879" t="s">
        <v>60</v>
      </c>
      <c r="N879" t="s">
        <v>99</v>
      </c>
      <c r="AI879">
        <f t="shared" si="27"/>
        <v>1</v>
      </c>
      <c r="AJ879">
        <f>'TABLA PREVIOS'!E879</f>
        <v>290</v>
      </c>
      <c r="AK879">
        <f>VLOOKUP(E879,ALUMNOS!A:B,2,FALSE)</f>
        <v>130</v>
      </c>
    </row>
    <row r="880" spans="2:37" x14ac:dyDescent="0.25">
      <c r="B880" t="str">
        <f t="shared" si="26"/>
        <v>46035178LENGUA Y LITERATURA4º</v>
      </c>
      <c r="C880" t="s">
        <v>353</v>
      </c>
      <c r="E880">
        <v>46035178</v>
      </c>
      <c r="F880" t="s">
        <v>361</v>
      </c>
      <c r="G880" t="s">
        <v>11</v>
      </c>
      <c r="H880" t="s">
        <v>190</v>
      </c>
      <c r="I880" t="s">
        <v>43</v>
      </c>
      <c r="J880">
        <v>2020</v>
      </c>
      <c r="K880" t="s">
        <v>60</v>
      </c>
      <c r="N880" t="s">
        <v>99</v>
      </c>
      <c r="AI880">
        <f t="shared" si="27"/>
        <v>1</v>
      </c>
      <c r="AJ880">
        <f>'TABLA PREVIOS'!E880</f>
        <v>251</v>
      </c>
      <c r="AK880">
        <f>VLOOKUP(E880,ALUMNOS!A:B,2,FALSE)</f>
        <v>144</v>
      </c>
    </row>
    <row r="881" spans="2:37" x14ac:dyDescent="0.25">
      <c r="B881" t="str">
        <f t="shared" si="26"/>
        <v>46342180MATEMÁTICA5º</v>
      </c>
      <c r="C881" t="s">
        <v>353</v>
      </c>
      <c r="E881">
        <v>46342180</v>
      </c>
      <c r="F881" t="s">
        <v>362</v>
      </c>
      <c r="G881" t="s">
        <v>12</v>
      </c>
      <c r="H881" t="s">
        <v>220</v>
      </c>
      <c r="I881" t="s">
        <v>43</v>
      </c>
      <c r="J881">
        <v>2021</v>
      </c>
      <c r="K881" t="s">
        <v>60</v>
      </c>
      <c r="L881" t="s">
        <v>363</v>
      </c>
      <c r="N881" t="s">
        <v>99</v>
      </c>
      <c r="AI881">
        <f t="shared" si="27"/>
        <v>1</v>
      </c>
      <c r="AJ881">
        <f>'TABLA PREVIOS'!E881</f>
        <v>265</v>
      </c>
      <c r="AK881">
        <f>VLOOKUP(E881,ALUMNOS!A:B,2,FALSE)</f>
        <v>229</v>
      </c>
    </row>
    <row r="882" spans="2:37" x14ac:dyDescent="0.25">
      <c r="B882" t="str">
        <f t="shared" si="26"/>
        <v>46342180SISTEMAS DE INFORMACIÓN CONTABLE5º</v>
      </c>
      <c r="C882" t="s">
        <v>353</v>
      </c>
      <c r="E882">
        <v>46342180</v>
      </c>
      <c r="F882" t="s">
        <v>362</v>
      </c>
      <c r="G882" t="s">
        <v>29</v>
      </c>
      <c r="H882" t="s">
        <v>220</v>
      </c>
      <c r="I882" t="s">
        <v>43</v>
      </c>
      <c r="J882">
        <v>2021</v>
      </c>
      <c r="K882" t="s">
        <v>60</v>
      </c>
      <c r="L882" t="s">
        <v>363</v>
      </c>
      <c r="N882" t="s">
        <v>99</v>
      </c>
      <c r="AI882">
        <f t="shared" si="27"/>
        <v>1</v>
      </c>
      <c r="AJ882">
        <f>'TABLA PREVIOS'!E882</f>
        <v>273</v>
      </c>
      <c r="AK882">
        <f>VLOOKUP(E882,ALUMNOS!A:B,2,FALSE)</f>
        <v>229</v>
      </c>
    </row>
    <row r="883" spans="2:37" x14ac:dyDescent="0.25">
      <c r="B883" t="str">
        <f t="shared" si="26"/>
        <v>46342180CIUDADANÍA Y POLÍTICA6º</v>
      </c>
      <c r="C883" t="s">
        <v>353</v>
      </c>
      <c r="E883">
        <v>46342180</v>
      </c>
      <c r="F883" t="s">
        <v>362</v>
      </c>
      <c r="G883" t="s">
        <v>37</v>
      </c>
      <c r="H883" t="s">
        <v>245</v>
      </c>
      <c r="I883" t="s">
        <v>43</v>
      </c>
      <c r="J883">
        <v>2022</v>
      </c>
      <c r="K883" t="s">
        <v>60</v>
      </c>
      <c r="N883" t="s">
        <v>99</v>
      </c>
      <c r="AI883">
        <f t="shared" si="27"/>
        <v>1</v>
      </c>
      <c r="AJ883">
        <f>'TABLA PREVIOS'!E883</f>
        <v>284</v>
      </c>
      <c r="AK883">
        <f>VLOOKUP(E883,ALUMNOS!A:B,2,FALSE)</f>
        <v>229</v>
      </c>
    </row>
    <row r="884" spans="2:37" x14ac:dyDescent="0.25">
      <c r="B884" t="str">
        <f t="shared" si="26"/>
        <v>46342180ECONOMÍA6º</v>
      </c>
      <c r="C884" t="s">
        <v>353</v>
      </c>
      <c r="E884">
        <v>46342180</v>
      </c>
      <c r="F884" t="s">
        <v>362</v>
      </c>
      <c r="G884" t="s">
        <v>34</v>
      </c>
      <c r="H884" t="s">
        <v>245</v>
      </c>
      <c r="I884" t="s">
        <v>43</v>
      </c>
      <c r="J884">
        <v>2022</v>
      </c>
      <c r="K884" t="s">
        <v>60</v>
      </c>
      <c r="N884" t="s">
        <v>99</v>
      </c>
      <c r="AI884">
        <f t="shared" si="27"/>
        <v>1</v>
      </c>
      <c r="AJ884">
        <f>'TABLA PREVIOS'!E884</f>
        <v>286</v>
      </c>
      <c r="AK884">
        <f>VLOOKUP(E884,ALUMNOS!A:B,2,FALSE)</f>
        <v>229</v>
      </c>
    </row>
    <row r="885" spans="2:37" x14ac:dyDescent="0.25">
      <c r="B885" t="str">
        <f t="shared" si="26"/>
        <v>46342180FILOSOFÍA6º</v>
      </c>
      <c r="C885" t="s">
        <v>353</v>
      </c>
      <c r="E885">
        <v>46342180</v>
      </c>
      <c r="F885" t="s">
        <v>362</v>
      </c>
      <c r="G885" t="s">
        <v>41</v>
      </c>
      <c r="H885" t="s">
        <v>245</v>
      </c>
      <c r="I885" t="s">
        <v>43</v>
      </c>
      <c r="J885">
        <v>2022</v>
      </c>
      <c r="K885" t="s">
        <v>60</v>
      </c>
      <c r="N885" t="s">
        <v>99</v>
      </c>
      <c r="AI885">
        <f t="shared" si="27"/>
        <v>1</v>
      </c>
      <c r="AJ885">
        <f>'TABLA PREVIOS'!E885</f>
        <v>292</v>
      </c>
      <c r="AK885">
        <f>VLOOKUP(E885,ALUMNOS!A:B,2,FALSE)</f>
        <v>229</v>
      </c>
    </row>
    <row r="886" spans="2:37" x14ac:dyDescent="0.25">
      <c r="B886" t="str">
        <f t="shared" si="26"/>
        <v>46342180MATEMÁTICA6º</v>
      </c>
      <c r="C886" t="s">
        <v>353</v>
      </c>
      <c r="E886">
        <v>46342180</v>
      </c>
      <c r="F886" t="s">
        <v>362</v>
      </c>
      <c r="G886" t="s">
        <v>12</v>
      </c>
      <c r="H886" t="s">
        <v>245</v>
      </c>
      <c r="I886" t="s">
        <v>43</v>
      </c>
      <c r="J886">
        <v>2022</v>
      </c>
      <c r="K886" t="s">
        <v>60</v>
      </c>
      <c r="N886" t="s">
        <v>99</v>
      </c>
      <c r="AI886">
        <f t="shared" si="27"/>
        <v>1</v>
      </c>
      <c r="AJ886">
        <f>'TABLA PREVIOS'!E886</f>
        <v>280</v>
      </c>
      <c r="AK886">
        <f>VLOOKUP(E886,ALUMNOS!A:B,2,FALSE)</f>
        <v>229</v>
      </c>
    </row>
    <row r="887" spans="2:37" x14ac:dyDescent="0.25">
      <c r="B887" t="str">
        <f t="shared" si="26"/>
        <v>46342180RESPONSABILIDAD SOCIAL DE LAS ORGANIZACIONES6º</v>
      </c>
      <c r="C887" t="s">
        <v>353</v>
      </c>
      <c r="E887">
        <v>46342180</v>
      </c>
      <c r="F887" t="s">
        <v>362</v>
      </c>
      <c r="G887" t="s">
        <v>39</v>
      </c>
      <c r="H887" t="s">
        <v>245</v>
      </c>
      <c r="I887" t="s">
        <v>43</v>
      </c>
      <c r="J887">
        <v>2022</v>
      </c>
      <c r="K887" t="s">
        <v>60</v>
      </c>
      <c r="N887" t="s">
        <v>99</v>
      </c>
      <c r="AI887">
        <f t="shared" si="27"/>
        <v>1</v>
      </c>
      <c r="AJ887">
        <f>'TABLA PREVIOS'!E887</f>
        <v>288</v>
      </c>
      <c r="AK887">
        <f>VLOOKUP(E887,ALUMNOS!A:B,2,FALSE)</f>
        <v>229</v>
      </c>
    </row>
    <row r="888" spans="2:37" x14ac:dyDescent="0.25">
      <c r="B888" t="str">
        <f t="shared" si="26"/>
        <v>46342180SISTEMAS DE INFORMACIÓN CONTABLE6º</v>
      </c>
      <c r="C888" t="s">
        <v>353</v>
      </c>
      <c r="E888">
        <v>46342180</v>
      </c>
      <c r="F888" t="s">
        <v>362</v>
      </c>
      <c r="G888" t="s">
        <v>29</v>
      </c>
      <c r="H888" t="s">
        <v>245</v>
      </c>
      <c r="I888" t="s">
        <v>43</v>
      </c>
      <c r="J888">
        <v>2022</v>
      </c>
      <c r="K888" t="s">
        <v>60</v>
      </c>
      <c r="N888" t="s">
        <v>99</v>
      </c>
      <c r="AI888">
        <f t="shared" si="27"/>
        <v>1</v>
      </c>
      <c r="AJ888">
        <f>'TABLA PREVIOS'!E888</f>
        <v>290</v>
      </c>
      <c r="AK888">
        <f>VLOOKUP(E888,ALUMNOS!A:B,2,FALSE)</f>
        <v>229</v>
      </c>
    </row>
    <row r="889" spans="2:37" x14ac:dyDescent="0.25">
      <c r="B889" t="str">
        <f t="shared" si="26"/>
        <v>46035118ECONOMÍA Y DESARROLLO SUSTENTABLE4º</v>
      </c>
      <c r="C889" t="s">
        <v>353</v>
      </c>
      <c r="E889">
        <v>46035118</v>
      </c>
      <c r="F889" t="s">
        <v>364</v>
      </c>
      <c r="G889" t="s">
        <v>31</v>
      </c>
      <c r="H889" t="s">
        <v>190</v>
      </c>
      <c r="I889" t="s">
        <v>43</v>
      </c>
      <c r="J889">
        <v>2020</v>
      </c>
      <c r="K889" t="s">
        <v>60</v>
      </c>
      <c r="N889" t="s">
        <v>99</v>
      </c>
      <c r="AI889">
        <f t="shared" si="27"/>
        <v>1</v>
      </c>
      <c r="AJ889">
        <f>'TABLA PREVIOS'!E889</f>
        <v>261</v>
      </c>
      <c r="AK889">
        <f>VLOOKUP(E889,ALUMNOS!A:B,2,FALSE)</f>
        <v>274</v>
      </c>
    </row>
    <row r="890" spans="2:37" x14ac:dyDescent="0.25">
      <c r="B890" t="str">
        <f t="shared" si="26"/>
        <v>46035118SISTEMAS DE INFORMACIÓN CONTABLE4º</v>
      </c>
      <c r="C890" t="s">
        <v>353</v>
      </c>
      <c r="E890">
        <v>46035118</v>
      </c>
      <c r="F890" t="s">
        <v>364</v>
      </c>
      <c r="G890" t="s">
        <v>29</v>
      </c>
      <c r="H890" t="s">
        <v>190</v>
      </c>
      <c r="I890" t="s">
        <v>43</v>
      </c>
      <c r="J890">
        <v>2020</v>
      </c>
      <c r="K890" t="s">
        <v>60</v>
      </c>
      <c r="M890" t="s">
        <v>365</v>
      </c>
      <c r="N890" t="s">
        <v>99</v>
      </c>
      <c r="AI890">
        <f t="shared" si="27"/>
        <v>1</v>
      </c>
      <c r="AJ890">
        <f>'TABLA PREVIOS'!E890</f>
        <v>259</v>
      </c>
      <c r="AK890">
        <f>VLOOKUP(E890,ALUMNOS!A:B,2,FALSE)</f>
        <v>274</v>
      </c>
    </row>
    <row r="891" spans="2:37" x14ac:dyDescent="0.25">
      <c r="B891" t="str">
        <f t="shared" si="26"/>
        <v>46035118MATEMÁTICA5º</v>
      </c>
      <c r="C891" t="s">
        <v>353</v>
      </c>
      <c r="E891">
        <v>46035118</v>
      </c>
      <c r="F891" t="s">
        <v>364</v>
      </c>
      <c r="G891" t="s">
        <v>12</v>
      </c>
      <c r="H891" t="s">
        <v>220</v>
      </c>
      <c r="I891" t="s">
        <v>43</v>
      </c>
      <c r="J891">
        <v>2021</v>
      </c>
      <c r="K891" t="s">
        <v>60</v>
      </c>
      <c r="N891" t="s">
        <v>99</v>
      </c>
      <c r="AI891">
        <f t="shared" si="27"/>
        <v>1</v>
      </c>
      <c r="AJ891">
        <f>'TABLA PREVIOS'!E891</f>
        <v>265</v>
      </c>
      <c r="AK891">
        <f>VLOOKUP(E891,ALUMNOS!A:B,2,FALSE)</f>
        <v>274</v>
      </c>
    </row>
    <row r="892" spans="2:37" x14ac:dyDescent="0.25">
      <c r="B892" t="str">
        <f t="shared" si="26"/>
        <v>46035118LENGUA EXTRANJERA - INGLÉS6º</v>
      </c>
      <c r="C892" t="s">
        <v>353</v>
      </c>
      <c r="E892">
        <v>46035118</v>
      </c>
      <c r="F892" t="s">
        <v>364</v>
      </c>
      <c r="G892" t="s">
        <v>16</v>
      </c>
      <c r="H892" t="s">
        <v>245</v>
      </c>
      <c r="I892" t="s">
        <v>43</v>
      </c>
      <c r="J892">
        <v>2022</v>
      </c>
      <c r="K892" t="s">
        <v>60</v>
      </c>
      <c r="N892" t="s">
        <v>99</v>
      </c>
      <c r="AI892">
        <f t="shared" si="27"/>
        <v>1</v>
      </c>
      <c r="AJ892">
        <f>'TABLA PREVIOS'!E892</f>
        <v>282</v>
      </c>
      <c r="AK892">
        <f>VLOOKUP(E892,ALUMNOS!A:B,2,FALSE)</f>
        <v>274</v>
      </c>
    </row>
    <row r="893" spans="2:37" x14ac:dyDescent="0.25">
      <c r="B893" t="str">
        <f t="shared" si="26"/>
        <v>46035108LENGUA EXTRANJERA - INGLÉS5º</v>
      </c>
      <c r="C893" t="s">
        <v>353</v>
      </c>
      <c r="E893">
        <v>46035108</v>
      </c>
      <c r="F893" t="s">
        <v>366</v>
      </c>
      <c r="G893" t="s">
        <v>16</v>
      </c>
      <c r="H893" t="s">
        <v>220</v>
      </c>
      <c r="I893" t="s">
        <v>43</v>
      </c>
      <c r="J893">
        <v>2021</v>
      </c>
      <c r="K893" t="s">
        <v>60</v>
      </c>
      <c r="N893" t="s">
        <v>99</v>
      </c>
      <c r="AI893">
        <f t="shared" si="27"/>
        <v>1</v>
      </c>
      <c r="AJ893">
        <f>'TABLA PREVIOS'!E893</f>
        <v>269</v>
      </c>
      <c r="AK893">
        <f>VLOOKUP(E893,ALUMNOS!A:B,2,FALSE)</f>
        <v>394</v>
      </c>
    </row>
    <row r="894" spans="2:37" x14ac:dyDescent="0.25">
      <c r="B894" t="str">
        <f t="shared" si="26"/>
        <v>46035108MATEMÁTICA5º</v>
      </c>
      <c r="C894" t="s">
        <v>353</v>
      </c>
      <c r="E894">
        <v>46035108</v>
      </c>
      <c r="F894" t="s">
        <v>366</v>
      </c>
      <c r="G894" t="s">
        <v>12</v>
      </c>
      <c r="H894" t="s">
        <v>220</v>
      </c>
      <c r="I894" t="s">
        <v>43</v>
      </c>
      <c r="J894">
        <v>2021</v>
      </c>
      <c r="K894" t="s">
        <v>60</v>
      </c>
      <c r="N894" t="s">
        <v>99</v>
      </c>
      <c r="AI894">
        <f t="shared" si="27"/>
        <v>1</v>
      </c>
      <c r="AJ894">
        <f>'TABLA PREVIOS'!E894</f>
        <v>265</v>
      </c>
      <c r="AK894">
        <f>VLOOKUP(E894,ALUMNOS!A:B,2,FALSE)</f>
        <v>394</v>
      </c>
    </row>
    <row r="895" spans="2:37" x14ac:dyDescent="0.25">
      <c r="B895" t="str">
        <f t="shared" si="26"/>
        <v>46035108LENGUA EXTRANJERA - INGLÉS6º</v>
      </c>
      <c r="C895" t="s">
        <v>353</v>
      </c>
      <c r="E895">
        <v>46035108</v>
      </c>
      <c r="F895" t="s">
        <v>366</v>
      </c>
      <c r="G895" t="s">
        <v>16</v>
      </c>
      <c r="H895" t="s">
        <v>245</v>
      </c>
      <c r="I895" t="s">
        <v>43</v>
      </c>
      <c r="J895">
        <v>2022</v>
      </c>
      <c r="K895" t="s">
        <v>60</v>
      </c>
      <c r="N895" t="s">
        <v>99</v>
      </c>
      <c r="AI895">
        <f t="shared" si="27"/>
        <v>1</v>
      </c>
      <c r="AJ895">
        <f>'TABLA PREVIOS'!E895</f>
        <v>282</v>
      </c>
      <c r="AK895">
        <f>VLOOKUP(E895,ALUMNOS!A:B,2,FALSE)</f>
        <v>394</v>
      </c>
    </row>
    <row r="896" spans="2:37" x14ac:dyDescent="0.25">
      <c r="B896" t="str">
        <f t="shared" si="26"/>
        <v>46035108SISTEMAS DE INFORMACIÓN CONTABLE6º</v>
      </c>
      <c r="C896" t="s">
        <v>353</v>
      </c>
      <c r="E896">
        <v>46035108</v>
      </c>
      <c r="F896" t="s">
        <v>366</v>
      </c>
      <c r="G896" t="s">
        <v>29</v>
      </c>
      <c r="H896" t="s">
        <v>245</v>
      </c>
      <c r="I896" t="s">
        <v>43</v>
      </c>
      <c r="J896">
        <v>2022</v>
      </c>
      <c r="K896" t="s">
        <v>60</v>
      </c>
      <c r="N896" t="s">
        <v>99</v>
      </c>
      <c r="AI896">
        <f t="shared" si="27"/>
        <v>1</v>
      </c>
      <c r="AJ896">
        <f>'TABLA PREVIOS'!E896</f>
        <v>290</v>
      </c>
      <c r="AK896">
        <f>VLOOKUP(E896,ALUMNOS!A:B,2,FALSE)</f>
        <v>394</v>
      </c>
    </row>
    <row r="897" spans="2:37" x14ac:dyDescent="0.25">
      <c r="B897" t="str">
        <f t="shared" si="26"/>
        <v>46435175SISTEMAS DE INFORMACIÓN CONTABLE4º</v>
      </c>
      <c r="C897" t="s">
        <v>353</v>
      </c>
      <c r="E897">
        <v>46435175</v>
      </c>
      <c r="F897" t="s">
        <v>367</v>
      </c>
      <c r="G897" t="s">
        <v>29</v>
      </c>
      <c r="H897" t="s">
        <v>190</v>
      </c>
      <c r="I897" t="s">
        <v>43</v>
      </c>
      <c r="J897">
        <v>2020</v>
      </c>
      <c r="K897" t="s">
        <v>60</v>
      </c>
      <c r="N897" t="s">
        <v>99</v>
      </c>
      <c r="AI897">
        <f t="shared" si="27"/>
        <v>1</v>
      </c>
      <c r="AJ897">
        <f>'TABLA PREVIOS'!E897</f>
        <v>259</v>
      </c>
      <c r="AK897">
        <f>VLOOKUP(E897,ALUMNOS!A:B,2,FALSE)</f>
        <v>417</v>
      </c>
    </row>
    <row r="898" spans="2:37" x14ac:dyDescent="0.25">
      <c r="B898" t="str">
        <f t="shared" si="26"/>
        <v>46435175ADMINISTRACIÓN5º</v>
      </c>
      <c r="C898" t="s">
        <v>353</v>
      </c>
      <c r="E898">
        <v>46435175</v>
      </c>
      <c r="F898" t="s">
        <v>367</v>
      </c>
      <c r="G898" t="s">
        <v>30</v>
      </c>
      <c r="H898" t="s">
        <v>220</v>
      </c>
      <c r="I898" t="s">
        <v>43</v>
      </c>
      <c r="J898">
        <v>2021</v>
      </c>
      <c r="K898" t="s">
        <v>60</v>
      </c>
      <c r="N898" t="s">
        <v>99</v>
      </c>
      <c r="AI898">
        <f t="shared" si="27"/>
        <v>1</v>
      </c>
      <c r="AJ898">
        <f>'TABLA PREVIOS'!E898</f>
        <v>274</v>
      </c>
      <c r="AK898">
        <f>VLOOKUP(E898,ALUMNOS!A:B,2,FALSE)</f>
        <v>417</v>
      </c>
    </row>
    <row r="899" spans="2:37" x14ac:dyDescent="0.25">
      <c r="B899" t="str">
        <f t="shared" ref="B899:B962" si="28">E899&amp;G899&amp;H899</f>
        <v>46435175ADMINISTRACIÓN DE LA PRODUCCIÓN Y COMERCIALIZACIÓN5º</v>
      </c>
      <c r="C899" t="s">
        <v>353</v>
      </c>
      <c r="E899">
        <v>46435175</v>
      </c>
      <c r="F899" t="s">
        <v>367</v>
      </c>
      <c r="G899" t="s">
        <v>32</v>
      </c>
      <c r="H899" t="s">
        <v>220</v>
      </c>
      <c r="I899" t="s">
        <v>43</v>
      </c>
      <c r="J899">
        <v>2021</v>
      </c>
      <c r="K899" t="s">
        <v>60</v>
      </c>
      <c r="N899" t="s">
        <v>99</v>
      </c>
      <c r="AI899">
        <f t="shared" ref="AI899:AI962" si="29">IF(VALUE(MAX(P899,T899,X899,AB899,AE899,))&gt;=7,VALUE(MAX(P899,T899,X899,AB899,AE899,)),1)</f>
        <v>1</v>
      </c>
      <c r="AJ899">
        <f>'TABLA PREVIOS'!E899</f>
        <v>277</v>
      </c>
      <c r="AK899">
        <f>VLOOKUP(E899,ALUMNOS!A:B,2,FALSE)</f>
        <v>417</v>
      </c>
    </row>
    <row r="900" spans="2:37" x14ac:dyDescent="0.25">
      <c r="B900" t="str">
        <f t="shared" si="28"/>
        <v>46435175ADMINISTRACIÓN DE RECURSOS HUMANOS5º</v>
      </c>
      <c r="C900" t="s">
        <v>353</v>
      </c>
      <c r="E900">
        <v>46435175</v>
      </c>
      <c r="F900" t="s">
        <v>367</v>
      </c>
      <c r="G900" t="s">
        <v>35</v>
      </c>
      <c r="H900" t="s">
        <v>220</v>
      </c>
      <c r="I900" t="s">
        <v>43</v>
      </c>
      <c r="J900">
        <v>2021</v>
      </c>
      <c r="K900" t="s">
        <v>60</v>
      </c>
      <c r="N900" t="s">
        <v>99</v>
      </c>
      <c r="AI900">
        <f t="shared" si="29"/>
        <v>1</v>
      </c>
      <c r="AJ900">
        <f>'TABLA PREVIOS'!E900</f>
        <v>276</v>
      </c>
      <c r="AK900">
        <f>VLOOKUP(E900,ALUMNOS!A:B,2,FALSE)</f>
        <v>417</v>
      </c>
    </row>
    <row r="901" spans="2:37" x14ac:dyDescent="0.25">
      <c r="B901" t="str">
        <f t="shared" si="28"/>
        <v>46435175ECONOMÍA5º</v>
      </c>
      <c r="C901" t="s">
        <v>353</v>
      </c>
      <c r="E901">
        <v>46435175</v>
      </c>
      <c r="F901" t="s">
        <v>367</v>
      </c>
      <c r="G901" t="s">
        <v>34</v>
      </c>
      <c r="H901" t="s">
        <v>220</v>
      </c>
      <c r="I901" t="s">
        <v>43</v>
      </c>
      <c r="J901">
        <v>2021</v>
      </c>
      <c r="K901" t="s">
        <v>60</v>
      </c>
      <c r="N901" t="s">
        <v>99</v>
      </c>
      <c r="AI901">
        <f t="shared" si="29"/>
        <v>1</v>
      </c>
      <c r="AJ901">
        <f>'TABLA PREVIOS'!E901</f>
        <v>275</v>
      </c>
      <c r="AK901">
        <f>VLOOKUP(E901,ALUMNOS!A:B,2,FALSE)</f>
        <v>417</v>
      </c>
    </row>
    <row r="902" spans="2:37" x14ac:dyDescent="0.25">
      <c r="B902" t="str">
        <f t="shared" si="28"/>
        <v>46435175SISTEMAS DE INFORMACIÓN CONTABLE5º</v>
      </c>
      <c r="C902" t="s">
        <v>353</v>
      </c>
      <c r="E902">
        <v>46435175</v>
      </c>
      <c r="F902" t="s">
        <v>367</v>
      </c>
      <c r="G902" t="s">
        <v>29</v>
      </c>
      <c r="H902" t="s">
        <v>220</v>
      </c>
      <c r="I902" t="s">
        <v>43</v>
      </c>
      <c r="J902">
        <v>2021</v>
      </c>
      <c r="K902" t="s">
        <v>60</v>
      </c>
      <c r="N902" t="s">
        <v>99</v>
      </c>
      <c r="AI902">
        <f t="shared" si="29"/>
        <v>1</v>
      </c>
      <c r="AJ902">
        <f>'TABLA PREVIOS'!E902</f>
        <v>273</v>
      </c>
      <c r="AK902">
        <f>VLOOKUP(E902,ALUMNOS!A:B,2,FALSE)</f>
        <v>417</v>
      </c>
    </row>
    <row r="903" spans="2:37" x14ac:dyDescent="0.25">
      <c r="B903" t="str">
        <f t="shared" si="28"/>
        <v>46435175ADMINISTRACIÓN6º</v>
      </c>
      <c r="C903" t="s">
        <v>353</v>
      </c>
      <c r="E903">
        <v>46435175</v>
      </c>
      <c r="F903" t="s">
        <v>367</v>
      </c>
      <c r="G903" t="s">
        <v>30</v>
      </c>
      <c r="H903" t="s">
        <v>245</v>
      </c>
      <c r="I903" t="s">
        <v>43</v>
      </c>
      <c r="J903">
        <v>2022</v>
      </c>
      <c r="K903" t="s">
        <v>60</v>
      </c>
      <c r="N903" t="s">
        <v>99</v>
      </c>
      <c r="AI903">
        <f t="shared" si="29"/>
        <v>1</v>
      </c>
      <c r="AJ903">
        <f>'TABLA PREVIOS'!E903</f>
        <v>285</v>
      </c>
      <c r="AK903">
        <f>VLOOKUP(E903,ALUMNOS!A:B,2,FALSE)</f>
        <v>417</v>
      </c>
    </row>
    <row r="904" spans="2:37" x14ac:dyDescent="0.25">
      <c r="B904" t="str">
        <f t="shared" si="28"/>
        <v>46435175CIUDADANÍA Y POLÍTICA6º</v>
      </c>
      <c r="C904" t="s">
        <v>353</v>
      </c>
      <c r="E904">
        <v>46435175</v>
      </c>
      <c r="F904" t="s">
        <v>367</v>
      </c>
      <c r="G904" t="s">
        <v>37</v>
      </c>
      <c r="H904" t="s">
        <v>245</v>
      </c>
      <c r="I904" t="s">
        <v>43</v>
      </c>
      <c r="J904">
        <v>2022</v>
      </c>
      <c r="K904" t="s">
        <v>60</v>
      </c>
      <c r="N904" t="s">
        <v>99</v>
      </c>
      <c r="AI904">
        <f t="shared" si="29"/>
        <v>1</v>
      </c>
      <c r="AJ904">
        <f>'TABLA PREVIOS'!E904</f>
        <v>284</v>
      </c>
      <c r="AK904">
        <f>VLOOKUP(E904,ALUMNOS!A:B,2,FALSE)</f>
        <v>417</v>
      </c>
    </row>
    <row r="905" spans="2:37" x14ac:dyDescent="0.25">
      <c r="B905" t="str">
        <f t="shared" si="28"/>
        <v>46435175DERECHO6º</v>
      </c>
      <c r="C905" t="s">
        <v>353</v>
      </c>
      <c r="E905">
        <v>46435175</v>
      </c>
      <c r="F905" t="s">
        <v>367</v>
      </c>
      <c r="G905" t="s">
        <v>38</v>
      </c>
      <c r="H905" t="s">
        <v>245</v>
      </c>
      <c r="I905" t="s">
        <v>43</v>
      </c>
      <c r="J905">
        <v>2022</v>
      </c>
      <c r="K905" t="s">
        <v>60</v>
      </c>
      <c r="N905" t="s">
        <v>99</v>
      </c>
      <c r="AI905">
        <f t="shared" si="29"/>
        <v>1</v>
      </c>
      <c r="AJ905">
        <f>'TABLA PREVIOS'!E905</f>
        <v>287</v>
      </c>
      <c r="AK905">
        <f>VLOOKUP(E905,ALUMNOS!A:B,2,FALSE)</f>
        <v>417</v>
      </c>
    </row>
    <row r="906" spans="2:37" x14ac:dyDescent="0.25">
      <c r="B906" t="str">
        <f t="shared" si="28"/>
        <v>46435175ECONOMÍA6º</v>
      </c>
      <c r="C906" t="s">
        <v>353</v>
      </c>
      <c r="E906">
        <v>46435175</v>
      </c>
      <c r="F906" t="s">
        <v>367</v>
      </c>
      <c r="G906" t="s">
        <v>34</v>
      </c>
      <c r="H906" t="s">
        <v>245</v>
      </c>
      <c r="I906" t="s">
        <v>43</v>
      </c>
      <c r="J906">
        <v>2022</v>
      </c>
      <c r="K906" t="s">
        <v>60</v>
      </c>
      <c r="N906" t="s">
        <v>99</v>
      </c>
      <c r="AI906">
        <f t="shared" si="29"/>
        <v>1</v>
      </c>
      <c r="AJ906">
        <f>'TABLA PREVIOS'!E906</f>
        <v>286</v>
      </c>
      <c r="AK906">
        <f>VLOOKUP(E906,ALUMNOS!A:B,2,FALSE)</f>
        <v>417</v>
      </c>
    </row>
    <row r="907" spans="2:37" x14ac:dyDescent="0.25">
      <c r="B907" t="str">
        <f t="shared" si="28"/>
        <v>46435175FILOSOFÍA6º</v>
      </c>
      <c r="C907" t="s">
        <v>353</v>
      </c>
      <c r="E907">
        <v>46435175</v>
      </c>
      <c r="F907" t="s">
        <v>367</v>
      </c>
      <c r="G907" t="s">
        <v>41</v>
      </c>
      <c r="H907" t="s">
        <v>245</v>
      </c>
      <c r="I907" t="s">
        <v>43</v>
      </c>
      <c r="J907">
        <v>2022</v>
      </c>
      <c r="K907" t="s">
        <v>60</v>
      </c>
      <c r="N907" t="s">
        <v>99</v>
      </c>
      <c r="AI907">
        <f t="shared" si="29"/>
        <v>1</v>
      </c>
      <c r="AJ907">
        <f>'TABLA PREVIOS'!E907</f>
        <v>292</v>
      </c>
      <c r="AK907">
        <f>VLOOKUP(E907,ALUMNOS!A:B,2,FALSE)</f>
        <v>417</v>
      </c>
    </row>
    <row r="908" spans="2:37" x14ac:dyDescent="0.25">
      <c r="B908" t="str">
        <f t="shared" si="28"/>
        <v>46435175FORMACIÓN PARA LA VIDA Y EL TRABAJO6º</v>
      </c>
      <c r="C908" t="s">
        <v>353</v>
      </c>
      <c r="E908">
        <v>46435175</v>
      </c>
      <c r="F908" t="s">
        <v>367</v>
      </c>
      <c r="G908" t="s">
        <v>28</v>
      </c>
      <c r="H908" t="s">
        <v>245</v>
      </c>
      <c r="I908" t="s">
        <v>43</v>
      </c>
      <c r="J908">
        <v>2022</v>
      </c>
      <c r="K908" t="s">
        <v>60</v>
      </c>
      <c r="N908" t="s">
        <v>99</v>
      </c>
      <c r="AI908">
        <f t="shared" si="29"/>
        <v>1</v>
      </c>
      <c r="AJ908">
        <f>'TABLA PREVIOS'!E908</f>
        <v>291</v>
      </c>
      <c r="AK908">
        <f>VLOOKUP(E908,ALUMNOS!A:B,2,FALSE)</f>
        <v>417</v>
      </c>
    </row>
    <row r="909" spans="2:37" x14ac:dyDescent="0.25">
      <c r="B909" t="str">
        <f t="shared" si="28"/>
        <v>46435175LENGUA EXTRANJERA - INGLÉS6º</v>
      </c>
      <c r="C909" t="s">
        <v>353</v>
      </c>
      <c r="E909">
        <v>46435175</v>
      </c>
      <c r="F909" t="s">
        <v>367</v>
      </c>
      <c r="G909" t="s">
        <v>16</v>
      </c>
      <c r="H909" t="s">
        <v>245</v>
      </c>
      <c r="I909" t="s">
        <v>43</v>
      </c>
      <c r="J909">
        <v>2022</v>
      </c>
      <c r="K909" t="s">
        <v>60</v>
      </c>
      <c r="N909" t="s">
        <v>99</v>
      </c>
      <c r="AI909">
        <f t="shared" si="29"/>
        <v>1</v>
      </c>
      <c r="AJ909">
        <f>'TABLA PREVIOS'!E909</f>
        <v>282</v>
      </c>
      <c r="AK909">
        <f>VLOOKUP(E909,ALUMNOS!A:B,2,FALSE)</f>
        <v>417</v>
      </c>
    </row>
    <row r="910" spans="2:37" x14ac:dyDescent="0.25">
      <c r="B910" t="str">
        <f t="shared" si="28"/>
        <v>46435175LENGUA Y LITERATURA6º</v>
      </c>
      <c r="C910" t="s">
        <v>353</v>
      </c>
      <c r="E910">
        <v>46435175</v>
      </c>
      <c r="F910" t="s">
        <v>367</v>
      </c>
      <c r="G910" t="s">
        <v>11</v>
      </c>
      <c r="H910" t="s">
        <v>245</v>
      </c>
      <c r="I910" t="s">
        <v>43</v>
      </c>
      <c r="J910">
        <v>2022</v>
      </c>
      <c r="K910" t="s">
        <v>60</v>
      </c>
      <c r="N910" t="s">
        <v>99</v>
      </c>
      <c r="AI910">
        <f t="shared" si="29"/>
        <v>1</v>
      </c>
      <c r="AJ910">
        <f>'TABLA PREVIOS'!E910</f>
        <v>279</v>
      </c>
      <c r="AK910">
        <f>VLOOKUP(E910,ALUMNOS!A:B,2,FALSE)</f>
        <v>417</v>
      </c>
    </row>
    <row r="911" spans="2:37" x14ac:dyDescent="0.25">
      <c r="B911" t="str">
        <f t="shared" si="28"/>
        <v>46435175MATEMÁTICA6º</v>
      </c>
      <c r="C911" t="s">
        <v>353</v>
      </c>
      <c r="E911">
        <v>46435175</v>
      </c>
      <c r="F911" t="s">
        <v>367</v>
      </c>
      <c r="G911" t="s">
        <v>12</v>
      </c>
      <c r="H911" t="s">
        <v>245</v>
      </c>
      <c r="I911" t="s">
        <v>43</v>
      </c>
      <c r="J911">
        <v>2022</v>
      </c>
      <c r="K911" t="s">
        <v>60</v>
      </c>
      <c r="N911" t="s">
        <v>99</v>
      </c>
      <c r="AI911">
        <f t="shared" si="29"/>
        <v>1</v>
      </c>
      <c r="AJ911">
        <f>'TABLA PREVIOS'!E911</f>
        <v>280</v>
      </c>
      <c r="AK911">
        <f>VLOOKUP(E911,ALUMNOS!A:B,2,FALSE)</f>
        <v>417</v>
      </c>
    </row>
    <row r="912" spans="2:37" x14ac:dyDescent="0.25">
      <c r="B912" t="str">
        <f t="shared" si="28"/>
        <v>46435175QUÍMICA6º</v>
      </c>
      <c r="C912" t="s">
        <v>353</v>
      </c>
      <c r="E912">
        <v>46435175</v>
      </c>
      <c r="F912" t="s">
        <v>367</v>
      </c>
      <c r="G912" t="s">
        <v>25</v>
      </c>
      <c r="H912" t="s">
        <v>245</v>
      </c>
      <c r="I912" t="s">
        <v>43</v>
      </c>
      <c r="J912">
        <v>2022</v>
      </c>
      <c r="K912" t="s">
        <v>60</v>
      </c>
      <c r="N912" t="s">
        <v>99</v>
      </c>
      <c r="AI912">
        <f t="shared" si="29"/>
        <v>1</v>
      </c>
      <c r="AJ912">
        <f>'TABLA PREVIOS'!E912</f>
        <v>281</v>
      </c>
      <c r="AK912">
        <f>VLOOKUP(E912,ALUMNOS!A:B,2,FALSE)</f>
        <v>417</v>
      </c>
    </row>
    <row r="913" spans="2:37" x14ac:dyDescent="0.25">
      <c r="B913" t="str">
        <f t="shared" si="28"/>
        <v>46435175RESPONSABILIDAD SOCIAL DE LAS ORGANIZACIONES6º</v>
      </c>
      <c r="C913" t="s">
        <v>353</v>
      </c>
      <c r="E913">
        <v>46435175</v>
      </c>
      <c r="F913" t="s">
        <v>367</v>
      </c>
      <c r="G913" t="s">
        <v>39</v>
      </c>
      <c r="H913" t="s">
        <v>245</v>
      </c>
      <c r="I913" t="s">
        <v>43</v>
      </c>
      <c r="J913">
        <v>2022</v>
      </c>
      <c r="K913" t="s">
        <v>60</v>
      </c>
      <c r="N913" t="s">
        <v>99</v>
      </c>
      <c r="AI913">
        <f t="shared" si="29"/>
        <v>1</v>
      </c>
      <c r="AJ913">
        <f>'TABLA PREVIOS'!E913</f>
        <v>288</v>
      </c>
      <c r="AK913">
        <f>VLOOKUP(E913,ALUMNOS!A:B,2,FALSE)</f>
        <v>417</v>
      </c>
    </row>
    <row r="914" spans="2:37" x14ac:dyDescent="0.25">
      <c r="B914" t="str">
        <f t="shared" si="28"/>
        <v>46435175SISTEMAS DE INFORMACIÓN CONTABLE6º</v>
      </c>
      <c r="C914" t="s">
        <v>353</v>
      </c>
      <c r="E914">
        <v>46435175</v>
      </c>
      <c r="F914" t="s">
        <v>367</v>
      </c>
      <c r="G914" t="s">
        <v>29</v>
      </c>
      <c r="H914" t="s">
        <v>245</v>
      </c>
      <c r="I914" t="s">
        <v>43</v>
      </c>
      <c r="J914">
        <v>2022</v>
      </c>
      <c r="K914" t="s">
        <v>60</v>
      </c>
      <c r="N914" t="s">
        <v>99</v>
      </c>
      <c r="AI914">
        <f t="shared" si="29"/>
        <v>1</v>
      </c>
      <c r="AJ914">
        <f>'TABLA PREVIOS'!E914</f>
        <v>290</v>
      </c>
      <c r="AK914">
        <f>VLOOKUP(E914,ALUMNOS!A:B,2,FALSE)</f>
        <v>417</v>
      </c>
    </row>
    <row r="915" spans="2:37" x14ac:dyDescent="0.25">
      <c r="B915" t="str">
        <f t="shared" si="28"/>
        <v>46035117EDUCACIÓN ARTÍSTICA - MÚSICA3º</v>
      </c>
      <c r="C915" t="s">
        <v>353</v>
      </c>
      <c r="E915">
        <v>46035117</v>
      </c>
      <c r="F915" t="s">
        <v>368</v>
      </c>
      <c r="G915" t="s">
        <v>23</v>
      </c>
      <c r="H915" t="s">
        <v>143</v>
      </c>
      <c r="I915" t="s">
        <v>43</v>
      </c>
      <c r="J915">
        <v>2019</v>
      </c>
      <c r="K915" t="s">
        <v>59</v>
      </c>
      <c r="N915" t="s">
        <v>99</v>
      </c>
      <c r="AI915">
        <f t="shared" si="29"/>
        <v>1</v>
      </c>
      <c r="AJ915">
        <f>'TABLA PREVIOS'!E915</f>
        <v>247</v>
      </c>
      <c r="AK915">
        <f>VLOOKUP(E915,ALUMNOS!A:B,2,FALSE)</f>
        <v>428</v>
      </c>
    </row>
    <row r="916" spans="2:37" x14ac:dyDescent="0.25">
      <c r="B916" t="str">
        <f t="shared" si="28"/>
        <v>46035117LENGUA EXTRANJERA - INGLÉS3º</v>
      </c>
      <c r="C916" t="s">
        <v>353</v>
      </c>
      <c r="E916">
        <v>46035117</v>
      </c>
      <c r="F916" t="s">
        <v>368</v>
      </c>
      <c r="G916" t="s">
        <v>16</v>
      </c>
      <c r="H916" t="s">
        <v>143</v>
      </c>
      <c r="I916" t="s">
        <v>43</v>
      </c>
      <c r="J916">
        <v>2019</v>
      </c>
      <c r="K916" t="s">
        <v>59</v>
      </c>
      <c r="M916" t="s">
        <v>260</v>
      </c>
      <c r="N916" t="s">
        <v>99</v>
      </c>
      <c r="AI916">
        <f t="shared" si="29"/>
        <v>1</v>
      </c>
      <c r="AJ916">
        <f>'TABLA PREVIOS'!E916</f>
        <v>245</v>
      </c>
      <c r="AK916">
        <f>VLOOKUP(E916,ALUMNOS!A:B,2,FALSE)</f>
        <v>428</v>
      </c>
    </row>
    <row r="917" spans="2:37" x14ac:dyDescent="0.25">
      <c r="B917" t="str">
        <f t="shared" si="28"/>
        <v>46035117ADMINISTRACIÓN5º</v>
      </c>
      <c r="C917" t="s">
        <v>353</v>
      </c>
      <c r="E917">
        <v>46035117</v>
      </c>
      <c r="F917" t="s">
        <v>368</v>
      </c>
      <c r="G917" t="s">
        <v>30</v>
      </c>
      <c r="H917" t="s">
        <v>220</v>
      </c>
      <c r="I917" t="s">
        <v>43</v>
      </c>
      <c r="J917">
        <v>2021</v>
      </c>
      <c r="K917" t="s">
        <v>60</v>
      </c>
      <c r="N917" t="s">
        <v>99</v>
      </c>
      <c r="AI917">
        <f t="shared" si="29"/>
        <v>1</v>
      </c>
      <c r="AJ917">
        <f>'TABLA PREVIOS'!E917</f>
        <v>274</v>
      </c>
      <c r="AK917">
        <f>VLOOKUP(E917,ALUMNOS!A:B,2,FALSE)</f>
        <v>428</v>
      </c>
    </row>
    <row r="918" spans="2:37" x14ac:dyDescent="0.25">
      <c r="B918" t="str">
        <f t="shared" si="28"/>
        <v>46035117ADMINISTRACIÓN DE LA PRODUCCIÓN Y COMERCIALIZACIÓN5º</v>
      </c>
      <c r="C918" t="s">
        <v>353</v>
      </c>
      <c r="E918">
        <v>46035117</v>
      </c>
      <c r="F918" t="s">
        <v>368</v>
      </c>
      <c r="G918" t="s">
        <v>32</v>
      </c>
      <c r="H918" t="s">
        <v>220</v>
      </c>
      <c r="I918" t="s">
        <v>43</v>
      </c>
      <c r="J918">
        <v>2021</v>
      </c>
      <c r="K918" t="s">
        <v>60</v>
      </c>
      <c r="N918" t="s">
        <v>99</v>
      </c>
      <c r="AI918">
        <f t="shared" si="29"/>
        <v>1</v>
      </c>
      <c r="AJ918">
        <f>'TABLA PREVIOS'!E918</f>
        <v>277</v>
      </c>
      <c r="AK918">
        <f>VLOOKUP(E918,ALUMNOS!A:B,2,FALSE)</f>
        <v>428</v>
      </c>
    </row>
    <row r="919" spans="2:37" x14ac:dyDescent="0.25">
      <c r="B919" t="str">
        <f t="shared" si="28"/>
        <v>46035117ADMINISTRACIÓN DE RECURSOS HUMANOS5º</v>
      </c>
      <c r="C919" t="s">
        <v>353</v>
      </c>
      <c r="E919">
        <v>46035117</v>
      </c>
      <c r="F919" t="s">
        <v>368</v>
      </c>
      <c r="G919" t="s">
        <v>35</v>
      </c>
      <c r="H919" t="s">
        <v>220</v>
      </c>
      <c r="I919" t="s">
        <v>43</v>
      </c>
      <c r="J919">
        <v>2021</v>
      </c>
      <c r="K919" t="s">
        <v>60</v>
      </c>
      <c r="N919" t="s">
        <v>99</v>
      </c>
      <c r="AI919">
        <f t="shared" si="29"/>
        <v>1</v>
      </c>
      <c r="AJ919">
        <f>'TABLA PREVIOS'!E919</f>
        <v>276</v>
      </c>
      <c r="AK919">
        <f>VLOOKUP(E919,ALUMNOS!A:B,2,FALSE)</f>
        <v>428</v>
      </c>
    </row>
    <row r="920" spans="2:37" x14ac:dyDescent="0.25">
      <c r="B920" t="str">
        <f t="shared" si="28"/>
        <v>46035117ECONOMÍA5º</v>
      </c>
      <c r="C920" t="s">
        <v>353</v>
      </c>
      <c r="E920">
        <v>46035117</v>
      </c>
      <c r="F920" t="s">
        <v>368</v>
      </c>
      <c r="G920" t="s">
        <v>34</v>
      </c>
      <c r="H920" t="s">
        <v>220</v>
      </c>
      <c r="I920" t="s">
        <v>43</v>
      </c>
      <c r="J920">
        <v>2021</v>
      </c>
      <c r="K920" t="s">
        <v>60</v>
      </c>
      <c r="N920" t="s">
        <v>99</v>
      </c>
      <c r="AI920">
        <f t="shared" si="29"/>
        <v>1</v>
      </c>
      <c r="AJ920">
        <f>'TABLA PREVIOS'!E920</f>
        <v>275</v>
      </c>
      <c r="AK920">
        <f>VLOOKUP(E920,ALUMNOS!A:B,2,FALSE)</f>
        <v>428</v>
      </c>
    </row>
    <row r="921" spans="2:37" x14ac:dyDescent="0.25">
      <c r="B921" t="str">
        <f t="shared" si="28"/>
        <v>46035117SISTEMAS DE INFORMACIÓN CONTABLE5º</v>
      </c>
      <c r="C921" t="s">
        <v>353</v>
      </c>
      <c r="E921">
        <v>46035117</v>
      </c>
      <c r="F921" t="s">
        <v>368</v>
      </c>
      <c r="G921" t="s">
        <v>29</v>
      </c>
      <c r="H921" t="s">
        <v>220</v>
      </c>
      <c r="I921" t="s">
        <v>43</v>
      </c>
      <c r="J921">
        <v>2021</v>
      </c>
      <c r="K921" t="s">
        <v>60</v>
      </c>
      <c r="N921" t="s">
        <v>99</v>
      </c>
      <c r="AI921">
        <f t="shared" si="29"/>
        <v>1</v>
      </c>
      <c r="AJ921">
        <f>'TABLA PREVIOS'!E921</f>
        <v>273</v>
      </c>
      <c r="AK921">
        <f>VLOOKUP(E921,ALUMNOS!A:B,2,FALSE)</f>
        <v>428</v>
      </c>
    </row>
    <row r="922" spans="2:37" x14ac:dyDescent="0.25">
      <c r="B922" t="str">
        <f t="shared" si="28"/>
        <v>46035117MATEMÁTICA6º</v>
      </c>
      <c r="C922" t="s">
        <v>353</v>
      </c>
      <c r="E922">
        <v>46035117</v>
      </c>
      <c r="F922" t="s">
        <v>368</v>
      </c>
      <c r="G922" t="s">
        <v>12</v>
      </c>
      <c r="H922" t="s">
        <v>245</v>
      </c>
      <c r="I922" t="s">
        <v>43</v>
      </c>
      <c r="J922">
        <v>2022</v>
      </c>
      <c r="K922" t="s">
        <v>60</v>
      </c>
      <c r="N922" t="s">
        <v>99</v>
      </c>
      <c r="AI922">
        <f t="shared" si="29"/>
        <v>1</v>
      </c>
      <c r="AJ922">
        <f>'TABLA PREVIOS'!E922</f>
        <v>280</v>
      </c>
      <c r="AK922">
        <f>VLOOKUP(E922,ALUMNOS!A:B,2,FALSE)</f>
        <v>428</v>
      </c>
    </row>
    <row r="923" spans="2:37" x14ac:dyDescent="0.25">
      <c r="B923" t="str">
        <f t="shared" si="28"/>
        <v>46035190ADMINISTRACIÓN4º</v>
      </c>
      <c r="C923" t="s">
        <v>353</v>
      </c>
      <c r="E923">
        <v>46035190</v>
      </c>
      <c r="F923" t="s">
        <v>369</v>
      </c>
      <c r="G923" t="s">
        <v>30</v>
      </c>
      <c r="H923" t="s">
        <v>190</v>
      </c>
      <c r="I923" t="s">
        <v>44</v>
      </c>
      <c r="J923">
        <v>2021</v>
      </c>
      <c r="K923" t="s">
        <v>60</v>
      </c>
      <c r="L923" t="s">
        <v>370</v>
      </c>
      <c r="N923" t="s">
        <v>107</v>
      </c>
      <c r="O923">
        <v>45411</v>
      </c>
      <c r="P923">
        <v>7</v>
      </c>
      <c r="Q923">
        <v>58</v>
      </c>
      <c r="R923">
        <v>197</v>
      </c>
      <c r="AI923">
        <f t="shared" si="29"/>
        <v>7</v>
      </c>
      <c r="AJ923">
        <f>'TABLA PREVIOS'!E923</f>
        <v>260</v>
      </c>
      <c r="AK923">
        <f>VLOOKUP(E923,ALUMNOS!A:B,2,FALSE)</f>
        <v>495</v>
      </c>
    </row>
    <row r="924" spans="2:37" x14ac:dyDescent="0.25">
      <c r="B924" t="str">
        <f t="shared" si="28"/>
        <v>46035190SISTEMAS DE INFORMACIÓN CONTABLE6º</v>
      </c>
      <c r="C924" t="s">
        <v>353</v>
      </c>
      <c r="E924">
        <v>46035190</v>
      </c>
      <c r="F924" t="s">
        <v>369</v>
      </c>
      <c r="G924" t="s">
        <v>29</v>
      </c>
      <c r="H924" t="s">
        <v>245</v>
      </c>
      <c r="I924" t="s">
        <v>43</v>
      </c>
      <c r="J924">
        <v>2022</v>
      </c>
      <c r="K924" t="s">
        <v>60</v>
      </c>
      <c r="N924" t="s">
        <v>99</v>
      </c>
      <c r="AI924">
        <f t="shared" si="29"/>
        <v>1</v>
      </c>
      <c r="AJ924">
        <f>'TABLA PREVIOS'!E924</f>
        <v>290</v>
      </c>
      <c r="AK924">
        <f>VLOOKUP(E924,ALUMNOS!A:B,2,FALSE)</f>
        <v>495</v>
      </c>
    </row>
    <row r="925" spans="2:37" x14ac:dyDescent="0.25">
      <c r="B925" t="str">
        <f t="shared" si="28"/>
        <v>45085581HISTORIA4º</v>
      </c>
      <c r="C925" t="s">
        <v>353</v>
      </c>
      <c r="E925">
        <v>45085581</v>
      </c>
      <c r="F925" t="s">
        <v>371</v>
      </c>
      <c r="G925" t="s">
        <v>27</v>
      </c>
      <c r="H925" t="s">
        <v>190</v>
      </c>
      <c r="I925" t="s">
        <v>43</v>
      </c>
      <c r="J925">
        <v>2020</v>
      </c>
      <c r="K925" t="s">
        <v>60</v>
      </c>
      <c r="L925" t="s">
        <v>372</v>
      </c>
      <c r="N925" t="s">
        <v>99</v>
      </c>
      <c r="AI925">
        <f t="shared" si="29"/>
        <v>1</v>
      </c>
      <c r="AJ925">
        <f>'TABLA PREVIOS'!E925</f>
        <v>255</v>
      </c>
      <c r="AK925">
        <f>VLOOKUP(E925,ALUMNOS!A:B,2,FALSE)</f>
        <v>525</v>
      </c>
    </row>
    <row r="926" spans="2:37" x14ac:dyDescent="0.25">
      <c r="B926" t="str">
        <f t="shared" si="28"/>
        <v>45085581ADMINISTRACIÓN5º</v>
      </c>
      <c r="C926" t="s">
        <v>353</v>
      </c>
      <c r="E926">
        <v>45085581</v>
      </c>
      <c r="F926" t="s">
        <v>371</v>
      </c>
      <c r="G926" t="s">
        <v>30</v>
      </c>
      <c r="H926" t="s">
        <v>220</v>
      </c>
      <c r="I926" t="s">
        <v>43</v>
      </c>
      <c r="J926">
        <v>2021</v>
      </c>
      <c r="K926" t="s">
        <v>60</v>
      </c>
      <c r="L926" t="s">
        <v>372</v>
      </c>
      <c r="N926" t="s">
        <v>99</v>
      </c>
      <c r="AI926">
        <f t="shared" si="29"/>
        <v>1</v>
      </c>
      <c r="AJ926">
        <f>'TABLA PREVIOS'!E926</f>
        <v>274</v>
      </c>
      <c r="AK926">
        <f>VLOOKUP(E926,ALUMNOS!A:B,2,FALSE)</f>
        <v>525</v>
      </c>
    </row>
    <row r="927" spans="2:37" x14ac:dyDescent="0.25">
      <c r="B927" t="str">
        <f t="shared" si="28"/>
        <v>45085581ADMINISTRACIÓN DE LA PRODUCCIÓN Y COMERCIALIZACIÓN5º</v>
      </c>
      <c r="C927" t="s">
        <v>353</v>
      </c>
      <c r="E927">
        <v>45085581</v>
      </c>
      <c r="F927" t="s">
        <v>371</v>
      </c>
      <c r="G927" t="s">
        <v>32</v>
      </c>
      <c r="H927" t="s">
        <v>220</v>
      </c>
      <c r="I927" t="s">
        <v>43</v>
      </c>
      <c r="J927">
        <v>2021</v>
      </c>
      <c r="K927" t="s">
        <v>60</v>
      </c>
      <c r="L927" t="s">
        <v>372</v>
      </c>
      <c r="N927" t="s">
        <v>99</v>
      </c>
      <c r="AI927">
        <f t="shared" si="29"/>
        <v>1</v>
      </c>
      <c r="AJ927">
        <f>'TABLA PREVIOS'!E927</f>
        <v>277</v>
      </c>
      <c r="AK927">
        <f>VLOOKUP(E927,ALUMNOS!A:B,2,FALSE)</f>
        <v>525</v>
      </c>
    </row>
    <row r="928" spans="2:37" x14ac:dyDescent="0.25">
      <c r="B928" t="str">
        <f t="shared" si="28"/>
        <v>45085581ADMINISTRACIÓN DE RECURSOS HUMANOS5º</v>
      </c>
      <c r="C928" t="s">
        <v>353</v>
      </c>
      <c r="E928">
        <v>45085581</v>
      </c>
      <c r="F928" t="s">
        <v>371</v>
      </c>
      <c r="G928" t="s">
        <v>35</v>
      </c>
      <c r="H928" t="s">
        <v>220</v>
      </c>
      <c r="I928" t="s">
        <v>43</v>
      </c>
      <c r="J928">
        <v>2021</v>
      </c>
      <c r="K928" t="s">
        <v>60</v>
      </c>
      <c r="L928" t="s">
        <v>372</v>
      </c>
      <c r="N928" t="s">
        <v>99</v>
      </c>
      <c r="AI928">
        <f t="shared" si="29"/>
        <v>1</v>
      </c>
      <c r="AJ928">
        <f>'TABLA PREVIOS'!E928</f>
        <v>276</v>
      </c>
      <c r="AK928">
        <f>VLOOKUP(E928,ALUMNOS!A:B,2,FALSE)</f>
        <v>525</v>
      </c>
    </row>
    <row r="929" spans="2:37" x14ac:dyDescent="0.25">
      <c r="B929" t="str">
        <f t="shared" si="28"/>
        <v>45085581ECONOMÍA5º</v>
      </c>
      <c r="C929" t="s">
        <v>353</v>
      </c>
      <c r="E929">
        <v>45085581</v>
      </c>
      <c r="F929" t="s">
        <v>371</v>
      </c>
      <c r="G929" t="s">
        <v>34</v>
      </c>
      <c r="H929" t="s">
        <v>220</v>
      </c>
      <c r="I929" t="s">
        <v>43</v>
      </c>
      <c r="J929">
        <v>2021</v>
      </c>
      <c r="K929" t="s">
        <v>60</v>
      </c>
      <c r="L929" t="s">
        <v>372</v>
      </c>
      <c r="N929" t="s">
        <v>99</v>
      </c>
      <c r="AI929">
        <f t="shared" si="29"/>
        <v>1</v>
      </c>
      <c r="AJ929">
        <f>'TABLA PREVIOS'!E929</f>
        <v>275</v>
      </c>
      <c r="AK929">
        <f>VLOOKUP(E929,ALUMNOS!A:B,2,FALSE)</f>
        <v>525</v>
      </c>
    </row>
    <row r="930" spans="2:37" x14ac:dyDescent="0.25">
      <c r="B930" t="str">
        <f t="shared" si="28"/>
        <v>45085581SISTEMAS DE INFORMACIÓN CONTABLE5º</v>
      </c>
      <c r="C930" t="s">
        <v>353</v>
      </c>
      <c r="E930">
        <v>45085581</v>
      </c>
      <c r="F930" t="s">
        <v>371</v>
      </c>
      <c r="G930" t="s">
        <v>29</v>
      </c>
      <c r="H930" t="s">
        <v>220</v>
      </c>
      <c r="I930" t="s">
        <v>43</v>
      </c>
      <c r="J930">
        <v>2021</v>
      </c>
      <c r="K930" t="s">
        <v>60</v>
      </c>
      <c r="L930" t="s">
        <v>372</v>
      </c>
      <c r="N930" t="s">
        <v>99</v>
      </c>
      <c r="AI930">
        <f t="shared" si="29"/>
        <v>1</v>
      </c>
      <c r="AJ930">
        <f>'TABLA PREVIOS'!E930</f>
        <v>273</v>
      </c>
      <c r="AK930">
        <f>VLOOKUP(E930,ALUMNOS!A:B,2,FALSE)</f>
        <v>525</v>
      </c>
    </row>
    <row r="931" spans="2:37" x14ac:dyDescent="0.25">
      <c r="B931" t="str">
        <f t="shared" si="28"/>
        <v>45085581ECONOMÍA6º</v>
      </c>
      <c r="C931" t="s">
        <v>353</v>
      </c>
      <c r="E931">
        <v>45085581</v>
      </c>
      <c r="F931" t="s">
        <v>371</v>
      </c>
      <c r="G931" t="s">
        <v>34</v>
      </c>
      <c r="H931" t="s">
        <v>245</v>
      </c>
      <c r="I931" t="s">
        <v>43</v>
      </c>
      <c r="J931">
        <v>2022</v>
      </c>
      <c r="K931" t="s">
        <v>60</v>
      </c>
      <c r="N931" t="s">
        <v>99</v>
      </c>
      <c r="AI931">
        <f t="shared" si="29"/>
        <v>1</v>
      </c>
      <c r="AJ931">
        <f>'TABLA PREVIOS'!E931</f>
        <v>286</v>
      </c>
      <c r="AK931">
        <f>VLOOKUP(E931,ALUMNOS!A:B,2,FALSE)</f>
        <v>525</v>
      </c>
    </row>
    <row r="932" spans="2:37" x14ac:dyDescent="0.25">
      <c r="B932" t="str">
        <f t="shared" si="28"/>
        <v>45085581EDUCACIÓN FÍSICA6º</v>
      </c>
      <c r="C932" t="s">
        <v>353</v>
      </c>
      <c r="E932">
        <v>45085581</v>
      </c>
      <c r="F932" t="s">
        <v>371</v>
      </c>
      <c r="G932" t="s">
        <v>10</v>
      </c>
      <c r="H932" t="s">
        <v>245</v>
      </c>
      <c r="I932" t="s">
        <v>43</v>
      </c>
      <c r="J932">
        <v>2022</v>
      </c>
      <c r="K932" t="s">
        <v>60</v>
      </c>
      <c r="N932" t="s">
        <v>99</v>
      </c>
      <c r="AI932">
        <f t="shared" si="29"/>
        <v>1</v>
      </c>
      <c r="AJ932">
        <f>'TABLA PREVIOS'!E932</f>
        <v>278</v>
      </c>
      <c r="AK932">
        <f>VLOOKUP(E932,ALUMNOS!A:B,2,FALSE)</f>
        <v>525</v>
      </c>
    </row>
    <row r="933" spans="2:37" x14ac:dyDescent="0.25">
      <c r="B933" t="str">
        <f t="shared" si="28"/>
        <v>45085581FILOSOFÍA6º</v>
      </c>
      <c r="C933" t="s">
        <v>353</v>
      </c>
      <c r="E933">
        <v>45085581</v>
      </c>
      <c r="F933" t="s">
        <v>371</v>
      </c>
      <c r="G933" t="s">
        <v>41</v>
      </c>
      <c r="H933" t="s">
        <v>245</v>
      </c>
      <c r="I933" t="s">
        <v>43</v>
      </c>
      <c r="J933">
        <v>2022</v>
      </c>
      <c r="K933" t="s">
        <v>60</v>
      </c>
      <c r="N933" t="s">
        <v>99</v>
      </c>
      <c r="AI933">
        <f t="shared" si="29"/>
        <v>1</v>
      </c>
      <c r="AJ933">
        <f>'TABLA PREVIOS'!E933</f>
        <v>292</v>
      </c>
      <c r="AK933">
        <f>VLOOKUP(E933,ALUMNOS!A:B,2,FALSE)</f>
        <v>525</v>
      </c>
    </row>
    <row r="934" spans="2:37" x14ac:dyDescent="0.25">
      <c r="B934" t="str">
        <f t="shared" si="28"/>
        <v>45085581SISTEMAS DE INFORMACIÓN CONTABLE6º</v>
      </c>
      <c r="C934" t="s">
        <v>353</v>
      </c>
      <c r="E934">
        <v>45085581</v>
      </c>
      <c r="F934" t="s">
        <v>371</v>
      </c>
      <c r="G934" t="s">
        <v>29</v>
      </c>
      <c r="H934" t="s">
        <v>245</v>
      </c>
      <c r="I934" t="s">
        <v>43</v>
      </c>
      <c r="J934">
        <v>2022</v>
      </c>
      <c r="K934" t="s">
        <v>60</v>
      </c>
      <c r="N934" t="s">
        <v>99</v>
      </c>
      <c r="AI934">
        <f t="shared" si="29"/>
        <v>1</v>
      </c>
      <c r="AJ934">
        <f>'TABLA PREVIOS'!E934</f>
        <v>290</v>
      </c>
      <c r="AK934">
        <f>VLOOKUP(E934,ALUMNOS!A:B,2,FALSE)</f>
        <v>525</v>
      </c>
    </row>
    <row r="935" spans="2:37" x14ac:dyDescent="0.25">
      <c r="B935" t="str">
        <f t="shared" si="28"/>
        <v>45698135LENGUA EXTRANJERA - INGLÉS6º</v>
      </c>
      <c r="C935" t="s">
        <v>353</v>
      </c>
      <c r="E935">
        <v>45698135</v>
      </c>
      <c r="F935" t="s">
        <v>373</v>
      </c>
      <c r="G935" t="s">
        <v>16</v>
      </c>
      <c r="H935" t="s">
        <v>245</v>
      </c>
      <c r="I935" t="s">
        <v>43</v>
      </c>
      <c r="J935">
        <v>2022</v>
      </c>
      <c r="K935" t="s">
        <v>60</v>
      </c>
      <c r="N935" t="s">
        <v>99</v>
      </c>
      <c r="AI935">
        <f t="shared" si="29"/>
        <v>1</v>
      </c>
      <c r="AJ935">
        <f>'TABLA PREVIOS'!E935</f>
        <v>282</v>
      </c>
      <c r="AK935">
        <f>VLOOKUP(E935,ALUMNOS!A:B,2,FALSE)</f>
        <v>526</v>
      </c>
    </row>
    <row r="936" spans="2:37" x14ac:dyDescent="0.25">
      <c r="B936" t="str">
        <f t="shared" si="28"/>
        <v>45520806ECONOMÍA6º</v>
      </c>
      <c r="C936" t="s">
        <v>353</v>
      </c>
      <c r="E936">
        <v>45520806</v>
      </c>
      <c r="F936" t="s">
        <v>374</v>
      </c>
      <c r="G936" t="s">
        <v>34</v>
      </c>
      <c r="H936" t="s">
        <v>245</v>
      </c>
      <c r="I936" t="s">
        <v>43</v>
      </c>
      <c r="J936">
        <v>2022</v>
      </c>
      <c r="K936" t="s">
        <v>60</v>
      </c>
      <c r="N936" t="s">
        <v>99</v>
      </c>
      <c r="AI936">
        <f t="shared" si="29"/>
        <v>1</v>
      </c>
      <c r="AJ936">
        <f>'TABLA PREVIOS'!E936</f>
        <v>286</v>
      </c>
      <c r="AK936">
        <f>VLOOKUP(E936,ALUMNOS!A:B,2,FALSE)</f>
        <v>541</v>
      </c>
    </row>
    <row r="937" spans="2:37" x14ac:dyDescent="0.25">
      <c r="B937" t="str">
        <f t="shared" si="28"/>
        <v>46035180ECONOMÍA6º</v>
      </c>
      <c r="C937" t="s">
        <v>353</v>
      </c>
      <c r="E937">
        <v>46035180</v>
      </c>
      <c r="F937" t="s">
        <v>375</v>
      </c>
      <c r="G937" t="s">
        <v>34</v>
      </c>
      <c r="H937" t="s">
        <v>245</v>
      </c>
      <c r="I937" t="s">
        <v>43</v>
      </c>
      <c r="J937">
        <v>2022</v>
      </c>
      <c r="K937" t="s">
        <v>60</v>
      </c>
      <c r="N937" t="s">
        <v>99</v>
      </c>
      <c r="AI937">
        <f t="shared" si="29"/>
        <v>1</v>
      </c>
      <c r="AJ937">
        <f>'TABLA PREVIOS'!E937</f>
        <v>286</v>
      </c>
      <c r="AK937">
        <f>VLOOKUP(E937,ALUMNOS!A:B,2,FALSE)</f>
        <v>551</v>
      </c>
    </row>
    <row r="938" spans="2:37" x14ac:dyDescent="0.25">
      <c r="B938" t="str">
        <f t="shared" si="28"/>
        <v>46035180LENGUA Y LITERATURA6º</v>
      </c>
      <c r="C938" t="s">
        <v>353</v>
      </c>
      <c r="E938">
        <v>46035180</v>
      </c>
      <c r="F938" t="s">
        <v>375</v>
      </c>
      <c r="G938" t="s">
        <v>11</v>
      </c>
      <c r="H938" t="s">
        <v>245</v>
      </c>
      <c r="I938" t="s">
        <v>43</v>
      </c>
      <c r="J938">
        <v>2022</v>
      </c>
      <c r="K938" t="s">
        <v>60</v>
      </c>
      <c r="N938" t="s">
        <v>99</v>
      </c>
      <c r="AI938">
        <f t="shared" si="29"/>
        <v>1</v>
      </c>
      <c r="AJ938">
        <f>'TABLA PREVIOS'!E938</f>
        <v>279</v>
      </c>
      <c r="AK938">
        <f>VLOOKUP(E938,ALUMNOS!A:B,2,FALSE)</f>
        <v>551</v>
      </c>
    </row>
    <row r="939" spans="2:37" x14ac:dyDescent="0.25">
      <c r="B939" t="str">
        <f t="shared" si="28"/>
        <v>46035180MATEMÁTICA6º</v>
      </c>
      <c r="C939" t="s">
        <v>353</v>
      </c>
      <c r="E939">
        <v>46035180</v>
      </c>
      <c r="F939" t="s">
        <v>375</v>
      </c>
      <c r="G939" t="s">
        <v>12</v>
      </c>
      <c r="H939" t="s">
        <v>245</v>
      </c>
      <c r="I939" t="s">
        <v>43</v>
      </c>
      <c r="J939">
        <v>2022</v>
      </c>
      <c r="K939" t="s">
        <v>60</v>
      </c>
      <c r="N939" t="s">
        <v>99</v>
      </c>
      <c r="AI939">
        <f t="shared" si="29"/>
        <v>1</v>
      </c>
      <c r="AJ939">
        <f>'TABLA PREVIOS'!E939</f>
        <v>280</v>
      </c>
      <c r="AK939">
        <f>VLOOKUP(E939,ALUMNOS!A:B,2,FALSE)</f>
        <v>551</v>
      </c>
    </row>
    <row r="940" spans="2:37" x14ac:dyDescent="0.25">
      <c r="B940" t="str">
        <f t="shared" si="28"/>
        <v>46035180SISTEMAS DE INFORMACIÓN CONTABLE6º</v>
      </c>
      <c r="C940" t="s">
        <v>353</v>
      </c>
      <c r="E940">
        <v>46035180</v>
      </c>
      <c r="F940" t="s">
        <v>375</v>
      </c>
      <c r="G940" t="s">
        <v>29</v>
      </c>
      <c r="H940" t="s">
        <v>245</v>
      </c>
      <c r="I940" t="s">
        <v>43</v>
      </c>
      <c r="J940">
        <v>2022</v>
      </c>
      <c r="K940" t="s">
        <v>60</v>
      </c>
      <c r="N940" t="s">
        <v>99</v>
      </c>
      <c r="AI940">
        <f t="shared" si="29"/>
        <v>1</v>
      </c>
      <c r="AJ940">
        <f>'TABLA PREVIOS'!E940</f>
        <v>290</v>
      </c>
      <c r="AK940">
        <f>VLOOKUP(E940,ALUMNOS!A:B,2,FALSE)</f>
        <v>551</v>
      </c>
    </row>
    <row r="941" spans="2:37" x14ac:dyDescent="0.25">
      <c r="B941" t="str">
        <f t="shared" si="28"/>
        <v>46507486HISTORIA3º</v>
      </c>
      <c r="C941" t="s">
        <v>353</v>
      </c>
      <c r="E941">
        <v>46507486</v>
      </c>
      <c r="F941" t="s">
        <v>376</v>
      </c>
      <c r="G941" t="s">
        <v>27</v>
      </c>
      <c r="H941" t="s">
        <v>143</v>
      </c>
      <c r="I941" t="s">
        <v>43</v>
      </c>
      <c r="J941">
        <v>2019</v>
      </c>
      <c r="K941" t="s">
        <v>59</v>
      </c>
      <c r="M941" t="s">
        <v>4</v>
      </c>
      <c r="N941" t="s">
        <v>99</v>
      </c>
      <c r="AI941">
        <f t="shared" si="29"/>
        <v>1</v>
      </c>
      <c r="AJ941">
        <f>'TABLA PREVIOS'!E941</f>
        <v>244</v>
      </c>
      <c r="AK941">
        <f>VLOOKUP(E941,ALUMNOS!A:B,2,FALSE)</f>
        <v>575</v>
      </c>
    </row>
    <row r="942" spans="2:37" x14ac:dyDescent="0.25">
      <c r="B942" t="str">
        <f t="shared" si="28"/>
        <v>46507486EDUCACIÓN ARTÍSTICA - ARTES VISUALES4º</v>
      </c>
      <c r="C942" t="s">
        <v>353</v>
      </c>
      <c r="E942">
        <v>46507486</v>
      </c>
      <c r="F942" t="s">
        <v>376</v>
      </c>
      <c r="G942" t="s">
        <v>17</v>
      </c>
      <c r="H942" t="s">
        <v>190</v>
      </c>
      <c r="I942" t="s">
        <v>43</v>
      </c>
      <c r="J942">
        <v>2020</v>
      </c>
      <c r="K942" t="s">
        <v>60</v>
      </c>
      <c r="N942" t="s">
        <v>99</v>
      </c>
      <c r="AI942">
        <f t="shared" si="29"/>
        <v>1</v>
      </c>
      <c r="AJ942">
        <f>'TABLA PREVIOS'!E942</f>
        <v>257</v>
      </c>
      <c r="AK942">
        <f>VLOOKUP(E942,ALUMNOS!A:B,2,FALSE)</f>
        <v>575</v>
      </c>
    </row>
    <row r="943" spans="2:37" x14ac:dyDescent="0.25">
      <c r="B943" t="str">
        <f t="shared" si="28"/>
        <v>46507486MATEMÁTICA5º</v>
      </c>
      <c r="C943" t="s">
        <v>353</v>
      </c>
      <c r="E943">
        <v>46507486</v>
      </c>
      <c r="F943" t="s">
        <v>376</v>
      </c>
      <c r="G943" t="s">
        <v>12</v>
      </c>
      <c r="H943" t="s">
        <v>220</v>
      </c>
      <c r="I943" t="s">
        <v>43</v>
      </c>
      <c r="J943">
        <v>2021</v>
      </c>
      <c r="K943" t="s">
        <v>60</v>
      </c>
      <c r="N943" t="s">
        <v>99</v>
      </c>
      <c r="AI943">
        <f t="shared" si="29"/>
        <v>1</v>
      </c>
      <c r="AJ943">
        <f>'TABLA PREVIOS'!E943</f>
        <v>265</v>
      </c>
      <c r="AK943">
        <f>VLOOKUP(E943,ALUMNOS!A:B,2,FALSE)</f>
        <v>575</v>
      </c>
    </row>
    <row r="944" spans="2:37" x14ac:dyDescent="0.25">
      <c r="B944" t="str">
        <f t="shared" si="28"/>
        <v>46507486ECONOMÍA6º</v>
      </c>
      <c r="C944" t="s">
        <v>353</v>
      </c>
      <c r="E944">
        <v>46507486</v>
      </c>
      <c r="F944" t="s">
        <v>376</v>
      </c>
      <c r="G944" t="s">
        <v>34</v>
      </c>
      <c r="H944" t="s">
        <v>245</v>
      </c>
      <c r="I944" t="s">
        <v>43</v>
      </c>
      <c r="J944">
        <v>2022</v>
      </c>
      <c r="K944" t="s">
        <v>60</v>
      </c>
      <c r="N944" t="s">
        <v>99</v>
      </c>
      <c r="AI944">
        <f t="shared" si="29"/>
        <v>1</v>
      </c>
      <c r="AJ944">
        <f>'TABLA PREVIOS'!E944</f>
        <v>286</v>
      </c>
      <c r="AK944">
        <f>VLOOKUP(E944,ALUMNOS!A:B,2,FALSE)</f>
        <v>575</v>
      </c>
    </row>
    <row r="945" spans="2:37" x14ac:dyDescent="0.25">
      <c r="B945" t="str">
        <f t="shared" si="28"/>
        <v>46507486FILOSOFÍA6º</v>
      </c>
      <c r="C945" t="s">
        <v>353</v>
      </c>
      <c r="E945">
        <v>46507486</v>
      </c>
      <c r="F945" t="s">
        <v>376</v>
      </c>
      <c r="G945" t="s">
        <v>41</v>
      </c>
      <c r="H945" t="s">
        <v>245</v>
      </c>
      <c r="I945" t="s">
        <v>43</v>
      </c>
      <c r="J945">
        <v>2022</v>
      </c>
      <c r="K945" t="s">
        <v>60</v>
      </c>
      <c r="N945" t="s">
        <v>99</v>
      </c>
      <c r="AI945">
        <f t="shared" si="29"/>
        <v>1</v>
      </c>
      <c r="AJ945">
        <f>'TABLA PREVIOS'!E945</f>
        <v>292</v>
      </c>
      <c r="AK945">
        <f>VLOOKUP(E945,ALUMNOS!A:B,2,FALSE)</f>
        <v>575</v>
      </c>
    </row>
    <row r="946" spans="2:37" x14ac:dyDescent="0.25">
      <c r="B946" t="str">
        <f t="shared" si="28"/>
        <v>46507486LENGUA EXTRANJERA - INGLÉS6º</v>
      </c>
      <c r="C946" t="s">
        <v>353</v>
      </c>
      <c r="E946">
        <v>46507486</v>
      </c>
      <c r="F946" t="s">
        <v>376</v>
      </c>
      <c r="G946" t="s">
        <v>16</v>
      </c>
      <c r="H946" t="s">
        <v>245</v>
      </c>
      <c r="I946" t="s">
        <v>43</v>
      </c>
      <c r="J946">
        <v>2022</v>
      </c>
      <c r="K946" t="s">
        <v>60</v>
      </c>
      <c r="N946" t="s">
        <v>99</v>
      </c>
      <c r="AI946">
        <f t="shared" si="29"/>
        <v>1</v>
      </c>
      <c r="AJ946">
        <f>'TABLA PREVIOS'!E946</f>
        <v>282</v>
      </c>
      <c r="AK946">
        <f>VLOOKUP(E946,ALUMNOS!A:B,2,FALSE)</f>
        <v>575</v>
      </c>
    </row>
    <row r="947" spans="2:37" x14ac:dyDescent="0.25">
      <c r="B947" t="str">
        <f t="shared" si="28"/>
        <v>46507486LENGUA Y LITERATURA6º</v>
      </c>
      <c r="C947" t="s">
        <v>353</v>
      </c>
      <c r="E947">
        <v>46507486</v>
      </c>
      <c r="F947" t="s">
        <v>376</v>
      </c>
      <c r="G947" t="s">
        <v>11</v>
      </c>
      <c r="H947" t="s">
        <v>245</v>
      </c>
      <c r="I947" t="s">
        <v>43</v>
      </c>
      <c r="J947">
        <v>2022</v>
      </c>
      <c r="K947" t="s">
        <v>60</v>
      </c>
      <c r="N947" t="s">
        <v>99</v>
      </c>
      <c r="AI947">
        <f t="shared" si="29"/>
        <v>1</v>
      </c>
      <c r="AJ947">
        <f>'TABLA PREVIOS'!E947</f>
        <v>279</v>
      </c>
      <c r="AK947">
        <f>VLOOKUP(E947,ALUMNOS!A:B,2,FALSE)</f>
        <v>575</v>
      </c>
    </row>
    <row r="948" spans="2:37" x14ac:dyDescent="0.25">
      <c r="B948" t="str">
        <f t="shared" si="28"/>
        <v>46507486MATEMÁTICA6º</v>
      </c>
      <c r="C948" t="s">
        <v>353</v>
      </c>
      <c r="E948">
        <v>46507486</v>
      </c>
      <c r="F948" t="s">
        <v>376</v>
      </c>
      <c r="G948" t="s">
        <v>12</v>
      </c>
      <c r="H948" t="s">
        <v>245</v>
      </c>
      <c r="I948" t="s">
        <v>43</v>
      </c>
      <c r="J948">
        <v>2022</v>
      </c>
      <c r="K948" t="s">
        <v>60</v>
      </c>
      <c r="N948" t="s">
        <v>99</v>
      </c>
      <c r="AI948">
        <f t="shared" si="29"/>
        <v>1</v>
      </c>
      <c r="AJ948">
        <f>'TABLA PREVIOS'!E948</f>
        <v>280</v>
      </c>
      <c r="AK948">
        <f>VLOOKUP(E948,ALUMNOS!A:B,2,FALSE)</f>
        <v>575</v>
      </c>
    </row>
    <row r="949" spans="2:37" x14ac:dyDescent="0.25">
      <c r="B949" t="str">
        <f t="shared" si="28"/>
        <v>46507486RESPONSABILIDAD SOCIAL DE LAS ORGANIZACIONES6º</v>
      </c>
      <c r="C949" t="s">
        <v>353</v>
      </c>
      <c r="E949">
        <v>46507486</v>
      </c>
      <c r="F949" t="s">
        <v>376</v>
      </c>
      <c r="G949" t="s">
        <v>39</v>
      </c>
      <c r="H949" t="s">
        <v>245</v>
      </c>
      <c r="I949" t="s">
        <v>43</v>
      </c>
      <c r="J949">
        <v>2022</v>
      </c>
      <c r="K949" t="s">
        <v>60</v>
      </c>
      <c r="N949" t="s">
        <v>99</v>
      </c>
      <c r="AI949">
        <f t="shared" si="29"/>
        <v>1</v>
      </c>
      <c r="AJ949">
        <f>'TABLA PREVIOS'!E949</f>
        <v>288</v>
      </c>
      <c r="AK949">
        <f>VLOOKUP(E949,ALUMNOS!A:B,2,FALSE)</f>
        <v>575</v>
      </c>
    </row>
    <row r="950" spans="2:37" x14ac:dyDescent="0.25">
      <c r="B950" t="str">
        <f t="shared" si="28"/>
        <v>46507486SISTEMAS DE INFORMACIÓN CONTABLE6º</v>
      </c>
      <c r="C950" t="s">
        <v>353</v>
      </c>
      <c r="E950">
        <v>46507486</v>
      </c>
      <c r="F950" t="s">
        <v>376</v>
      </c>
      <c r="G950" t="s">
        <v>29</v>
      </c>
      <c r="H950" t="s">
        <v>245</v>
      </c>
      <c r="I950" t="s">
        <v>43</v>
      </c>
      <c r="J950">
        <v>2022</v>
      </c>
      <c r="K950" t="s">
        <v>60</v>
      </c>
      <c r="N950" t="s">
        <v>99</v>
      </c>
      <c r="AI950">
        <f t="shared" si="29"/>
        <v>1</v>
      </c>
      <c r="AJ950">
        <f>'TABLA PREVIOS'!E950</f>
        <v>290</v>
      </c>
      <c r="AK950">
        <f>VLOOKUP(E950,ALUMNOS!A:B,2,FALSE)</f>
        <v>575</v>
      </c>
    </row>
    <row r="951" spans="2:37" x14ac:dyDescent="0.25">
      <c r="B951" t="str">
        <f t="shared" si="28"/>
        <v>46037429MATEMÁTICA3º</v>
      </c>
      <c r="C951" t="s">
        <v>353</v>
      </c>
      <c r="E951">
        <v>46037429</v>
      </c>
      <c r="F951" t="s">
        <v>377</v>
      </c>
      <c r="G951" t="s">
        <v>12</v>
      </c>
      <c r="H951" t="s">
        <v>143</v>
      </c>
      <c r="I951" t="s">
        <v>43</v>
      </c>
      <c r="J951">
        <v>2019</v>
      </c>
      <c r="K951" t="s">
        <v>59</v>
      </c>
      <c r="N951" t="s">
        <v>99</v>
      </c>
      <c r="AI951">
        <f t="shared" si="29"/>
        <v>1</v>
      </c>
      <c r="AJ951">
        <f>'TABLA PREVIOS'!E951</f>
        <v>240</v>
      </c>
      <c r="AK951">
        <f>VLOOKUP(E951,ALUMNOS!A:B,2,FALSE)</f>
        <v>580</v>
      </c>
    </row>
    <row r="952" spans="2:37" x14ac:dyDescent="0.25">
      <c r="B952" t="str">
        <f t="shared" si="28"/>
        <v>46037429MATEMÁTICA4º</v>
      </c>
      <c r="C952" t="s">
        <v>353</v>
      </c>
      <c r="E952">
        <v>46037429</v>
      </c>
      <c r="F952" t="s">
        <v>377</v>
      </c>
      <c r="G952" t="s">
        <v>12</v>
      </c>
      <c r="H952" t="s">
        <v>190</v>
      </c>
      <c r="I952" t="s">
        <v>43</v>
      </c>
      <c r="J952">
        <v>2020</v>
      </c>
      <c r="K952" t="s">
        <v>60</v>
      </c>
      <c r="N952" t="s">
        <v>99</v>
      </c>
      <c r="AI952">
        <f t="shared" si="29"/>
        <v>1</v>
      </c>
      <c r="AJ952">
        <f>'TABLA PREVIOS'!E952</f>
        <v>252</v>
      </c>
      <c r="AK952">
        <f>VLOOKUP(E952,ALUMNOS!A:B,2,FALSE)</f>
        <v>580</v>
      </c>
    </row>
    <row r="953" spans="2:37" x14ac:dyDescent="0.25">
      <c r="B953" t="str">
        <f t="shared" si="28"/>
        <v>46037429ADMINISTRACIÓN5º</v>
      </c>
      <c r="C953" t="s">
        <v>353</v>
      </c>
      <c r="E953">
        <v>46037429</v>
      </c>
      <c r="F953" t="s">
        <v>377</v>
      </c>
      <c r="G953" t="s">
        <v>30</v>
      </c>
      <c r="H953" t="s">
        <v>220</v>
      </c>
      <c r="I953" t="s">
        <v>43</v>
      </c>
      <c r="J953">
        <v>2021</v>
      </c>
      <c r="K953" t="s">
        <v>60</v>
      </c>
      <c r="M953" t="s">
        <v>356</v>
      </c>
      <c r="N953" t="s">
        <v>99</v>
      </c>
      <c r="AI953">
        <f t="shared" si="29"/>
        <v>1</v>
      </c>
      <c r="AJ953">
        <f>'TABLA PREVIOS'!E953</f>
        <v>274</v>
      </c>
      <c r="AK953">
        <f>VLOOKUP(E953,ALUMNOS!A:B,2,FALSE)</f>
        <v>580</v>
      </c>
    </row>
    <row r="954" spans="2:37" x14ac:dyDescent="0.25">
      <c r="B954" t="str">
        <f t="shared" si="28"/>
        <v>46037429ADMINISTRACIÓN DE LA PRODUCCIÓN Y COMERCIALIZACIÓN5º</v>
      </c>
      <c r="C954" t="s">
        <v>353</v>
      </c>
      <c r="E954">
        <v>46037429</v>
      </c>
      <c r="F954" t="s">
        <v>377</v>
      </c>
      <c r="G954" t="s">
        <v>32</v>
      </c>
      <c r="H954" t="s">
        <v>220</v>
      </c>
      <c r="I954" t="s">
        <v>43</v>
      </c>
      <c r="J954">
        <v>2021</v>
      </c>
      <c r="K954" t="s">
        <v>60</v>
      </c>
      <c r="M954" t="s">
        <v>356</v>
      </c>
      <c r="N954" t="s">
        <v>99</v>
      </c>
      <c r="AI954">
        <f t="shared" si="29"/>
        <v>1</v>
      </c>
      <c r="AJ954">
        <f>'TABLA PREVIOS'!E954</f>
        <v>277</v>
      </c>
      <c r="AK954">
        <f>VLOOKUP(E954,ALUMNOS!A:B,2,FALSE)</f>
        <v>580</v>
      </c>
    </row>
    <row r="955" spans="2:37" x14ac:dyDescent="0.25">
      <c r="B955" t="str">
        <f t="shared" si="28"/>
        <v>46037429ADMINISTRACIÓN DE RECURSOS HUMANOS5º</v>
      </c>
      <c r="C955" t="s">
        <v>353</v>
      </c>
      <c r="E955">
        <v>46037429</v>
      </c>
      <c r="F955" t="s">
        <v>377</v>
      </c>
      <c r="G955" t="s">
        <v>35</v>
      </c>
      <c r="H955" t="s">
        <v>220</v>
      </c>
      <c r="I955" t="s">
        <v>43</v>
      </c>
      <c r="J955">
        <v>2021</v>
      </c>
      <c r="K955" t="s">
        <v>60</v>
      </c>
      <c r="M955" t="s">
        <v>356</v>
      </c>
      <c r="N955" t="s">
        <v>99</v>
      </c>
      <c r="AI955">
        <f t="shared" si="29"/>
        <v>1</v>
      </c>
      <c r="AJ955">
        <f>'TABLA PREVIOS'!E955</f>
        <v>276</v>
      </c>
      <c r="AK955">
        <f>VLOOKUP(E955,ALUMNOS!A:B,2,FALSE)</f>
        <v>580</v>
      </c>
    </row>
    <row r="956" spans="2:37" x14ac:dyDescent="0.25">
      <c r="B956" t="str">
        <f t="shared" si="28"/>
        <v>46037429ECONOMÍA5º</v>
      </c>
      <c r="C956" t="s">
        <v>353</v>
      </c>
      <c r="E956">
        <v>46037429</v>
      </c>
      <c r="F956" t="s">
        <v>377</v>
      </c>
      <c r="G956" t="s">
        <v>34</v>
      </c>
      <c r="H956" t="s">
        <v>220</v>
      </c>
      <c r="I956" t="s">
        <v>43</v>
      </c>
      <c r="J956">
        <v>2021</v>
      </c>
      <c r="K956" t="s">
        <v>60</v>
      </c>
      <c r="M956" t="s">
        <v>356</v>
      </c>
      <c r="N956" t="s">
        <v>99</v>
      </c>
      <c r="AI956">
        <f t="shared" si="29"/>
        <v>1</v>
      </c>
      <c r="AJ956">
        <f>'TABLA PREVIOS'!E956</f>
        <v>275</v>
      </c>
      <c r="AK956">
        <f>VLOOKUP(E956,ALUMNOS!A:B,2,FALSE)</f>
        <v>580</v>
      </c>
    </row>
    <row r="957" spans="2:37" x14ac:dyDescent="0.25">
      <c r="B957" t="str">
        <f t="shared" si="28"/>
        <v>46037429SISTEMAS DE INFORMACIÓN CONTABLE5º</v>
      </c>
      <c r="C957" t="s">
        <v>353</v>
      </c>
      <c r="E957">
        <v>46037429</v>
      </c>
      <c r="F957" t="s">
        <v>377</v>
      </c>
      <c r="G957" t="s">
        <v>29</v>
      </c>
      <c r="H957" t="s">
        <v>220</v>
      </c>
      <c r="I957" t="s">
        <v>43</v>
      </c>
      <c r="J957">
        <v>2021</v>
      </c>
      <c r="K957" t="s">
        <v>60</v>
      </c>
      <c r="M957" t="s">
        <v>356</v>
      </c>
      <c r="N957" t="s">
        <v>99</v>
      </c>
      <c r="AI957">
        <f t="shared" si="29"/>
        <v>1</v>
      </c>
      <c r="AJ957">
        <f>'TABLA PREVIOS'!E957</f>
        <v>273</v>
      </c>
      <c r="AK957">
        <f>VLOOKUP(E957,ALUMNOS!A:B,2,FALSE)</f>
        <v>580</v>
      </c>
    </row>
    <row r="958" spans="2:37" x14ac:dyDescent="0.25">
      <c r="B958" t="str">
        <f t="shared" si="28"/>
        <v>46037429ECONOMÍA6º</v>
      </c>
      <c r="C958" t="s">
        <v>353</v>
      </c>
      <c r="E958">
        <v>46037429</v>
      </c>
      <c r="F958" t="s">
        <v>377</v>
      </c>
      <c r="G958" t="s">
        <v>34</v>
      </c>
      <c r="H958" t="s">
        <v>245</v>
      </c>
      <c r="I958" t="s">
        <v>43</v>
      </c>
      <c r="J958">
        <v>2022</v>
      </c>
      <c r="K958" t="s">
        <v>60</v>
      </c>
      <c r="N958" t="s">
        <v>99</v>
      </c>
      <c r="S958">
        <v>45475</v>
      </c>
      <c r="T958">
        <v>3</v>
      </c>
      <c r="U958">
        <v>68</v>
      </c>
      <c r="V958">
        <v>83</v>
      </c>
      <c r="AI958">
        <f t="shared" si="29"/>
        <v>1</v>
      </c>
      <c r="AJ958">
        <f>'TABLA PREVIOS'!E958</f>
        <v>286</v>
      </c>
      <c r="AK958">
        <f>VLOOKUP(E958,ALUMNOS!A:B,2,FALSE)</f>
        <v>580</v>
      </c>
    </row>
    <row r="959" spans="2:37" x14ac:dyDescent="0.25">
      <c r="B959" t="str">
        <f t="shared" si="28"/>
        <v>46037429FILOSOFÍA6º</v>
      </c>
      <c r="C959" t="s">
        <v>353</v>
      </c>
      <c r="E959">
        <v>46037429</v>
      </c>
      <c r="F959" t="s">
        <v>377</v>
      </c>
      <c r="G959" t="s">
        <v>41</v>
      </c>
      <c r="H959" t="s">
        <v>245</v>
      </c>
      <c r="I959" t="s">
        <v>43</v>
      </c>
      <c r="J959">
        <v>2022</v>
      </c>
      <c r="K959" t="s">
        <v>60</v>
      </c>
      <c r="N959" t="s">
        <v>99</v>
      </c>
      <c r="S959">
        <v>45474</v>
      </c>
      <c r="T959" t="s">
        <v>50</v>
      </c>
      <c r="U959">
        <v>68</v>
      </c>
      <c r="V959">
        <v>66</v>
      </c>
      <c r="AI959">
        <f t="shared" si="29"/>
        <v>1</v>
      </c>
      <c r="AJ959">
        <f>'TABLA PREVIOS'!E959</f>
        <v>292</v>
      </c>
      <c r="AK959">
        <f>VLOOKUP(E959,ALUMNOS!A:B,2,FALSE)</f>
        <v>580</v>
      </c>
    </row>
    <row r="960" spans="2:37" x14ac:dyDescent="0.25">
      <c r="B960" t="str">
        <f t="shared" si="28"/>
        <v>46037429FORMACIÓN PARA LA VIDA Y EL TRABAJO6º</v>
      </c>
      <c r="C960" t="s">
        <v>353</v>
      </c>
      <c r="E960">
        <v>46037429</v>
      </c>
      <c r="F960" t="s">
        <v>377</v>
      </c>
      <c r="G960" t="s">
        <v>28</v>
      </c>
      <c r="H960" t="s">
        <v>245</v>
      </c>
      <c r="I960" t="s">
        <v>43</v>
      </c>
      <c r="J960">
        <v>2022</v>
      </c>
      <c r="K960" t="s">
        <v>60</v>
      </c>
      <c r="N960" t="s">
        <v>107</v>
      </c>
      <c r="S960">
        <v>45474</v>
      </c>
      <c r="T960">
        <v>7</v>
      </c>
      <c r="U960">
        <v>68</v>
      </c>
      <c r="V960">
        <v>55</v>
      </c>
      <c r="AI960">
        <f t="shared" si="29"/>
        <v>7</v>
      </c>
      <c r="AJ960">
        <f>'TABLA PREVIOS'!E960</f>
        <v>291</v>
      </c>
      <c r="AK960">
        <f>VLOOKUP(E960,ALUMNOS!A:B,2,FALSE)</f>
        <v>580</v>
      </c>
    </row>
    <row r="961" spans="2:37" x14ac:dyDescent="0.25">
      <c r="B961" t="str">
        <f t="shared" si="28"/>
        <v>46037429LENGUA EXTRANJERA - INGLÉS6º</v>
      </c>
      <c r="C961" t="s">
        <v>353</v>
      </c>
      <c r="E961">
        <v>46037429</v>
      </c>
      <c r="F961" t="s">
        <v>377</v>
      </c>
      <c r="G961" t="s">
        <v>16</v>
      </c>
      <c r="H961" t="s">
        <v>245</v>
      </c>
      <c r="I961" t="s">
        <v>43</v>
      </c>
      <c r="J961">
        <v>2022</v>
      </c>
      <c r="K961" t="s">
        <v>60</v>
      </c>
      <c r="N961" t="s">
        <v>99</v>
      </c>
      <c r="AI961">
        <f t="shared" si="29"/>
        <v>1</v>
      </c>
      <c r="AJ961">
        <f>'TABLA PREVIOS'!E961</f>
        <v>282</v>
      </c>
      <c r="AK961">
        <f>VLOOKUP(E961,ALUMNOS!A:B,2,FALSE)</f>
        <v>580</v>
      </c>
    </row>
    <row r="962" spans="2:37" x14ac:dyDescent="0.25">
      <c r="B962" t="str">
        <f t="shared" si="28"/>
        <v>46037429MATEMÁTICA6º</v>
      </c>
      <c r="C962" t="s">
        <v>353</v>
      </c>
      <c r="E962">
        <v>46037429</v>
      </c>
      <c r="F962" t="s">
        <v>377</v>
      </c>
      <c r="G962" t="s">
        <v>12</v>
      </c>
      <c r="H962" t="s">
        <v>245</v>
      </c>
      <c r="I962" t="s">
        <v>43</v>
      </c>
      <c r="J962">
        <v>2022</v>
      </c>
      <c r="K962" t="s">
        <v>60</v>
      </c>
      <c r="N962" t="s">
        <v>99</v>
      </c>
      <c r="AI962">
        <f t="shared" si="29"/>
        <v>1</v>
      </c>
      <c r="AJ962">
        <f>'TABLA PREVIOS'!E962</f>
        <v>280</v>
      </c>
      <c r="AK962">
        <f>VLOOKUP(E962,ALUMNOS!A:B,2,FALSE)</f>
        <v>580</v>
      </c>
    </row>
    <row r="963" spans="2:37" x14ac:dyDescent="0.25">
      <c r="B963" t="str">
        <f t="shared" ref="B963:B1026" si="30">E963&amp;G963&amp;H963</f>
        <v>46037429SISTEMAS DE INFORMACIÓN CONTABLE6º</v>
      </c>
      <c r="C963" t="s">
        <v>353</v>
      </c>
      <c r="E963">
        <v>46037429</v>
      </c>
      <c r="F963" t="s">
        <v>377</v>
      </c>
      <c r="G963" t="s">
        <v>29</v>
      </c>
      <c r="H963" t="s">
        <v>245</v>
      </c>
      <c r="I963" t="s">
        <v>43</v>
      </c>
      <c r="J963">
        <v>2022</v>
      </c>
      <c r="K963" t="s">
        <v>60</v>
      </c>
      <c r="N963" t="s">
        <v>99</v>
      </c>
      <c r="AI963">
        <f t="shared" ref="AI963:AI1026" si="31">IF(VALUE(MAX(P963,T963,X963,AB963,AE963,))&gt;=7,VALUE(MAX(P963,T963,X963,AB963,AE963,)),1)</f>
        <v>1</v>
      </c>
      <c r="AJ963">
        <f>'TABLA PREVIOS'!E963</f>
        <v>290</v>
      </c>
      <c r="AK963">
        <f>VLOOKUP(E963,ALUMNOS!A:B,2,FALSE)</f>
        <v>580</v>
      </c>
    </row>
    <row r="964" spans="2:37" x14ac:dyDescent="0.25">
      <c r="B964" t="str">
        <f t="shared" si="30"/>
        <v>45154730SISTEMAS DE INFORMACIÓN CONTABLE4º</v>
      </c>
      <c r="C964" t="s">
        <v>353</v>
      </c>
      <c r="E964">
        <v>45154730</v>
      </c>
      <c r="F964" t="s">
        <v>378</v>
      </c>
      <c r="G964" t="s">
        <v>29</v>
      </c>
      <c r="H964" t="s">
        <v>190</v>
      </c>
      <c r="I964" t="s">
        <v>44</v>
      </c>
      <c r="J964">
        <v>2021</v>
      </c>
      <c r="K964" t="s">
        <v>60</v>
      </c>
      <c r="N964" t="s">
        <v>99</v>
      </c>
      <c r="AI964">
        <f t="shared" si="31"/>
        <v>1</v>
      </c>
      <c r="AJ964">
        <f>'TABLA PREVIOS'!E964</f>
        <v>259</v>
      </c>
      <c r="AK964">
        <f>VLOOKUP(E964,ALUMNOS!A:B,2,FALSE)</f>
        <v>582</v>
      </c>
    </row>
    <row r="965" spans="2:37" x14ac:dyDescent="0.25">
      <c r="B965" t="str">
        <f t="shared" si="30"/>
        <v>45154730ADMINISTRACIÓN5º</v>
      </c>
      <c r="C965" t="s">
        <v>353</v>
      </c>
      <c r="E965">
        <v>45154730</v>
      </c>
      <c r="F965" t="s">
        <v>378</v>
      </c>
      <c r="G965" t="s">
        <v>30</v>
      </c>
      <c r="H965" t="s">
        <v>220</v>
      </c>
      <c r="I965" t="s">
        <v>44</v>
      </c>
      <c r="J965">
        <v>2021</v>
      </c>
      <c r="K965" t="s">
        <v>60</v>
      </c>
      <c r="N965" t="s">
        <v>99</v>
      </c>
      <c r="AI965">
        <f t="shared" si="31"/>
        <v>1</v>
      </c>
      <c r="AJ965">
        <f>'TABLA PREVIOS'!E965</f>
        <v>274</v>
      </c>
      <c r="AK965">
        <f>VLOOKUP(E965,ALUMNOS!A:B,2,FALSE)</f>
        <v>582</v>
      </c>
    </row>
    <row r="966" spans="2:37" x14ac:dyDescent="0.25">
      <c r="B966" t="str">
        <f t="shared" si="30"/>
        <v>45154730ECONOMÍA5º</v>
      </c>
      <c r="C966" t="s">
        <v>353</v>
      </c>
      <c r="E966">
        <v>45154730</v>
      </c>
      <c r="F966" t="s">
        <v>378</v>
      </c>
      <c r="G966" t="s">
        <v>34</v>
      </c>
      <c r="H966" t="s">
        <v>220</v>
      </c>
      <c r="I966" t="s">
        <v>44</v>
      </c>
      <c r="J966">
        <v>2021</v>
      </c>
      <c r="K966" t="s">
        <v>60</v>
      </c>
      <c r="N966" t="s">
        <v>99</v>
      </c>
      <c r="AI966">
        <f t="shared" si="31"/>
        <v>1</v>
      </c>
      <c r="AJ966">
        <f>'TABLA PREVIOS'!E966</f>
        <v>275</v>
      </c>
      <c r="AK966">
        <f>VLOOKUP(E966,ALUMNOS!A:B,2,FALSE)</f>
        <v>582</v>
      </c>
    </row>
    <row r="967" spans="2:37" x14ac:dyDescent="0.25">
      <c r="B967" t="str">
        <f t="shared" si="30"/>
        <v>45154730SISTEMAS DE INFORMACIÓN CONTABLE5º</v>
      </c>
      <c r="C967" t="s">
        <v>353</v>
      </c>
      <c r="E967">
        <v>45154730</v>
      </c>
      <c r="F967" t="s">
        <v>378</v>
      </c>
      <c r="G967" t="s">
        <v>29</v>
      </c>
      <c r="H967" t="s">
        <v>220</v>
      </c>
      <c r="I967" t="s">
        <v>44</v>
      </c>
      <c r="J967">
        <v>2021</v>
      </c>
      <c r="K967" t="s">
        <v>60</v>
      </c>
      <c r="N967" t="s">
        <v>99</v>
      </c>
      <c r="AI967">
        <f t="shared" si="31"/>
        <v>1</v>
      </c>
      <c r="AJ967">
        <f>'TABLA PREVIOS'!E967</f>
        <v>273</v>
      </c>
      <c r="AK967">
        <f>VLOOKUP(E967,ALUMNOS!A:B,2,FALSE)</f>
        <v>582</v>
      </c>
    </row>
    <row r="968" spans="2:37" x14ac:dyDescent="0.25">
      <c r="B968" t="str">
        <f t="shared" si="30"/>
        <v>45154730ECONOMÍA6º</v>
      </c>
      <c r="C968" t="s">
        <v>353</v>
      </c>
      <c r="E968">
        <v>45154730</v>
      </c>
      <c r="F968" t="s">
        <v>378</v>
      </c>
      <c r="G968" t="s">
        <v>34</v>
      </c>
      <c r="H968" t="s">
        <v>245</v>
      </c>
      <c r="I968" t="s">
        <v>43</v>
      </c>
      <c r="J968">
        <v>2022</v>
      </c>
      <c r="K968" t="s">
        <v>60</v>
      </c>
      <c r="N968" t="s">
        <v>99</v>
      </c>
      <c r="AI968">
        <f t="shared" si="31"/>
        <v>1</v>
      </c>
      <c r="AJ968">
        <f>'TABLA PREVIOS'!E968</f>
        <v>286</v>
      </c>
      <c r="AK968">
        <f>VLOOKUP(E968,ALUMNOS!A:B,2,FALSE)</f>
        <v>582</v>
      </c>
    </row>
    <row r="969" spans="2:37" x14ac:dyDescent="0.25">
      <c r="B969" t="str">
        <f t="shared" si="30"/>
        <v>45154730FORMACIÓN PARA LA VIDA Y EL TRABAJO6º</v>
      </c>
      <c r="C969" t="s">
        <v>353</v>
      </c>
      <c r="E969">
        <v>45154730</v>
      </c>
      <c r="F969" t="s">
        <v>378</v>
      </c>
      <c r="G969" t="s">
        <v>28</v>
      </c>
      <c r="H969" t="s">
        <v>245</v>
      </c>
      <c r="I969" t="s">
        <v>43</v>
      </c>
      <c r="J969">
        <v>2022</v>
      </c>
      <c r="K969" t="s">
        <v>60</v>
      </c>
      <c r="N969" t="s">
        <v>99</v>
      </c>
      <c r="AI969">
        <f t="shared" si="31"/>
        <v>1</v>
      </c>
      <c r="AJ969">
        <f>'TABLA PREVIOS'!E969</f>
        <v>291</v>
      </c>
      <c r="AK969">
        <f>VLOOKUP(E969,ALUMNOS!A:B,2,FALSE)</f>
        <v>582</v>
      </c>
    </row>
    <row r="970" spans="2:37" x14ac:dyDescent="0.25">
      <c r="B970" t="str">
        <f t="shared" si="30"/>
        <v>45154730MATEMÁTICA6º</v>
      </c>
      <c r="C970" t="s">
        <v>353</v>
      </c>
      <c r="E970">
        <v>45154730</v>
      </c>
      <c r="F970" t="s">
        <v>378</v>
      </c>
      <c r="G970" t="s">
        <v>12</v>
      </c>
      <c r="H970" t="s">
        <v>245</v>
      </c>
      <c r="I970" t="s">
        <v>43</v>
      </c>
      <c r="J970">
        <v>2022</v>
      </c>
      <c r="K970" t="s">
        <v>60</v>
      </c>
      <c r="N970" t="s">
        <v>99</v>
      </c>
      <c r="AI970">
        <f t="shared" si="31"/>
        <v>1</v>
      </c>
      <c r="AJ970">
        <f>'TABLA PREVIOS'!E970</f>
        <v>280</v>
      </c>
      <c r="AK970">
        <f>VLOOKUP(E970,ALUMNOS!A:B,2,FALSE)</f>
        <v>582</v>
      </c>
    </row>
    <row r="971" spans="2:37" x14ac:dyDescent="0.25">
      <c r="B971" t="str">
        <f t="shared" si="30"/>
        <v>45154730SISTEMAS DE INFORMACIÓN CONTABLE6º</v>
      </c>
      <c r="C971" t="s">
        <v>353</v>
      </c>
      <c r="E971">
        <v>45154730</v>
      </c>
      <c r="F971" t="s">
        <v>378</v>
      </c>
      <c r="G971" t="s">
        <v>29</v>
      </c>
      <c r="H971" t="s">
        <v>245</v>
      </c>
      <c r="I971" t="s">
        <v>43</v>
      </c>
      <c r="J971">
        <v>2022</v>
      </c>
      <c r="K971" t="s">
        <v>60</v>
      </c>
      <c r="N971" t="s">
        <v>99</v>
      </c>
      <c r="AI971">
        <f t="shared" si="31"/>
        <v>1</v>
      </c>
      <c r="AJ971">
        <f>'TABLA PREVIOS'!E971</f>
        <v>290</v>
      </c>
      <c r="AK971">
        <f>VLOOKUP(E971,ALUMNOS!A:B,2,FALSE)</f>
        <v>582</v>
      </c>
    </row>
    <row r="972" spans="2:37" x14ac:dyDescent="0.25">
      <c r="B972" t="str">
        <f t="shared" si="30"/>
        <v>46275539ADMINISTRACIÓN DE LA PRODUCCIÓN Y COMERCIALIZACIÓN5º</v>
      </c>
      <c r="C972" t="s">
        <v>353</v>
      </c>
      <c r="E972">
        <v>46275539</v>
      </c>
      <c r="F972" t="s">
        <v>379</v>
      </c>
      <c r="G972" t="s">
        <v>32</v>
      </c>
      <c r="H972" t="s">
        <v>220</v>
      </c>
      <c r="I972" t="s">
        <v>43</v>
      </c>
      <c r="J972">
        <v>2021</v>
      </c>
      <c r="K972" t="s">
        <v>60</v>
      </c>
      <c r="N972" t="s">
        <v>99</v>
      </c>
      <c r="AI972">
        <f t="shared" si="31"/>
        <v>1</v>
      </c>
      <c r="AJ972">
        <f>'TABLA PREVIOS'!E972</f>
        <v>277</v>
      </c>
      <c r="AK972">
        <f>VLOOKUP(E972,ALUMNOS!A:B,2,FALSE)</f>
        <v>593</v>
      </c>
    </row>
    <row r="973" spans="2:37" x14ac:dyDescent="0.25">
      <c r="B973" t="str">
        <f t="shared" si="30"/>
        <v>46275539ECONOMÍA5º</v>
      </c>
      <c r="C973" t="s">
        <v>353</v>
      </c>
      <c r="E973">
        <v>46275539</v>
      </c>
      <c r="F973" t="s">
        <v>379</v>
      </c>
      <c r="G973" t="s">
        <v>34</v>
      </c>
      <c r="H973" t="s">
        <v>220</v>
      </c>
      <c r="I973" t="s">
        <v>43</v>
      </c>
      <c r="J973">
        <v>2021</v>
      </c>
      <c r="K973" t="s">
        <v>60</v>
      </c>
      <c r="N973" t="s">
        <v>99</v>
      </c>
      <c r="AI973">
        <f t="shared" si="31"/>
        <v>1</v>
      </c>
      <c r="AJ973">
        <f>'TABLA PREVIOS'!E973</f>
        <v>275</v>
      </c>
      <c r="AK973">
        <f>VLOOKUP(E973,ALUMNOS!A:B,2,FALSE)</f>
        <v>593</v>
      </c>
    </row>
    <row r="974" spans="2:37" x14ac:dyDescent="0.25">
      <c r="B974" t="str">
        <f t="shared" si="30"/>
        <v>45696578LENGUA Y LITERATURA2º</v>
      </c>
      <c r="C974" t="s">
        <v>353</v>
      </c>
      <c r="E974">
        <v>45696578</v>
      </c>
      <c r="F974" t="s">
        <v>380</v>
      </c>
      <c r="G974" t="s">
        <v>11</v>
      </c>
      <c r="H974" t="s">
        <v>95</v>
      </c>
      <c r="I974" t="s">
        <v>43</v>
      </c>
      <c r="J974">
        <v>2018</v>
      </c>
      <c r="K974" t="s">
        <v>59</v>
      </c>
      <c r="N974" t="s">
        <v>99</v>
      </c>
      <c r="AI974">
        <f t="shared" si="31"/>
        <v>1</v>
      </c>
      <c r="AJ974">
        <f>'TABLA PREVIOS'!E974</f>
        <v>229</v>
      </c>
      <c r="AK974">
        <f>VLOOKUP(E974,ALUMNOS!A:B,2,FALSE)</f>
        <v>603</v>
      </c>
    </row>
    <row r="975" spans="2:37" x14ac:dyDescent="0.25">
      <c r="B975" t="str">
        <f t="shared" si="30"/>
        <v>45696578MATEMÁTICA3º</v>
      </c>
      <c r="C975" t="s">
        <v>353</v>
      </c>
      <c r="E975">
        <v>45696578</v>
      </c>
      <c r="F975" t="s">
        <v>380</v>
      </c>
      <c r="G975" t="s">
        <v>12</v>
      </c>
      <c r="H975" t="s">
        <v>143</v>
      </c>
      <c r="I975" t="s">
        <v>43</v>
      </c>
      <c r="J975">
        <v>2019</v>
      </c>
      <c r="K975" t="s">
        <v>59</v>
      </c>
      <c r="N975" t="s">
        <v>99</v>
      </c>
      <c r="AI975">
        <f t="shared" si="31"/>
        <v>1</v>
      </c>
      <c r="AJ975">
        <f>'TABLA PREVIOS'!E975</f>
        <v>240</v>
      </c>
      <c r="AK975">
        <f>VLOOKUP(E975,ALUMNOS!A:B,2,FALSE)</f>
        <v>603</v>
      </c>
    </row>
    <row r="976" spans="2:37" x14ac:dyDescent="0.25">
      <c r="B976" t="str">
        <f t="shared" si="30"/>
        <v>45696578ADMINISTRACIÓN5º</v>
      </c>
      <c r="C976" t="s">
        <v>353</v>
      </c>
      <c r="E976">
        <v>45696578</v>
      </c>
      <c r="F976" t="s">
        <v>380</v>
      </c>
      <c r="G976" t="s">
        <v>30</v>
      </c>
      <c r="H976" t="s">
        <v>220</v>
      </c>
      <c r="I976" t="s">
        <v>43</v>
      </c>
      <c r="J976">
        <v>2021</v>
      </c>
      <c r="K976" t="s">
        <v>60</v>
      </c>
      <c r="M976" t="s">
        <v>356</v>
      </c>
      <c r="N976" t="s">
        <v>99</v>
      </c>
      <c r="AI976">
        <f t="shared" si="31"/>
        <v>1</v>
      </c>
      <c r="AJ976">
        <f>'TABLA PREVIOS'!E976</f>
        <v>274</v>
      </c>
      <c r="AK976">
        <f>VLOOKUP(E976,ALUMNOS!A:B,2,FALSE)</f>
        <v>603</v>
      </c>
    </row>
    <row r="977" spans="2:37" x14ac:dyDescent="0.25">
      <c r="B977" t="str">
        <f t="shared" si="30"/>
        <v>45696578ADMINISTRACIÓN DE LA PRODUCCIÓN Y COMERCIALIZACIÓN5º</v>
      </c>
      <c r="C977" t="s">
        <v>353</v>
      </c>
      <c r="E977">
        <v>45696578</v>
      </c>
      <c r="F977" t="s">
        <v>380</v>
      </c>
      <c r="G977" t="s">
        <v>32</v>
      </c>
      <c r="H977" t="s">
        <v>220</v>
      </c>
      <c r="I977" t="s">
        <v>43</v>
      </c>
      <c r="J977">
        <v>2021</v>
      </c>
      <c r="K977" t="s">
        <v>60</v>
      </c>
      <c r="M977" t="s">
        <v>356</v>
      </c>
      <c r="N977" t="s">
        <v>99</v>
      </c>
      <c r="AI977">
        <f t="shared" si="31"/>
        <v>1</v>
      </c>
      <c r="AJ977">
        <f>'TABLA PREVIOS'!E977</f>
        <v>277</v>
      </c>
      <c r="AK977">
        <f>VLOOKUP(E977,ALUMNOS!A:B,2,FALSE)</f>
        <v>603</v>
      </c>
    </row>
    <row r="978" spans="2:37" x14ac:dyDescent="0.25">
      <c r="B978" t="str">
        <f t="shared" si="30"/>
        <v>45696578ADMINISTRACIÓN DE RECURSOS HUMANOS5º</v>
      </c>
      <c r="C978" t="s">
        <v>353</v>
      </c>
      <c r="E978">
        <v>45696578</v>
      </c>
      <c r="F978" t="s">
        <v>380</v>
      </c>
      <c r="G978" t="s">
        <v>35</v>
      </c>
      <c r="H978" t="s">
        <v>220</v>
      </c>
      <c r="I978" t="s">
        <v>43</v>
      </c>
      <c r="J978">
        <v>2021</v>
      </c>
      <c r="K978" t="s">
        <v>60</v>
      </c>
      <c r="M978" t="s">
        <v>356</v>
      </c>
      <c r="N978" t="s">
        <v>99</v>
      </c>
      <c r="AI978">
        <f t="shared" si="31"/>
        <v>1</v>
      </c>
      <c r="AJ978">
        <f>'TABLA PREVIOS'!E978</f>
        <v>276</v>
      </c>
      <c r="AK978">
        <f>VLOOKUP(E978,ALUMNOS!A:B,2,FALSE)</f>
        <v>603</v>
      </c>
    </row>
    <row r="979" spans="2:37" x14ac:dyDescent="0.25">
      <c r="B979" t="str">
        <f t="shared" si="30"/>
        <v>45696578ECONOMÍA5º</v>
      </c>
      <c r="C979" t="s">
        <v>353</v>
      </c>
      <c r="E979">
        <v>45696578</v>
      </c>
      <c r="F979" t="s">
        <v>380</v>
      </c>
      <c r="G979" t="s">
        <v>34</v>
      </c>
      <c r="H979" t="s">
        <v>220</v>
      </c>
      <c r="I979" t="s">
        <v>43</v>
      </c>
      <c r="J979">
        <v>2021</v>
      </c>
      <c r="K979" t="s">
        <v>60</v>
      </c>
      <c r="M979" t="s">
        <v>356</v>
      </c>
      <c r="N979" t="s">
        <v>99</v>
      </c>
      <c r="AI979">
        <f t="shared" si="31"/>
        <v>1</v>
      </c>
      <c r="AJ979">
        <f>'TABLA PREVIOS'!E979</f>
        <v>275</v>
      </c>
      <c r="AK979">
        <f>VLOOKUP(E979,ALUMNOS!A:B,2,FALSE)</f>
        <v>603</v>
      </c>
    </row>
    <row r="980" spans="2:37" x14ac:dyDescent="0.25">
      <c r="B980" t="str">
        <f t="shared" si="30"/>
        <v>45696578SISTEMAS DE INFORMACIÓN CONTABLE5º</v>
      </c>
      <c r="C980" t="s">
        <v>353</v>
      </c>
      <c r="E980">
        <v>45696578</v>
      </c>
      <c r="F980" t="s">
        <v>380</v>
      </c>
      <c r="G980" t="s">
        <v>29</v>
      </c>
      <c r="H980" t="s">
        <v>220</v>
      </c>
      <c r="I980" t="s">
        <v>43</v>
      </c>
      <c r="J980">
        <v>2021</v>
      </c>
      <c r="K980" t="s">
        <v>60</v>
      </c>
      <c r="M980" t="s">
        <v>356</v>
      </c>
      <c r="N980" t="s">
        <v>99</v>
      </c>
      <c r="AI980">
        <f t="shared" si="31"/>
        <v>1</v>
      </c>
      <c r="AJ980">
        <f>'TABLA PREVIOS'!E980</f>
        <v>273</v>
      </c>
      <c r="AK980">
        <f>VLOOKUP(E980,ALUMNOS!A:B,2,FALSE)</f>
        <v>603</v>
      </c>
    </row>
    <row r="981" spans="2:37" x14ac:dyDescent="0.25">
      <c r="B981" t="str">
        <f t="shared" si="30"/>
        <v>45696578ECONOMÍA6º</v>
      </c>
      <c r="C981" t="s">
        <v>353</v>
      </c>
      <c r="E981">
        <v>45696578</v>
      </c>
      <c r="F981" t="s">
        <v>380</v>
      </c>
      <c r="G981" t="s">
        <v>34</v>
      </c>
      <c r="H981" t="s">
        <v>245</v>
      </c>
      <c r="I981" t="s">
        <v>43</v>
      </c>
      <c r="J981">
        <v>2022</v>
      </c>
      <c r="K981" t="s">
        <v>60</v>
      </c>
      <c r="N981" t="s">
        <v>99</v>
      </c>
      <c r="AI981">
        <f t="shared" si="31"/>
        <v>1</v>
      </c>
      <c r="AJ981">
        <f>'TABLA PREVIOS'!E981</f>
        <v>286</v>
      </c>
      <c r="AK981">
        <f>VLOOKUP(E981,ALUMNOS!A:B,2,FALSE)</f>
        <v>603</v>
      </c>
    </row>
    <row r="982" spans="2:37" x14ac:dyDescent="0.25">
      <c r="B982" t="str">
        <f t="shared" si="30"/>
        <v>45696578FORMACIÓN PARA LA VIDA Y EL TRABAJO6º</v>
      </c>
      <c r="C982" t="s">
        <v>353</v>
      </c>
      <c r="E982">
        <v>45696578</v>
      </c>
      <c r="F982" t="s">
        <v>380</v>
      </c>
      <c r="G982" t="s">
        <v>28</v>
      </c>
      <c r="H982" t="s">
        <v>245</v>
      </c>
      <c r="I982" t="s">
        <v>43</v>
      </c>
      <c r="J982">
        <v>2022</v>
      </c>
      <c r="K982" t="s">
        <v>60</v>
      </c>
      <c r="N982" t="s">
        <v>99</v>
      </c>
      <c r="AI982">
        <f t="shared" si="31"/>
        <v>1</v>
      </c>
      <c r="AJ982">
        <f>'TABLA PREVIOS'!E982</f>
        <v>291</v>
      </c>
      <c r="AK982">
        <f>VLOOKUP(E982,ALUMNOS!A:B,2,FALSE)</f>
        <v>603</v>
      </c>
    </row>
    <row r="983" spans="2:37" x14ac:dyDescent="0.25">
      <c r="B983" t="str">
        <f t="shared" si="30"/>
        <v>45696578MATEMÁTICA6º</v>
      </c>
      <c r="C983" t="s">
        <v>353</v>
      </c>
      <c r="E983">
        <v>45696578</v>
      </c>
      <c r="F983" t="s">
        <v>380</v>
      </c>
      <c r="G983" t="s">
        <v>12</v>
      </c>
      <c r="H983" t="s">
        <v>245</v>
      </c>
      <c r="I983" t="s">
        <v>43</v>
      </c>
      <c r="J983">
        <v>2022</v>
      </c>
      <c r="K983" t="s">
        <v>60</v>
      </c>
      <c r="N983" t="s">
        <v>99</v>
      </c>
      <c r="AI983">
        <f t="shared" si="31"/>
        <v>1</v>
      </c>
      <c r="AJ983">
        <f>'TABLA PREVIOS'!E983</f>
        <v>280</v>
      </c>
      <c r="AK983">
        <f>VLOOKUP(E983,ALUMNOS!A:B,2,FALSE)</f>
        <v>603</v>
      </c>
    </row>
    <row r="984" spans="2:37" x14ac:dyDescent="0.25">
      <c r="B984" t="str">
        <f t="shared" si="30"/>
        <v>45696578RESPONSABILIDAD SOCIAL DE LAS ORGANIZACIONES6º</v>
      </c>
      <c r="C984" t="s">
        <v>353</v>
      </c>
      <c r="E984">
        <v>45696578</v>
      </c>
      <c r="F984" t="s">
        <v>380</v>
      </c>
      <c r="G984" t="s">
        <v>39</v>
      </c>
      <c r="H984" t="s">
        <v>245</v>
      </c>
      <c r="I984" t="s">
        <v>43</v>
      </c>
      <c r="J984">
        <v>2022</v>
      </c>
      <c r="K984" t="s">
        <v>60</v>
      </c>
      <c r="N984" t="s">
        <v>99</v>
      </c>
      <c r="AI984">
        <f t="shared" si="31"/>
        <v>1</v>
      </c>
      <c r="AJ984">
        <f>'TABLA PREVIOS'!E984</f>
        <v>288</v>
      </c>
      <c r="AK984">
        <f>VLOOKUP(E984,ALUMNOS!A:B,2,FALSE)</f>
        <v>603</v>
      </c>
    </row>
    <row r="985" spans="2:37" x14ac:dyDescent="0.25">
      <c r="B985" t="str">
        <f t="shared" si="30"/>
        <v>45696578SISTEMAS DE INFORMACIÓN CONTABLE6º</v>
      </c>
      <c r="C985" t="s">
        <v>353</v>
      </c>
      <c r="E985">
        <v>45696578</v>
      </c>
      <c r="F985" t="s">
        <v>380</v>
      </c>
      <c r="G985" t="s">
        <v>29</v>
      </c>
      <c r="H985" t="s">
        <v>245</v>
      </c>
      <c r="I985" t="s">
        <v>43</v>
      </c>
      <c r="J985">
        <v>2022</v>
      </c>
      <c r="K985" t="s">
        <v>60</v>
      </c>
      <c r="N985" t="s">
        <v>99</v>
      </c>
      <c r="AI985">
        <f t="shared" si="31"/>
        <v>1</v>
      </c>
      <c r="AJ985">
        <f>'TABLA PREVIOS'!E985</f>
        <v>290</v>
      </c>
      <c r="AK985">
        <f>VLOOKUP(E985,ALUMNOS!A:B,2,FALSE)</f>
        <v>603</v>
      </c>
    </row>
    <row r="986" spans="2:37" x14ac:dyDescent="0.25">
      <c r="B986" t="str">
        <f t="shared" si="30"/>
        <v>45349579ADMINISTRACIÓN5º</v>
      </c>
      <c r="C986" t="s">
        <v>353</v>
      </c>
      <c r="E986">
        <v>45349579</v>
      </c>
      <c r="F986" t="s">
        <v>381</v>
      </c>
      <c r="G986" t="s">
        <v>30</v>
      </c>
      <c r="H986" t="s">
        <v>220</v>
      </c>
      <c r="I986" t="s">
        <v>43</v>
      </c>
      <c r="J986">
        <v>2021</v>
      </c>
      <c r="K986" t="s">
        <v>60</v>
      </c>
      <c r="N986" t="s">
        <v>99</v>
      </c>
      <c r="AI986">
        <f t="shared" si="31"/>
        <v>1</v>
      </c>
      <c r="AJ986">
        <f>'TABLA PREVIOS'!E986</f>
        <v>274</v>
      </c>
      <c r="AK986">
        <f>VLOOKUP(E986,ALUMNOS!A:B,2,FALSE)</f>
        <v>632</v>
      </c>
    </row>
    <row r="987" spans="2:37" x14ac:dyDescent="0.25">
      <c r="B987" t="str">
        <f t="shared" si="30"/>
        <v>45349579ADMINISTRACIÓN DE LA PRODUCCIÓN Y COMERCIALIZACIÓN5º</v>
      </c>
      <c r="C987" t="s">
        <v>353</v>
      </c>
      <c r="E987">
        <v>45349579</v>
      </c>
      <c r="F987" t="s">
        <v>381</v>
      </c>
      <c r="G987" t="s">
        <v>32</v>
      </c>
      <c r="H987" t="s">
        <v>220</v>
      </c>
      <c r="I987" t="s">
        <v>43</v>
      </c>
      <c r="J987">
        <v>2021</v>
      </c>
      <c r="K987" t="s">
        <v>60</v>
      </c>
      <c r="N987" t="s">
        <v>99</v>
      </c>
      <c r="AI987">
        <f t="shared" si="31"/>
        <v>1</v>
      </c>
      <c r="AJ987">
        <f>'TABLA PREVIOS'!E987</f>
        <v>277</v>
      </c>
      <c r="AK987">
        <f>VLOOKUP(E987,ALUMNOS!A:B,2,FALSE)</f>
        <v>632</v>
      </c>
    </row>
    <row r="988" spans="2:37" x14ac:dyDescent="0.25">
      <c r="B988" t="str">
        <f t="shared" si="30"/>
        <v>45349579ADMINISTRACIÓN DE RECURSOS HUMANOS5º</v>
      </c>
      <c r="C988" t="s">
        <v>353</v>
      </c>
      <c r="E988">
        <v>45349579</v>
      </c>
      <c r="F988" t="s">
        <v>381</v>
      </c>
      <c r="G988" t="s">
        <v>35</v>
      </c>
      <c r="H988" t="s">
        <v>220</v>
      </c>
      <c r="I988" t="s">
        <v>43</v>
      </c>
      <c r="J988">
        <v>2021</v>
      </c>
      <c r="K988" t="s">
        <v>60</v>
      </c>
      <c r="N988" t="s">
        <v>99</v>
      </c>
      <c r="AI988">
        <f t="shared" si="31"/>
        <v>1</v>
      </c>
      <c r="AJ988">
        <f>'TABLA PREVIOS'!E988</f>
        <v>276</v>
      </c>
      <c r="AK988">
        <f>VLOOKUP(E988,ALUMNOS!A:B,2,FALSE)</f>
        <v>632</v>
      </c>
    </row>
    <row r="989" spans="2:37" x14ac:dyDescent="0.25">
      <c r="B989" t="str">
        <f t="shared" si="30"/>
        <v>45349579ECONOMÍA5º</v>
      </c>
      <c r="C989" t="s">
        <v>353</v>
      </c>
      <c r="E989">
        <v>45349579</v>
      </c>
      <c r="F989" t="s">
        <v>381</v>
      </c>
      <c r="G989" t="s">
        <v>34</v>
      </c>
      <c r="H989" t="s">
        <v>220</v>
      </c>
      <c r="I989" t="s">
        <v>43</v>
      </c>
      <c r="J989">
        <v>2021</v>
      </c>
      <c r="K989" t="s">
        <v>60</v>
      </c>
      <c r="N989" t="s">
        <v>99</v>
      </c>
      <c r="AI989">
        <f t="shared" si="31"/>
        <v>1</v>
      </c>
      <c r="AJ989">
        <f>'TABLA PREVIOS'!E989</f>
        <v>275</v>
      </c>
      <c r="AK989">
        <f>VLOOKUP(E989,ALUMNOS!A:B,2,FALSE)</f>
        <v>632</v>
      </c>
    </row>
    <row r="990" spans="2:37" x14ac:dyDescent="0.25">
      <c r="B990" t="str">
        <f t="shared" si="30"/>
        <v>45349579LENGUA Y LITERATURA5º</v>
      </c>
      <c r="C990" t="s">
        <v>353</v>
      </c>
      <c r="E990">
        <v>45349579</v>
      </c>
      <c r="F990" t="s">
        <v>381</v>
      </c>
      <c r="G990" t="s">
        <v>11</v>
      </c>
      <c r="H990" t="s">
        <v>220</v>
      </c>
      <c r="I990" t="s">
        <v>43</v>
      </c>
      <c r="J990">
        <v>2021</v>
      </c>
      <c r="K990" t="s">
        <v>60</v>
      </c>
      <c r="N990" t="s">
        <v>99</v>
      </c>
      <c r="AI990">
        <f t="shared" si="31"/>
        <v>1</v>
      </c>
      <c r="AJ990">
        <f>'TABLA PREVIOS'!E990</f>
        <v>264</v>
      </c>
      <c r="AK990">
        <f>VLOOKUP(E990,ALUMNOS!A:B,2,FALSE)</f>
        <v>632</v>
      </c>
    </row>
    <row r="991" spans="2:37" x14ac:dyDescent="0.25">
      <c r="B991" t="str">
        <f t="shared" si="30"/>
        <v>45349579MATEMÁTICA5º</v>
      </c>
      <c r="C991" t="s">
        <v>353</v>
      </c>
      <c r="E991">
        <v>45349579</v>
      </c>
      <c r="F991" t="s">
        <v>381</v>
      </c>
      <c r="G991" t="s">
        <v>12</v>
      </c>
      <c r="H991" t="s">
        <v>220</v>
      </c>
      <c r="I991" t="s">
        <v>43</v>
      </c>
      <c r="J991">
        <v>2021</v>
      </c>
      <c r="K991" t="s">
        <v>60</v>
      </c>
      <c r="N991" t="s">
        <v>99</v>
      </c>
      <c r="AI991">
        <f t="shared" si="31"/>
        <v>1</v>
      </c>
      <c r="AJ991">
        <f>'TABLA PREVIOS'!E991</f>
        <v>265</v>
      </c>
      <c r="AK991">
        <f>VLOOKUP(E991,ALUMNOS!A:B,2,FALSE)</f>
        <v>632</v>
      </c>
    </row>
    <row r="992" spans="2:37" x14ac:dyDescent="0.25">
      <c r="B992" t="str">
        <f t="shared" si="30"/>
        <v>45349579SISTEMAS DE INFORMACIÓN CONTABLE5º</v>
      </c>
      <c r="C992" t="s">
        <v>353</v>
      </c>
      <c r="E992">
        <v>45349579</v>
      </c>
      <c r="F992" t="s">
        <v>381</v>
      </c>
      <c r="G992" t="s">
        <v>29</v>
      </c>
      <c r="H992" t="s">
        <v>220</v>
      </c>
      <c r="I992" t="s">
        <v>43</v>
      </c>
      <c r="J992">
        <v>2021</v>
      </c>
      <c r="K992" t="s">
        <v>60</v>
      </c>
      <c r="N992" t="s">
        <v>99</v>
      </c>
      <c r="AI992">
        <f t="shared" si="31"/>
        <v>1</v>
      </c>
      <c r="AJ992">
        <f>'TABLA PREVIOS'!E992</f>
        <v>273</v>
      </c>
      <c r="AK992">
        <f>VLOOKUP(E992,ALUMNOS!A:B,2,FALSE)</f>
        <v>632</v>
      </c>
    </row>
    <row r="993" spans="2:37" x14ac:dyDescent="0.25">
      <c r="B993" t="str">
        <f t="shared" si="30"/>
        <v>45349579CIUDADANÍA Y POLÍTICA6º</v>
      </c>
      <c r="C993" t="s">
        <v>353</v>
      </c>
      <c r="E993">
        <v>45349579</v>
      </c>
      <c r="F993" t="s">
        <v>381</v>
      </c>
      <c r="G993" t="s">
        <v>37</v>
      </c>
      <c r="H993" t="s">
        <v>245</v>
      </c>
      <c r="I993" t="s">
        <v>43</v>
      </c>
      <c r="J993">
        <v>2022</v>
      </c>
      <c r="K993" t="s">
        <v>60</v>
      </c>
      <c r="N993" t="s">
        <v>99</v>
      </c>
      <c r="AI993">
        <f t="shared" si="31"/>
        <v>1</v>
      </c>
      <c r="AJ993">
        <f>'TABLA PREVIOS'!E993</f>
        <v>284</v>
      </c>
      <c r="AK993">
        <f>VLOOKUP(E993,ALUMNOS!A:B,2,FALSE)</f>
        <v>632</v>
      </c>
    </row>
    <row r="994" spans="2:37" x14ac:dyDescent="0.25">
      <c r="B994" t="str">
        <f t="shared" si="30"/>
        <v>45349579ECONOMÍA6º</v>
      </c>
      <c r="C994" t="s">
        <v>353</v>
      </c>
      <c r="E994">
        <v>45349579</v>
      </c>
      <c r="F994" t="s">
        <v>381</v>
      </c>
      <c r="G994" t="s">
        <v>34</v>
      </c>
      <c r="H994" t="s">
        <v>245</v>
      </c>
      <c r="I994" t="s">
        <v>43</v>
      </c>
      <c r="J994">
        <v>2022</v>
      </c>
      <c r="K994" t="s">
        <v>60</v>
      </c>
      <c r="N994" t="s">
        <v>99</v>
      </c>
      <c r="AI994">
        <f t="shared" si="31"/>
        <v>1</v>
      </c>
      <c r="AJ994">
        <f>'TABLA PREVIOS'!E994</f>
        <v>286</v>
      </c>
      <c r="AK994">
        <f>VLOOKUP(E994,ALUMNOS!A:B,2,FALSE)</f>
        <v>632</v>
      </c>
    </row>
    <row r="995" spans="2:37" x14ac:dyDescent="0.25">
      <c r="B995" t="str">
        <f t="shared" si="30"/>
        <v>45349579EDUCACIÓN FÍSICA6º</v>
      </c>
      <c r="C995" t="s">
        <v>353</v>
      </c>
      <c r="E995">
        <v>45349579</v>
      </c>
      <c r="F995" t="s">
        <v>381</v>
      </c>
      <c r="G995" t="s">
        <v>10</v>
      </c>
      <c r="H995" t="s">
        <v>245</v>
      </c>
      <c r="I995" t="s">
        <v>43</v>
      </c>
      <c r="J995">
        <v>2022</v>
      </c>
      <c r="K995" t="s">
        <v>60</v>
      </c>
      <c r="N995" t="s">
        <v>99</v>
      </c>
      <c r="AI995">
        <f t="shared" si="31"/>
        <v>1</v>
      </c>
      <c r="AJ995">
        <f>'TABLA PREVIOS'!E995</f>
        <v>278</v>
      </c>
      <c r="AK995">
        <f>VLOOKUP(E995,ALUMNOS!A:B,2,FALSE)</f>
        <v>632</v>
      </c>
    </row>
    <row r="996" spans="2:37" x14ac:dyDescent="0.25">
      <c r="B996" t="str">
        <f t="shared" si="30"/>
        <v>45349579FORMACIÓN PARA LA VIDA Y EL TRABAJO6º</v>
      </c>
      <c r="C996" t="s">
        <v>353</v>
      </c>
      <c r="E996">
        <v>45349579</v>
      </c>
      <c r="F996" t="s">
        <v>381</v>
      </c>
      <c r="G996" t="s">
        <v>28</v>
      </c>
      <c r="H996" t="s">
        <v>245</v>
      </c>
      <c r="I996" t="s">
        <v>43</v>
      </c>
      <c r="J996">
        <v>2022</v>
      </c>
      <c r="K996" t="s">
        <v>60</v>
      </c>
      <c r="N996" t="s">
        <v>99</v>
      </c>
      <c r="AI996">
        <f t="shared" si="31"/>
        <v>1</v>
      </c>
      <c r="AJ996">
        <f>'TABLA PREVIOS'!E996</f>
        <v>291</v>
      </c>
      <c r="AK996">
        <f>VLOOKUP(E996,ALUMNOS!A:B,2,FALSE)</f>
        <v>632</v>
      </c>
    </row>
    <row r="997" spans="2:37" x14ac:dyDescent="0.25">
      <c r="B997" t="str">
        <f t="shared" si="30"/>
        <v>45349579LENGUA Y LITERATURA6º</v>
      </c>
      <c r="C997" t="s">
        <v>353</v>
      </c>
      <c r="E997">
        <v>45349579</v>
      </c>
      <c r="F997" t="s">
        <v>381</v>
      </c>
      <c r="G997" t="s">
        <v>11</v>
      </c>
      <c r="H997" t="s">
        <v>245</v>
      </c>
      <c r="I997" t="s">
        <v>43</v>
      </c>
      <c r="J997">
        <v>2022</v>
      </c>
      <c r="K997" t="s">
        <v>60</v>
      </c>
      <c r="N997" t="s">
        <v>99</v>
      </c>
      <c r="AI997">
        <f t="shared" si="31"/>
        <v>1</v>
      </c>
      <c r="AJ997">
        <f>'TABLA PREVIOS'!E997</f>
        <v>279</v>
      </c>
      <c r="AK997">
        <f>VLOOKUP(E997,ALUMNOS!A:B,2,FALSE)</f>
        <v>632</v>
      </c>
    </row>
    <row r="998" spans="2:37" x14ac:dyDescent="0.25">
      <c r="B998" t="str">
        <f t="shared" si="30"/>
        <v>45349579MATEMÁTICA6º</v>
      </c>
      <c r="C998" t="s">
        <v>353</v>
      </c>
      <c r="E998">
        <v>45349579</v>
      </c>
      <c r="F998" t="s">
        <v>381</v>
      </c>
      <c r="G998" t="s">
        <v>12</v>
      </c>
      <c r="H998" t="s">
        <v>245</v>
      </c>
      <c r="I998" t="s">
        <v>43</v>
      </c>
      <c r="J998">
        <v>2022</v>
      </c>
      <c r="K998" t="s">
        <v>60</v>
      </c>
      <c r="N998" t="s">
        <v>99</v>
      </c>
      <c r="AI998">
        <f t="shared" si="31"/>
        <v>1</v>
      </c>
      <c r="AJ998">
        <f>'TABLA PREVIOS'!E998</f>
        <v>280</v>
      </c>
      <c r="AK998">
        <f>VLOOKUP(E998,ALUMNOS!A:B,2,FALSE)</f>
        <v>632</v>
      </c>
    </row>
    <row r="999" spans="2:37" x14ac:dyDescent="0.25">
      <c r="B999" t="str">
        <f t="shared" si="30"/>
        <v>45349579QUÍMICA6º</v>
      </c>
      <c r="C999" t="s">
        <v>353</v>
      </c>
      <c r="E999">
        <v>45349579</v>
      </c>
      <c r="F999" t="s">
        <v>381</v>
      </c>
      <c r="G999" t="s">
        <v>25</v>
      </c>
      <c r="H999" t="s">
        <v>245</v>
      </c>
      <c r="I999" t="s">
        <v>43</v>
      </c>
      <c r="J999">
        <v>2022</v>
      </c>
      <c r="K999" t="s">
        <v>60</v>
      </c>
      <c r="N999" t="s">
        <v>99</v>
      </c>
      <c r="AI999">
        <f t="shared" si="31"/>
        <v>1</v>
      </c>
      <c r="AJ999">
        <f>'TABLA PREVIOS'!E999</f>
        <v>281</v>
      </c>
      <c r="AK999">
        <f>VLOOKUP(E999,ALUMNOS!A:B,2,FALSE)</f>
        <v>632</v>
      </c>
    </row>
    <row r="1000" spans="2:37" x14ac:dyDescent="0.25">
      <c r="B1000" t="str">
        <f t="shared" si="30"/>
        <v>45349579RESPONSABILIDAD SOCIAL DE LAS ORGANIZACIONES6º</v>
      </c>
      <c r="C1000" t="s">
        <v>353</v>
      </c>
      <c r="E1000">
        <v>45349579</v>
      </c>
      <c r="F1000" t="s">
        <v>381</v>
      </c>
      <c r="G1000" t="s">
        <v>39</v>
      </c>
      <c r="H1000" t="s">
        <v>245</v>
      </c>
      <c r="I1000" t="s">
        <v>43</v>
      </c>
      <c r="J1000">
        <v>2022</v>
      </c>
      <c r="K1000" t="s">
        <v>60</v>
      </c>
      <c r="N1000" t="s">
        <v>99</v>
      </c>
      <c r="AI1000">
        <f t="shared" si="31"/>
        <v>1</v>
      </c>
      <c r="AJ1000">
        <f>'TABLA PREVIOS'!E1000</f>
        <v>288</v>
      </c>
      <c r="AK1000">
        <f>VLOOKUP(E1000,ALUMNOS!A:B,2,FALSE)</f>
        <v>632</v>
      </c>
    </row>
    <row r="1001" spans="2:37" x14ac:dyDescent="0.25">
      <c r="B1001" t="str">
        <f t="shared" si="30"/>
        <v>45349579SISTEMAS DE INFORMACIÓN CONTABLE6º</v>
      </c>
      <c r="C1001" t="s">
        <v>353</v>
      </c>
      <c r="E1001">
        <v>45349579</v>
      </c>
      <c r="F1001" t="s">
        <v>381</v>
      </c>
      <c r="G1001" t="s">
        <v>29</v>
      </c>
      <c r="H1001" t="s">
        <v>245</v>
      </c>
      <c r="I1001" t="s">
        <v>43</v>
      </c>
      <c r="J1001">
        <v>2022</v>
      </c>
      <c r="K1001" t="s">
        <v>60</v>
      </c>
      <c r="N1001" t="s">
        <v>99</v>
      </c>
      <c r="AI1001">
        <f t="shared" si="31"/>
        <v>1</v>
      </c>
      <c r="AJ1001">
        <f>'TABLA PREVIOS'!E1001</f>
        <v>290</v>
      </c>
      <c r="AK1001">
        <f>VLOOKUP(E1001,ALUMNOS!A:B,2,FALSE)</f>
        <v>632</v>
      </c>
    </row>
    <row r="1002" spans="2:37" x14ac:dyDescent="0.25">
      <c r="B1002" t="str">
        <f t="shared" si="30"/>
        <v>45561753ECONOMÍA6º</v>
      </c>
      <c r="C1002" t="s">
        <v>353</v>
      </c>
      <c r="E1002">
        <v>45561753</v>
      </c>
      <c r="F1002" t="s">
        <v>382</v>
      </c>
      <c r="G1002" t="s">
        <v>34</v>
      </c>
      <c r="H1002" t="s">
        <v>245</v>
      </c>
      <c r="I1002" t="s">
        <v>43</v>
      </c>
      <c r="J1002">
        <v>2022</v>
      </c>
      <c r="K1002" t="s">
        <v>60</v>
      </c>
      <c r="N1002" t="s">
        <v>99</v>
      </c>
      <c r="AI1002">
        <f t="shared" si="31"/>
        <v>1</v>
      </c>
      <c r="AJ1002">
        <f>'TABLA PREVIOS'!E1002</f>
        <v>286</v>
      </c>
      <c r="AK1002">
        <f>VLOOKUP(E1002,ALUMNOS!A:B,2,FALSE)</f>
        <v>648</v>
      </c>
    </row>
    <row r="1003" spans="2:37" x14ac:dyDescent="0.25">
      <c r="B1003" t="str">
        <f t="shared" si="30"/>
        <v>45561753FILOSOFÍA6º</v>
      </c>
      <c r="C1003" t="s">
        <v>353</v>
      </c>
      <c r="E1003">
        <v>45561753</v>
      </c>
      <c r="F1003" t="s">
        <v>382</v>
      </c>
      <c r="G1003" t="s">
        <v>41</v>
      </c>
      <c r="H1003" t="s">
        <v>245</v>
      </c>
      <c r="I1003" t="s">
        <v>43</v>
      </c>
      <c r="J1003">
        <v>2022</v>
      </c>
      <c r="K1003" t="s">
        <v>60</v>
      </c>
      <c r="N1003" t="s">
        <v>99</v>
      </c>
      <c r="AI1003">
        <f t="shared" si="31"/>
        <v>1</v>
      </c>
      <c r="AJ1003">
        <f>'TABLA PREVIOS'!E1003</f>
        <v>292</v>
      </c>
      <c r="AK1003">
        <f>VLOOKUP(E1003,ALUMNOS!A:B,2,FALSE)</f>
        <v>648</v>
      </c>
    </row>
    <row r="1004" spans="2:37" x14ac:dyDescent="0.25">
      <c r="B1004" t="str">
        <f t="shared" si="30"/>
        <v>45561753LENGUA EXTRANJERA - INGLÉS6º</v>
      </c>
      <c r="C1004" t="s">
        <v>353</v>
      </c>
      <c r="E1004">
        <v>45561753</v>
      </c>
      <c r="F1004" t="s">
        <v>382</v>
      </c>
      <c r="G1004" t="s">
        <v>16</v>
      </c>
      <c r="H1004" t="s">
        <v>245</v>
      </c>
      <c r="I1004" t="s">
        <v>43</v>
      </c>
      <c r="J1004">
        <v>2022</v>
      </c>
      <c r="K1004" t="s">
        <v>60</v>
      </c>
      <c r="N1004" t="s">
        <v>99</v>
      </c>
      <c r="AI1004">
        <f t="shared" si="31"/>
        <v>1</v>
      </c>
      <c r="AJ1004">
        <f>'TABLA PREVIOS'!E1004</f>
        <v>282</v>
      </c>
      <c r="AK1004">
        <f>VLOOKUP(E1004,ALUMNOS!A:B,2,FALSE)</f>
        <v>648</v>
      </c>
    </row>
    <row r="1005" spans="2:37" x14ac:dyDescent="0.25">
      <c r="B1005" t="str">
        <f t="shared" si="30"/>
        <v>45561753LENGUA Y LITERATURA6º</v>
      </c>
      <c r="C1005" t="s">
        <v>353</v>
      </c>
      <c r="E1005">
        <v>45561753</v>
      </c>
      <c r="F1005" t="s">
        <v>382</v>
      </c>
      <c r="G1005" t="s">
        <v>11</v>
      </c>
      <c r="H1005" t="s">
        <v>245</v>
      </c>
      <c r="I1005" t="s">
        <v>43</v>
      </c>
      <c r="J1005">
        <v>2022</v>
      </c>
      <c r="K1005" t="s">
        <v>60</v>
      </c>
      <c r="N1005" t="s">
        <v>99</v>
      </c>
      <c r="AI1005">
        <f t="shared" si="31"/>
        <v>1</v>
      </c>
      <c r="AJ1005">
        <f>'TABLA PREVIOS'!E1005</f>
        <v>279</v>
      </c>
      <c r="AK1005">
        <f>VLOOKUP(E1005,ALUMNOS!A:B,2,FALSE)</f>
        <v>648</v>
      </c>
    </row>
    <row r="1006" spans="2:37" x14ac:dyDescent="0.25">
      <c r="B1006" t="str">
        <f t="shared" si="30"/>
        <v>45561753MATEMÁTICA6º</v>
      </c>
      <c r="C1006" t="s">
        <v>353</v>
      </c>
      <c r="E1006">
        <v>45561753</v>
      </c>
      <c r="F1006" t="s">
        <v>382</v>
      </c>
      <c r="G1006" t="s">
        <v>12</v>
      </c>
      <c r="H1006" t="s">
        <v>245</v>
      </c>
      <c r="I1006" t="s">
        <v>43</v>
      </c>
      <c r="J1006">
        <v>2022</v>
      </c>
      <c r="K1006" t="s">
        <v>60</v>
      </c>
      <c r="N1006" t="s">
        <v>99</v>
      </c>
      <c r="AI1006">
        <f t="shared" si="31"/>
        <v>1</v>
      </c>
      <c r="AJ1006">
        <f>'TABLA PREVIOS'!E1006</f>
        <v>280</v>
      </c>
      <c r="AK1006">
        <f>VLOOKUP(E1006,ALUMNOS!A:B,2,FALSE)</f>
        <v>648</v>
      </c>
    </row>
    <row r="1007" spans="2:37" x14ac:dyDescent="0.25">
      <c r="B1007" t="str">
        <f t="shared" si="30"/>
        <v>45561753QUÍMICA6º</v>
      </c>
      <c r="C1007" t="s">
        <v>353</v>
      </c>
      <c r="E1007">
        <v>45561753</v>
      </c>
      <c r="F1007" t="s">
        <v>382</v>
      </c>
      <c r="G1007" t="s">
        <v>25</v>
      </c>
      <c r="H1007" t="s">
        <v>245</v>
      </c>
      <c r="I1007" t="s">
        <v>43</v>
      </c>
      <c r="J1007">
        <v>2022</v>
      </c>
      <c r="K1007" t="s">
        <v>60</v>
      </c>
      <c r="N1007" t="s">
        <v>99</v>
      </c>
      <c r="AI1007">
        <f t="shared" si="31"/>
        <v>1</v>
      </c>
      <c r="AJ1007">
        <f>'TABLA PREVIOS'!E1007</f>
        <v>281</v>
      </c>
      <c r="AK1007">
        <f>VLOOKUP(E1007,ALUMNOS!A:B,2,FALSE)</f>
        <v>648</v>
      </c>
    </row>
    <row r="1008" spans="2:37" x14ac:dyDescent="0.25">
      <c r="B1008" t="str">
        <f t="shared" si="30"/>
        <v>45561753RESPONSABILIDAD SOCIAL DE LAS ORGANIZACIONES6º</v>
      </c>
      <c r="C1008" t="s">
        <v>353</v>
      </c>
      <c r="E1008">
        <v>45561753</v>
      </c>
      <c r="F1008" t="s">
        <v>382</v>
      </c>
      <c r="G1008" t="s">
        <v>39</v>
      </c>
      <c r="H1008" t="s">
        <v>245</v>
      </c>
      <c r="I1008" t="s">
        <v>43</v>
      </c>
      <c r="J1008">
        <v>2022</v>
      </c>
      <c r="K1008" t="s">
        <v>60</v>
      </c>
      <c r="N1008" t="s">
        <v>99</v>
      </c>
      <c r="AI1008">
        <f t="shared" si="31"/>
        <v>1</v>
      </c>
      <c r="AJ1008">
        <f>'TABLA PREVIOS'!E1008</f>
        <v>288</v>
      </c>
      <c r="AK1008">
        <f>VLOOKUP(E1008,ALUMNOS!A:B,2,FALSE)</f>
        <v>648</v>
      </c>
    </row>
    <row r="1009" spans="2:37" x14ac:dyDescent="0.25">
      <c r="B1009" t="str">
        <f t="shared" si="30"/>
        <v>45561753SISTEMAS DE INFORMACIÓN CONTABLE6º</v>
      </c>
      <c r="C1009" t="s">
        <v>353</v>
      </c>
      <c r="E1009">
        <v>45561753</v>
      </c>
      <c r="F1009" t="s">
        <v>382</v>
      </c>
      <c r="G1009" t="s">
        <v>29</v>
      </c>
      <c r="H1009" t="s">
        <v>245</v>
      </c>
      <c r="I1009" t="s">
        <v>43</v>
      </c>
      <c r="J1009">
        <v>2022</v>
      </c>
      <c r="K1009" t="s">
        <v>60</v>
      </c>
      <c r="N1009" t="s">
        <v>99</v>
      </c>
      <c r="AI1009">
        <f t="shared" si="31"/>
        <v>1</v>
      </c>
      <c r="AJ1009">
        <f>'TABLA PREVIOS'!E1009</f>
        <v>290</v>
      </c>
      <c r="AK1009">
        <f>VLOOKUP(E1009,ALUMNOS!A:B,2,FALSE)</f>
        <v>648</v>
      </c>
    </row>
    <row r="1010" spans="2:37" x14ac:dyDescent="0.25">
      <c r="B1010" t="str">
        <f t="shared" si="30"/>
        <v>45092222ADMINISTRACIÓN5º</v>
      </c>
      <c r="C1010" t="s">
        <v>353</v>
      </c>
      <c r="E1010">
        <v>45092222</v>
      </c>
      <c r="F1010" t="s">
        <v>383</v>
      </c>
      <c r="G1010" t="s">
        <v>30</v>
      </c>
      <c r="H1010" t="s">
        <v>220</v>
      </c>
      <c r="I1010" t="s">
        <v>43</v>
      </c>
      <c r="J1010">
        <v>2021</v>
      </c>
      <c r="K1010" t="s">
        <v>60</v>
      </c>
      <c r="M1010" t="s">
        <v>356</v>
      </c>
      <c r="N1010" t="s">
        <v>99</v>
      </c>
      <c r="AI1010">
        <f t="shared" si="31"/>
        <v>1</v>
      </c>
      <c r="AJ1010">
        <f>'TABLA PREVIOS'!E1010</f>
        <v>274</v>
      </c>
      <c r="AK1010">
        <f>VLOOKUP(E1010,ALUMNOS!A:B,2,FALSE)</f>
        <v>651</v>
      </c>
    </row>
    <row r="1011" spans="2:37" x14ac:dyDescent="0.25">
      <c r="B1011" t="str">
        <f t="shared" si="30"/>
        <v>45092222ADMINISTRACIÓN DE LA PRODUCCIÓN Y COMERCIALIZACIÓN5º</v>
      </c>
      <c r="C1011" t="s">
        <v>353</v>
      </c>
      <c r="E1011">
        <v>45092222</v>
      </c>
      <c r="F1011" t="s">
        <v>383</v>
      </c>
      <c r="G1011" t="s">
        <v>32</v>
      </c>
      <c r="H1011" t="s">
        <v>220</v>
      </c>
      <c r="I1011" t="s">
        <v>43</v>
      </c>
      <c r="J1011">
        <v>2021</v>
      </c>
      <c r="K1011" t="s">
        <v>60</v>
      </c>
      <c r="M1011" t="s">
        <v>356</v>
      </c>
      <c r="N1011" t="s">
        <v>99</v>
      </c>
      <c r="AI1011">
        <f t="shared" si="31"/>
        <v>1</v>
      </c>
      <c r="AJ1011">
        <f>'TABLA PREVIOS'!E1011</f>
        <v>277</v>
      </c>
      <c r="AK1011">
        <f>VLOOKUP(E1011,ALUMNOS!A:B,2,FALSE)</f>
        <v>651</v>
      </c>
    </row>
    <row r="1012" spans="2:37" x14ac:dyDescent="0.25">
      <c r="B1012" t="str">
        <f t="shared" si="30"/>
        <v>45092222ADMINISTRACIÓN DE RECURSOS HUMANOS5º</v>
      </c>
      <c r="C1012" t="s">
        <v>353</v>
      </c>
      <c r="E1012">
        <v>45092222</v>
      </c>
      <c r="F1012" t="s">
        <v>383</v>
      </c>
      <c r="G1012" t="s">
        <v>35</v>
      </c>
      <c r="H1012" t="s">
        <v>220</v>
      </c>
      <c r="I1012" t="s">
        <v>43</v>
      </c>
      <c r="J1012">
        <v>2021</v>
      </c>
      <c r="K1012" t="s">
        <v>60</v>
      </c>
      <c r="M1012" t="s">
        <v>356</v>
      </c>
      <c r="N1012" t="s">
        <v>99</v>
      </c>
      <c r="AI1012">
        <f t="shared" si="31"/>
        <v>1</v>
      </c>
      <c r="AJ1012">
        <f>'TABLA PREVIOS'!E1012</f>
        <v>276</v>
      </c>
      <c r="AK1012">
        <f>VLOOKUP(E1012,ALUMNOS!A:B,2,FALSE)</f>
        <v>651</v>
      </c>
    </row>
    <row r="1013" spans="2:37" x14ac:dyDescent="0.25">
      <c r="B1013" t="str">
        <f t="shared" si="30"/>
        <v>45092222ECONOMÍA5º</v>
      </c>
      <c r="C1013" t="s">
        <v>353</v>
      </c>
      <c r="E1013">
        <v>45092222</v>
      </c>
      <c r="F1013" t="s">
        <v>383</v>
      </c>
      <c r="G1013" t="s">
        <v>34</v>
      </c>
      <c r="H1013" t="s">
        <v>220</v>
      </c>
      <c r="I1013" t="s">
        <v>43</v>
      </c>
      <c r="J1013">
        <v>2021</v>
      </c>
      <c r="K1013" t="s">
        <v>60</v>
      </c>
      <c r="M1013" t="s">
        <v>356</v>
      </c>
      <c r="N1013" t="s">
        <v>99</v>
      </c>
      <c r="AI1013">
        <f t="shared" si="31"/>
        <v>1</v>
      </c>
      <c r="AJ1013">
        <f>'TABLA PREVIOS'!E1013</f>
        <v>275</v>
      </c>
      <c r="AK1013">
        <f>VLOOKUP(E1013,ALUMNOS!A:B,2,FALSE)</f>
        <v>651</v>
      </c>
    </row>
    <row r="1014" spans="2:37" x14ac:dyDescent="0.25">
      <c r="B1014" t="str">
        <f t="shared" si="30"/>
        <v>45092222GEOGRAFÍA5º</v>
      </c>
      <c r="C1014" t="s">
        <v>353</v>
      </c>
      <c r="E1014">
        <v>45092222</v>
      </c>
      <c r="F1014" t="s">
        <v>383</v>
      </c>
      <c r="G1014" t="s">
        <v>26</v>
      </c>
      <c r="H1014" t="s">
        <v>220</v>
      </c>
      <c r="I1014" t="s">
        <v>43</v>
      </c>
      <c r="J1014">
        <v>2021</v>
      </c>
      <c r="K1014" t="s">
        <v>60</v>
      </c>
      <c r="N1014" t="s">
        <v>99</v>
      </c>
      <c r="AI1014">
        <f t="shared" si="31"/>
        <v>1</v>
      </c>
      <c r="AJ1014">
        <f>'TABLA PREVIOS'!E1014</f>
        <v>267</v>
      </c>
      <c r="AK1014">
        <f>VLOOKUP(E1014,ALUMNOS!A:B,2,FALSE)</f>
        <v>651</v>
      </c>
    </row>
    <row r="1015" spans="2:37" x14ac:dyDescent="0.25">
      <c r="B1015" t="str">
        <f t="shared" si="30"/>
        <v>45092222HISTORIA5º</v>
      </c>
      <c r="C1015" t="s">
        <v>353</v>
      </c>
      <c r="E1015">
        <v>45092222</v>
      </c>
      <c r="F1015" t="s">
        <v>383</v>
      </c>
      <c r="G1015" t="s">
        <v>27</v>
      </c>
      <c r="H1015" t="s">
        <v>220</v>
      </c>
      <c r="I1015" t="s">
        <v>43</v>
      </c>
      <c r="J1015">
        <v>2021</v>
      </c>
      <c r="K1015" t="s">
        <v>60</v>
      </c>
      <c r="N1015" t="s">
        <v>99</v>
      </c>
      <c r="AI1015">
        <f t="shared" si="31"/>
        <v>1</v>
      </c>
      <c r="AJ1015">
        <f>'TABLA PREVIOS'!E1015</f>
        <v>268</v>
      </c>
      <c r="AK1015">
        <f>VLOOKUP(E1015,ALUMNOS!A:B,2,FALSE)</f>
        <v>651</v>
      </c>
    </row>
    <row r="1016" spans="2:37" x14ac:dyDescent="0.25">
      <c r="B1016" t="str">
        <f t="shared" si="30"/>
        <v>45092222MATEMÁTICA5º</v>
      </c>
      <c r="C1016" t="s">
        <v>353</v>
      </c>
      <c r="E1016">
        <v>45092222</v>
      </c>
      <c r="F1016" t="s">
        <v>383</v>
      </c>
      <c r="G1016" t="s">
        <v>12</v>
      </c>
      <c r="H1016" t="s">
        <v>220</v>
      </c>
      <c r="I1016" t="s">
        <v>43</v>
      </c>
      <c r="J1016">
        <v>2021</v>
      </c>
      <c r="K1016" t="s">
        <v>60</v>
      </c>
      <c r="N1016" t="s">
        <v>99</v>
      </c>
      <c r="AI1016">
        <f t="shared" si="31"/>
        <v>1</v>
      </c>
      <c r="AJ1016">
        <f>'TABLA PREVIOS'!E1016</f>
        <v>265</v>
      </c>
      <c r="AK1016">
        <f>VLOOKUP(E1016,ALUMNOS!A:B,2,FALSE)</f>
        <v>651</v>
      </c>
    </row>
    <row r="1017" spans="2:37" x14ac:dyDescent="0.25">
      <c r="B1017" t="str">
        <f t="shared" si="30"/>
        <v>45092222PSICOLOGÍA5º</v>
      </c>
      <c r="C1017" t="s">
        <v>353</v>
      </c>
      <c r="E1017">
        <v>45092222</v>
      </c>
      <c r="F1017" t="s">
        <v>383</v>
      </c>
      <c r="G1017" t="s">
        <v>33</v>
      </c>
      <c r="H1017" t="s">
        <v>220</v>
      </c>
      <c r="I1017" t="s">
        <v>43</v>
      </c>
      <c r="J1017">
        <v>2021</v>
      </c>
      <c r="K1017" t="s">
        <v>60</v>
      </c>
      <c r="N1017" t="s">
        <v>99</v>
      </c>
      <c r="AI1017">
        <f t="shared" si="31"/>
        <v>1</v>
      </c>
      <c r="AJ1017">
        <f>'TABLA PREVIOS'!E1017</f>
        <v>271</v>
      </c>
      <c r="AK1017">
        <f>VLOOKUP(E1017,ALUMNOS!A:B,2,FALSE)</f>
        <v>651</v>
      </c>
    </row>
    <row r="1018" spans="2:37" x14ac:dyDescent="0.25">
      <c r="B1018" t="str">
        <f t="shared" si="30"/>
        <v>45092222SISTEMAS DE INFORMACIÓN CONTABLE5º</v>
      </c>
      <c r="C1018" t="s">
        <v>353</v>
      </c>
      <c r="E1018">
        <v>45092222</v>
      </c>
      <c r="F1018" t="s">
        <v>383</v>
      </c>
      <c r="G1018" t="s">
        <v>29</v>
      </c>
      <c r="H1018" t="s">
        <v>220</v>
      </c>
      <c r="I1018" t="s">
        <v>43</v>
      </c>
      <c r="J1018">
        <v>2021</v>
      </c>
      <c r="K1018" t="s">
        <v>60</v>
      </c>
      <c r="M1018" t="s">
        <v>356</v>
      </c>
      <c r="N1018" t="s">
        <v>99</v>
      </c>
      <c r="AI1018">
        <f t="shared" si="31"/>
        <v>1</v>
      </c>
      <c r="AJ1018">
        <f>'TABLA PREVIOS'!E1018</f>
        <v>273</v>
      </c>
      <c r="AK1018">
        <f>VLOOKUP(E1018,ALUMNOS!A:B,2,FALSE)</f>
        <v>651</v>
      </c>
    </row>
    <row r="1019" spans="2:37" x14ac:dyDescent="0.25">
      <c r="B1019" t="str">
        <f t="shared" si="30"/>
        <v>45092222ADMINISTRACIÓN6º</v>
      </c>
      <c r="C1019" t="s">
        <v>353</v>
      </c>
      <c r="E1019">
        <v>45092222</v>
      </c>
      <c r="F1019" t="s">
        <v>383</v>
      </c>
      <c r="G1019" t="s">
        <v>30</v>
      </c>
      <c r="H1019" t="s">
        <v>245</v>
      </c>
      <c r="I1019" t="s">
        <v>43</v>
      </c>
      <c r="J1019">
        <v>2022</v>
      </c>
      <c r="K1019" t="s">
        <v>60</v>
      </c>
      <c r="N1019" t="s">
        <v>99</v>
      </c>
      <c r="AI1019">
        <f t="shared" si="31"/>
        <v>1</v>
      </c>
      <c r="AJ1019">
        <f>'TABLA PREVIOS'!E1019</f>
        <v>285</v>
      </c>
      <c r="AK1019">
        <f>VLOOKUP(E1019,ALUMNOS!A:B,2,FALSE)</f>
        <v>651</v>
      </c>
    </row>
    <row r="1020" spans="2:37" x14ac:dyDescent="0.25">
      <c r="B1020" t="str">
        <f t="shared" si="30"/>
        <v>45092222DERECHO6º</v>
      </c>
      <c r="C1020" t="s">
        <v>353</v>
      </c>
      <c r="E1020">
        <v>45092222</v>
      </c>
      <c r="F1020" t="s">
        <v>383</v>
      </c>
      <c r="G1020" t="s">
        <v>38</v>
      </c>
      <c r="H1020" t="s">
        <v>245</v>
      </c>
      <c r="I1020" t="s">
        <v>43</v>
      </c>
      <c r="J1020">
        <v>2022</v>
      </c>
      <c r="K1020" t="s">
        <v>60</v>
      </c>
      <c r="N1020" t="s">
        <v>99</v>
      </c>
      <c r="AI1020">
        <f t="shared" si="31"/>
        <v>1</v>
      </c>
      <c r="AJ1020">
        <f>'TABLA PREVIOS'!E1020</f>
        <v>287</v>
      </c>
      <c r="AK1020">
        <f>VLOOKUP(E1020,ALUMNOS!A:B,2,FALSE)</f>
        <v>651</v>
      </c>
    </row>
    <row r="1021" spans="2:37" x14ac:dyDescent="0.25">
      <c r="B1021" t="str">
        <f t="shared" si="30"/>
        <v>45092222ECONOMÍA6º</v>
      </c>
      <c r="C1021" t="s">
        <v>353</v>
      </c>
      <c r="E1021">
        <v>45092222</v>
      </c>
      <c r="F1021" t="s">
        <v>383</v>
      </c>
      <c r="G1021" t="s">
        <v>34</v>
      </c>
      <c r="H1021" t="s">
        <v>245</v>
      </c>
      <c r="I1021" t="s">
        <v>43</v>
      </c>
      <c r="J1021">
        <v>2022</v>
      </c>
      <c r="K1021" t="s">
        <v>60</v>
      </c>
      <c r="N1021" t="s">
        <v>99</v>
      </c>
      <c r="AI1021">
        <f t="shared" si="31"/>
        <v>1</v>
      </c>
      <c r="AJ1021">
        <f>'TABLA PREVIOS'!E1021</f>
        <v>286</v>
      </c>
      <c r="AK1021">
        <f>VLOOKUP(E1021,ALUMNOS!A:B,2,FALSE)</f>
        <v>651</v>
      </c>
    </row>
    <row r="1022" spans="2:37" x14ac:dyDescent="0.25">
      <c r="B1022" t="str">
        <f t="shared" si="30"/>
        <v>45092222EDUCACIÓN FÍSICA6º</v>
      </c>
      <c r="C1022" t="s">
        <v>353</v>
      </c>
      <c r="E1022">
        <v>45092222</v>
      </c>
      <c r="F1022" t="s">
        <v>383</v>
      </c>
      <c r="G1022" t="s">
        <v>10</v>
      </c>
      <c r="H1022" t="s">
        <v>245</v>
      </c>
      <c r="I1022" t="s">
        <v>43</v>
      </c>
      <c r="J1022">
        <v>2022</v>
      </c>
      <c r="K1022" t="s">
        <v>60</v>
      </c>
      <c r="N1022" t="s">
        <v>99</v>
      </c>
      <c r="AI1022">
        <f t="shared" si="31"/>
        <v>1</v>
      </c>
      <c r="AJ1022">
        <f>'TABLA PREVIOS'!E1022</f>
        <v>278</v>
      </c>
      <c r="AK1022">
        <f>VLOOKUP(E1022,ALUMNOS!A:B,2,FALSE)</f>
        <v>651</v>
      </c>
    </row>
    <row r="1023" spans="2:37" x14ac:dyDescent="0.25">
      <c r="B1023" t="str">
        <f t="shared" si="30"/>
        <v>45092222FORMACIÓN PARA LA VIDA Y EL TRABAJO6º</v>
      </c>
      <c r="C1023" t="s">
        <v>353</v>
      </c>
      <c r="E1023">
        <v>45092222</v>
      </c>
      <c r="F1023" t="s">
        <v>383</v>
      </c>
      <c r="G1023" t="s">
        <v>28</v>
      </c>
      <c r="H1023" t="s">
        <v>245</v>
      </c>
      <c r="I1023" t="s">
        <v>43</v>
      </c>
      <c r="J1023">
        <v>2022</v>
      </c>
      <c r="K1023" t="s">
        <v>60</v>
      </c>
      <c r="N1023" t="s">
        <v>99</v>
      </c>
      <c r="AI1023">
        <f t="shared" si="31"/>
        <v>1</v>
      </c>
      <c r="AJ1023">
        <f>'TABLA PREVIOS'!E1023</f>
        <v>291</v>
      </c>
      <c r="AK1023">
        <f>VLOOKUP(E1023,ALUMNOS!A:B,2,FALSE)</f>
        <v>651</v>
      </c>
    </row>
    <row r="1024" spans="2:37" x14ac:dyDescent="0.25">
      <c r="B1024" t="str">
        <f t="shared" si="30"/>
        <v>45092222LENGUA Y LITERATURA6º</v>
      </c>
      <c r="C1024" t="s">
        <v>353</v>
      </c>
      <c r="E1024">
        <v>45092222</v>
      </c>
      <c r="F1024" t="s">
        <v>383</v>
      </c>
      <c r="G1024" t="s">
        <v>11</v>
      </c>
      <c r="H1024" t="s">
        <v>245</v>
      </c>
      <c r="I1024" t="s">
        <v>43</v>
      </c>
      <c r="J1024">
        <v>2022</v>
      </c>
      <c r="K1024" t="s">
        <v>60</v>
      </c>
      <c r="N1024" t="s">
        <v>99</v>
      </c>
      <c r="AI1024">
        <f t="shared" si="31"/>
        <v>1</v>
      </c>
      <c r="AJ1024">
        <f>'TABLA PREVIOS'!E1024</f>
        <v>279</v>
      </c>
      <c r="AK1024">
        <f>VLOOKUP(E1024,ALUMNOS!A:B,2,FALSE)</f>
        <v>651</v>
      </c>
    </row>
    <row r="1025" spans="2:37" x14ac:dyDescent="0.25">
      <c r="B1025" t="str">
        <f t="shared" si="30"/>
        <v>45092222MATEMÁTICA6º</v>
      </c>
      <c r="C1025" t="s">
        <v>353</v>
      </c>
      <c r="E1025">
        <v>45092222</v>
      </c>
      <c r="F1025" t="s">
        <v>383</v>
      </c>
      <c r="G1025" t="s">
        <v>12</v>
      </c>
      <c r="H1025" t="s">
        <v>245</v>
      </c>
      <c r="I1025" t="s">
        <v>43</v>
      </c>
      <c r="J1025">
        <v>2022</v>
      </c>
      <c r="K1025" t="s">
        <v>60</v>
      </c>
      <c r="N1025" t="s">
        <v>99</v>
      </c>
      <c r="AI1025">
        <f t="shared" si="31"/>
        <v>1</v>
      </c>
      <c r="AJ1025">
        <f>'TABLA PREVIOS'!E1025</f>
        <v>280</v>
      </c>
      <c r="AK1025">
        <f>VLOOKUP(E1025,ALUMNOS!A:B,2,FALSE)</f>
        <v>651</v>
      </c>
    </row>
    <row r="1026" spans="2:37" x14ac:dyDescent="0.25">
      <c r="B1026" t="str">
        <f t="shared" si="30"/>
        <v>45092222QUÍMICA6º</v>
      </c>
      <c r="C1026" t="s">
        <v>353</v>
      </c>
      <c r="E1026">
        <v>45092222</v>
      </c>
      <c r="F1026" t="s">
        <v>383</v>
      </c>
      <c r="G1026" t="s">
        <v>25</v>
      </c>
      <c r="H1026" t="s">
        <v>245</v>
      </c>
      <c r="I1026" t="s">
        <v>43</v>
      </c>
      <c r="J1026">
        <v>2022</v>
      </c>
      <c r="K1026" t="s">
        <v>60</v>
      </c>
      <c r="N1026" t="s">
        <v>99</v>
      </c>
      <c r="AI1026">
        <f t="shared" si="31"/>
        <v>1</v>
      </c>
      <c r="AJ1026">
        <f>'TABLA PREVIOS'!E1026</f>
        <v>281</v>
      </c>
      <c r="AK1026">
        <f>VLOOKUP(E1026,ALUMNOS!A:B,2,FALSE)</f>
        <v>651</v>
      </c>
    </row>
    <row r="1027" spans="2:37" x14ac:dyDescent="0.25">
      <c r="B1027" t="str">
        <f t="shared" ref="B1027:B1090" si="32">E1027&amp;G1027&amp;H1027</f>
        <v>45092222RESPONSABILIDAD SOCIAL DE LAS ORGANIZACIONES6º</v>
      </c>
      <c r="C1027" t="s">
        <v>353</v>
      </c>
      <c r="E1027">
        <v>45092222</v>
      </c>
      <c r="F1027" t="s">
        <v>383</v>
      </c>
      <c r="G1027" t="s">
        <v>39</v>
      </c>
      <c r="H1027" t="s">
        <v>245</v>
      </c>
      <c r="I1027" t="s">
        <v>43</v>
      </c>
      <c r="J1027">
        <v>2022</v>
      </c>
      <c r="K1027" t="s">
        <v>60</v>
      </c>
      <c r="N1027" t="s">
        <v>99</v>
      </c>
      <c r="AI1027">
        <f t="shared" ref="AI1027:AI1090" si="33">IF(VALUE(MAX(P1027,T1027,X1027,AB1027,AE1027,))&gt;=7,VALUE(MAX(P1027,T1027,X1027,AB1027,AE1027,)),1)</f>
        <v>1</v>
      </c>
      <c r="AJ1027">
        <f>'TABLA PREVIOS'!E1027</f>
        <v>288</v>
      </c>
      <c r="AK1027">
        <f>VLOOKUP(E1027,ALUMNOS!A:B,2,FALSE)</f>
        <v>651</v>
      </c>
    </row>
    <row r="1028" spans="2:37" x14ac:dyDescent="0.25">
      <c r="B1028" t="str">
        <f t="shared" si="32"/>
        <v>45092222SISTEMAS DE INFORMACIÓN CONTABLE6º</v>
      </c>
      <c r="C1028" t="s">
        <v>353</v>
      </c>
      <c r="E1028">
        <v>45092222</v>
      </c>
      <c r="F1028" t="s">
        <v>383</v>
      </c>
      <c r="G1028" t="s">
        <v>29</v>
      </c>
      <c r="H1028" t="s">
        <v>245</v>
      </c>
      <c r="I1028" t="s">
        <v>43</v>
      </c>
      <c r="J1028">
        <v>2022</v>
      </c>
      <c r="K1028" t="s">
        <v>60</v>
      </c>
      <c r="N1028" t="s">
        <v>99</v>
      </c>
      <c r="AI1028">
        <f t="shared" si="33"/>
        <v>1</v>
      </c>
      <c r="AJ1028">
        <f>'TABLA PREVIOS'!E1028</f>
        <v>290</v>
      </c>
      <c r="AK1028">
        <f>VLOOKUP(E1028,ALUMNOS!A:B,2,FALSE)</f>
        <v>651</v>
      </c>
    </row>
    <row r="1029" spans="2:37" x14ac:dyDescent="0.25">
      <c r="B1029" t="str">
        <f t="shared" si="32"/>
        <v>46002906ADMINISTRACIÓN4º</v>
      </c>
      <c r="C1029" t="s">
        <v>353</v>
      </c>
      <c r="E1029">
        <v>46002906</v>
      </c>
      <c r="F1029" t="s">
        <v>384</v>
      </c>
      <c r="G1029" t="s">
        <v>30</v>
      </c>
      <c r="H1029" t="s">
        <v>190</v>
      </c>
      <c r="I1029" t="s">
        <v>43</v>
      </c>
      <c r="J1029">
        <v>2020</v>
      </c>
      <c r="K1029" t="s">
        <v>60</v>
      </c>
      <c r="N1029" t="s">
        <v>99</v>
      </c>
      <c r="AI1029">
        <f t="shared" si="33"/>
        <v>1</v>
      </c>
      <c r="AJ1029">
        <f>'TABLA PREVIOS'!E1029</f>
        <v>260</v>
      </c>
      <c r="AK1029">
        <f>VLOOKUP(E1029,ALUMNOS!A:B,2,FALSE)</f>
        <v>765</v>
      </c>
    </row>
    <row r="1030" spans="2:37" x14ac:dyDescent="0.25">
      <c r="B1030" t="str">
        <f t="shared" si="32"/>
        <v>46524776MATEMÁTICA6º</v>
      </c>
      <c r="C1030" t="s">
        <v>353</v>
      </c>
      <c r="E1030">
        <v>46524776</v>
      </c>
      <c r="F1030" t="s">
        <v>385</v>
      </c>
      <c r="G1030" t="s">
        <v>12</v>
      </c>
      <c r="H1030" t="s">
        <v>245</v>
      </c>
      <c r="I1030" t="s">
        <v>43</v>
      </c>
      <c r="J1030">
        <v>2022</v>
      </c>
      <c r="K1030" t="s">
        <v>60</v>
      </c>
      <c r="N1030" t="s">
        <v>107</v>
      </c>
      <c r="S1030">
        <v>45474</v>
      </c>
      <c r="T1030">
        <v>7</v>
      </c>
      <c r="U1030">
        <v>68</v>
      </c>
      <c r="V1030">
        <v>65</v>
      </c>
      <c r="AI1030">
        <f t="shared" si="33"/>
        <v>7</v>
      </c>
      <c r="AJ1030">
        <f>'TABLA PREVIOS'!E1030</f>
        <v>280</v>
      </c>
      <c r="AK1030">
        <f>VLOOKUP(E1030,ALUMNOS!A:B,2,FALSE)</f>
        <v>768</v>
      </c>
    </row>
    <row r="1031" spans="2:37" x14ac:dyDescent="0.25">
      <c r="B1031" t="str">
        <f t="shared" si="32"/>
        <v>46509028LENGUA Y LITERATURA3º</v>
      </c>
      <c r="C1031" t="s">
        <v>386</v>
      </c>
      <c r="D1031" t="s">
        <v>96</v>
      </c>
      <c r="E1031">
        <v>46509028</v>
      </c>
      <c r="F1031" t="s">
        <v>387</v>
      </c>
      <c r="G1031" t="s">
        <v>11</v>
      </c>
      <c r="H1031" t="s">
        <v>143</v>
      </c>
      <c r="I1031" t="s">
        <v>43</v>
      </c>
      <c r="J1031">
        <v>2020</v>
      </c>
      <c r="K1031" t="s">
        <v>59</v>
      </c>
      <c r="N1031" t="s">
        <v>99</v>
      </c>
      <c r="O1031">
        <v>45411</v>
      </c>
      <c r="P1031" t="s">
        <v>50</v>
      </c>
      <c r="Q1031">
        <v>68</v>
      </c>
      <c r="R1031">
        <v>39</v>
      </c>
      <c r="S1031">
        <v>45475</v>
      </c>
      <c r="T1031">
        <v>4</v>
      </c>
      <c r="U1031">
        <v>68</v>
      </c>
      <c r="V1031">
        <v>75</v>
      </c>
      <c r="AI1031">
        <f t="shared" si="33"/>
        <v>1</v>
      </c>
      <c r="AJ1031">
        <f>'TABLA PREVIOS'!E1031</f>
        <v>239</v>
      </c>
      <c r="AK1031">
        <f>VLOOKUP(E1031,ALUMNOS!A:B,2,FALSE)</f>
        <v>66</v>
      </c>
    </row>
    <row r="1032" spans="2:37" x14ac:dyDescent="0.25">
      <c r="B1032" t="str">
        <f t="shared" si="32"/>
        <v>46509068LENGUA Y LITERATURA4º</v>
      </c>
      <c r="C1032" t="s">
        <v>386</v>
      </c>
      <c r="D1032" t="s">
        <v>96</v>
      </c>
      <c r="E1032">
        <v>46509068</v>
      </c>
      <c r="F1032" t="s">
        <v>388</v>
      </c>
      <c r="G1032" t="s">
        <v>11</v>
      </c>
      <c r="H1032" t="s">
        <v>190</v>
      </c>
      <c r="I1032" t="s">
        <v>43</v>
      </c>
      <c r="J1032">
        <v>2021</v>
      </c>
      <c r="K1032" t="s">
        <v>60</v>
      </c>
      <c r="N1032" t="s">
        <v>99</v>
      </c>
      <c r="AI1032">
        <f t="shared" si="33"/>
        <v>1</v>
      </c>
      <c r="AJ1032">
        <f>'TABLA PREVIOS'!E1032</f>
        <v>251</v>
      </c>
      <c r="AK1032">
        <f>VLOOKUP(E1032,ALUMNOS!A:B,2,FALSE)</f>
        <v>358</v>
      </c>
    </row>
    <row r="1033" spans="2:37" x14ac:dyDescent="0.25">
      <c r="B1033" t="str">
        <f t="shared" si="32"/>
        <v>46509068ECONOMÍA5º</v>
      </c>
      <c r="C1033" t="s">
        <v>386</v>
      </c>
      <c r="D1033" t="s">
        <v>96</v>
      </c>
      <c r="E1033">
        <v>46509068</v>
      </c>
      <c r="F1033" t="s">
        <v>388</v>
      </c>
      <c r="G1033" t="s">
        <v>34</v>
      </c>
      <c r="H1033" t="s">
        <v>220</v>
      </c>
      <c r="I1033" t="s">
        <v>43</v>
      </c>
      <c r="J1033">
        <v>2022</v>
      </c>
      <c r="K1033" t="s">
        <v>60</v>
      </c>
      <c r="N1033" t="s">
        <v>99</v>
      </c>
      <c r="AI1033">
        <f t="shared" si="33"/>
        <v>1</v>
      </c>
      <c r="AJ1033">
        <f>'TABLA PREVIOS'!E1033</f>
        <v>275</v>
      </c>
      <c r="AK1033">
        <f>VLOOKUP(E1033,ALUMNOS!A:B,2,FALSE)</f>
        <v>358</v>
      </c>
    </row>
    <row r="1034" spans="2:37" x14ac:dyDescent="0.25">
      <c r="B1034" t="str">
        <f t="shared" si="32"/>
        <v>46509068PSICOLOGÍA5º</v>
      </c>
      <c r="C1034" t="s">
        <v>386</v>
      </c>
      <c r="D1034" t="s">
        <v>96</v>
      </c>
      <c r="E1034">
        <v>46509068</v>
      </c>
      <c r="F1034" t="s">
        <v>388</v>
      </c>
      <c r="G1034" t="s">
        <v>33</v>
      </c>
      <c r="H1034" t="s">
        <v>220</v>
      </c>
      <c r="I1034" t="s">
        <v>43</v>
      </c>
      <c r="J1034">
        <v>2022</v>
      </c>
      <c r="K1034" t="s">
        <v>60</v>
      </c>
      <c r="N1034" t="s">
        <v>99</v>
      </c>
      <c r="AI1034">
        <f t="shared" si="33"/>
        <v>1</v>
      </c>
      <c r="AJ1034">
        <f>'TABLA PREVIOS'!E1034</f>
        <v>271</v>
      </c>
      <c r="AK1034">
        <f>VLOOKUP(E1034,ALUMNOS!A:B,2,FALSE)</f>
        <v>358</v>
      </c>
    </row>
    <row r="1035" spans="2:37" x14ac:dyDescent="0.25">
      <c r="B1035" t="str">
        <f t="shared" si="32"/>
        <v>46509068ECONOMÍA6º</v>
      </c>
      <c r="C1035" t="s">
        <v>386</v>
      </c>
      <c r="D1035" t="s">
        <v>96</v>
      </c>
      <c r="E1035">
        <v>46509068</v>
      </c>
      <c r="F1035" t="s">
        <v>388</v>
      </c>
      <c r="G1035" t="s">
        <v>34</v>
      </c>
      <c r="H1035" t="s">
        <v>245</v>
      </c>
      <c r="I1035" t="s">
        <v>43</v>
      </c>
      <c r="J1035">
        <v>2023</v>
      </c>
      <c r="K1035" t="s">
        <v>60</v>
      </c>
      <c r="N1035" t="s">
        <v>99</v>
      </c>
      <c r="AI1035">
        <f t="shared" si="33"/>
        <v>1</v>
      </c>
      <c r="AJ1035">
        <f>'TABLA PREVIOS'!E1035</f>
        <v>286</v>
      </c>
      <c r="AK1035">
        <f>VLOOKUP(E1035,ALUMNOS!A:B,2,FALSE)</f>
        <v>358</v>
      </c>
    </row>
    <row r="1036" spans="2:37" x14ac:dyDescent="0.25">
      <c r="B1036" t="str">
        <f t="shared" si="32"/>
        <v>46509068LENGUA Y LITERATURA6º</v>
      </c>
      <c r="C1036" t="s">
        <v>386</v>
      </c>
      <c r="D1036" t="s">
        <v>96</v>
      </c>
      <c r="E1036">
        <v>46509068</v>
      </c>
      <c r="F1036" t="s">
        <v>388</v>
      </c>
      <c r="G1036" t="s">
        <v>11</v>
      </c>
      <c r="H1036" t="s">
        <v>245</v>
      </c>
      <c r="I1036" t="s">
        <v>43</v>
      </c>
      <c r="J1036">
        <v>2023</v>
      </c>
      <c r="K1036" t="s">
        <v>60</v>
      </c>
      <c r="N1036" t="s">
        <v>99</v>
      </c>
      <c r="AI1036">
        <f t="shared" si="33"/>
        <v>1</v>
      </c>
      <c r="AJ1036">
        <f>'TABLA PREVIOS'!E1036</f>
        <v>279</v>
      </c>
      <c r="AK1036">
        <f>VLOOKUP(E1036,ALUMNOS!A:B,2,FALSE)</f>
        <v>358</v>
      </c>
    </row>
    <row r="1037" spans="2:37" x14ac:dyDescent="0.25">
      <c r="B1037" t="str">
        <f t="shared" si="32"/>
        <v>46509068MATEMÁTICA6º</v>
      </c>
      <c r="C1037" t="s">
        <v>386</v>
      </c>
      <c r="D1037" t="s">
        <v>96</v>
      </c>
      <c r="E1037">
        <v>46509068</v>
      </c>
      <c r="F1037" t="s">
        <v>388</v>
      </c>
      <c r="G1037" t="s">
        <v>12</v>
      </c>
      <c r="H1037" t="s">
        <v>245</v>
      </c>
      <c r="I1037" t="s">
        <v>43</v>
      </c>
      <c r="J1037">
        <v>2023</v>
      </c>
      <c r="K1037" t="s">
        <v>60</v>
      </c>
      <c r="N1037" t="s">
        <v>99</v>
      </c>
      <c r="AI1037">
        <f t="shared" si="33"/>
        <v>1</v>
      </c>
      <c r="AJ1037">
        <f>'TABLA PREVIOS'!E1037</f>
        <v>280</v>
      </c>
      <c r="AK1037">
        <f>VLOOKUP(E1037,ALUMNOS!A:B,2,FALSE)</f>
        <v>358</v>
      </c>
    </row>
    <row r="1038" spans="2:37" x14ac:dyDescent="0.25">
      <c r="B1038" t="str">
        <f t="shared" si="32"/>
        <v>46509068SISTEMAS DE INFORMACIÓN CONTABLE6º</v>
      </c>
      <c r="C1038" t="s">
        <v>386</v>
      </c>
      <c r="D1038" t="s">
        <v>96</v>
      </c>
      <c r="E1038">
        <v>46509068</v>
      </c>
      <c r="F1038" t="s">
        <v>388</v>
      </c>
      <c r="G1038" t="s">
        <v>29</v>
      </c>
      <c r="H1038" t="s">
        <v>245</v>
      </c>
      <c r="I1038" t="s">
        <v>43</v>
      </c>
      <c r="J1038">
        <v>2023</v>
      </c>
      <c r="K1038" t="s">
        <v>60</v>
      </c>
      <c r="N1038" t="s">
        <v>99</v>
      </c>
      <c r="AI1038">
        <f t="shared" si="33"/>
        <v>1</v>
      </c>
      <c r="AJ1038">
        <f>'TABLA PREVIOS'!E1038</f>
        <v>290</v>
      </c>
      <c r="AK1038">
        <f>VLOOKUP(E1038,ALUMNOS!A:B,2,FALSE)</f>
        <v>358</v>
      </c>
    </row>
    <row r="1039" spans="2:37" x14ac:dyDescent="0.25">
      <c r="B1039" t="str">
        <f t="shared" si="32"/>
        <v>46890410LENGUA Y LITERATURA6º</v>
      </c>
      <c r="C1039" t="s">
        <v>386</v>
      </c>
      <c r="D1039" t="s">
        <v>96</v>
      </c>
      <c r="E1039">
        <v>46890410</v>
      </c>
      <c r="F1039" t="s">
        <v>389</v>
      </c>
      <c r="G1039" t="s">
        <v>11</v>
      </c>
      <c r="H1039" t="s">
        <v>245</v>
      </c>
      <c r="I1039" t="s">
        <v>43</v>
      </c>
      <c r="J1039">
        <v>2023</v>
      </c>
      <c r="K1039" t="s">
        <v>60</v>
      </c>
      <c r="N1039" t="s">
        <v>107</v>
      </c>
      <c r="O1039">
        <v>45411</v>
      </c>
      <c r="P1039">
        <v>7</v>
      </c>
      <c r="Q1039">
        <v>68</v>
      </c>
      <c r="R1039">
        <v>41</v>
      </c>
      <c r="AI1039">
        <f t="shared" si="33"/>
        <v>7</v>
      </c>
      <c r="AJ1039">
        <f>'TABLA PREVIOS'!E1039</f>
        <v>279</v>
      </c>
      <c r="AK1039">
        <f>VLOOKUP(E1039,ALUMNOS!A:B,2,FALSE)</f>
        <v>368</v>
      </c>
    </row>
    <row r="1040" spans="2:37" x14ac:dyDescent="0.25">
      <c r="B1040" t="str">
        <f t="shared" si="32"/>
        <v>46509032FORMACIÓN PARA LA VIDA Y EL TRABAJO5º</v>
      </c>
      <c r="C1040" t="s">
        <v>386</v>
      </c>
      <c r="D1040" t="s">
        <v>96</v>
      </c>
      <c r="E1040">
        <v>46509032</v>
      </c>
      <c r="F1040" t="s">
        <v>390</v>
      </c>
      <c r="G1040" t="s">
        <v>28</v>
      </c>
      <c r="H1040" t="s">
        <v>220</v>
      </c>
      <c r="I1040" t="s">
        <v>43</v>
      </c>
      <c r="J1040">
        <v>2022</v>
      </c>
      <c r="K1040" t="s">
        <v>60</v>
      </c>
      <c r="N1040" t="s">
        <v>107</v>
      </c>
      <c r="O1040">
        <v>45400</v>
      </c>
      <c r="P1040">
        <v>7</v>
      </c>
      <c r="Q1040">
        <v>68</v>
      </c>
      <c r="R1040">
        <v>22</v>
      </c>
      <c r="AI1040">
        <f t="shared" si="33"/>
        <v>7</v>
      </c>
      <c r="AJ1040">
        <f>'TABLA PREVIOS'!E1040</f>
        <v>272</v>
      </c>
      <c r="AK1040">
        <f>VLOOKUP(E1040,ALUMNOS!A:B,2,FALSE)</f>
        <v>427</v>
      </c>
    </row>
    <row r="1041" spans="2:37" x14ac:dyDescent="0.25">
      <c r="B1041" t="str">
        <f t="shared" si="32"/>
        <v>46509032SISTEMAS DE INFORMACIÓN CONTABLE5º</v>
      </c>
      <c r="C1041" t="s">
        <v>386</v>
      </c>
      <c r="D1041" t="s">
        <v>96</v>
      </c>
      <c r="E1041">
        <v>46509032</v>
      </c>
      <c r="F1041" t="s">
        <v>390</v>
      </c>
      <c r="G1041" t="s">
        <v>29</v>
      </c>
      <c r="H1041" t="s">
        <v>220</v>
      </c>
      <c r="I1041" t="s">
        <v>43</v>
      </c>
      <c r="J1041">
        <v>2022</v>
      </c>
      <c r="K1041" t="s">
        <v>60</v>
      </c>
      <c r="N1041" t="s">
        <v>99</v>
      </c>
      <c r="AI1041">
        <f t="shared" si="33"/>
        <v>1</v>
      </c>
      <c r="AJ1041">
        <f>'TABLA PREVIOS'!E1041</f>
        <v>273</v>
      </c>
      <c r="AK1041">
        <f>VLOOKUP(E1041,ALUMNOS!A:B,2,FALSE)</f>
        <v>427</v>
      </c>
    </row>
    <row r="1042" spans="2:37" x14ac:dyDescent="0.25">
      <c r="B1042" t="str">
        <f t="shared" si="32"/>
        <v>46509032LENGUA Y LITERATURA6º</v>
      </c>
      <c r="C1042" t="s">
        <v>386</v>
      </c>
      <c r="D1042" t="s">
        <v>96</v>
      </c>
      <c r="E1042">
        <v>46509032</v>
      </c>
      <c r="F1042" t="s">
        <v>390</v>
      </c>
      <c r="G1042" t="s">
        <v>11</v>
      </c>
      <c r="H1042" t="s">
        <v>245</v>
      </c>
      <c r="I1042" t="s">
        <v>43</v>
      </c>
      <c r="J1042">
        <v>2023</v>
      </c>
      <c r="K1042" t="s">
        <v>60</v>
      </c>
      <c r="N1042" t="s">
        <v>99</v>
      </c>
      <c r="O1042">
        <v>45411</v>
      </c>
      <c r="P1042" t="s">
        <v>50</v>
      </c>
      <c r="Q1042">
        <v>68</v>
      </c>
      <c r="R1042">
        <v>41</v>
      </c>
      <c r="AI1042">
        <f t="shared" si="33"/>
        <v>1</v>
      </c>
      <c r="AJ1042">
        <f>'TABLA PREVIOS'!E1042</f>
        <v>279</v>
      </c>
      <c r="AK1042">
        <f>VLOOKUP(E1042,ALUMNOS!A:B,2,FALSE)</f>
        <v>427</v>
      </c>
    </row>
    <row r="1043" spans="2:37" x14ac:dyDescent="0.25">
      <c r="B1043" t="str">
        <f t="shared" si="32"/>
        <v>46509032MATEMÁTICA6º</v>
      </c>
      <c r="C1043" t="s">
        <v>386</v>
      </c>
      <c r="D1043" t="s">
        <v>96</v>
      </c>
      <c r="E1043">
        <v>46509032</v>
      </c>
      <c r="F1043" t="s">
        <v>390</v>
      </c>
      <c r="G1043" t="s">
        <v>12</v>
      </c>
      <c r="H1043" t="s">
        <v>245</v>
      </c>
      <c r="I1043" t="s">
        <v>43</v>
      </c>
      <c r="J1043">
        <v>2023</v>
      </c>
      <c r="K1043" t="s">
        <v>60</v>
      </c>
      <c r="N1043" t="s">
        <v>99</v>
      </c>
      <c r="AI1043">
        <f t="shared" si="33"/>
        <v>1</v>
      </c>
      <c r="AJ1043">
        <f>'TABLA PREVIOS'!E1043</f>
        <v>280</v>
      </c>
      <c r="AK1043">
        <f>VLOOKUP(E1043,ALUMNOS!A:B,2,FALSE)</f>
        <v>427</v>
      </c>
    </row>
    <row r="1044" spans="2:37" x14ac:dyDescent="0.25">
      <c r="B1044" t="str">
        <f t="shared" si="32"/>
        <v>46509032SISTEMAS DE INFORMACIÓN CONTABLE6º</v>
      </c>
      <c r="C1044" t="s">
        <v>386</v>
      </c>
      <c r="D1044" t="s">
        <v>96</v>
      </c>
      <c r="E1044">
        <v>46509032</v>
      </c>
      <c r="F1044" t="s">
        <v>390</v>
      </c>
      <c r="G1044" t="s">
        <v>29</v>
      </c>
      <c r="H1044" t="s">
        <v>245</v>
      </c>
      <c r="I1044" t="s">
        <v>43</v>
      </c>
      <c r="J1044">
        <v>2023</v>
      </c>
      <c r="K1044" t="s">
        <v>60</v>
      </c>
      <c r="N1044" t="s">
        <v>99</v>
      </c>
      <c r="AI1044">
        <f t="shared" si="33"/>
        <v>1</v>
      </c>
      <c r="AJ1044">
        <f>'TABLA PREVIOS'!E1044</f>
        <v>290</v>
      </c>
      <c r="AK1044">
        <f>VLOOKUP(E1044,ALUMNOS!A:B,2,FALSE)</f>
        <v>427</v>
      </c>
    </row>
    <row r="1045" spans="2:37" x14ac:dyDescent="0.25">
      <c r="B1045" t="str">
        <f t="shared" si="32"/>
        <v>45935197FORMACIÓN PARA LA VIDA Y EL TRABAJO5º</v>
      </c>
      <c r="C1045" t="s">
        <v>386</v>
      </c>
      <c r="D1045" t="s">
        <v>96</v>
      </c>
      <c r="E1045">
        <v>45935197</v>
      </c>
      <c r="F1045" t="s">
        <v>391</v>
      </c>
      <c r="G1045" t="s">
        <v>28</v>
      </c>
      <c r="H1045" t="s">
        <v>220</v>
      </c>
      <c r="I1045" t="s">
        <v>43</v>
      </c>
      <c r="J1045">
        <v>2022</v>
      </c>
      <c r="K1045" t="s">
        <v>60</v>
      </c>
      <c r="N1045" t="s">
        <v>99</v>
      </c>
      <c r="AI1045">
        <f t="shared" si="33"/>
        <v>1</v>
      </c>
      <c r="AJ1045">
        <f>'TABLA PREVIOS'!E1045</f>
        <v>272</v>
      </c>
      <c r="AK1045">
        <f>VLOOKUP(E1045,ALUMNOS!A:B,2,FALSE)</f>
        <v>438</v>
      </c>
    </row>
    <row r="1046" spans="2:37" x14ac:dyDescent="0.25">
      <c r="B1046" t="str">
        <f t="shared" si="32"/>
        <v>45935197MATEMÁTICA5º</v>
      </c>
      <c r="C1046" t="s">
        <v>386</v>
      </c>
      <c r="D1046" t="s">
        <v>96</v>
      </c>
      <c r="E1046">
        <v>45935197</v>
      </c>
      <c r="F1046" t="s">
        <v>391</v>
      </c>
      <c r="G1046" t="s">
        <v>12</v>
      </c>
      <c r="H1046" t="s">
        <v>220</v>
      </c>
      <c r="I1046" t="s">
        <v>43</v>
      </c>
      <c r="J1046">
        <v>2022</v>
      </c>
      <c r="K1046" t="s">
        <v>60</v>
      </c>
      <c r="N1046" t="s">
        <v>99</v>
      </c>
      <c r="AI1046">
        <f t="shared" si="33"/>
        <v>1</v>
      </c>
      <c r="AJ1046">
        <f>'TABLA PREVIOS'!E1046</f>
        <v>265</v>
      </c>
      <c r="AK1046">
        <f>VLOOKUP(E1046,ALUMNOS!A:B,2,FALSE)</f>
        <v>438</v>
      </c>
    </row>
    <row r="1047" spans="2:37" x14ac:dyDescent="0.25">
      <c r="B1047" t="str">
        <f t="shared" si="32"/>
        <v>45935197SISTEMAS DE INFORMACIÓN CONTABLE5º</v>
      </c>
      <c r="C1047" t="s">
        <v>386</v>
      </c>
      <c r="D1047" t="s">
        <v>96</v>
      </c>
      <c r="E1047">
        <v>45935197</v>
      </c>
      <c r="F1047" t="s">
        <v>391</v>
      </c>
      <c r="G1047" t="s">
        <v>29</v>
      </c>
      <c r="H1047" t="s">
        <v>220</v>
      </c>
      <c r="I1047" t="s">
        <v>43</v>
      </c>
      <c r="J1047">
        <v>2022</v>
      </c>
      <c r="K1047" t="s">
        <v>60</v>
      </c>
      <c r="N1047" t="s">
        <v>99</v>
      </c>
      <c r="AI1047">
        <f t="shared" si="33"/>
        <v>1</v>
      </c>
      <c r="AJ1047">
        <f>'TABLA PREVIOS'!E1047</f>
        <v>273</v>
      </c>
      <c r="AK1047">
        <f>VLOOKUP(E1047,ALUMNOS!A:B,2,FALSE)</f>
        <v>438</v>
      </c>
    </row>
    <row r="1048" spans="2:37" x14ac:dyDescent="0.25">
      <c r="B1048" t="str">
        <f t="shared" si="32"/>
        <v>45935197ECONOMÍA6º</v>
      </c>
      <c r="C1048" t="s">
        <v>386</v>
      </c>
      <c r="D1048" t="s">
        <v>96</v>
      </c>
      <c r="E1048">
        <v>45935197</v>
      </c>
      <c r="F1048" t="s">
        <v>391</v>
      </c>
      <c r="G1048" t="s">
        <v>34</v>
      </c>
      <c r="H1048" t="s">
        <v>245</v>
      </c>
      <c r="I1048" t="s">
        <v>43</v>
      </c>
      <c r="J1048">
        <v>2023</v>
      </c>
      <c r="K1048" t="s">
        <v>60</v>
      </c>
      <c r="N1048" t="s">
        <v>99</v>
      </c>
      <c r="AI1048">
        <f t="shared" si="33"/>
        <v>1</v>
      </c>
      <c r="AJ1048">
        <f>'TABLA PREVIOS'!E1048</f>
        <v>286</v>
      </c>
      <c r="AK1048">
        <f>VLOOKUP(E1048,ALUMNOS!A:B,2,FALSE)</f>
        <v>438</v>
      </c>
    </row>
    <row r="1049" spans="2:37" x14ac:dyDescent="0.25">
      <c r="B1049" t="str">
        <f t="shared" si="32"/>
        <v>45935197LENGUA Y LITERATURA6º</v>
      </c>
      <c r="C1049" t="s">
        <v>386</v>
      </c>
      <c r="D1049" t="s">
        <v>96</v>
      </c>
      <c r="E1049">
        <v>45935197</v>
      </c>
      <c r="F1049" t="s">
        <v>391</v>
      </c>
      <c r="G1049" t="s">
        <v>11</v>
      </c>
      <c r="H1049" t="s">
        <v>245</v>
      </c>
      <c r="I1049" t="s">
        <v>43</v>
      </c>
      <c r="J1049">
        <v>2023</v>
      </c>
      <c r="K1049" t="s">
        <v>60</v>
      </c>
      <c r="N1049" t="s">
        <v>99</v>
      </c>
      <c r="AI1049">
        <f t="shared" si="33"/>
        <v>1</v>
      </c>
      <c r="AJ1049">
        <f>'TABLA PREVIOS'!E1049</f>
        <v>279</v>
      </c>
      <c r="AK1049">
        <f>VLOOKUP(E1049,ALUMNOS!A:B,2,FALSE)</f>
        <v>438</v>
      </c>
    </row>
    <row r="1050" spans="2:37" x14ac:dyDescent="0.25">
      <c r="B1050" t="str">
        <f t="shared" si="32"/>
        <v>45935197MATEMÁTICA6º</v>
      </c>
      <c r="C1050" t="s">
        <v>386</v>
      </c>
      <c r="D1050" t="s">
        <v>96</v>
      </c>
      <c r="E1050">
        <v>45935197</v>
      </c>
      <c r="F1050" t="s">
        <v>391</v>
      </c>
      <c r="G1050" t="s">
        <v>12</v>
      </c>
      <c r="H1050" t="s">
        <v>245</v>
      </c>
      <c r="I1050" t="s">
        <v>43</v>
      </c>
      <c r="J1050">
        <v>2023</v>
      </c>
      <c r="K1050" t="s">
        <v>60</v>
      </c>
      <c r="N1050" t="s">
        <v>99</v>
      </c>
      <c r="AI1050">
        <f t="shared" si="33"/>
        <v>1</v>
      </c>
      <c r="AJ1050">
        <f>'TABLA PREVIOS'!E1050</f>
        <v>280</v>
      </c>
      <c r="AK1050">
        <f>VLOOKUP(E1050,ALUMNOS!A:B,2,FALSE)</f>
        <v>438</v>
      </c>
    </row>
    <row r="1051" spans="2:37" x14ac:dyDescent="0.25">
      <c r="B1051" t="str">
        <f t="shared" si="32"/>
        <v>45935197SISTEMAS DE INFORMACIÓN CONTABLE6º</v>
      </c>
      <c r="C1051" t="s">
        <v>386</v>
      </c>
      <c r="D1051" t="s">
        <v>96</v>
      </c>
      <c r="E1051">
        <v>45935197</v>
      </c>
      <c r="F1051" t="s">
        <v>391</v>
      </c>
      <c r="G1051" t="s">
        <v>29</v>
      </c>
      <c r="H1051" t="s">
        <v>245</v>
      </c>
      <c r="I1051" t="s">
        <v>43</v>
      </c>
      <c r="J1051">
        <v>2023</v>
      </c>
      <c r="K1051" t="s">
        <v>60</v>
      </c>
      <c r="N1051" t="s">
        <v>99</v>
      </c>
      <c r="AI1051">
        <f t="shared" si="33"/>
        <v>1</v>
      </c>
      <c r="AJ1051">
        <f>'TABLA PREVIOS'!E1051</f>
        <v>290</v>
      </c>
      <c r="AK1051">
        <f>VLOOKUP(E1051,ALUMNOS!A:B,2,FALSE)</f>
        <v>438</v>
      </c>
    </row>
    <row r="1052" spans="2:37" x14ac:dyDescent="0.25">
      <c r="B1052" t="str">
        <f t="shared" si="32"/>
        <v>46584794FORMACIÓN PARA LA VIDA Y EL TRABAJO5º</v>
      </c>
      <c r="C1052" t="s">
        <v>386</v>
      </c>
      <c r="D1052" t="s">
        <v>96</v>
      </c>
      <c r="E1052">
        <v>46584794</v>
      </c>
      <c r="F1052" t="s">
        <v>392</v>
      </c>
      <c r="G1052" t="s">
        <v>28</v>
      </c>
      <c r="H1052" t="s">
        <v>220</v>
      </c>
      <c r="I1052" t="s">
        <v>43</v>
      </c>
      <c r="J1052">
        <v>2022</v>
      </c>
      <c r="K1052" t="s">
        <v>60</v>
      </c>
      <c r="N1052" t="s">
        <v>107</v>
      </c>
      <c r="S1052">
        <v>45474</v>
      </c>
      <c r="T1052">
        <v>7</v>
      </c>
      <c r="U1052">
        <v>68</v>
      </c>
      <c r="V1052">
        <v>54</v>
      </c>
      <c r="AI1052">
        <f t="shared" si="33"/>
        <v>7</v>
      </c>
      <c r="AJ1052">
        <f>'TABLA PREVIOS'!E1052</f>
        <v>272</v>
      </c>
      <c r="AK1052">
        <f>VLOOKUP(E1052,ALUMNOS!A:B,2,FALSE)</f>
        <v>509</v>
      </c>
    </row>
    <row r="1053" spans="2:37" x14ac:dyDescent="0.25">
      <c r="B1053" t="str">
        <f t="shared" si="32"/>
        <v>46584794SISTEMAS DE INFORMACIÓN CONTABLE5º</v>
      </c>
      <c r="C1053" t="s">
        <v>386</v>
      </c>
      <c r="D1053" t="s">
        <v>96</v>
      </c>
      <c r="E1053">
        <v>46584794</v>
      </c>
      <c r="F1053" t="s">
        <v>392</v>
      </c>
      <c r="G1053" t="s">
        <v>29</v>
      </c>
      <c r="H1053" t="s">
        <v>220</v>
      </c>
      <c r="I1053" t="s">
        <v>43</v>
      </c>
      <c r="J1053">
        <v>2022</v>
      </c>
      <c r="K1053" t="s">
        <v>60</v>
      </c>
      <c r="N1053" t="s">
        <v>99</v>
      </c>
      <c r="AI1053">
        <f t="shared" si="33"/>
        <v>1</v>
      </c>
      <c r="AJ1053">
        <f>'TABLA PREVIOS'!E1053</f>
        <v>273</v>
      </c>
      <c r="AK1053">
        <f>VLOOKUP(E1053,ALUMNOS!A:B,2,FALSE)</f>
        <v>509</v>
      </c>
    </row>
    <row r="1054" spans="2:37" x14ac:dyDescent="0.25">
      <c r="B1054" t="str">
        <f t="shared" si="32"/>
        <v>46584794LENGUA Y LITERATURA6º</v>
      </c>
      <c r="C1054" t="s">
        <v>386</v>
      </c>
      <c r="D1054" t="s">
        <v>96</v>
      </c>
      <c r="E1054">
        <v>46584794</v>
      </c>
      <c r="F1054" t="s">
        <v>392</v>
      </c>
      <c r="G1054" t="s">
        <v>11</v>
      </c>
      <c r="H1054" t="s">
        <v>245</v>
      </c>
      <c r="I1054" t="s">
        <v>43</v>
      </c>
      <c r="J1054">
        <v>2023</v>
      </c>
      <c r="K1054" t="s">
        <v>60</v>
      </c>
      <c r="N1054" t="s">
        <v>99</v>
      </c>
      <c r="O1054">
        <v>45411</v>
      </c>
      <c r="P1054" t="s">
        <v>263</v>
      </c>
      <c r="Q1054">
        <v>68</v>
      </c>
      <c r="R1054">
        <v>41</v>
      </c>
      <c r="S1054">
        <v>45475</v>
      </c>
      <c r="T1054" t="s">
        <v>50</v>
      </c>
      <c r="U1054">
        <v>68</v>
      </c>
      <c r="V1054">
        <v>77</v>
      </c>
      <c r="AI1054">
        <f t="shared" si="33"/>
        <v>1</v>
      </c>
      <c r="AJ1054">
        <f>'TABLA PREVIOS'!E1054</f>
        <v>279</v>
      </c>
      <c r="AK1054">
        <f>VLOOKUP(E1054,ALUMNOS!A:B,2,FALSE)</f>
        <v>509</v>
      </c>
    </row>
    <row r="1055" spans="2:37" x14ac:dyDescent="0.25">
      <c r="B1055" t="str">
        <f t="shared" si="32"/>
        <v>46584794RESPONSABILIDAD SOCIAL DE LAS ORGANIZACIONES6º</v>
      </c>
      <c r="C1055" t="s">
        <v>386</v>
      </c>
      <c r="D1055" t="s">
        <v>96</v>
      </c>
      <c r="E1055">
        <v>46584794</v>
      </c>
      <c r="F1055" t="s">
        <v>392</v>
      </c>
      <c r="G1055" t="s">
        <v>39</v>
      </c>
      <c r="H1055" t="s">
        <v>245</v>
      </c>
      <c r="I1055" t="s">
        <v>43</v>
      </c>
      <c r="J1055">
        <v>2023</v>
      </c>
      <c r="K1055" t="s">
        <v>60</v>
      </c>
      <c r="N1055" t="s">
        <v>107</v>
      </c>
      <c r="O1055">
        <v>45411</v>
      </c>
      <c r="P1055">
        <v>7</v>
      </c>
      <c r="Q1055">
        <v>68</v>
      </c>
      <c r="R1055">
        <v>47</v>
      </c>
      <c r="AI1055">
        <f t="shared" si="33"/>
        <v>7</v>
      </c>
      <c r="AJ1055">
        <f>'TABLA PREVIOS'!E1055</f>
        <v>288</v>
      </c>
      <c r="AK1055">
        <f>VLOOKUP(E1055,ALUMNOS!A:B,2,FALSE)</f>
        <v>509</v>
      </c>
    </row>
    <row r="1056" spans="2:37" x14ac:dyDescent="0.25">
      <c r="B1056" t="str">
        <f t="shared" si="32"/>
        <v>46584794SISTEMAS DE INFORMACIÓN CONTABLE6º</v>
      </c>
      <c r="C1056" t="s">
        <v>386</v>
      </c>
      <c r="D1056" t="s">
        <v>96</v>
      </c>
      <c r="E1056">
        <v>46584794</v>
      </c>
      <c r="F1056" t="s">
        <v>392</v>
      </c>
      <c r="G1056" t="s">
        <v>29</v>
      </c>
      <c r="H1056" t="s">
        <v>245</v>
      </c>
      <c r="I1056" t="s">
        <v>43</v>
      </c>
      <c r="J1056">
        <v>2023</v>
      </c>
      <c r="K1056" t="s">
        <v>60</v>
      </c>
      <c r="N1056" t="s">
        <v>99</v>
      </c>
      <c r="AI1056">
        <f t="shared" si="33"/>
        <v>1</v>
      </c>
      <c r="AJ1056">
        <f>'TABLA PREVIOS'!E1056</f>
        <v>290</v>
      </c>
      <c r="AK1056">
        <f>VLOOKUP(E1056,ALUMNOS!A:B,2,FALSE)</f>
        <v>509</v>
      </c>
    </row>
    <row r="1057" spans="2:37" x14ac:dyDescent="0.25">
      <c r="B1057" t="str">
        <f t="shared" si="32"/>
        <v>46509100SISTEMAS DE INFORMACIÓN CONTABLE5º</v>
      </c>
      <c r="C1057" t="s">
        <v>386</v>
      </c>
      <c r="D1057" t="s">
        <v>96</v>
      </c>
      <c r="E1057">
        <v>46509100</v>
      </c>
      <c r="F1057" t="s">
        <v>393</v>
      </c>
      <c r="G1057" t="s">
        <v>29</v>
      </c>
      <c r="H1057" t="s">
        <v>220</v>
      </c>
      <c r="I1057" t="s">
        <v>43</v>
      </c>
      <c r="J1057">
        <v>2022</v>
      </c>
      <c r="K1057" t="s">
        <v>60</v>
      </c>
      <c r="N1057" t="s">
        <v>107</v>
      </c>
      <c r="S1057">
        <v>45475</v>
      </c>
      <c r="T1057">
        <v>7</v>
      </c>
      <c r="U1057">
        <v>68</v>
      </c>
      <c r="V1057">
        <v>79</v>
      </c>
      <c r="AI1057">
        <f t="shared" si="33"/>
        <v>7</v>
      </c>
      <c r="AJ1057">
        <f>'TABLA PREVIOS'!E1057</f>
        <v>273</v>
      </c>
      <c r="AK1057">
        <f>VLOOKUP(E1057,ALUMNOS!A:B,2,FALSE)</f>
        <v>686</v>
      </c>
    </row>
    <row r="1058" spans="2:37" x14ac:dyDescent="0.25">
      <c r="B1058" t="str">
        <f t="shared" si="32"/>
        <v>46509100LENGUA Y LITERATURA6º</v>
      </c>
      <c r="C1058" t="s">
        <v>386</v>
      </c>
      <c r="D1058" t="s">
        <v>96</v>
      </c>
      <c r="E1058">
        <v>46509100</v>
      </c>
      <c r="F1058" t="s">
        <v>393</v>
      </c>
      <c r="G1058" t="s">
        <v>11</v>
      </c>
      <c r="H1058" t="s">
        <v>245</v>
      </c>
      <c r="I1058" t="s">
        <v>43</v>
      </c>
      <c r="J1058">
        <v>2023</v>
      </c>
      <c r="K1058" t="s">
        <v>60</v>
      </c>
      <c r="N1058" t="s">
        <v>99</v>
      </c>
      <c r="S1058">
        <v>45475</v>
      </c>
      <c r="T1058" t="s">
        <v>50</v>
      </c>
      <c r="U1058">
        <v>68</v>
      </c>
      <c r="V1058">
        <v>77</v>
      </c>
      <c r="AI1058">
        <f t="shared" si="33"/>
        <v>1</v>
      </c>
      <c r="AJ1058">
        <f>'TABLA PREVIOS'!E1058</f>
        <v>279</v>
      </c>
      <c r="AK1058">
        <f>VLOOKUP(E1058,ALUMNOS!A:B,2,FALSE)</f>
        <v>686</v>
      </c>
    </row>
    <row r="1059" spans="2:37" x14ac:dyDescent="0.25">
      <c r="B1059" t="str">
        <f t="shared" si="32"/>
        <v>46509100SISTEMAS DE INFORMACIÓN CONTABLE6º</v>
      </c>
      <c r="C1059" t="s">
        <v>386</v>
      </c>
      <c r="D1059" t="s">
        <v>96</v>
      </c>
      <c r="E1059">
        <v>46509100</v>
      </c>
      <c r="F1059" t="s">
        <v>393</v>
      </c>
      <c r="G1059" t="s">
        <v>29</v>
      </c>
      <c r="H1059" t="s">
        <v>245</v>
      </c>
      <c r="I1059" t="s">
        <v>43</v>
      </c>
      <c r="J1059">
        <v>2023</v>
      </c>
      <c r="K1059" t="s">
        <v>60</v>
      </c>
      <c r="N1059" t="s">
        <v>107</v>
      </c>
      <c r="S1059">
        <v>45475</v>
      </c>
      <c r="T1059">
        <v>7</v>
      </c>
      <c r="U1059">
        <v>68</v>
      </c>
      <c r="V1059">
        <v>80</v>
      </c>
      <c r="AI1059">
        <f t="shared" si="33"/>
        <v>7</v>
      </c>
      <c r="AJ1059">
        <f>'TABLA PREVIOS'!E1059</f>
        <v>290</v>
      </c>
      <c r="AK1059">
        <f>VLOOKUP(E1059,ALUMNOS!A:B,2,FALSE)</f>
        <v>686</v>
      </c>
    </row>
    <row r="1060" spans="2:37" x14ac:dyDescent="0.25">
      <c r="B1060" t="str">
        <f t="shared" si="32"/>
        <v>47070448LENGUA Y LITERATURA6º</v>
      </c>
      <c r="C1060" t="s">
        <v>386</v>
      </c>
      <c r="D1060" t="s">
        <v>96</v>
      </c>
      <c r="E1060">
        <v>47070448</v>
      </c>
      <c r="F1060" t="s">
        <v>394</v>
      </c>
      <c r="G1060" t="s">
        <v>11</v>
      </c>
      <c r="H1060" t="s">
        <v>245</v>
      </c>
      <c r="I1060" t="s">
        <v>43</v>
      </c>
      <c r="J1060">
        <v>2023</v>
      </c>
      <c r="K1060" t="s">
        <v>60</v>
      </c>
      <c r="N1060" t="s">
        <v>99</v>
      </c>
      <c r="AI1060">
        <f t="shared" si="33"/>
        <v>1</v>
      </c>
      <c r="AJ1060">
        <f>'TABLA PREVIOS'!E1060</f>
        <v>279</v>
      </c>
      <c r="AK1060">
        <f>VLOOKUP(E1060,ALUMNOS!A:B,2,FALSE)</f>
        <v>758</v>
      </c>
    </row>
    <row r="1061" spans="2:37" x14ac:dyDescent="0.25">
      <c r="B1061" t="str">
        <f t="shared" si="32"/>
        <v>47070448SISTEMAS DE INFORMACIÓN CONTABLE6º</v>
      </c>
      <c r="C1061" t="s">
        <v>386</v>
      </c>
      <c r="D1061" t="s">
        <v>96</v>
      </c>
      <c r="E1061">
        <v>47070448</v>
      </c>
      <c r="F1061" t="s">
        <v>394</v>
      </c>
      <c r="G1061" t="s">
        <v>29</v>
      </c>
      <c r="H1061" t="s">
        <v>245</v>
      </c>
      <c r="I1061" t="s">
        <v>43</v>
      </c>
      <c r="J1061">
        <v>2023</v>
      </c>
      <c r="K1061" t="s">
        <v>60</v>
      </c>
      <c r="N1061" t="s">
        <v>99</v>
      </c>
      <c r="AI1061">
        <f t="shared" si="33"/>
        <v>1</v>
      </c>
      <c r="AJ1061">
        <f>'TABLA PREVIOS'!E1061</f>
        <v>290</v>
      </c>
      <c r="AK1061">
        <f>VLOOKUP(E1061,ALUMNOS!A:B,2,FALSE)</f>
        <v>758</v>
      </c>
    </row>
    <row r="1062" spans="2:37" x14ac:dyDescent="0.25">
      <c r="B1062" t="str">
        <f t="shared" si="32"/>
        <v>46461432FÍSICA5º</v>
      </c>
      <c r="C1062" t="s">
        <v>386</v>
      </c>
      <c r="D1062" t="s">
        <v>109</v>
      </c>
      <c r="E1062">
        <v>46461432</v>
      </c>
      <c r="F1062" t="s">
        <v>395</v>
      </c>
      <c r="G1062" t="s">
        <v>24</v>
      </c>
      <c r="H1062" t="s">
        <v>220</v>
      </c>
      <c r="I1062" t="s">
        <v>43</v>
      </c>
      <c r="J1062">
        <v>2022</v>
      </c>
      <c r="K1062" t="s">
        <v>60</v>
      </c>
      <c r="N1062" t="s">
        <v>99</v>
      </c>
      <c r="AI1062">
        <f t="shared" si="33"/>
        <v>1</v>
      </c>
      <c r="AJ1062">
        <f>'TABLA PREVIOS'!E1062</f>
        <v>266</v>
      </c>
      <c r="AK1062">
        <f>VLOOKUP(E1062,ALUMNOS!A:B,2,FALSE)</f>
        <v>21</v>
      </c>
    </row>
    <row r="1063" spans="2:37" x14ac:dyDescent="0.25">
      <c r="B1063" t="str">
        <f t="shared" si="32"/>
        <v>46461432LENGUA EXTRANJERA - INGLÉS5º</v>
      </c>
      <c r="C1063" t="s">
        <v>386</v>
      </c>
      <c r="D1063" t="s">
        <v>109</v>
      </c>
      <c r="E1063">
        <v>46461432</v>
      </c>
      <c r="F1063" t="s">
        <v>395</v>
      </c>
      <c r="G1063" t="s">
        <v>16</v>
      </c>
      <c r="H1063" t="s">
        <v>220</v>
      </c>
      <c r="I1063" t="s">
        <v>43</v>
      </c>
      <c r="J1063">
        <v>2022</v>
      </c>
      <c r="K1063" t="s">
        <v>60</v>
      </c>
      <c r="N1063" t="s">
        <v>99</v>
      </c>
      <c r="AI1063">
        <f t="shared" si="33"/>
        <v>1</v>
      </c>
      <c r="AJ1063">
        <f>'TABLA PREVIOS'!E1063</f>
        <v>269</v>
      </c>
      <c r="AK1063">
        <f>VLOOKUP(E1063,ALUMNOS!A:B,2,FALSE)</f>
        <v>21</v>
      </c>
    </row>
    <row r="1064" spans="2:37" x14ac:dyDescent="0.25">
      <c r="B1064" t="str">
        <f t="shared" si="32"/>
        <v>46461432ADMINISTRACIÓN6º</v>
      </c>
      <c r="C1064" t="s">
        <v>386</v>
      </c>
      <c r="D1064" t="s">
        <v>109</v>
      </c>
      <c r="E1064">
        <v>46461432</v>
      </c>
      <c r="F1064" t="s">
        <v>395</v>
      </c>
      <c r="G1064" t="s">
        <v>30</v>
      </c>
      <c r="H1064" t="s">
        <v>245</v>
      </c>
      <c r="I1064" t="s">
        <v>43</v>
      </c>
      <c r="J1064">
        <v>2023</v>
      </c>
      <c r="K1064" t="s">
        <v>60</v>
      </c>
      <c r="N1064" t="s">
        <v>99</v>
      </c>
      <c r="AI1064">
        <f t="shared" si="33"/>
        <v>1</v>
      </c>
      <c r="AJ1064">
        <f>'TABLA PREVIOS'!E1064</f>
        <v>285</v>
      </c>
      <c r="AK1064">
        <f>VLOOKUP(E1064,ALUMNOS!A:B,2,FALSE)</f>
        <v>21</v>
      </c>
    </row>
    <row r="1065" spans="2:37" x14ac:dyDescent="0.25">
      <c r="B1065" t="str">
        <f t="shared" si="32"/>
        <v>46461432CIUDADANÍA Y POLÍTICA6º</v>
      </c>
      <c r="C1065" t="s">
        <v>386</v>
      </c>
      <c r="D1065" t="s">
        <v>109</v>
      </c>
      <c r="E1065">
        <v>46461432</v>
      </c>
      <c r="F1065" t="s">
        <v>395</v>
      </c>
      <c r="G1065" t="s">
        <v>37</v>
      </c>
      <c r="H1065" t="s">
        <v>245</v>
      </c>
      <c r="I1065" t="s">
        <v>43</v>
      </c>
      <c r="J1065">
        <v>2023</v>
      </c>
      <c r="K1065" t="s">
        <v>60</v>
      </c>
      <c r="N1065" t="s">
        <v>99</v>
      </c>
      <c r="AI1065">
        <f t="shared" si="33"/>
        <v>1</v>
      </c>
      <c r="AJ1065">
        <f>'TABLA PREVIOS'!E1065</f>
        <v>284</v>
      </c>
      <c r="AK1065">
        <f>VLOOKUP(E1065,ALUMNOS!A:B,2,FALSE)</f>
        <v>21</v>
      </c>
    </row>
    <row r="1066" spans="2:37" x14ac:dyDescent="0.25">
      <c r="B1066" t="str">
        <f t="shared" si="32"/>
        <v>46461432DERECHO6º</v>
      </c>
      <c r="C1066" t="s">
        <v>386</v>
      </c>
      <c r="D1066" t="s">
        <v>109</v>
      </c>
      <c r="E1066">
        <v>46461432</v>
      </c>
      <c r="F1066" t="s">
        <v>395</v>
      </c>
      <c r="G1066" t="s">
        <v>38</v>
      </c>
      <c r="H1066" t="s">
        <v>245</v>
      </c>
      <c r="I1066" t="s">
        <v>43</v>
      </c>
      <c r="J1066">
        <v>2023</v>
      </c>
      <c r="K1066" t="s">
        <v>60</v>
      </c>
      <c r="N1066" t="s">
        <v>99</v>
      </c>
      <c r="AI1066">
        <f t="shared" si="33"/>
        <v>1</v>
      </c>
      <c r="AJ1066">
        <f>'TABLA PREVIOS'!E1066</f>
        <v>287</v>
      </c>
      <c r="AK1066">
        <f>VLOOKUP(E1066,ALUMNOS!A:B,2,FALSE)</f>
        <v>21</v>
      </c>
    </row>
    <row r="1067" spans="2:37" x14ac:dyDescent="0.25">
      <c r="B1067" t="str">
        <f t="shared" si="32"/>
        <v>46461432ECONOMÍA6º</v>
      </c>
      <c r="C1067" t="s">
        <v>386</v>
      </c>
      <c r="D1067" t="s">
        <v>109</v>
      </c>
      <c r="E1067">
        <v>46461432</v>
      </c>
      <c r="F1067" t="s">
        <v>395</v>
      </c>
      <c r="G1067" t="s">
        <v>34</v>
      </c>
      <c r="H1067" t="s">
        <v>245</v>
      </c>
      <c r="I1067" t="s">
        <v>43</v>
      </c>
      <c r="J1067">
        <v>2023</v>
      </c>
      <c r="K1067" t="s">
        <v>60</v>
      </c>
      <c r="N1067" t="s">
        <v>99</v>
      </c>
      <c r="AI1067">
        <f t="shared" si="33"/>
        <v>1</v>
      </c>
      <c r="AJ1067">
        <f>'TABLA PREVIOS'!E1067</f>
        <v>286</v>
      </c>
      <c r="AK1067">
        <f>VLOOKUP(E1067,ALUMNOS!A:B,2,FALSE)</f>
        <v>21</v>
      </c>
    </row>
    <row r="1068" spans="2:37" x14ac:dyDescent="0.25">
      <c r="B1068" t="str">
        <f t="shared" si="32"/>
        <v>46461432EDUCACIÓN ARTÍSTICA - TEATRO6º</v>
      </c>
      <c r="C1068" t="s">
        <v>386</v>
      </c>
      <c r="D1068" t="s">
        <v>109</v>
      </c>
      <c r="E1068">
        <v>46461432</v>
      </c>
      <c r="F1068" t="s">
        <v>395</v>
      </c>
      <c r="G1068" t="s">
        <v>36</v>
      </c>
      <c r="H1068" t="s">
        <v>245</v>
      </c>
      <c r="I1068" t="s">
        <v>43</v>
      </c>
      <c r="J1068">
        <v>2023</v>
      </c>
      <c r="K1068" t="s">
        <v>60</v>
      </c>
      <c r="N1068" t="s">
        <v>99</v>
      </c>
      <c r="AI1068">
        <f t="shared" si="33"/>
        <v>1</v>
      </c>
      <c r="AJ1068">
        <f>'TABLA PREVIOS'!E1068</f>
        <v>283</v>
      </c>
      <c r="AK1068">
        <f>VLOOKUP(E1068,ALUMNOS!A:B,2,FALSE)</f>
        <v>21</v>
      </c>
    </row>
    <row r="1069" spans="2:37" x14ac:dyDescent="0.25">
      <c r="B1069" t="str">
        <f t="shared" si="32"/>
        <v>46461432EDUCACIÓN FÍSICA6º</v>
      </c>
      <c r="C1069" t="s">
        <v>386</v>
      </c>
      <c r="D1069" t="s">
        <v>109</v>
      </c>
      <c r="E1069">
        <v>46461432</v>
      </c>
      <c r="F1069" t="s">
        <v>395</v>
      </c>
      <c r="G1069" t="s">
        <v>10</v>
      </c>
      <c r="H1069" t="s">
        <v>245</v>
      </c>
      <c r="I1069" t="s">
        <v>43</v>
      </c>
      <c r="J1069">
        <v>2023</v>
      </c>
      <c r="K1069" t="s">
        <v>60</v>
      </c>
      <c r="N1069" t="s">
        <v>99</v>
      </c>
      <c r="AI1069">
        <f t="shared" si="33"/>
        <v>1</v>
      </c>
      <c r="AJ1069">
        <f>'TABLA PREVIOS'!E1069</f>
        <v>278</v>
      </c>
      <c r="AK1069">
        <f>VLOOKUP(E1069,ALUMNOS!A:B,2,FALSE)</f>
        <v>21</v>
      </c>
    </row>
    <row r="1070" spans="2:37" x14ac:dyDescent="0.25">
      <c r="B1070" t="str">
        <f t="shared" si="32"/>
        <v>46461432FILOSOFÍA6º</v>
      </c>
      <c r="C1070" t="s">
        <v>386</v>
      </c>
      <c r="D1070" t="s">
        <v>109</v>
      </c>
      <c r="E1070">
        <v>46461432</v>
      </c>
      <c r="F1070" t="s">
        <v>395</v>
      </c>
      <c r="G1070" t="s">
        <v>41</v>
      </c>
      <c r="H1070" t="s">
        <v>245</v>
      </c>
      <c r="I1070" t="s">
        <v>43</v>
      </c>
      <c r="J1070">
        <v>2023</v>
      </c>
      <c r="K1070" t="s">
        <v>60</v>
      </c>
      <c r="N1070" t="s">
        <v>99</v>
      </c>
      <c r="AI1070">
        <f t="shared" si="33"/>
        <v>1</v>
      </c>
      <c r="AJ1070">
        <f>'TABLA PREVIOS'!E1070</f>
        <v>292</v>
      </c>
      <c r="AK1070">
        <f>VLOOKUP(E1070,ALUMNOS!A:B,2,FALSE)</f>
        <v>21</v>
      </c>
    </row>
    <row r="1071" spans="2:37" x14ac:dyDescent="0.25">
      <c r="B1071" t="str">
        <f t="shared" si="32"/>
        <v>46461432FORMACIÓN PARA LA VIDA Y EL TRABAJO6º</v>
      </c>
      <c r="C1071" t="s">
        <v>386</v>
      </c>
      <c r="D1071" t="s">
        <v>109</v>
      </c>
      <c r="E1071">
        <v>46461432</v>
      </c>
      <c r="F1071" t="s">
        <v>395</v>
      </c>
      <c r="G1071" t="s">
        <v>28</v>
      </c>
      <c r="H1071" t="s">
        <v>245</v>
      </c>
      <c r="I1071" t="s">
        <v>43</v>
      </c>
      <c r="J1071">
        <v>2023</v>
      </c>
      <c r="K1071" t="s">
        <v>60</v>
      </c>
      <c r="N1071" t="s">
        <v>99</v>
      </c>
      <c r="AI1071">
        <f t="shared" si="33"/>
        <v>1</v>
      </c>
      <c r="AJ1071">
        <f>'TABLA PREVIOS'!E1071</f>
        <v>291</v>
      </c>
      <c r="AK1071">
        <f>VLOOKUP(E1071,ALUMNOS!A:B,2,FALSE)</f>
        <v>21</v>
      </c>
    </row>
    <row r="1072" spans="2:37" x14ac:dyDescent="0.25">
      <c r="B1072" t="str">
        <f t="shared" si="32"/>
        <v>46461432LENGUA EXTRANJERA - INGLÉS6º</v>
      </c>
      <c r="C1072" t="s">
        <v>386</v>
      </c>
      <c r="D1072" t="s">
        <v>109</v>
      </c>
      <c r="E1072">
        <v>46461432</v>
      </c>
      <c r="F1072" t="s">
        <v>395</v>
      </c>
      <c r="G1072" t="s">
        <v>16</v>
      </c>
      <c r="H1072" t="s">
        <v>245</v>
      </c>
      <c r="I1072" t="s">
        <v>43</v>
      </c>
      <c r="J1072">
        <v>2023</v>
      </c>
      <c r="K1072" t="s">
        <v>60</v>
      </c>
      <c r="N1072" t="s">
        <v>99</v>
      </c>
      <c r="AI1072">
        <f t="shared" si="33"/>
        <v>1</v>
      </c>
      <c r="AJ1072">
        <f>'TABLA PREVIOS'!E1072</f>
        <v>282</v>
      </c>
      <c r="AK1072">
        <f>VLOOKUP(E1072,ALUMNOS!A:B,2,FALSE)</f>
        <v>21</v>
      </c>
    </row>
    <row r="1073" spans="2:37" x14ac:dyDescent="0.25">
      <c r="B1073" t="str">
        <f t="shared" si="32"/>
        <v>46461432LENGUA Y LITERATURA6º</v>
      </c>
      <c r="C1073" t="s">
        <v>386</v>
      </c>
      <c r="D1073" t="s">
        <v>109</v>
      </c>
      <c r="E1073">
        <v>46461432</v>
      </c>
      <c r="F1073" t="s">
        <v>395</v>
      </c>
      <c r="G1073" t="s">
        <v>11</v>
      </c>
      <c r="H1073" t="s">
        <v>245</v>
      </c>
      <c r="I1073" t="s">
        <v>43</v>
      </c>
      <c r="J1073">
        <v>2023</v>
      </c>
      <c r="K1073" t="s">
        <v>60</v>
      </c>
      <c r="N1073" t="s">
        <v>99</v>
      </c>
      <c r="AI1073">
        <f t="shared" si="33"/>
        <v>1</v>
      </c>
      <c r="AJ1073">
        <f>'TABLA PREVIOS'!E1073</f>
        <v>279</v>
      </c>
      <c r="AK1073">
        <f>VLOOKUP(E1073,ALUMNOS!A:B,2,FALSE)</f>
        <v>21</v>
      </c>
    </row>
    <row r="1074" spans="2:37" x14ac:dyDescent="0.25">
      <c r="B1074" t="str">
        <f t="shared" si="32"/>
        <v>46461432MATEMÁTICA6º</v>
      </c>
      <c r="C1074" t="s">
        <v>386</v>
      </c>
      <c r="D1074" t="s">
        <v>109</v>
      </c>
      <c r="E1074">
        <v>46461432</v>
      </c>
      <c r="F1074" t="s">
        <v>395</v>
      </c>
      <c r="G1074" t="s">
        <v>12</v>
      </c>
      <c r="H1074" t="s">
        <v>245</v>
      </c>
      <c r="I1074" t="s">
        <v>43</v>
      </c>
      <c r="J1074">
        <v>2023</v>
      </c>
      <c r="K1074" t="s">
        <v>60</v>
      </c>
      <c r="N1074" t="s">
        <v>99</v>
      </c>
      <c r="AI1074">
        <f t="shared" si="33"/>
        <v>1</v>
      </c>
      <c r="AJ1074">
        <f>'TABLA PREVIOS'!E1074</f>
        <v>280</v>
      </c>
      <c r="AK1074">
        <f>VLOOKUP(E1074,ALUMNOS!A:B,2,FALSE)</f>
        <v>21</v>
      </c>
    </row>
    <row r="1075" spans="2:37" x14ac:dyDescent="0.25">
      <c r="B1075" t="str">
        <f t="shared" si="32"/>
        <v>46461432QUÍMICA6º</v>
      </c>
      <c r="C1075" t="s">
        <v>386</v>
      </c>
      <c r="D1075" t="s">
        <v>109</v>
      </c>
      <c r="E1075">
        <v>46461432</v>
      </c>
      <c r="F1075" t="s">
        <v>395</v>
      </c>
      <c r="G1075" t="s">
        <v>25</v>
      </c>
      <c r="H1075" t="s">
        <v>245</v>
      </c>
      <c r="I1075" t="s">
        <v>43</v>
      </c>
      <c r="J1075">
        <v>2023</v>
      </c>
      <c r="K1075" t="s">
        <v>60</v>
      </c>
      <c r="N1075" t="s">
        <v>99</v>
      </c>
      <c r="AI1075">
        <f t="shared" si="33"/>
        <v>1</v>
      </c>
      <c r="AJ1075">
        <f>'TABLA PREVIOS'!E1075</f>
        <v>281</v>
      </c>
      <c r="AK1075">
        <f>VLOOKUP(E1075,ALUMNOS!A:B,2,FALSE)</f>
        <v>21</v>
      </c>
    </row>
    <row r="1076" spans="2:37" x14ac:dyDescent="0.25">
      <c r="B1076" t="str">
        <f t="shared" si="32"/>
        <v>46461432RESPONSABILIDAD SOCIAL DE LAS ORGANIZACIONES6º</v>
      </c>
      <c r="C1076" t="s">
        <v>386</v>
      </c>
      <c r="D1076" t="s">
        <v>109</v>
      </c>
      <c r="E1076">
        <v>46461432</v>
      </c>
      <c r="F1076" t="s">
        <v>395</v>
      </c>
      <c r="G1076" t="s">
        <v>39</v>
      </c>
      <c r="H1076" t="s">
        <v>245</v>
      </c>
      <c r="I1076" t="s">
        <v>43</v>
      </c>
      <c r="J1076">
        <v>2023</v>
      </c>
      <c r="K1076" t="s">
        <v>60</v>
      </c>
      <c r="N1076" t="s">
        <v>99</v>
      </c>
      <c r="AI1076">
        <f t="shared" si="33"/>
        <v>1</v>
      </c>
      <c r="AJ1076">
        <f>'TABLA PREVIOS'!E1076</f>
        <v>288</v>
      </c>
      <c r="AK1076">
        <f>VLOOKUP(E1076,ALUMNOS!A:B,2,FALSE)</f>
        <v>21</v>
      </c>
    </row>
    <row r="1077" spans="2:37" x14ac:dyDescent="0.25">
      <c r="B1077" t="str">
        <f t="shared" si="32"/>
        <v>46461432SISTEMAS DE INFORMACIÓN CONTABLE6º</v>
      </c>
      <c r="C1077" t="s">
        <v>386</v>
      </c>
      <c r="D1077" t="s">
        <v>109</v>
      </c>
      <c r="E1077">
        <v>46461432</v>
      </c>
      <c r="F1077" t="s">
        <v>395</v>
      </c>
      <c r="G1077" t="s">
        <v>29</v>
      </c>
      <c r="H1077" t="s">
        <v>245</v>
      </c>
      <c r="I1077" t="s">
        <v>43</v>
      </c>
      <c r="J1077">
        <v>2023</v>
      </c>
      <c r="K1077" t="s">
        <v>60</v>
      </c>
      <c r="N1077" t="s">
        <v>99</v>
      </c>
      <c r="AI1077">
        <f t="shared" si="33"/>
        <v>1</v>
      </c>
      <c r="AJ1077">
        <f>'TABLA PREVIOS'!E1077</f>
        <v>290</v>
      </c>
      <c r="AK1077">
        <f>VLOOKUP(E1077,ALUMNOS!A:B,2,FALSE)</f>
        <v>21</v>
      </c>
    </row>
    <row r="1078" spans="2:37" x14ac:dyDescent="0.25">
      <c r="B1078" t="str">
        <f t="shared" si="32"/>
        <v>46509026FÍSICA5º</v>
      </c>
      <c r="C1078" t="s">
        <v>386</v>
      </c>
      <c r="D1078" t="s">
        <v>109</v>
      </c>
      <c r="E1078">
        <v>46509026</v>
      </c>
      <c r="F1078" t="s">
        <v>396</v>
      </c>
      <c r="G1078" t="s">
        <v>24</v>
      </c>
      <c r="H1078" t="s">
        <v>220</v>
      </c>
      <c r="I1078" t="s">
        <v>43</v>
      </c>
      <c r="J1078">
        <v>2022</v>
      </c>
      <c r="K1078" t="s">
        <v>60</v>
      </c>
      <c r="N1078" t="s">
        <v>99</v>
      </c>
      <c r="AI1078">
        <f t="shared" si="33"/>
        <v>1</v>
      </c>
      <c r="AJ1078">
        <f>'TABLA PREVIOS'!E1078</f>
        <v>266</v>
      </c>
      <c r="AK1078">
        <f>VLOOKUP(E1078,ALUMNOS!A:B,2,FALSE)</f>
        <v>73</v>
      </c>
    </row>
    <row r="1079" spans="2:37" x14ac:dyDescent="0.25">
      <c r="B1079" t="str">
        <f t="shared" si="32"/>
        <v>46509026LENGUA EXTRANJERA - INGLÉS5º</v>
      </c>
      <c r="C1079" t="s">
        <v>386</v>
      </c>
      <c r="D1079" t="s">
        <v>109</v>
      </c>
      <c r="E1079">
        <v>46509026</v>
      </c>
      <c r="F1079" t="s">
        <v>396</v>
      </c>
      <c r="G1079" t="s">
        <v>16</v>
      </c>
      <c r="H1079" t="s">
        <v>220</v>
      </c>
      <c r="I1079" t="s">
        <v>43</v>
      </c>
      <c r="J1079">
        <v>2022</v>
      </c>
      <c r="K1079" t="s">
        <v>60</v>
      </c>
      <c r="N1079" t="s">
        <v>99</v>
      </c>
      <c r="AI1079">
        <f t="shared" si="33"/>
        <v>1</v>
      </c>
      <c r="AJ1079">
        <f>'TABLA PREVIOS'!E1079</f>
        <v>269</v>
      </c>
      <c r="AK1079">
        <f>VLOOKUP(E1079,ALUMNOS!A:B,2,FALSE)</f>
        <v>73</v>
      </c>
    </row>
    <row r="1080" spans="2:37" x14ac:dyDescent="0.25">
      <c r="B1080" t="str">
        <f t="shared" si="32"/>
        <v>46509026FILOSOFÍA6º</v>
      </c>
      <c r="C1080" t="s">
        <v>386</v>
      </c>
      <c r="D1080" t="s">
        <v>109</v>
      </c>
      <c r="E1080">
        <v>46509026</v>
      </c>
      <c r="F1080" t="s">
        <v>396</v>
      </c>
      <c r="G1080" t="s">
        <v>41</v>
      </c>
      <c r="H1080" t="s">
        <v>245</v>
      </c>
      <c r="I1080" t="s">
        <v>43</v>
      </c>
      <c r="J1080">
        <v>2023</v>
      </c>
      <c r="K1080" t="s">
        <v>60</v>
      </c>
      <c r="N1080" t="s">
        <v>99</v>
      </c>
      <c r="AI1080">
        <f t="shared" si="33"/>
        <v>1</v>
      </c>
      <c r="AJ1080">
        <f>'TABLA PREVIOS'!E1080</f>
        <v>292</v>
      </c>
      <c r="AK1080">
        <f>VLOOKUP(E1080,ALUMNOS!A:B,2,FALSE)</f>
        <v>73</v>
      </c>
    </row>
    <row r="1081" spans="2:37" x14ac:dyDescent="0.25">
      <c r="B1081" t="str">
        <f t="shared" si="32"/>
        <v>46509026LENGUA EXTRANJERA - INGLÉS6º</v>
      </c>
      <c r="C1081" t="s">
        <v>386</v>
      </c>
      <c r="D1081" t="s">
        <v>109</v>
      </c>
      <c r="E1081">
        <v>46509026</v>
      </c>
      <c r="F1081" t="s">
        <v>396</v>
      </c>
      <c r="G1081" t="s">
        <v>16</v>
      </c>
      <c r="H1081" t="s">
        <v>245</v>
      </c>
      <c r="I1081" t="s">
        <v>43</v>
      </c>
      <c r="J1081">
        <v>2023</v>
      </c>
      <c r="K1081" t="s">
        <v>60</v>
      </c>
      <c r="N1081" t="s">
        <v>99</v>
      </c>
      <c r="AI1081">
        <f t="shared" si="33"/>
        <v>1</v>
      </c>
      <c r="AJ1081">
        <f>'TABLA PREVIOS'!E1081</f>
        <v>282</v>
      </c>
      <c r="AK1081">
        <f>VLOOKUP(E1081,ALUMNOS!A:B,2,FALSE)</f>
        <v>73</v>
      </c>
    </row>
    <row r="1082" spans="2:37" x14ac:dyDescent="0.25">
      <c r="B1082" t="str">
        <f t="shared" si="32"/>
        <v>46509026RESPONSABILIDAD SOCIAL DE LAS ORGANIZACIONES6º</v>
      </c>
      <c r="C1082" t="s">
        <v>386</v>
      </c>
      <c r="D1082" t="s">
        <v>109</v>
      </c>
      <c r="E1082">
        <v>46509026</v>
      </c>
      <c r="F1082" t="s">
        <v>396</v>
      </c>
      <c r="G1082" t="s">
        <v>39</v>
      </c>
      <c r="H1082" t="s">
        <v>245</v>
      </c>
      <c r="I1082" t="s">
        <v>43</v>
      </c>
      <c r="J1082">
        <v>2023</v>
      </c>
      <c r="K1082" t="s">
        <v>60</v>
      </c>
      <c r="N1082" t="s">
        <v>99</v>
      </c>
      <c r="AI1082">
        <f t="shared" si="33"/>
        <v>1</v>
      </c>
      <c r="AJ1082">
        <f>'TABLA PREVIOS'!E1082</f>
        <v>288</v>
      </c>
      <c r="AK1082">
        <f>VLOOKUP(E1082,ALUMNOS!A:B,2,FALSE)</f>
        <v>73</v>
      </c>
    </row>
    <row r="1083" spans="2:37" x14ac:dyDescent="0.25">
      <c r="B1083" t="str">
        <f t="shared" si="32"/>
        <v>46509026SISTEMAS DE INFORMACIÓN CONTABLE6º</v>
      </c>
      <c r="C1083" t="s">
        <v>386</v>
      </c>
      <c r="D1083" t="s">
        <v>109</v>
      </c>
      <c r="E1083">
        <v>46509026</v>
      </c>
      <c r="F1083" t="s">
        <v>396</v>
      </c>
      <c r="G1083" t="s">
        <v>29</v>
      </c>
      <c r="H1083" t="s">
        <v>245</v>
      </c>
      <c r="I1083" t="s">
        <v>43</v>
      </c>
      <c r="J1083">
        <v>2023</v>
      </c>
      <c r="K1083" t="s">
        <v>60</v>
      </c>
      <c r="N1083" t="s">
        <v>99</v>
      </c>
      <c r="AI1083">
        <f t="shared" si="33"/>
        <v>1</v>
      </c>
      <c r="AJ1083">
        <f>'TABLA PREVIOS'!E1083</f>
        <v>290</v>
      </c>
      <c r="AK1083">
        <f>VLOOKUP(E1083,ALUMNOS!A:B,2,FALSE)</f>
        <v>73</v>
      </c>
    </row>
    <row r="1084" spans="2:37" x14ac:dyDescent="0.25">
      <c r="B1084" t="str">
        <f t="shared" si="32"/>
        <v>47250831ADMINISTRACIÓN4º</v>
      </c>
      <c r="C1084" t="s">
        <v>386</v>
      </c>
      <c r="D1084" t="s">
        <v>109</v>
      </c>
      <c r="E1084">
        <v>47250831</v>
      </c>
      <c r="F1084" t="s">
        <v>397</v>
      </c>
      <c r="G1084" t="s">
        <v>30</v>
      </c>
      <c r="H1084" t="s">
        <v>190</v>
      </c>
      <c r="I1084" t="s">
        <v>44</v>
      </c>
      <c r="J1084">
        <v>2022</v>
      </c>
      <c r="K1084" t="s">
        <v>60</v>
      </c>
      <c r="L1084" t="s">
        <v>363</v>
      </c>
      <c r="N1084" t="s">
        <v>99</v>
      </c>
      <c r="AI1084">
        <f t="shared" si="33"/>
        <v>1</v>
      </c>
      <c r="AJ1084">
        <f>'TABLA PREVIOS'!E1084</f>
        <v>260</v>
      </c>
      <c r="AK1084">
        <f>VLOOKUP(E1084,ALUMNOS!A:B,2,FALSE)</f>
        <v>101</v>
      </c>
    </row>
    <row r="1085" spans="2:37" x14ac:dyDescent="0.25">
      <c r="B1085" t="str">
        <f t="shared" si="32"/>
        <v>47250831FILOSOFÍA6º</v>
      </c>
      <c r="C1085" t="s">
        <v>386</v>
      </c>
      <c r="D1085" t="s">
        <v>109</v>
      </c>
      <c r="E1085">
        <v>47250831</v>
      </c>
      <c r="F1085" t="s">
        <v>397</v>
      </c>
      <c r="G1085" t="s">
        <v>41</v>
      </c>
      <c r="H1085" t="s">
        <v>245</v>
      </c>
      <c r="I1085" t="s">
        <v>43</v>
      </c>
      <c r="J1085">
        <v>2023</v>
      </c>
      <c r="K1085" t="s">
        <v>60</v>
      </c>
      <c r="N1085" t="s">
        <v>99</v>
      </c>
      <c r="AI1085">
        <f t="shared" si="33"/>
        <v>1</v>
      </c>
      <c r="AJ1085">
        <f>'TABLA PREVIOS'!E1085</f>
        <v>292</v>
      </c>
      <c r="AK1085">
        <f>VLOOKUP(E1085,ALUMNOS!A:B,2,FALSE)</f>
        <v>101</v>
      </c>
    </row>
    <row r="1086" spans="2:37" x14ac:dyDescent="0.25">
      <c r="B1086" t="str">
        <f t="shared" si="32"/>
        <v>47250831LENGUA EXTRANJERA - INGLÉS6º</v>
      </c>
      <c r="C1086" t="s">
        <v>386</v>
      </c>
      <c r="D1086" t="s">
        <v>109</v>
      </c>
      <c r="E1086">
        <v>47250831</v>
      </c>
      <c r="F1086" t="s">
        <v>397</v>
      </c>
      <c r="G1086" t="s">
        <v>16</v>
      </c>
      <c r="H1086" t="s">
        <v>245</v>
      </c>
      <c r="I1086" t="s">
        <v>43</v>
      </c>
      <c r="J1086">
        <v>2023</v>
      </c>
      <c r="K1086" t="s">
        <v>60</v>
      </c>
      <c r="N1086" t="s">
        <v>99</v>
      </c>
      <c r="AI1086">
        <f t="shared" si="33"/>
        <v>1</v>
      </c>
      <c r="AJ1086">
        <f>'TABLA PREVIOS'!E1086</f>
        <v>282</v>
      </c>
      <c r="AK1086">
        <f>VLOOKUP(E1086,ALUMNOS!A:B,2,FALSE)</f>
        <v>101</v>
      </c>
    </row>
    <row r="1087" spans="2:37" x14ac:dyDescent="0.25">
      <c r="B1087" t="str">
        <f t="shared" si="32"/>
        <v>47250831QUÍMICA6º</v>
      </c>
      <c r="C1087" t="s">
        <v>386</v>
      </c>
      <c r="D1087" t="s">
        <v>109</v>
      </c>
      <c r="E1087">
        <v>47250831</v>
      </c>
      <c r="F1087" t="s">
        <v>397</v>
      </c>
      <c r="G1087" t="s">
        <v>25</v>
      </c>
      <c r="H1087" t="s">
        <v>245</v>
      </c>
      <c r="I1087" t="s">
        <v>43</v>
      </c>
      <c r="J1087">
        <v>2023</v>
      </c>
      <c r="K1087" t="s">
        <v>60</v>
      </c>
      <c r="N1087" t="s">
        <v>99</v>
      </c>
      <c r="AI1087">
        <f t="shared" si="33"/>
        <v>1</v>
      </c>
      <c r="AJ1087">
        <f>'TABLA PREVIOS'!E1087</f>
        <v>281</v>
      </c>
      <c r="AK1087">
        <f>VLOOKUP(E1087,ALUMNOS!A:B,2,FALSE)</f>
        <v>101</v>
      </c>
    </row>
    <row r="1088" spans="2:37" x14ac:dyDescent="0.25">
      <c r="B1088" t="str">
        <f t="shared" si="32"/>
        <v>47250831RESPONSABILIDAD SOCIAL DE LAS ORGANIZACIONES6º</v>
      </c>
      <c r="C1088" t="s">
        <v>386</v>
      </c>
      <c r="D1088" t="s">
        <v>109</v>
      </c>
      <c r="E1088">
        <v>47250831</v>
      </c>
      <c r="F1088" t="s">
        <v>397</v>
      </c>
      <c r="G1088" t="s">
        <v>39</v>
      </c>
      <c r="H1088" t="s">
        <v>245</v>
      </c>
      <c r="I1088" t="s">
        <v>43</v>
      </c>
      <c r="J1088">
        <v>2023</v>
      </c>
      <c r="K1088" t="s">
        <v>60</v>
      </c>
      <c r="N1088" t="s">
        <v>99</v>
      </c>
      <c r="AI1088">
        <f t="shared" si="33"/>
        <v>1</v>
      </c>
      <c r="AJ1088">
        <f>'TABLA PREVIOS'!E1088</f>
        <v>288</v>
      </c>
      <c r="AK1088">
        <f>VLOOKUP(E1088,ALUMNOS!A:B,2,FALSE)</f>
        <v>101</v>
      </c>
    </row>
    <row r="1089" spans="2:37" x14ac:dyDescent="0.25">
      <c r="B1089" t="str">
        <f t="shared" si="32"/>
        <v>47250831SISTEMAS DE INFORMACIÓN CONTABLE6º</v>
      </c>
      <c r="C1089" t="s">
        <v>386</v>
      </c>
      <c r="D1089" t="s">
        <v>109</v>
      </c>
      <c r="E1089">
        <v>47250831</v>
      </c>
      <c r="F1089" t="s">
        <v>397</v>
      </c>
      <c r="G1089" t="s">
        <v>29</v>
      </c>
      <c r="H1089" t="s">
        <v>245</v>
      </c>
      <c r="I1089" t="s">
        <v>43</v>
      </c>
      <c r="J1089">
        <v>2023</v>
      </c>
      <c r="K1089" t="s">
        <v>60</v>
      </c>
      <c r="N1089" t="s">
        <v>99</v>
      </c>
      <c r="AI1089">
        <f t="shared" si="33"/>
        <v>1</v>
      </c>
      <c r="AJ1089">
        <f>'TABLA PREVIOS'!E1089</f>
        <v>290</v>
      </c>
      <c r="AK1089">
        <f>VLOOKUP(E1089,ALUMNOS!A:B,2,FALSE)</f>
        <v>101</v>
      </c>
    </row>
    <row r="1090" spans="2:37" x14ac:dyDescent="0.25">
      <c r="B1090" t="str">
        <f t="shared" si="32"/>
        <v>47250827FÍSICA5º</v>
      </c>
      <c r="C1090" t="s">
        <v>386</v>
      </c>
      <c r="D1090" t="s">
        <v>109</v>
      </c>
      <c r="E1090">
        <v>47250827</v>
      </c>
      <c r="F1090" t="s">
        <v>398</v>
      </c>
      <c r="G1090" t="s">
        <v>24</v>
      </c>
      <c r="H1090" t="s">
        <v>220</v>
      </c>
      <c r="I1090" t="s">
        <v>43</v>
      </c>
      <c r="J1090">
        <v>2022</v>
      </c>
      <c r="K1090" t="s">
        <v>60</v>
      </c>
      <c r="N1090" t="s">
        <v>99</v>
      </c>
      <c r="AI1090">
        <f t="shared" si="33"/>
        <v>1</v>
      </c>
      <c r="AJ1090">
        <f>'TABLA PREVIOS'!E1090</f>
        <v>266</v>
      </c>
      <c r="AK1090">
        <f>VLOOKUP(E1090,ALUMNOS!A:B,2,FALSE)</f>
        <v>107</v>
      </c>
    </row>
    <row r="1091" spans="2:37" x14ac:dyDescent="0.25">
      <c r="B1091" t="str">
        <f t="shared" ref="B1091:B1154" si="34">E1091&amp;G1091&amp;H1091</f>
        <v>47250827PSICOLOGÍA5º</v>
      </c>
      <c r="C1091" t="s">
        <v>386</v>
      </c>
      <c r="D1091" t="s">
        <v>109</v>
      </c>
      <c r="E1091">
        <v>47250827</v>
      </c>
      <c r="F1091" t="s">
        <v>398</v>
      </c>
      <c r="G1091" t="s">
        <v>33</v>
      </c>
      <c r="H1091" t="s">
        <v>220</v>
      </c>
      <c r="I1091" t="s">
        <v>43</v>
      </c>
      <c r="J1091">
        <v>2022</v>
      </c>
      <c r="K1091" t="s">
        <v>60</v>
      </c>
      <c r="N1091" t="s">
        <v>99</v>
      </c>
      <c r="AI1091">
        <f t="shared" ref="AI1091:AI1154" si="35">IF(VALUE(MAX(P1091,T1091,X1091,AB1091,AE1091,))&gt;=7,VALUE(MAX(P1091,T1091,X1091,AB1091,AE1091,)),1)</f>
        <v>1</v>
      </c>
      <c r="AJ1091">
        <f>'TABLA PREVIOS'!E1091</f>
        <v>271</v>
      </c>
      <c r="AK1091">
        <f>VLOOKUP(E1091,ALUMNOS!A:B,2,FALSE)</f>
        <v>107</v>
      </c>
    </row>
    <row r="1092" spans="2:37" x14ac:dyDescent="0.25">
      <c r="B1092" t="str">
        <f t="shared" si="34"/>
        <v>47250827FILOSOFÍA6º</v>
      </c>
      <c r="C1092" t="s">
        <v>386</v>
      </c>
      <c r="D1092" t="s">
        <v>109</v>
      </c>
      <c r="E1092">
        <v>47250827</v>
      </c>
      <c r="F1092" t="s">
        <v>398</v>
      </c>
      <c r="G1092" t="s">
        <v>41</v>
      </c>
      <c r="H1092" t="s">
        <v>245</v>
      </c>
      <c r="I1092" t="s">
        <v>43</v>
      </c>
      <c r="J1092">
        <v>2023</v>
      </c>
      <c r="K1092" t="s">
        <v>60</v>
      </c>
      <c r="N1092" t="s">
        <v>99</v>
      </c>
      <c r="AI1092">
        <f t="shared" si="35"/>
        <v>1</v>
      </c>
      <c r="AJ1092">
        <f>'TABLA PREVIOS'!E1092</f>
        <v>292</v>
      </c>
      <c r="AK1092">
        <f>VLOOKUP(E1092,ALUMNOS!A:B,2,FALSE)</f>
        <v>107</v>
      </c>
    </row>
    <row r="1093" spans="2:37" x14ac:dyDescent="0.25">
      <c r="B1093" t="str">
        <f t="shared" si="34"/>
        <v>47250827LENGUA EXTRANJERA - INGLÉS6º</v>
      </c>
      <c r="C1093" t="s">
        <v>386</v>
      </c>
      <c r="D1093" t="s">
        <v>109</v>
      </c>
      <c r="E1093">
        <v>47250827</v>
      </c>
      <c r="F1093" t="s">
        <v>398</v>
      </c>
      <c r="G1093" t="s">
        <v>16</v>
      </c>
      <c r="H1093" t="s">
        <v>245</v>
      </c>
      <c r="I1093" t="s">
        <v>43</v>
      </c>
      <c r="J1093">
        <v>2023</v>
      </c>
      <c r="K1093" t="s">
        <v>60</v>
      </c>
      <c r="N1093" t="s">
        <v>99</v>
      </c>
      <c r="AI1093">
        <f t="shared" si="35"/>
        <v>1</v>
      </c>
      <c r="AJ1093">
        <f>'TABLA PREVIOS'!E1093</f>
        <v>282</v>
      </c>
      <c r="AK1093">
        <f>VLOOKUP(E1093,ALUMNOS!A:B,2,FALSE)</f>
        <v>107</v>
      </c>
    </row>
    <row r="1094" spans="2:37" x14ac:dyDescent="0.25">
      <c r="B1094" t="str">
        <f t="shared" si="34"/>
        <v>47250827QUÍMICA6º</v>
      </c>
      <c r="C1094" t="s">
        <v>386</v>
      </c>
      <c r="D1094" t="s">
        <v>109</v>
      </c>
      <c r="E1094">
        <v>47250827</v>
      </c>
      <c r="F1094" t="s">
        <v>398</v>
      </c>
      <c r="G1094" t="s">
        <v>25</v>
      </c>
      <c r="H1094" t="s">
        <v>245</v>
      </c>
      <c r="I1094" t="s">
        <v>43</v>
      </c>
      <c r="J1094">
        <v>2023</v>
      </c>
      <c r="K1094" t="s">
        <v>60</v>
      </c>
      <c r="N1094" t="s">
        <v>99</v>
      </c>
      <c r="AI1094">
        <f t="shared" si="35"/>
        <v>1</v>
      </c>
      <c r="AJ1094">
        <f>'TABLA PREVIOS'!E1094</f>
        <v>281</v>
      </c>
      <c r="AK1094">
        <f>VLOOKUP(E1094,ALUMNOS!A:B,2,FALSE)</f>
        <v>107</v>
      </c>
    </row>
    <row r="1095" spans="2:37" x14ac:dyDescent="0.25">
      <c r="B1095" t="str">
        <f t="shared" si="34"/>
        <v>47250827RESPONSABILIDAD SOCIAL DE LAS ORGANIZACIONES6º</v>
      </c>
      <c r="C1095" t="s">
        <v>386</v>
      </c>
      <c r="D1095" t="s">
        <v>109</v>
      </c>
      <c r="E1095">
        <v>47250827</v>
      </c>
      <c r="F1095" t="s">
        <v>398</v>
      </c>
      <c r="G1095" t="s">
        <v>39</v>
      </c>
      <c r="H1095" t="s">
        <v>245</v>
      </c>
      <c r="I1095" t="s">
        <v>43</v>
      </c>
      <c r="J1095">
        <v>2023</v>
      </c>
      <c r="K1095" t="s">
        <v>60</v>
      </c>
      <c r="N1095" t="s">
        <v>99</v>
      </c>
      <c r="AI1095">
        <f t="shared" si="35"/>
        <v>1</v>
      </c>
      <c r="AJ1095">
        <f>'TABLA PREVIOS'!E1095</f>
        <v>288</v>
      </c>
      <c r="AK1095">
        <f>VLOOKUP(E1095,ALUMNOS!A:B,2,FALSE)</f>
        <v>107</v>
      </c>
    </row>
    <row r="1096" spans="2:37" x14ac:dyDescent="0.25">
      <c r="B1096" t="str">
        <f t="shared" si="34"/>
        <v>47250827SISTEMAS DE INFORMACIÓN CONTABLE6º</v>
      </c>
      <c r="C1096" t="s">
        <v>386</v>
      </c>
      <c r="D1096" t="s">
        <v>109</v>
      </c>
      <c r="E1096">
        <v>47250827</v>
      </c>
      <c r="F1096" t="s">
        <v>398</v>
      </c>
      <c r="G1096" t="s">
        <v>29</v>
      </c>
      <c r="H1096" t="s">
        <v>245</v>
      </c>
      <c r="I1096" t="s">
        <v>43</v>
      </c>
      <c r="J1096">
        <v>2023</v>
      </c>
      <c r="K1096" t="s">
        <v>60</v>
      </c>
      <c r="N1096" t="s">
        <v>99</v>
      </c>
      <c r="AI1096">
        <f t="shared" si="35"/>
        <v>1</v>
      </c>
      <c r="AJ1096">
        <f>'TABLA PREVIOS'!E1096</f>
        <v>290</v>
      </c>
      <c r="AK1096">
        <f>VLOOKUP(E1096,ALUMNOS!A:B,2,FALSE)</f>
        <v>107</v>
      </c>
    </row>
    <row r="1097" spans="2:37" x14ac:dyDescent="0.25">
      <c r="B1097" t="str">
        <f t="shared" si="34"/>
        <v>46571754ADMINISTRACIÓN5º</v>
      </c>
      <c r="C1097" t="s">
        <v>386</v>
      </c>
      <c r="D1097" t="s">
        <v>109</v>
      </c>
      <c r="E1097">
        <v>46571754</v>
      </c>
      <c r="F1097" t="s">
        <v>399</v>
      </c>
      <c r="G1097" t="s">
        <v>30</v>
      </c>
      <c r="H1097" t="s">
        <v>220</v>
      </c>
      <c r="I1097" t="s">
        <v>44</v>
      </c>
      <c r="J1097">
        <v>2023</v>
      </c>
      <c r="K1097" t="s">
        <v>60</v>
      </c>
      <c r="N1097" t="s">
        <v>107</v>
      </c>
      <c r="S1097">
        <v>45475</v>
      </c>
      <c r="T1097">
        <v>8</v>
      </c>
      <c r="U1097">
        <v>70</v>
      </c>
      <c r="V1097">
        <v>1</v>
      </c>
      <c r="AI1097">
        <f t="shared" si="35"/>
        <v>8</v>
      </c>
      <c r="AJ1097">
        <f>'TABLA PREVIOS'!E1097</f>
        <v>274</v>
      </c>
      <c r="AK1097">
        <f>VLOOKUP(E1097,ALUMNOS!A:B,2,FALSE)</f>
        <v>235</v>
      </c>
    </row>
    <row r="1098" spans="2:37" x14ac:dyDescent="0.25">
      <c r="B1098" t="str">
        <f t="shared" si="34"/>
        <v>46571754ECONOMÍA5º</v>
      </c>
      <c r="C1098" t="s">
        <v>386</v>
      </c>
      <c r="D1098" t="s">
        <v>109</v>
      </c>
      <c r="E1098">
        <v>46571754</v>
      </c>
      <c r="F1098" t="s">
        <v>399</v>
      </c>
      <c r="G1098" t="s">
        <v>34</v>
      </c>
      <c r="H1098" t="s">
        <v>220</v>
      </c>
      <c r="I1098" t="s">
        <v>44</v>
      </c>
      <c r="J1098">
        <v>2023</v>
      </c>
      <c r="K1098" t="s">
        <v>60</v>
      </c>
      <c r="N1098" t="s">
        <v>107</v>
      </c>
      <c r="S1098">
        <v>45475</v>
      </c>
      <c r="T1098">
        <v>8</v>
      </c>
      <c r="U1098">
        <v>70</v>
      </c>
      <c r="V1098">
        <v>3</v>
      </c>
      <c r="AI1098">
        <f t="shared" si="35"/>
        <v>8</v>
      </c>
      <c r="AJ1098">
        <f>'TABLA PREVIOS'!E1098</f>
        <v>275</v>
      </c>
      <c r="AK1098">
        <f>VLOOKUP(E1098,ALUMNOS!A:B,2,FALSE)</f>
        <v>235</v>
      </c>
    </row>
    <row r="1099" spans="2:37" x14ac:dyDescent="0.25">
      <c r="B1099" t="str">
        <f t="shared" si="34"/>
        <v>46571754SISTEMAS DE INFORMACIÓN CONTABLE5º</v>
      </c>
      <c r="C1099" t="s">
        <v>386</v>
      </c>
      <c r="D1099" t="s">
        <v>109</v>
      </c>
      <c r="E1099">
        <v>46571754</v>
      </c>
      <c r="F1099" t="s">
        <v>399</v>
      </c>
      <c r="G1099" t="s">
        <v>29</v>
      </c>
      <c r="H1099" t="s">
        <v>220</v>
      </c>
      <c r="I1099" t="s">
        <v>44</v>
      </c>
      <c r="J1099">
        <v>2023</v>
      </c>
      <c r="K1099" t="s">
        <v>60</v>
      </c>
      <c r="N1099" t="s">
        <v>107</v>
      </c>
      <c r="O1099">
        <v>45411</v>
      </c>
      <c r="P1099">
        <v>7</v>
      </c>
      <c r="Q1099">
        <v>58</v>
      </c>
      <c r="R1099">
        <v>199</v>
      </c>
      <c r="AI1099">
        <f t="shared" si="35"/>
        <v>7</v>
      </c>
      <c r="AJ1099">
        <f>'TABLA PREVIOS'!E1099</f>
        <v>273</v>
      </c>
      <c r="AK1099">
        <f>VLOOKUP(E1099,ALUMNOS!A:B,2,FALSE)</f>
        <v>235</v>
      </c>
    </row>
    <row r="1100" spans="2:37" x14ac:dyDescent="0.25">
      <c r="B1100" t="str">
        <f t="shared" si="34"/>
        <v>46571754SISTEMAS DE INFORMACIÓN CONTABLE6º</v>
      </c>
      <c r="C1100" t="s">
        <v>386</v>
      </c>
      <c r="D1100" t="s">
        <v>109</v>
      </c>
      <c r="E1100">
        <v>46571754</v>
      </c>
      <c r="F1100" t="s">
        <v>399</v>
      </c>
      <c r="G1100" t="s">
        <v>29</v>
      </c>
      <c r="H1100" t="s">
        <v>245</v>
      </c>
      <c r="I1100" t="s">
        <v>43</v>
      </c>
      <c r="J1100">
        <v>2023</v>
      </c>
      <c r="K1100" t="s">
        <v>60</v>
      </c>
      <c r="N1100" t="s">
        <v>107</v>
      </c>
      <c r="O1100">
        <v>45411</v>
      </c>
      <c r="P1100">
        <v>7</v>
      </c>
      <c r="Q1100">
        <v>68</v>
      </c>
      <c r="R1100">
        <v>51</v>
      </c>
      <c r="AI1100">
        <f t="shared" si="35"/>
        <v>7</v>
      </c>
      <c r="AJ1100">
        <f>'TABLA PREVIOS'!E1100</f>
        <v>290</v>
      </c>
      <c r="AK1100">
        <f>VLOOKUP(E1100,ALUMNOS!A:B,2,FALSE)</f>
        <v>235</v>
      </c>
    </row>
    <row r="1101" spans="2:37" x14ac:dyDescent="0.25">
      <c r="B1101" t="str">
        <f t="shared" si="34"/>
        <v>45887410BIOLOGÍA4º</v>
      </c>
      <c r="C1101" t="s">
        <v>386</v>
      </c>
      <c r="D1101" t="s">
        <v>109</v>
      </c>
      <c r="E1101">
        <v>45887410</v>
      </c>
      <c r="F1101" t="s">
        <v>400</v>
      </c>
      <c r="G1101" t="s">
        <v>21</v>
      </c>
      <c r="H1101" t="s">
        <v>190</v>
      </c>
      <c r="I1101" t="s">
        <v>43</v>
      </c>
      <c r="J1101">
        <v>2021</v>
      </c>
      <c r="K1101" t="s">
        <v>60</v>
      </c>
      <c r="N1101" t="s">
        <v>107</v>
      </c>
      <c r="S1101">
        <v>45474</v>
      </c>
      <c r="T1101">
        <v>7</v>
      </c>
      <c r="U1101">
        <v>68</v>
      </c>
      <c r="V1101">
        <v>58</v>
      </c>
      <c r="AI1101">
        <f t="shared" si="35"/>
        <v>7</v>
      </c>
      <c r="AJ1101">
        <f>'TABLA PREVIOS'!E1101</f>
        <v>253</v>
      </c>
      <c r="AK1101">
        <f>VLOOKUP(E1101,ALUMNOS!A:B,2,FALSE)</f>
        <v>338</v>
      </c>
    </row>
    <row r="1102" spans="2:37" x14ac:dyDescent="0.25">
      <c r="B1102" t="str">
        <f t="shared" si="34"/>
        <v>45887410LENGUA Y LITERATURA4º</v>
      </c>
      <c r="C1102" t="s">
        <v>386</v>
      </c>
      <c r="D1102" t="s">
        <v>109</v>
      </c>
      <c r="E1102">
        <v>45887410</v>
      </c>
      <c r="F1102" t="s">
        <v>400</v>
      </c>
      <c r="G1102" t="s">
        <v>11</v>
      </c>
      <c r="H1102" t="s">
        <v>190</v>
      </c>
      <c r="I1102" t="s">
        <v>43</v>
      </c>
      <c r="J1102">
        <v>2021</v>
      </c>
      <c r="K1102" t="s">
        <v>60</v>
      </c>
      <c r="N1102" t="s">
        <v>99</v>
      </c>
      <c r="S1102">
        <v>45475</v>
      </c>
      <c r="T1102">
        <v>4</v>
      </c>
      <c r="U1102">
        <v>68</v>
      </c>
      <c r="V1102">
        <v>76</v>
      </c>
      <c r="AI1102">
        <f t="shared" si="35"/>
        <v>1</v>
      </c>
      <c r="AJ1102">
        <f>'TABLA PREVIOS'!E1102</f>
        <v>251</v>
      </c>
      <c r="AK1102">
        <f>VLOOKUP(E1102,ALUMNOS!A:B,2,FALSE)</f>
        <v>338</v>
      </c>
    </row>
    <row r="1103" spans="2:37" x14ac:dyDescent="0.25">
      <c r="B1103" t="str">
        <f t="shared" si="34"/>
        <v>45887410LENGUA Y LITERATURA5º</v>
      </c>
      <c r="C1103" t="s">
        <v>386</v>
      </c>
      <c r="D1103" t="s">
        <v>109</v>
      </c>
      <c r="E1103">
        <v>45887410</v>
      </c>
      <c r="F1103" t="s">
        <v>400</v>
      </c>
      <c r="G1103" t="s">
        <v>11</v>
      </c>
      <c r="H1103" t="s">
        <v>220</v>
      </c>
      <c r="I1103" t="s">
        <v>43</v>
      </c>
      <c r="J1103">
        <v>2022</v>
      </c>
      <c r="K1103" t="s">
        <v>60</v>
      </c>
      <c r="N1103" t="s">
        <v>99</v>
      </c>
      <c r="AI1103">
        <f t="shared" si="35"/>
        <v>1</v>
      </c>
      <c r="AJ1103">
        <f>'TABLA PREVIOS'!E1103</f>
        <v>264</v>
      </c>
      <c r="AK1103">
        <f>VLOOKUP(E1103,ALUMNOS!A:B,2,FALSE)</f>
        <v>338</v>
      </c>
    </row>
    <row r="1104" spans="2:37" x14ac:dyDescent="0.25">
      <c r="B1104" t="str">
        <f t="shared" si="34"/>
        <v>45887410FILOSOFÍA6º</v>
      </c>
      <c r="C1104" t="s">
        <v>386</v>
      </c>
      <c r="D1104" t="s">
        <v>109</v>
      </c>
      <c r="E1104">
        <v>45887410</v>
      </c>
      <c r="F1104" t="s">
        <v>400</v>
      </c>
      <c r="G1104" t="s">
        <v>41</v>
      </c>
      <c r="H1104" t="s">
        <v>245</v>
      </c>
      <c r="I1104" t="s">
        <v>43</v>
      </c>
      <c r="J1104">
        <v>2023</v>
      </c>
      <c r="K1104" t="s">
        <v>60</v>
      </c>
      <c r="N1104" t="s">
        <v>99</v>
      </c>
      <c r="AI1104">
        <f t="shared" si="35"/>
        <v>1</v>
      </c>
      <c r="AJ1104">
        <f>'TABLA PREVIOS'!E1104</f>
        <v>292</v>
      </c>
      <c r="AK1104">
        <f>VLOOKUP(E1104,ALUMNOS!A:B,2,FALSE)</f>
        <v>338</v>
      </c>
    </row>
    <row r="1105" spans="2:37" x14ac:dyDescent="0.25">
      <c r="B1105" t="str">
        <f t="shared" si="34"/>
        <v>45887410LENGUA Y LITERATURA6º</v>
      </c>
      <c r="C1105" t="s">
        <v>386</v>
      </c>
      <c r="D1105" t="s">
        <v>109</v>
      </c>
      <c r="E1105">
        <v>45887410</v>
      </c>
      <c r="F1105" t="s">
        <v>400</v>
      </c>
      <c r="G1105" t="s">
        <v>11</v>
      </c>
      <c r="H1105" t="s">
        <v>245</v>
      </c>
      <c r="I1105" t="s">
        <v>43</v>
      </c>
      <c r="J1105">
        <v>2023</v>
      </c>
      <c r="K1105" t="s">
        <v>60</v>
      </c>
      <c r="N1105" t="s">
        <v>99</v>
      </c>
      <c r="AI1105">
        <f t="shared" si="35"/>
        <v>1</v>
      </c>
      <c r="AJ1105">
        <f>'TABLA PREVIOS'!E1105</f>
        <v>279</v>
      </c>
      <c r="AK1105">
        <f>VLOOKUP(E1105,ALUMNOS!A:B,2,FALSE)</f>
        <v>338</v>
      </c>
    </row>
    <row r="1106" spans="2:37" x14ac:dyDescent="0.25">
      <c r="B1106" t="str">
        <f t="shared" si="34"/>
        <v>45887410QUÍMICA6º</v>
      </c>
      <c r="C1106" t="s">
        <v>386</v>
      </c>
      <c r="D1106" t="s">
        <v>109</v>
      </c>
      <c r="E1106">
        <v>45887410</v>
      </c>
      <c r="F1106" t="s">
        <v>400</v>
      </c>
      <c r="G1106" t="s">
        <v>25</v>
      </c>
      <c r="H1106" t="s">
        <v>245</v>
      </c>
      <c r="I1106" t="s">
        <v>43</v>
      </c>
      <c r="J1106">
        <v>2023</v>
      </c>
      <c r="K1106" t="s">
        <v>60</v>
      </c>
      <c r="N1106" t="s">
        <v>99</v>
      </c>
      <c r="AI1106">
        <f t="shared" si="35"/>
        <v>1</v>
      </c>
      <c r="AJ1106">
        <f>'TABLA PREVIOS'!E1106</f>
        <v>281</v>
      </c>
      <c r="AK1106">
        <f>VLOOKUP(E1106,ALUMNOS!A:B,2,FALSE)</f>
        <v>338</v>
      </c>
    </row>
    <row r="1107" spans="2:37" x14ac:dyDescent="0.25">
      <c r="B1107" t="str">
        <f t="shared" si="34"/>
        <v>45887410RESPONSABILIDAD SOCIAL DE LAS ORGANIZACIONES6º</v>
      </c>
      <c r="C1107" t="s">
        <v>386</v>
      </c>
      <c r="D1107" t="s">
        <v>109</v>
      </c>
      <c r="E1107">
        <v>45887410</v>
      </c>
      <c r="F1107" t="s">
        <v>400</v>
      </c>
      <c r="G1107" t="s">
        <v>39</v>
      </c>
      <c r="H1107" t="s">
        <v>245</v>
      </c>
      <c r="I1107" t="s">
        <v>43</v>
      </c>
      <c r="J1107">
        <v>2023</v>
      </c>
      <c r="K1107" t="s">
        <v>60</v>
      </c>
      <c r="N1107" t="s">
        <v>99</v>
      </c>
      <c r="S1107">
        <v>45475</v>
      </c>
      <c r="T1107">
        <v>4</v>
      </c>
      <c r="U1107">
        <v>68</v>
      </c>
      <c r="V1107">
        <v>81</v>
      </c>
      <c r="AI1107">
        <f t="shared" si="35"/>
        <v>1</v>
      </c>
      <c r="AJ1107">
        <f>'TABLA PREVIOS'!E1107</f>
        <v>288</v>
      </c>
      <c r="AK1107">
        <f>VLOOKUP(E1107,ALUMNOS!A:B,2,FALSE)</f>
        <v>338</v>
      </c>
    </row>
    <row r="1108" spans="2:37" x14ac:dyDescent="0.25">
      <c r="B1108" t="str">
        <f t="shared" si="34"/>
        <v>45887410SISTEMAS DE INFORMACIÓN CONTABLE6º</v>
      </c>
      <c r="C1108" t="s">
        <v>386</v>
      </c>
      <c r="D1108" t="s">
        <v>109</v>
      </c>
      <c r="E1108">
        <v>45887410</v>
      </c>
      <c r="F1108" t="s">
        <v>400</v>
      </c>
      <c r="G1108" t="s">
        <v>29</v>
      </c>
      <c r="H1108" t="s">
        <v>245</v>
      </c>
      <c r="I1108" t="s">
        <v>43</v>
      </c>
      <c r="J1108">
        <v>2023</v>
      </c>
      <c r="K1108" t="s">
        <v>60</v>
      </c>
      <c r="N1108" t="s">
        <v>99</v>
      </c>
      <c r="S1108">
        <v>45475</v>
      </c>
      <c r="T1108">
        <v>1</v>
      </c>
      <c r="U1108">
        <v>68</v>
      </c>
      <c r="V1108">
        <v>80</v>
      </c>
      <c r="AI1108">
        <f t="shared" si="35"/>
        <v>1</v>
      </c>
      <c r="AJ1108">
        <f>'TABLA PREVIOS'!E1108</f>
        <v>290</v>
      </c>
      <c r="AK1108">
        <f>VLOOKUP(E1108,ALUMNOS!A:B,2,FALSE)</f>
        <v>338</v>
      </c>
    </row>
    <row r="1109" spans="2:37" x14ac:dyDescent="0.25">
      <c r="B1109" t="str">
        <f t="shared" si="34"/>
        <v>46226738MATEMÁTICA4º</v>
      </c>
      <c r="C1109" t="s">
        <v>386</v>
      </c>
      <c r="D1109" t="s">
        <v>109</v>
      </c>
      <c r="E1109">
        <v>46226738</v>
      </c>
      <c r="F1109" t="s">
        <v>401</v>
      </c>
      <c r="G1109" t="s">
        <v>12</v>
      </c>
      <c r="H1109" t="s">
        <v>190</v>
      </c>
      <c r="I1109" t="s">
        <v>43</v>
      </c>
      <c r="J1109">
        <v>2022</v>
      </c>
      <c r="K1109" t="s">
        <v>60</v>
      </c>
      <c r="L1109" t="s">
        <v>363</v>
      </c>
      <c r="N1109" t="s">
        <v>99</v>
      </c>
      <c r="S1109">
        <v>45474</v>
      </c>
      <c r="T1109" t="s">
        <v>50</v>
      </c>
      <c r="U1109">
        <v>68</v>
      </c>
      <c r="V1109">
        <v>63</v>
      </c>
      <c r="AI1109">
        <f t="shared" si="35"/>
        <v>1</v>
      </c>
      <c r="AJ1109">
        <f>'TABLA PREVIOS'!E1109</f>
        <v>252</v>
      </c>
      <c r="AK1109">
        <f>VLOOKUP(E1109,ALUMNOS!A:B,2,FALSE)</f>
        <v>536</v>
      </c>
    </row>
    <row r="1110" spans="2:37" x14ac:dyDescent="0.25">
      <c r="B1110" t="str">
        <f t="shared" si="34"/>
        <v>46226738SISTEMAS DE INFORMACIÓN CONTABLE5º</v>
      </c>
      <c r="C1110" t="s">
        <v>386</v>
      </c>
      <c r="D1110" t="s">
        <v>109</v>
      </c>
      <c r="E1110">
        <v>46226738</v>
      </c>
      <c r="F1110" t="s">
        <v>401</v>
      </c>
      <c r="G1110" t="s">
        <v>29</v>
      </c>
      <c r="H1110" t="s">
        <v>220</v>
      </c>
      <c r="I1110" t="s">
        <v>43</v>
      </c>
      <c r="J1110">
        <v>2022</v>
      </c>
      <c r="K1110" t="s">
        <v>60</v>
      </c>
      <c r="N1110" t="s">
        <v>99</v>
      </c>
      <c r="S1110">
        <v>45475</v>
      </c>
      <c r="T1110" t="s">
        <v>50</v>
      </c>
      <c r="U1110">
        <v>68</v>
      </c>
      <c r="V1110">
        <v>79</v>
      </c>
      <c r="AI1110">
        <f t="shared" si="35"/>
        <v>1</v>
      </c>
      <c r="AJ1110">
        <f>'TABLA PREVIOS'!E1110</f>
        <v>273</v>
      </c>
      <c r="AK1110">
        <f>VLOOKUP(E1110,ALUMNOS!A:B,2,FALSE)</f>
        <v>536</v>
      </c>
    </row>
    <row r="1111" spans="2:37" x14ac:dyDescent="0.25">
      <c r="B1111" t="str">
        <f t="shared" si="34"/>
        <v>46226738FILOSOFÍA6º</v>
      </c>
      <c r="C1111" t="s">
        <v>386</v>
      </c>
      <c r="D1111" t="s">
        <v>109</v>
      </c>
      <c r="E1111">
        <v>46226738</v>
      </c>
      <c r="F1111" t="s">
        <v>401</v>
      </c>
      <c r="G1111" t="s">
        <v>41</v>
      </c>
      <c r="H1111" t="s">
        <v>245</v>
      </c>
      <c r="I1111" t="s">
        <v>43</v>
      </c>
      <c r="J1111">
        <v>2023</v>
      </c>
      <c r="K1111" t="s">
        <v>60</v>
      </c>
      <c r="N1111" t="s">
        <v>99</v>
      </c>
      <c r="S1111">
        <v>45474</v>
      </c>
      <c r="T1111" t="s">
        <v>50</v>
      </c>
      <c r="U1111">
        <v>68</v>
      </c>
      <c r="V1111">
        <v>66</v>
      </c>
      <c r="AI1111">
        <f t="shared" si="35"/>
        <v>1</v>
      </c>
      <c r="AJ1111">
        <f>'TABLA PREVIOS'!E1111</f>
        <v>292</v>
      </c>
      <c r="AK1111">
        <f>VLOOKUP(E1111,ALUMNOS!A:B,2,FALSE)</f>
        <v>536</v>
      </c>
    </row>
    <row r="1112" spans="2:37" x14ac:dyDescent="0.25">
      <c r="B1112" t="str">
        <f t="shared" si="34"/>
        <v>46226738LENGUA EXTRANJERA - INGLÉS6º</v>
      </c>
      <c r="C1112" t="s">
        <v>386</v>
      </c>
      <c r="D1112" t="s">
        <v>109</v>
      </c>
      <c r="E1112">
        <v>46226738</v>
      </c>
      <c r="F1112" t="s">
        <v>401</v>
      </c>
      <c r="G1112" t="s">
        <v>16</v>
      </c>
      <c r="H1112" t="s">
        <v>245</v>
      </c>
      <c r="I1112" t="s">
        <v>43</v>
      </c>
      <c r="J1112">
        <v>2023</v>
      </c>
      <c r="K1112" t="s">
        <v>60</v>
      </c>
      <c r="N1112" t="s">
        <v>99</v>
      </c>
      <c r="AI1112">
        <f t="shared" si="35"/>
        <v>1</v>
      </c>
      <c r="AJ1112">
        <f>'TABLA PREVIOS'!E1112</f>
        <v>282</v>
      </c>
      <c r="AK1112">
        <f>VLOOKUP(E1112,ALUMNOS!A:B,2,FALSE)</f>
        <v>536</v>
      </c>
    </row>
    <row r="1113" spans="2:37" x14ac:dyDescent="0.25">
      <c r="B1113" t="str">
        <f t="shared" si="34"/>
        <v>46226738QUÍMICA6º</v>
      </c>
      <c r="C1113" t="s">
        <v>386</v>
      </c>
      <c r="D1113" t="s">
        <v>109</v>
      </c>
      <c r="E1113">
        <v>46226738</v>
      </c>
      <c r="F1113" t="s">
        <v>401</v>
      </c>
      <c r="G1113" t="s">
        <v>25</v>
      </c>
      <c r="H1113" t="s">
        <v>245</v>
      </c>
      <c r="I1113" t="s">
        <v>43</v>
      </c>
      <c r="J1113">
        <v>2023</v>
      </c>
      <c r="K1113" t="s">
        <v>60</v>
      </c>
      <c r="N1113" t="s">
        <v>99</v>
      </c>
      <c r="O1113">
        <v>45401</v>
      </c>
      <c r="P1113" t="s">
        <v>50</v>
      </c>
      <c r="Q1113">
        <v>68</v>
      </c>
      <c r="R1113">
        <v>23</v>
      </c>
      <c r="S1113">
        <v>45474</v>
      </c>
      <c r="T1113" t="s">
        <v>50</v>
      </c>
      <c r="U1113">
        <v>68</v>
      </c>
      <c r="V1113">
        <v>59</v>
      </c>
      <c r="AI1113">
        <f t="shared" si="35"/>
        <v>1</v>
      </c>
      <c r="AJ1113">
        <f>'TABLA PREVIOS'!E1113</f>
        <v>281</v>
      </c>
      <c r="AK1113">
        <f>VLOOKUP(E1113,ALUMNOS!A:B,2,FALSE)</f>
        <v>536</v>
      </c>
    </row>
    <row r="1114" spans="2:37" x14ac:dyDescent="0.25">
      <c r="B1114" t="str">
        <f t="shared" si="34"/>
        <v>46226738RESPONSABILIDAD SOCIAL DE LAS ORGANIZACIONES6º</v>
      </c>
      <c r="C1114" t="s">
        <v>386</v>
      </c>
      <c r="D1114" t="s">
        <v>109</v>
      </c>
      <c r="E1114">
        <v>46226738</v>
      </c>
      <c r="F1114" t="s">
        <v>401</v>
      </c>
      <c r="G1114" t="s">
        <v>39</v>
      </c>
      <c r="H1114" t="s">
        <v>245</v>
      </c>
      <c r="I1114" t="s">
        <v>43</v>
      </c>
      <c r="J1114">
        <v>2023</v>
      </c>
      <c r="K1114" t="s">
        <v>60</v>
      </c>
      <c r="N1114" t="s">
        <v>99</v>
      </c>
      <c r="S1114">
        <v>45475</v>
      </c>
      <c r="T1114" t="s">
        <v>50</v>
      </c>
      <c r="U1114">
        <v>68</v>
      </c>
      <c r="V1114">
        <v>81</v>
      </c>
      <c r="AI1114">
        <f t="shared" si="35"/>
        <v>1</v>
      </c>
      <c r="AJ1114">
        <f>'TABLA PREVIOS'!E1114</f>
        <v>288</v>
      </c>
      <c r="AK1114">
        <f>VLOOKUP(E1114,ALUMNOS!A:B,2,FALSE)</f>
        <v>536</v>
      </c>
    </row>
    <row r="1115" spans="2:37" x14ac:dyDescent="0.25">
      <c r="B1115" t="str">
        <f t="shared" si="34"/>
        <v>46226738SISTEMAS DE INFORMACIÓN CONTABLE6º</v>
      </c>
      <c r="C1115" t="s">
        <v>386</v>
      </c>
      <c r="D1115" t="s">
        <v>109</v>
      </c>
      <c r="E1115">
        <v>46226738</v>
      </c>
      <c r="F1115" t="s">
        <v>401</v>
      </c>
      <c r="G1115" t="s">
        <v>29</v>
      </c>
      <c r="H1115" t="s">
        <v>245</v>
      </c>
      <c r="I1115" t="s">
        <v>43</v>
      </c>
      <c r="J1115">
        <v>2023</v>
      </c>
      <c r="K1115" t="s">
        <v>60</v>
      </c>
      <c r="N1115" t="s">
        <v>99</v>
      </c>
      <c r="AI1115">
        <f t="shared" si="35"/>
        <v>1</v>
      </c>
      <c r="AJ1115">
        <f>'TABLA PREVIOS'!E1115</f>
        <v>290</v>
      </c>
      <c r="AK1115">
        <f>VLOOKUP(E1115,ALUMNOS!A:B,2,FALSE)</f>
        <v>536</v>
      </c>
    </row>
    <row r="1116" spans="2:37" x14ac:dyDescent="0.25">
      <c r="B1116" t="str">
        <f t="shared" si="34"/>
        <v>47250822QUÍMICA6º</v>
      </c>
      <c r="C1116" t="s">
        <v>386</v>
      </c>
      <c r="D1116" t="s">
        <v>109</v>
      </c>
      <c r="E1116">
        <v>47250822</v>
      </c>
      <c r="F1116" t="s">
        <v>402</v>
      </c>
      <c r="G1116" t="s">
        <v>25</v>
      </c>
      <c r="H1116" t="s">
        <v>245</v>
      </c>
      <c r="I1116" t="s">
        <v>43</v>
      </c>
      <c r="J1116">
        <v>2023</v>
      </c>
      <c r="K1116" t="s">
        <v>60</v>
      </c>
      <c r="N1116" t="s">
        <v>107</v>
      </c>
      <c r="O1116">
        <v>45401</v>
      </c>
      <c r="P1116">
        <v>4</v>
      </c>
      <c r="Q1116">
        <v>68</v>
      </c>
      <c r="R1116">
        <v>23</v>
      </c>
      <c r="S1116">
        <v>45474</v>
      </c>
      <c r="T1116">
        <v>7</v>
      </c>
      <c r="U1116">
        <v>68</v>
      </c>
      <c r="V1116">
        <v>59</v>
      </c>
      <c r="AI1116">
        <f t="shared" si="35"/>
        <v>7</v>
      </c>
      <c r="AJ1116">
        <f>'TABLA PREVIOS'!E1116</f>
        <v>281</v>
      </c>
      <c r="AK1116">
        <f>VLOOKUP(E1116,ALUMNOS!A:B,2,FALSE)</f>
        <v>581</v>
      </c>
    </row>
    <row r="1117" spans="2:37" x14ac:dyDescent="0.25">
      <c r="B1117" t="str">
        <f t="shared" si="34"/>
        <v>46035153MATEMÁTICA2º</v>
      </c>
      <c r="C1117" t="s">
        <v>386</v>
      </c>
      <c r="D1117" t="s">
        <v>109</v>
      </c>
      <c r="E1117">
        <v>46035153</v>
      </c>
      <c r="F1117" t="s">
        <v>403</v>
      </c>
      <c r="G1117" t="s">
        <v>12</v>
      </c>
      <c r="H1117" t="s">
        <v>95</v>
      </c>
      <c r="I1117" t="s">
        <v>43</v>
      </c>
      <c r="J1117">
        <v>2019</v>
      </c>
      <c r="K1117" t="s">
        <v>59</v>
      </c>
      <c r="L1117" t="s">
        <v>372</v>
      </c>
      <c r="N1117" t="s">
        <v>107</v>
      </c>
      <c r="O1117">
        <v>45405</v>
      </c>
      <c r="P1117" t="s">
        <v>50</v>
      </c>
      <c r="Q1117">
        <v>68</v>
      </c>
      <c r="R1117">
        <v>30</v>
      </c>
      <c r="S1117">
        <v>45474</v>
      </c>
      <c r="T1117">
        <v>7</v>
      </c>
      <c r="U1117">
        <v>68</v>
      </c>
      <c r="V1117">
        <v>61</v>
      </c>
      <c r="AI1117">
        <f t="shared" si="35"/>
        <v>7</v>
      </c>
      <c r="AJ1117">
        <f>'TABLA PREVIOS'!E1117</f>
        <v>230</v>
      </c>
      <c r="AK1117">
        <f>VLOOKUP(E1117,ALUMNOS!A:B,2,FALSE)</f>
        <v>716</v>
      </c>
    </row>
    <row r="1118" spans="2:37" x14ac:dyDescent="0.25">
      <c r="B1118" t="str">
        <f t="shared" si="34"/>
        <v>46035153EDUCACIÓN FÍSICA5º</v>
      </c>
      <c r="C1118" t="s">
        <v>386</v>
      </c>
      <c r="D1118" t="s">
        <v>109</v>
      </c>
      <c r="E1118">
        <v>46035153</v>
      </c>
      <c r="F1118" t="s">
        <v>403</v>
      </c>
      <c r="G1118" t="s">
        <v>10</v>
      </c>
      <c r="H1118" t="s">
        <v>220</v>
      </c>
      <c r="I1118" t="s">
        <v>43</v>
      </c>
      <c r="J1118">
        <v>2022</v>
      </c>
      <c r="K1118" t="s">
        <v>60</v>
      </c>
      <c r="N1118" t="s">
        <v>107</v>
      </c>
      <c r="S1118">
        <v>45475</v>
      </c>
      <c r="T1118">
        <v>9</v>
      </c>
      <c r="U1118">
        <v>68</v>
      </c>
      <c r="V1118">
        <v>72</v>
      </c>
      <c r="AI1118">
        <f t="shared" si="35"/>
        <v>9</v>
      </c>
      <c r="AJ1118">
        <f>'TABLA PREVIOS'!E1118</f>
        <v>263</v>
      </c>
      <c r="AK1118">
        <f>VLOOKUP(E1118,ALUMNOS!A:B,2,FALSE)</f>
        <v>716</v>
      </c>
    </row>
    <row r="1119" spans="2:37" x14ac:dyDescent="0.25">
      <c r="B1119" t="str">
        <f t="shared" si="34"/>
        <v>46035153RESPONSABILIDAD SOCIAL DE LAS ORGANIZACIONES6º</v>
      </c>
      <c r="C1119" t="s">
        <v>386</v>
      </c>
      <c r="D1119" t="s">
        <v>109</v>
      </c>
      <c r="E1119">
        <v>46035153</v>
      </c>
      <c r="F1119" t="s">
        <v>403</v>
      </c>
      <c r="G1119" t="s">
        <v>39</v>
      </c>
      <c r="H1119" t="s">
        <v>245</v>
      </c>
      <c r="I1119" t="s">
        <v>43</v>
      </c>
      <c r="J1119">
        <v>2023</v>
      </c>
      <c r="K1119" t="s">
        <v>60</v>
      </c>
      <c r="N1119" t="s">
        <v>99</v>
      </c>
      <c r="O1119">
        <v>45411</v>
      </c>
      <c r="P1119" t="s">
        <v>50</v>
      </c>
      <c r="Q1119">
        <v>68</v>
      </c>
      <c r="R1119">
        <v>47</v>
      </c>
      <c r="S1119">
        <v>45475</v>
      </c>
      <c r="T1119" t="s">
        <v>50</v>
      </c>
      <c r="U1119">
        <v>68</v>
      </c>
      <c r="V1119">
        <v>81</v>
      </c>
      <c r="AI1119">
        <f t="shared" si="35"/>
        <v>1</v>
      </c>
      <c r="AJ1119">
        <f>'TABLA PREVIOS'!E1119</f>
        <v>288</v>
      </c>
      <c r="AK1119">
        <f>VLOOKUP(E1119,ALUMNOS!A:B,2,FALSE)</f>
        <v>716</v>
      </c>
    </row>
    <row r="1120" spans="2:37" x14ac:dyDescent="0.25">
      <c r="B1120" t="str">
        <f t="shared" si="34"/>
        <v>45698167QUÍMICA6º</v>
      </c>
      <c r="C1120" t="s">
        <v>386</v>
      </c>
      <c r="D1120" t="s">
        <v>109</v>
      </c>
      <c r="E1120">
        <v>45698167</v>
      </c>
      <c r="F1120" t="s">
        <v>404</v>
      </c>
      <c r="G1120" t="s">
        <v>25</v>
      </c>
      <c r="H1120" t="s">
        <v>245</v>
      </c>
      <c r="I1120" t="s">
        <v>43</v>
      </c>
      <c r="J1120">
        <v>2023</v>
      </c>
      <c r="K1120" t="s">
        <v>60</v>
      </c>
      <c r="N1120" t="s">
        <v>99</v>
      </c>
      <c r="O1120">
        <v>45401</v>
      </c>
      <c r="P1120" t="s">
        <v>50</v>
      </c>
      <c r="Q1120">
        <v>68</v>
      </c>
      <c r="R1120">
        <v>23</v>
      </c>
      <c r="AI1120">
        <f t="shared" si="35"/>
        <v>1</v>
      </c>
      <c r="AJ1120">
        <f>'TABLA PREVIOS'!E1120</f>
        <v>281</v>
      </c>
      <c r="AK1120">
        <f>VLOOKUP(E1120,ALUMNOS!A:B,2,FALSE)</f>
        <v>786</v>
      </c>
    </row>
    <row r="1121" spans="2:37" x14ac:dyDescent="0.25">
      <c r="B1121" t="str">
        <f t="shared" si="34"/>
        <v>45698167RESPONSABILIDAD SOCIAL DE LAS ORGANIZACIONES6º</v>
      </c>
      <c r="C1121" t="s">
        <v>386</v>
      </c>
      <c r="D1121" t="s">
        <v>109</v>
      </c>
      <c r="E1121">
        <v>45698167</v>
      </c>
      <c r="F1121" t="s">
        <v>404</v>
      </c>
      <c r="G1121" t="s">
        <v>39</v>
      </c>
      <c r="H1121" t="s">
        <v>245</v>
      </c>
      <c r="I1121" t="s">
        <v>43</v>
      </c>
      <c r="J1121">
        <v>2023</v>
      </c>
      <c r="K1121" t="s">
        <v>60</v>
      </c>
      <c r="N1121" t="s">
        <v>107</v>
      </c>
      <c r="O1121">
        <v>45411</v>
      </c>
      <c r="P1121">
        <v>7</v>
      </c>
      <c r="Q1121">
        <v>68</v>
      </c>
      <c r="R1121">
        <v>47</v>
      </c>
      <c r="AI1121">
        <f t="shared" si="35"/>
        <v>7</v>
      </c>
      <c r="AJ1121">
        <f>'TABLA PREVIOS'!E1121</f>
        <v>288</v>
      </c>
      <c r="AK1121">
        <f>VLOOKUP(E1121,ALUMNOS!A:B,2,FALSE)</f>
        <v>786</v>
      </c>
    </row>
    <row r="1122" spans="2:37" x14ac:dyDescent="0.25">
      <c r="B1122" t="str">
        <f t="shared" si="34"/>
        <v>46509079SISTEMAS DE INFORMACIÓN CONTABLE5º</v>
      </c>
      <c r="C1122" t="s">
        <v>386</v>
      </c>
      <c r="D1122" t="s">
        <v>128</v>
      </c>
      <c r="E1122">
        <v>46509079</v>
      </c>
      <c r="F1122" t="s">
        <v>405</v>
      </c>
      <c r="G1122" t="s">
        <v>29</v>
      </c>
      <c r="H1122" t="s">
        <v>220</v>
      </c>
      <c r="I1122" t="s">
        <v>43</v>
      </c>
      <c r="J1122">
        <v>2022</v>
      </c>
      <c r="K1122" t="s">
        <v>60</v>
      </c>
      <c r="N1122" t="s">
        <v>99</v>
      </c>
      <c r="AI1122">
        <f t="shared" si="35"/>
        <v>1</v>
      </c>
      <c r="AJ1122">
        <f>'TABLA PREVIOS'!E1122</f>
        <v>273</v>
      </c>
      <c r="AK1122">
        <f>VLOOKUP(E1122,ALUMNOS!A:B,2,FALSE)</f>
        <v>84</v>
      </c>
    </row>
    <row r="1123" spans="2:37" x14ac:dyDescent="0.25">
      <c r="B1123" t="str">
        <f t="shared" si="34"/>
        <v>46509079QUÍMICA6º</v>
      </c>
      <c r="C1123" t="s">
        <v>386</v>
      </c>
      <c r="D1123" t="s">
        <v>128</v>
      </c>
      <c r="E1123">
        <v>46509079</v>
      </c>
      <c r="F1123" t="s">
        <v>405</v>
      </c>
      <c r="G1123" t="s">
        <v>25</v>
      </c>
      <c r="H1123" t="s">
        <v>245</v>
      </c>
      <c r="I1123" t="s">
        <v>43</v>
      </c>
      <c r="J1123">
        <v>2023</v>
      </c>
      <c r="K1123" t="s">
        <v>60</v>
      </c>
      <c r="N1123" t="s">
        <v>99</v>
      </c>
      <c r="AI1123">
        <f t="shared" si="35"/>
        <v>1</v>
      </c>
      <c r="AJ1123">
        <f>'TABLA PREVIOS'!E1123</f>
        <v>281</v>
      </c>
      <c r="AK1123">
        <f>VLOOKUP(E1123,ALUMNOS!A:B,2,FALSE)</f>
        <v>84</v>
      </c>
    </row>
    <row r="1124" spans="2:37" x14ac:dyDescent="0.25">
      <c r="B1124" t="str">
        <f t="shared" si="34"/>
        <v>46509079SISTEMAS DE INFORMACIÓN CONTABLE6º</v>
      </c>
      <c r="C1124" t="s">
        <v>386</v>
      </c>
      <c r="D1124" t="s">
        <v>128</v>
      </c>
      <c r="E1124">
        <v>46509079</v>
      </c>
      <c r="F1124" t="s">
        <v>405</v>
      </c>
      <c r="G1124" t="s">
        <v>29</v>
      </c>
      <c r="H1124" t="s">
        <v>245</v>
      </c>
      <c r="I1124" t="s">
        <v>43</v>
      </c>
      <c r="J1124">
        <v>2023</v>
      </c>
      <c r="K1124" t="s">
        <v>60</v>
      </c>
      <c r="N1124" t="s">
        <v>99</v>
      </c>
      <c r="AI1124">
        <f t="shared" si="35"/>
        <v>1</v>
      </c>
      <c r="AJ1124">
        <f>'TABLA PREVIOS'!E1124</f>
        <v>290</v>
      </c>
      <c r="AK1124">
        <f>VLOOKUP(E1124,ALUMNOS!A:B,2,FALSE)</f>
        <v>84</v>
      </c>
    </row>
    <row r="1125" spans="2:37" x14ac:dyDescent="0.25">
      <c r="B1125" t="str">
        <f t="shared" si="34"/>
        <v>46942761LENGUA EXTRANJERA - INGLÉS5º</v>
      </c>
      <c r="C1125" t="s">
        <v>386</v>
      </c>
      <c r="D1125" t="s">
        <v>128</v>
      </c>
      <c r="E1125">
        <v>46942761</v>
      </c>
      <c r="F1125" t="s">
        <v>406</v>
      </c>
      <c r="G1125" t="s">
        <v>16</v>
      </c>
      <c r="H1125" t="s">
        <v>220</v>
      </c>
      <c r="I1125" t="s">
        <v>43</v>
      </c>
      <c r="J1125">
        <v>2022</v>
      </c>
      <c r="K1125" t="s">
        <v>60</v>
      </c>
      <c r="N1125" t="s">
        <v>99</v>
      </c>
      <c r="AI1125">
        <f t="shared" si="35"/>
        <v>1</v>
      </c>
      <c r="AJ1125">
        <f>'TABLA PREVIOS'!E1125</f>
        <v>269</v>
      </c>
      <c r="AK1125">
        <f>VLOOKUP(E1125,ALUMNOS!A:B,2,FALSE)</f>
        <v>86</v>
      </c>
    </row>
    <row r="1126" spans="2:37" x14ac:dyDescent="0.25">
      <c r="B1126" t="str">
        <f t="shared" si="34"/>
        <v>46942761SISTEMAS DE INFORMACIÓN CONTABLE5º</v>
      </c>
      <c r="C1126" t="s">
        <v>386</v>
      </c>
      <c r="D1126" t="s">
        <v>128</v>
      </c>
      <c r="E1126">
        <v>46942761</v>
      </c>
      <c r="F1126" t="s">
        <v>406</v>
      </c>
      <c r="G1126" t="s">
        <v>29</v>
      </c>
      <c r="H1126" t="s">
        <v>220</v>
      </c>
      <c r="I1126" t="s">
        <v>43</v>
      </c>
      <c r="J1126">
        <v>2022</v>
      </c>
      <c r="K1126" t="s">
        <v>60</v>
      </c>
      <c r="N1126" t="s">
        <v>99</v>
      </c>
      <c r="AI1126">
        <f t="shared" si="35"/>
        <v>1</v>
      </c>
      <c r="AJ1126">
        <f>'TABLA PREVIOS'!E1126</f>
        <v>273</v>
      </c>
      <c r="AK1126">
        <f>VLOOKUP(E1126,ALUMNOS!A:B,2,FALSE)</f>
        <v>86</v>
      </c>
    </row>
    <row r="1127" spans="2:37" x14ac:dyDescent="0.25">
      <c r="B1127" t="str">
        <f t="shared" si="34"/>
        <v>46942761ADMINISTRACIÓN6º</v>
      </c>
      <c r="C1127" t="s">
        <v>386</v>
      </c>
      <c r="D1127" t="s">
        <v>128</v>
      </c>
      <c r="E1127">
        <v>46942761</v>
      </c>
      <c r="F1127" t="s">
        <v>406</v>
      </c>
      <c r="G1127" t="s">
        <v>30</v>
      </c>
      <c r="H1127" t="s">
        <v>245</v>
      </c>
      <c r="I1127" t="s">
        <v>43</v>
      </c>
      <c r="J1127">
        <v>2023</v>
      </c>
      <c r="K1127" t="s">
        <v>60</v>
      </c>
      <c r="N1127" t="s">
        <v>99</v>
      </c>
      <c r="AI1127">
        <f t="shared" si="35"/>
        <v>1</v>
      </c>
      <c r="AJ1127">
        <f>'TABLA PREVIOS'!E1127</f>
        <v>285</v>
      </c>
      <c r="AK1127">
        <f>VLOOKUP(E1127,ALUMNOS!A:B,2,FALSE)</f>
        <v>86</v>
      </c>
    </row>
    <row r="1128" spans="2:37" x14ac:dyDescent="0.25">
      <c r="B1128" t="str">
        <f t="shared" si="34"/>
        <v>46942761CIUDADANÍA Y POLÍTICA6º</v>
      </c>
      <c r="C1128" t="s">
        <v>386</v>
      </c>
      <c r="D1128" t="s">
        <v>128</v>
      </c>
      <c r="E1128">
        <v>46942761</v>
      </c>
      <c r="F1128" t="s">
        <v>406</v>
      </c>
      <c r="G1128" t="s">
        <v>37</v>
      </c>
      <c r="H1128" t="s">
        <v>245</v>
      </c>
      <c r="I1128" t="s">
        <v>43</v>
      </c>
      <c r="J1128">
        <v>2023</v>
      </c>
      <c r="K1128" t="s">
        <v>60</v>
      </c>
      <c r="N1128" t="s">
        <v>99</v>
      </c>
      <c r="AI1128">
        <f t="shared" si="35"/>
        <v>1</v>
      </c>
      <c r="AJ1128">
        <f>'TABLA PREVIOS'!E1128</f>
        <v>284</v>
      </c>
      <c r="AK1128">
        <f>VLOOKUP(E1128,ALUMNOS!A:B,2,FALSE)</f>
        <v>86</v>
      </c>
    </row>
    <row r="1129" spans="2:37" x14ac:dyDescent="0.25">
      <c r="B1129" t="str">
        <f t="shared" si="34"/>
        <v>46942761DERECHO6º</v>
      </c>
      <c r="C1129" t="s">
        <v>386</v>
      </c>
      <c r="D1129" t="s">
        <v>128</v>
      </c>
      <c r="E1129">
        <v>46942761</v>
      </c>
      <c r="F1129" t="s">
        <v>406</v>
      </c>
      <c r="G1129" t="s">
        <v>38</v>
      </c>
      <c r="H1129" t="s">
        <v>245</v>
      </c>
      <c r="I1129" t="s">
        <v>43</v>
      </c>
      <c r="J1129">
        <v>2023</v>
      </c>
      <c r="K1129" t="s">
        <v>60</v>
      </c>
      <c r="N1129" t="s">
        <v>99</v>
      </c>
      <c r="AI1129">
        <f t="shared" si="35"/>
        <v>1</v>
      </c>
      <c r="AJ1129">
        <f>'TABLA PREVIOS'!E1129</f>
        <v>287</v>
      </c>
      <c r="AK1129">
        <f>VLOOKUP(E1129,ALUMNOS!A:B,2,FALSE)</f>
        <v>86</v>
      </c>
    </row>
    <row r="1130" spans="2:37" x14ac:dyDescent="0.25">
      <c r="B1130" t="str">
        <f t="shared" si="34"/>
        <v>46942761ECONOMÍA6º</v>
      </c>
      <c r="C1130" t="s">
        <v>386</v>
      </c>
      <c r="D1130" t="s">
        <v>128</v>
      </c>
      <c r="E1130">
        <v>46942761</v>
      </c>
      <c r="F1130" t="s">
        <v>406</v>
      </c>
      <c r="G1130" t="s">
        <v>34</v>
      </c>
      <c r="H1130" t="s">
        <v>245</v>
      </c>
      <c r="I1130" t="s">
        <v>43</v>
      </c>
      <c r="J1130">
        <v>2023</v>
      </c>
      <c r="K1130" t="s">
        <v>60</v>
      </c>
      <c r="N1130" t="s">
        <v>99</v>
      </c>
      <c r="AI1130">
        <f t="shared" si="35"/>
        <v>1</v>
      </c>
      <c r="AJ1130">
        <f>'TABLA PREVIOS'!E1130</f>
        <v>286</v>
      </c>
      <c r="AK1130">
        <f>VLOOKUP(E1130,ALUMNOS!A:B,2,FALSE)</f>
        <v>86</v>
      </c>
    </row>
    <row r="1131" spans="2:37" x14ac:dyDescent="0.25">
      <c r="B1131" t="str">
        <f t="shared" si="34"/>
        <v>46942761EDUCACIÓN ARTÍSTICA - TEATRO6º</v>
      </c>
      <c r="C1131" t="s">
        <v>386</v>
      </c>
      <c r="D1131" t="s">
        <v>128</v>
      </c>
      <c r="E1131">
        <v>46942761</v>
      </c>
      <c r="F1131" t="s">
        <v>406</v>
      </c>
      <c r="G1131" t="s">
        <v>36</v>
      </c>
      <c r="H1131" t="s">
        <v>245</v>
      </c>
      <c r="I1131" t="s">
        <v>43</v>
      </c>
      <c r="J1131">
        <v>2023</v>
      </c>
      <c r="K1131" t="s">
        <v>60</v>
      </c>
      <c r="N1131" t="s">
        <v>99</v>
      </c>
      <c r="AI1131">
        <f t="shared" si="35"/>
        <v>1</v>
      </c>
      <c r="AJ1131">
        <f>'TABLA PREVIOS'!E1131</f>
        <v>283</v>
      </c>
      <c r="AK1131">
        <f>VLOOKUP(E1131,ALUMNOS!A:B,2,FALSE)</f>
        <v>86</v>
      </c>
    </row>
    <row r="1132" spans="2:37" x14ac:dyDescent="0.25">
      <c r="B1132" t="str">
        <f t="shared" si="34"/>
        <v>46942761FILOSOFÍA6º</v>
      </c>
      <c r="C1132" t="s">
        <v>386</v>
      </c>
      <c r="D1132" t="s">
        <v>128</v>
      </c>
      <c r="E1132">
        <v>46942761</v>
      </c>
      <c r="F1132" t="s">
        <v>406</v>
      </c>
      <c r="G1132" t="s">
        <v>41</v>
      </c>
      <c r="H1132" t="s">
        <v>245</v>
      </c>
      <c r="I1132" t="s">
        <v>43</v>
      </c>
      <c r="J1132">
        <v>2023</v>
      </c>
      <c r="K1132" t="s">
        <v>60</v>
      </c>
      <c r="N1132" t="s">
        <v>99</v>
      </c>
      <c r="AI1132">
        <f t="shared" si="35"/>
        <v>1</v>
      </c>
      <c r="AJ1132">
        <f>'TABLA PREVIOS'!E1132</f>
        <v>292</v>
      </c>
      <c r="AK1132">
        <f>VLOOKUP(E1132,ALUMNOS!A:B,2,FALSE)</f>
        <v>86</v>
      </c>
    </row>
    <row r="1133" spans="2:37" x14ac:dyDescent="0.25">
      <c r="B1133" t="str">
        <f t="shared" si="34"/>
        <v>46942761LENGUA EXTRANJERA - INGLÉS6º</v>
      </c>
      <c r="C1133" t="s">
        <v>386</v>
      </c>
      <c r="D1133" t="s">
        <v>128</v>
      </c>
      <c r="E1133">
        <v>46942761</v>
      </c>
      <c r="F1133" t="s">
        <v>406</v>
      </c>
      <c r="G1133" t="s">
        <v>16</v>
      </c>
      <c r="H1133" t="s">
        <v>245</v>
      </c>
      <c r="I1133" t="s">
        <v>43</v>
      </c>
      <c r="J1133">
        <v>2023</v>
      </c>
      <c r="K1133" t="s">
        <v>60</v>
      </c>
      <c r="N1133" t="s">
        <v>99</v>
      </c>
      <c r="AI1133">
        <f t="shared" si="35"/>
        <v>1</v>
      </c>
      <c r="AJ1133">
        <f>'TABLA PREVIOS'!E1133</f>
        <v>282</v>
      </c>
      <c r="AK1133">
        <f>VLOOKUP(E1133,ALUMNOS!A:B,2,FALSE)</f>
        <v>86</v>
      </c>
    </row>
    <row r="1134" spans="2:37" x14ac:dyDescent="0.25">
      <c r="B1134" t="str">
        <f t="shared" si="34"/>
        <v>46942761LENGUA Y LITERATURA6º</v>
      </c>
      <c r="C1134" t="s">
        <v>386</v>
      </c>
      <c r="D1134" t="s">
        <v>128</v>
      </c>
      <c r="E1134">
        <v>46942761</v>
      </c>
      <c r="F1134" t="s">
        <v>406</v>
      </c>
      <c r="G1134" t="s">
        <v>11</v>
      </c>
      <c r="H1134" t="s">
        <v>245</v>
      </c>
      <c r="I1134" t="s">
        <v>43</v>
      </c>
      <c r="J1134">
        <v>2023</v>
      </c>
      <c r="K1134" t="s">
        <v>60</v>
      </c>
      <c r="N1134" t="s">
        <v>99</v>
      </c>
      <c r="AI1134">
        <f t="shared" si="35"/>
        <v>1</v>
      </c>
      <c r="AJ1134">
        <f>'TABLA PREVIOS'!E1134</f>
        <v>279</v>
      </c>
      <c r="AK1134">
        <f>VLOOKUP(E1134,ALUMNOS!A:B,2,FALSE)</f>
        <v>86</v>
      </c>
    </row>
    <row r="1135" spans="2:37" x14ac:dyDescent="0.25">
      <c r="B1135" t="str">
        <f t="shared" si="34"/>
        <v>46942761MATEMÁTICA6º</v>
      </c>
      <c r="C1135" t="s">
        <v>386</v>
      </c>
      <c r="D1135" t="s">
        <v>128</v>
      </c>
      <c r="E1135">
        <v>46942761</v>
      </c>
      <c r="F1135" t="s">
        <v>406</v>
      </c>
      <c r="G1135" t="s">
        <v>12</v>
      </c>
      <c r="H1135" t="s">
        <v>245</v>
      </c>
      <c r="I1135" t="s">
        <v>43</v>
      </c>
      <c r="J1135">
        <v>2023</v>
      </c>
      <c r="K1135" t="s">
        <v>60</v>
      </c>
      <c r="N1135" t="s">
        <v>99</v>
      </c>
      <c r="AI1135">
        <f t="shared" si="35"/>
        <v>1</v>
      </c>
      <c r="AJ1135">
        <f>'TABLA PREVIOS'!E1135</f>
        <v>280</v>
      </c>
      <c r="AK1135">
        <f>VLOOKUP(E1135,ALUMNOS!A:B,2,FALSE)</f>
        <v>86</v>
      </c>
    </row>
    <row r="1136" spans="2:37" x14ac:dyDescent="0.25">
      <c r="B1136" t="str">
        <f t="shared" si="34"/>
        <v>46942761QUÍMICA6º</v>
      </c>
      <c r="C1136" t="s">
        <v>386</v>
      </c>
      <c r="D1136" t="s">
        <v>128</v>
      </c>
      <c r="E1136">
        <v>46942761</v>
      </c>
      <c r="F1136" t="s">
        <v>406</v>
      </c>
      <c r="G1136" t="s">
        <v>25</v>
      </c>
      <c r="H1136" t="s">
        <v>245</v>
      </c>
      <c r="I1136" t="s">
        <v>43</v>
      </c>
      <c r="J1136">
        <v>2023</v>
      </c>
      <c r="K1136" t="s">
        <v>60</v>
      </c>
      <c r="N1136" t="s">
        <v>99</v>
      </c>
      <c r="AI1136">
        <f t="shared" si="35"/>
        <v>1</v>
      </c>
      <c r="AJ1136">
        <f>'TABLA PREVIOS'!E1136</f>
        <v>281</v>
      </c>
      <c r="AK1136">
        <f>VLOOKUP(E1136,ALUMNOS!A:B,2,FALSE)</f>
        <v>86</v>
      </c>
    </row>
    <row r="1137" spans="2:37" x14ac:dyDescent="0.25">
      <c r="B1137" t="str">
        <f t="shared" si="34"/>
        <v>46942761SISTEMAS DE INFORMACIÓN CONTABLE6º</v>
      </c>
      <c r="C1137" t="s">
        <v>386</v>
      </c>
      <c r="D1137" t="s">
        <v>128</v>
      </c>
      <c r="E1137">
        <v>46942761</v>
      </c>
      <c r="F1137" t="s">
        <v>406</v>
      </c>
      <c r="G1137" t="s">
        <v>29</v>
      </c>
      <c r="H1137" t="s">
        <v>245</v>
      </c>
      <c r="I1137" t="s">
        <v>43</v>
      </c>
      <c r="J1137">
        <v>2023</v>
      </c>
      <c r="K1137" t="s">
        <v>60</v>
      </c>
      <c r="N1137" t="s">
        <v>99</v>
      </c>
      <c r="AI1137">
        <f t="shared" si="35"/>
        <v>1</v>
      </c>
      <c r="AJ1137">
        <f>'TABLA PREVIOS'!E1137</f>
        <v>290</v>
      </c>
      <c r="AK1137">
        <f>VLOOKUP(E1137,ALUMNOS!A:B,2,FALSE)</f>
        <v>86</v>
      </c>
    </row>
    <row r="1138" spans="2:37" x14ac:dyDescent="0.25">
      <c r="B1138" t="str">
        <f t="shared" si="34"/>
        <v>47094443SISTEMAS DE INFORMACIÓN CONTABLE5º</v>
      </c>
      <c r="C1138" t="s">
        <v>386</v>
      </c>
      <c r="D1138" t="s">
        <v>128</v>
      </c>
      <c r="E1138">
        <v>47094443</v>
      </c>
      <c r="F1138" t="s">
        <v>407</v>
      </c>
      <c r="G1138" t="s">
        <v>29</v>
      </c>
      <c r="H1138" t="s">
        <v>220</v>
      </c>
      <c r="I1138" t="s">
        <v>43</v>
      </c>
      <c r="J1138">
        <v>2022</v>
      </c>
      <c r="K1138" t="s">
        <v>60</v>
      </c>
      <c r="N1138" t="s">
        <v>107</v>
      </c>
      <c r="O1138">
        <v>45411</v>
      </c>
      <c r="P1138">
        <v>7</v>
      </c>
      <c r="Q1138">
        <v>68</v>
      </c>
      <c r="R1138">
        <v>45</v>
      </c>
      <c r="AI1138">
        <f t="shared" si="35"/>
        <v>7</v>
      </c>
      <c r="AJ1138">
        <f>'TABLA PREVIOS'!E1138</f>
        <v>273</v>
      </c>
      <c r="AK1138">
        <f>VLOOKUP(E1138,ALUMNOS!A:B,2,FALSE)</f>
        <v>196</v>
      </c>
    </row>
    <row r="1139" spans="2:37" x14ac:dyDescent="0.25">
      <c r="B1139" t="str">
        <f t="shared" si="34"/>
        <v>46935855ADMINISTRACIÓN5º</v>
      </c>
      <c r="C1139" t="s">
        <v>386</v>
      </c>
      <c r="D1139" t="s">
        <v>128</v>
      </c>
      <c r="E1139">
        <v>46935855</v>
      </c>
      <c r="F1139" t="s">
        <v>408</v>
      </c>
      <c r="G1139" t="s">
        <v>30</v>
      </c>
      <c r="H1139" t="s">
        <v>220</v>
      </c>
      <c r="I1139" t="s">
        <v>43</v>
      </c>
      <c r="J1139">
        <v>2022</v>
      </c>
      <c r="K1139" t="s">
        <v>60</v>
      </c>
      <c r="N1139" t="s">
        <v>99</v>
      </c>
      <c r="AI1139">
        <f t="shared" si="35"/>
        <v>1</v>
      </c>
      <c r="AJ1139">
        <f>'TABLA PREVIOS'!E1139</f>
        <v>274</v>
      </c>
      <c r="AK1139">
        <f>VLOOKUP(E1139,ALUMNOS!A:B,2,FALSE)</f>
        <v>296</v>
      </c>
    </row>
    <row r="1140" spans="2:37" x14ac:dyDescent="0.25">
      <c r="B1140" t="str">
        <f t="shared" si="34"/>
        <v>46935855SISTEMAS DE INFORMACIÓN CONTABLE5º</v>
      </c>
      <c r="C1140" t="s">
        <v>386</v>
      </c>
      <c r="D1140" t="s">
        <v>128</v>
      </c>
      <c r="E1140">
        <v>46935855</v>
      </c>
      <c r="F1140" t="s">
        <v>408</v>
      </c>
      <c r="G1140" t="s">
        <v>29</v>
      </c>
      <c r="H1140" t="s">
        <v>220</v>
      </c>
      <c r="I1140" t="s">
        <v>43</v>
      </c>
      <c r="J1140">
        <v>2022</v>
      </c>
      <c r="K1140" t="s">
        <v>60</v>
      </c>
      <c r="N1140" t="s">
        <v>99</v>
      </c>
      <c r="AI1140">
        <f t="shared" si="35"/>
        <v>1</v>
      </c>
      <c r="AJ1140">
        <f>'TABLA PREVIOS'!E1140</f>
        <v>273</v>
      </c>
      <c r="AK1140">
        <f>VLOOKUP(E1140,ALUMNOS!A:B,2,FALSE)</f>
        <v>296</v>
      </c>
    </row>
    <row r="1141" spans="2:37" x14ac:dyDescent="0.25">
      <c r="B1141" t="str">
        <f t="shared" si="34"/>
        <v>46935855ADMINISTRACIÓN6º</v>
      </c>
      <c r="C1141" t="s">
        <v>386</v>
      </c>
      <c r="D1141" t="s">
        <v>128</v>
      </c>
      <c r="E1141">
        <v>46935855</v>
      </c>
      <c r="F1141" t="s">
        <v>408</v>
      </c>
      <c r="G1141" t="s">
        <v>30</v>
      </c>
      <c r="H1141" t="s">
        <v>245</v>
      </c>
      <c r="I1141" t="s">
        <v>43</v>
      </c>
      <c r="J1141">
        <v>2023</v>
      </c>
      <c r="K1141" t="s">
        <v>60</v>
      </c>
      <c r="N1141" t="s">
        <v>99</v>
      </c>
      <c r="AI1141">
        <f t="shared" si="35"/>
        <v>1</v>
      </c>
      <c r="AJ1141">
        <f>'TABLA PREVIOS'!E1141</f>
        <v>285</v>
      </c>
      <c r="AK1141">
        <f>VLOOKUP(E1141,ALUMNOS!A:B,2,FALSE)</f>
        <v>296</v>
      </c>
    </row>
    <row r="1142" spans="2:37" x14ac:dyDescent="0.25">
      <c r="B1142" t="str">
        <f t="shared" si="34"/>
        <v>46935855CIUDADANÍA Y POLÍTICA6º</v>
      </c>
      <c r="C1142" t="s">
        <v>386</v>
      </c>
      <c r="D1142" t="s">
        <v>128</v>
      </c>
      <c r="E1142">
        <v>46935855</v>
      </c>
      <c r="F1142" t="s">
        <v>408</v>
      </c>
      <c r="G1142" t="s">
        <v>37</v>
      </c>
      <c r="H1142" t="s">
        <v>245</v>
      </c>
      <c r="I1142" t="s">
        <v>43</v>
      </c>
      <c r="J1142">
        <v>2023</v>
      </c>
      <c r="K1142" t="s">
        <v>60</v>
      </c>
      <c r="N1142" t="s">
        <v>99</v>
      </c>
      <c r="AI1142">
        <f t="shared" si="35"/>
        <v>1</v>
      </c>
      <c r="AJ1142">
        <f>'TABLA PREVIOS'!E1142</f>
        <v>284</v>
      </c>
      <c r="AK1142">
        <f>VLOOKUP(E1142,ALUMNOS!A:B,2,FALSE)</f>
        <v>296</v>
      </c>
    </row>
    <row r="1143" spans="2:37" x14ac:dyDescent="0.25">
      <c r="B1143" t="str">
        <f t="shared" si="34"/>
        <v>46935855DERECHO6º</v>
      </c>
      <c r="C1143" t="s">
        <v>386</v>
      </c>
      <c r="D1143" t="s">
        <v>128</v>
      </c>
      <c r="E1143">
        <v>46935855</v>
      </c>
      <c r="F1143" t="s">
        <v>408</v>
      </c>
      <c r="G1143" t="s">
        <v>38</v>
      </c>
      <c r="H1143" t="s">
        <v>245</v>
      </c>
      <c r="I1143" t="s">
        <v>43</v>
      </c>
      <c r="J1143">
        <v>2023</v>
      </c>
      <c r="K1143" t="s">
        <v>60</v>
      </c>
      <c r="N1143" t="s">
        <v>99</v>
      </c>
      <c r="AI1143">
        <f t="shared" si="35"/>
        <v>1</v>
      </c>
      <c r="AJ1143">
        <f>'TABLA PREVIOS'!E1143</f>
        <v>287</v>
      </c>
      <c r="AK1143">
        <f>VLOOKUP(E1143,ALUMNOS!A:B,2,FALSE)</f>
        <v>296</v>
      </c>
    </row>
    <row r="1144" spans="2:37" x14ac:dyDescent="0.25">
      <c r="B1144" t="str">
        <f t="shared" si="34"/>
        <v>46935855ECONOMÍA6º</v>
      </c>
      <c r="C1144" t="s">
        <v>386</v>
      </c>
      <c r="D1144" t="s">
        <v>128</v>
      </c>
      <c r="E1144">
        <v>46935855</v>
      </c>
      <c r="F1144" t="s">
        <v>408</v>
      </c>
      <c r="G1144" t="s">
        <v>34</v>
      </c>
      <c r="H1144" t="s">
        <v>245</v>
      </c>
      <c r="I1144" t="s">
        <v>43</v>
      </c>
      <c r="J1144">
        <v>2023</v>
      </c>
      <c r="K1144" t="s">
        <v>60</v>
      </c>
      <c r="N1144" t="s">
        <v>99</v>
      </c>
      <c r="AI1144">
        <f t="shared" si="35"/>
        <v>1</v>
      </c>
      <c r="AJ1144">
        <f>'TABLA PREVIOS'!E1144</f>
        <v>286</v>
      </c>
      <c r="AK1144">
        <f>VLOOKUP(E1144,ALUMNOS!A:B,2,FALSE)</f>
        <v>296</v>
      </c>
    </row>
    <row r="1145" spans="2:37" x14ac:dyDescent="0.25">
      <c r="B1145" t="str">
        <f t="shared" si="34"/>
        <v>46935855EDUCACIÓN ARTÍSTICA - TEATRO6º</v>
      </c>
      <c r="C1145" t="s">
        <v>386</v>
      </c>
      <c r="D1145" t="s">
        <v>128</v>
      </c>
      <c r="E1145">
        <v>46935855</v>
      </c>
      <c r="F1145" t="s">
        <v>408</v>
      </c>
      <c r="G1145" t="s">
        <v>36</v>
      </c>
      <c r="H1145" t="s">
        <v>245</v>
      </c>
      <c r="I1145" t="s">
        <v>43</v>
      </c>
      <c r="J1145">
        <v>2023</v>
      </c>
      <c r="K1145" t="s">
        <v>60</v>
      </c>
      <c r="N1145" t="s">
        <v>99</v>
      </c>
      <c r="AI1145">
        <f t="shared" si="35"/>
        <v>1</v>
      </c>
      <c r="AJ1145">
        <f>'TABLA PREVIOS'!E1145</f>
        <v>283</v>
      </c>
      <c r="AK1145">
        <f>VLOOKUP(E1145,ALUMNOS!A:B,2,FALSE)</f>
        <v>296</v>
      </c>
    </row>
    <row r="1146" spans="2:37" x14ac:dyDescent="0.25">
      <c r="B1146" t="str">
        <f t="shared" si="34"/>
        <v>46935855FILOSOFÍA6º</v>
      </c>
      <c r="C1146" t="s">
        <v>386</v>
      </c>
      <c r="D1146" t="s">
        <v>128</v>
      </c>
      <c r="E1146">
        <v>46935855</v>
      </c>
      <c r="F1146" t="s">
        <v>408</v>
      </c>
      <c r="G1146" t="s">
        <v>41</v>
      </c>
      <c r="H1146" t="s">
        <v>245</v>
      </c>
      <c r="I1146" t="s">
        <v>43</v>
      </c>
      <c r="J1146">
        <v>2023</v>
      </c>
      <c r="K1146" t="s">
        <v>60</v>
      </c>
      <c r="N1146" t="s">
        <v>99</v>
      </c>
      <c r="AI1146">
        <f t="shared" si="35"/>
        <v>1</v>
      </c>
      <c r="AJ1146">
        <f>'TABLA PREVIOS'!E1146</f>
        <v>292</v>
      </c>
      <c r="AK1146">
        <f>VLOOKUP(E1146,ALUMNOS!A:B,2,FALSE)</f>
        <v>296</v>
      </c>
    </row>
    <row r="1147" spans="2:37" x14ac:dyDescent="0.25">
      <c r="B1147" t="str">
        <f t="shared" si="34"/>
        <v>46935855FORMACIÓN PARA LA VIDA Y EL TRABAJO6º</v>
      </c>
      <c r="C1147" t="s">
        <v>386</v>
      </c>
      <c r="D1147" t="s">
        <v>128</v>
      </c>
      <c r="E1147">
        <v>46935855</v>
      </c>
      <c r="F1147" t="s">
        <v>408</v>
      </c>
      <c r="G1147" t="s">
        <v>28</v>
      </c>
      <c r="H1147" t="s">
        <v>245</v>
      </c>
      <c r="I1147" t="s">
        <v>43</v>
      </c>
      <c r="J1147">
        <v>2023</v>
      </c>
      <c r="K1147" t="s">
        <v>60</v>
      </c>
      <c r="N1147" t="s">
        <v>99</v>
      </c>
      <c r="AI1147">
        <f t="shared" si="35"/>
        <v>1</v>
      </c>
      <c r="AJ1147">
        <f>'TABLA PREVIOS'!E1147</f>
        <v>291</v>
      </c>
      <c r="AK1147">
        <f>VLOOKUP(E1147,ALUMNOS!A:B,2,FALSE)</f>
        <v>296</v>
      </c>
    </row>
    <row r="1148" spans="2:37" x14ac:dyDescent="0.25">
      <c r="B1148" t="str">
        <f t="shared" si="34"/>
        <v>46935855LENGUA EXTRANJERA - INGLÉS6º</v>
      </c>
      <c r="C1148" t="s">
        <v>386</v>
      </c>
      <c r="D1148" t="s">
        <v>128</v>
      </c>
      <c r="E1148">
        <v>46935855</v>
      </c>
      <c r="F1148" t="s">
        <v>408</v>
      </c>
      <c r="G1148" t="s">
        <v>16</v>
      </c>
      <c r="H1148" t="s">
        <v>245</v>
      </c>
      <c r="I1148" t="s">
        <v>43</v>
      </c>
      <c r="J1148">
        <v>2023</v>
      </c>
      <c r="K1148" t="s">
        <v>60</v>
      </c>
      <c r="N1148" t="s">
        <v>99</v>
      </c>
      <c r="AI1148">
        <f t="shared" si="35"/>
        <v>1</v>
      </c>
      <c r="AJ1148">
        <f>'TABLA PREVIOS'!E1148</f>
        <v>282</v>
      </c>
      <c r="AK1148">
        <f>VLOOKUP(E1148,ALUMNOS!A:B,2,FALSE)</f>
        <v>296</v>
      </c>
    </row>
    <row r="1149" spans="2:37" x14ac:dyDescent="0.25">
      <c r="B1149" t="str">
        <f t="shared" si="34"/>
        <v>46935855LENGUA Y LITERATURA6º</v>
      </c>
      <c r="C1149" t="s">
        <v>386</v>
      </c>
      <c r="D1149" t="s">
        <v>128</v>
      </c>
      <c r="E1149">
        <v>46935855</v>
      </c>
      <c r="F1149" t="s">
        <v>408</v>
      </c>
      <c r="G1149" t="s">
        <v>11</v>
      </c>
      <c r="H1149" t="s">
        <v>245</v>
      </c>
      <c r="I1149" t="s">
        <v>43</v>
      </c>
      <c r="J1149">
        <v>2023</v>
      </c>
      <c r="K1149" t="s">
        <v>60</v>
      </c>
      <c r="N1149" t="s">
        <v>99</v>
      </c>
      <c r="AI1149">
        <f t="shared" si="35"/>
        <v>1</v>
      </c>
      <c r="AJ1149">
        <f>'TABLA PREVIOS'!E1149</f>
        <v>279</v>
      </c>
      <c r="AK1149">
        <f>VLOOKUP(E1149,ALUMNOS!A:B,2,FALSE)</f>
        <v>296</v>
      </c>
    </row>
    <row r="1150" spans="2:37" x14ac:dyDescent="0.25">
      <c r="B1150" t="str">
        <f t="shared" si="34"/>
        <v>46935855MATEMÁTICA6º</v>
      </c>
      <c r="C1150" t="s">
        <v>386</v>
      </c>
      <c r="D1150" t="s">
        <v>128</v>
      </c>
      <c r="E1150">
        <v>46935855</v>
      </c>
      <c r="F1150" t="s">
        <v>408</v>
      </c>
      <c r="G1150" t="s">
        <v>12</v>
      </c>
      <c r="H1150" t="s">
        <v>245</v>
      </c>
      <c r="I1150" t="s">
        <v>43</v>
      </c>
      <c r="J1150">
        <v>2023</v>
      </c>
      <c r="K1150" t="s">
        <v>60</v>
      </c>
      <c r="N1150" t="s">
        <v>99</v>
      </c>
      <c r="AI1150">
        <f t="shared" si="35"/>
        <v>1</v>
      </c>
      <c r="AJ1150">
        <f>'TABLA PREVIOS'!E1150</f>
        <v>280</v>
      </c>
      <c r="AK1150">
        <f>VLOOKUP(E1150,ALUMNOS!A:B,2,FALSE)</f>
        <v>296</v>
      </c>
    </row>
    <row r="1151" spans="2:37" x14ac:dyDescent="0.25">
      <c r="B1151" t="str">
        <f t="shared" si="34"/>
        <v>46935855QUÍMICA6º</v>
      </c>
      <c r="C1151" t="s">
        <v>386</v>
      </c>
      <c r="D1151" t="s">
        <v>128</v>
      </c>
      <c r="E1151">
        <v>46935855</v>
      </c>
      <c r="F1151" t="s">
        <v>408</v>
      </c>
      <c r="G1151" t="s">
        <v>25</v>
      </c>
      <c r="H1151" t="s">
        <v>245</v>
      </c>
      <c r="I1151" t="s">
        <v>43</v>
      </c>
      <c r="J1151">
        <v>2023</v>
      </c>
      <c r="K1151" t="s">
        <v>60</v>
      </c>
      <c r="N1151" t="s">
        <v>99</v>
      </c>
      <c r="AI1151">
        <f t="shared" si="35"/>
        <v>1</v>
      </c>
      <c r="AJ1151">
        <f>'TABLA PREVIOS'!E1151</f>
        <v>281</v>
      </c>
      <c r="AK1151">
        <f>VLOOKUP(E1151,ALUMNOS!A:B,2,FALSE)</f>
        <v>296</v>
      </c>
    </row>
    <row r="1152" spans="2:37" x14ac:dyDescent="0.25">
      <c r="B1152" t="str">
        <f t="shared" si="34"/>
        <v>46935855RESPONSABILIDAD SOCIAL DE LAS ORGANIZACIONES6º</v>
      </c>
      <c r="C1152" t="s">
        <v>386</v>
      </c>
      <c r="D1152" t="s">
        <v>128</v>
      </c>
      <c r="E1152">
        <v>46935855</v>
      </c>
      <c r="F1152" t="s">
        <v>408</v>
      </c>
      <c r="G1152" t="s">
        <v>39</v>
      </c>
      <c r="H1152" t="s">
        <v>245</v>
      </c>
      <c r="I1152" t="s">
        <v>43</v>
      </c>
      <c r="J1152">
        <v>2023</v>
      </c>
      <c r="K1152" t="s">
        <v>60</v>
      </c>
      <c r="N1152" t="s">
        <v>99</v>
      </c>
      <c r="AI1152">
        <f t="shared" si="35"/>
        <v>1</v>
      </c>
      <c r="AJ1152">
        <f>'TABLA PREVIOS'!E1152</f>
        <v>288</v>
      </c>
      <c r="AK1152">
        <f>VLOOKUP(E1152,ALUMNOS!A:B,2,FALSE)</f>
        <v>296</v>
      </c>
    </row>
    <row r="1153" spans="2:37" x14ac:dyDescent="0.25">
      <c r="B1153" t="str">
        <f t="shared" si="34"/>
        <v>46935855SISTEMAS DE INFORMACIÓN CONTABLE6º</v>
      </c>
      <c r="C1153" t="s">
        <v>386</v>
      </c>
      <c r="D1153" t="s">
        <v>128</v>
      </c>
      <c r="E1153">
        <v>46935855</v>
      </c>
      <c r="F1153" t="s">
        <v>408</v>
      </c>
      <c r="G1153" t="s">
        <v>29</v>
      </c>
      <c r="H1153" t="s">
        <v>245</v>
      </c>
      <c r="I1153" t="s">
        <v>43</v>
      </c>
      <c r="J1153">
        <v>2023</v>
      </c>
      <c r="K1153" t="s">
        <v>60</v>
      </c>
      <c r="N1153" t="s">
        <v>99</v>
      </c>
      <c r="AI1153">
        <f t="shared" si="35"/>
        <v>1</v>
      </c>
      <c r="AJ1153">
        <f>'TABLA PREVIOS'!E1153</f>
        <v>290</v>
      </c>
      <c r="AK1153">
        <f>VLOOKUP(E1153,ALUMNOS!A:B,2,FALSE)</f>
        <v>296</v>
      </c>
    </row>
    <row r="1154" spans="2:37" x14ac:dyDescent="0.25">
      <c r="B1154" t="str">
        <f t="shared" si="34"/>
        <v>47175016SISTEMAS DE INFORMACIÓN CONTABLE6º</v>
      </c>
      <c r="C1154" t="s">
        <v>386</v>
      </c>
      <c r="D1154" t="s">
        <v>128</v>
      </c>
      <c r="E1154">
        <v>47175016</v>
      </c>
      <c r="F1154" t="s">
        <v>409</v>
      </c>
      <c r="G1154" t="s">
        <v>29</v>
      </c>
      <c r="H1154" t="s">
        <v>245</v>
      </c>
      <c r="I1154" t="s">
        <v>43</v>
      </c>
      <c r="J1154">
        <v>2023</v>
      </c>
      <c r="K1154" t="s">
        <v>60</v>
      </c>
      <c r="N1154" t="s">
        <v>107</v>
      </c>
      <c r="O1154">
        <v>45411</v>
      </c>
      <c r="P1154">
        <v>7</v>
      </c>
      <c r="Q1154">
        <v>68</v>
      </c>
      <c r="R1154">
        <v>51</v>
      </c>
      <c r="AI1154">
        <f t="shared" si="35"/>
        <v>7</v>
      </c>
      <c r="AJ1154">
        <f>'TABLA PREVIOS'!E1154</f>
        <v>290</v>
      </c>
      <c r="AK1154">
        <f>VLOOKUP(E1154,ALUMNOS!A:B,2,FALSE)</f>
        <v>325</v>
      </c>
    </row>
    <row r="1155" spans="2:37" x14ac:dyDescent="0.25">
      <c r="B1155" t="str">
        <f t="shared" ref="B1155:B1218" si="36">E1155&amp;G1155&amp;H1155</f>
        <v>46819456MATEMÁTICA3º</v>
      </c>
      <c r="C1155" t="s">
        <v>386</v>
      </c>
      <c r="D1155" t="s">
        <v>128</v>
      </c>
      <c r="E1155">
        <v>46819456</v>
      </c>
      <c r="F1155" t="s">
        <v>410</v>
      </c>
      <c r="G1155" t="s">
        <v>12</v>
      </c>
      <c r="H1155" t="s">
        <v>143</v>
      </c>
      <c r="I1155" t="s">
        <v>43</v>
      </c>
      <c r="J1155">
        <v>2020</v>
      </c>
      <c r="K1155" t="s">
        <v>59</v>
      </c>
      <c r="N1155" t="s">
        <v>99</v>
      </c>
      <c r="AI1155">
        <f t="shared" ref="AI1155:AI1218" si="37">IF(VALUE(MAX(P1155,T1155,X1155,AB1155,AE1155,))&gt;=7,VALUE(MAX(P1155,T1155,X1155,AB1155,AE1155,)),1)</f>
        <v>1</v>
      </c>
      <c r="AJ1155">
        <f>'TABLA PREVIOS'!E1155</f>
        <v>240</v>
      </c>
      <c r="AK1155">
        <f>VLOOKUP(E1155,ALUMNOS!A:B,2,FALSE)</f>
        <v>349</v>
      </c>
    </row>
    <row r="1156" spans="2:37" x14ac:dyDescent="0.25">
      <c r="B1156" t="str">
        <f t="shared" si="36"/>
        <v>46819456MATEMÁTICA4º</v>
      </c>
      <c r="C1156" t="s">
        <v>386</v>
      </c>
      <c r="D1156" t="s">
        <v>128</v>
      </c>
      <c r="E1156">
        <v>46819456</v>
      </c>
      <c r="F1156" t="s">
        <v>410</v>
      </c>
      <c r="G1156" t="s">
        <v>12</v>
      </c>
      <c r="H1156" t="s">
        <v>190</v>
      </c>
      <c r="I1156" t="s">
        <v>43</v>
      </c>
      <c r="J1156">
        <v>2021</v>
      </c>
      <c r="K1156" t="s">
        <v>60</v>
      </c>
      <c r="M1156" t="s">
        <v>411</v>
      </c>
      <c r="N1156" t="s">
        <v>99</v>
      </c>
      <c r="AI1156">
        <f t="shared" si="37"/>
        <v>1</v>
      </c>
      <c r="AJ1156">
        <f>'TABLA PREVIOS'!E1156</f>
        <v>252</v>
      </c>
      <c r="AK1156">
        <f>VLOOKUP(E1156,ALUMNOS!A:B,2,FALSE)</f>
        <v>349</v>
      </c>
    </row>
    <row r="1157" spans="2:37" x14ac:dyDescent="0.25">
      <c r="B1157" t="str">
        <f t="shared" si="36"/>
        <v>46819456SISTEMAS DE INFORMACIÓN CONTABLE5º</v>
      </c>
      <c r="C1157" t="s">
        <v>386</v>
      </c>
      <c r="D1157" t="s">
        <v>128</v>
      </c>
      <c r="E1157">
        <v>46819456</v>
      </c>
      <c r="F1157" t="s">
        <v>410</v>
      </c>
      <c r="G1157" t="s">
        <v>29</v>
      </c>
      <c r="H1157" t="s">
        <v>220</v>
      </c>
      <c r="I1157" t="s">
        <v>43</v>
      </c>
      <c r="J1157">
        <v>2022</v>
      </c>
      <c r="K1157" t="s">
        <v>60</v>
      </c>
      <c r="N1157" t="s">
        <v>99</v>
      </c>
      <c r="AI1157">
        <f t="shared" si="37"/>
        <v>1</v>
      </c>
      <c r="AJ1157">
        <f>'TABLA PREVIOS'!E1157</f>
        <v>273</v>
      </c>
      <c r="AK1157">
        <f>VLOOKUP(E1157,ALUMNOS!A:B,2,FALSE)</f>
        <v>349</v>
      </c>
    </row>
    <row r="1158" spans="2:37" x14ac:dyDescent="0.25">
      <c r="B1158" t="str">
        <f t="shared" si="36"/>
        <v>46819456QUÍMICA6º</v>
      </c>
      <c r="C1158" t="s">
        <v>386</v>
      </c>
      <c r="D1158" t="s">
        <v>128</v>
      </c>
      <c r="E1158">
        <v>46819456</v>
      </c>
      <c r="F1158" t="s">
        <v>410</v>
      </c>
      <c r="G1158" t="s">
        <v>25</v>
      </c>
      <c r="H1158" t="s">
        <v>245</v>
      </c>
      <c r="I1158" t="s">
        <v>43</v>
      </c>
      <c r="J1158">
        <v>2023</v>
      </c>
      <c r="K1158" t="s">
        <v>60</v>
      </c>
      <c r="N1158" t="s">
        <v>99</v>
      </c>
      <c r="AI1158">
        <f t="shared" si="37"/>
        <v>1</v>
      </c>
      <c r="AJ1158">
        <f>'TABLA PREVIOS'!E1158</f>
        <v>281</v>
      </c>
      <c r="AK1158">
        <f>VLOOKUP(E1158,ALUMNOS!A:B,2,FALSE)</f>
        <v>349</v>
      </c>
    </row>
    <row r="1159" spans="2:37" x14ac:dyDescent="0.25">
      <c r="B1159" t="str">
        <f t="shared" si="36"/>
        <v>46819456SISTEMAS DE INFORMACIÓN CONTABLE6º</v>
      </c>
      <c r="C1159" t="s">
        <v>386</v>
      </c>
      <c r="D1159" t="s">
        <v>128</v>
      </c>
      <c r="E1159">
        <v>46819456</v>
      </c>
      <c r="F1159" t="s">
        <v>410</v>
      </c>
      <c r="G1159" t="s">
        <v>29</v>
      </c>
      <c r="H1159" t="s">
        <v>245</v>
      </c>
      <c r="I1159" t="s">
        <v>43</v>
      </c>
      <c r="J1159">
        <v>2023</v>
      </c>
      <c r="K1159" t="s">
        <v>60</v>
      </c>
      <c r="N1159" t="s">
        <v>99</v>
      </c>
      <c r="AI1159">
        <f t="shared" si="37"/>
        <v>1</v>
      </c>
      <c r="AJ1159">
        <f>'TABLA PREVIOS'!E1159</f>
        <v>290</v>
      </c>
      <c r="AK1159">
        <f>VLOOKUP(E1159,ALUMNOS!A:B,2,FALSE)</f>
        <v>349</v>
      </c>
    </row>
    <row r="1160" spans="2:37" x14ac:dyDescent="0.25">
      <c r="B1160" t="str">
        <f t="shared" si="36"/>
        <v>46633674ADMINISTRACIÓN4º</v>
      </c>
      <c r="C1160" t="s">
        <v>386</v>
      </c>
      <c r="D1160" t="s">
        <v>128</v>
      </c>
      <c r="E1160">
        <v>46633674</v>
      </c>
      <c r="F1160" t="s">
        <v>412</v>
      </c>
      <c r="G1160" t="s">
        <v>30</v>
      </c>
      <c r="H1160" t="s">
        <v>190</v>
      </c>
      <c r="I1160" t="s">
        <v>44</v>
      </c>
      <c r="J1160">
        <v>2023</v>
      </c>
      <c r="K1160" t="s">
        <v>60</v>
      </c>
      <c r="L1160" t="s">
        <v>363</v>
      </c>
      <c r="N1160" t="s">
        <v>99</v>
      </c>
      <c r="AI1160">
        <f t="shared" si="37"/>
        <v>1</v>
      </c>
      <c r="AJ1160">
        <f>'TABLA PREVIOS'!E1160</f>
        <v>260</v>
      </c>
      <c r="AK1160">
        <f>VLOOKUP(E1160,ALUMNOS!A:B,2,FALSE)</f>
        <v>403</v>
      </c>
    </row>
    <row r="1161" spans="2:37" x14ac:dyDescent="0.25">
      <c r="B1161" t="str">
        <f t="shared" si="36"/>
        <v>46509043SISTEMAS DE INFORMACIÓN CONTABLE5º</v>
      </c>
      <c r="C1161" t="s">
        <v>386</v>
      </c>
      <c r="D1161" t="s">
        <v>128</v>
      </c>
      <c r="E1161">
        <v>46509043</v>
      </c>
      <c r="F1161" t="s">
        <v>413</v>
      </c>
      <c r="G1161" t="s">
        <v>29</v>
      </c>
      <c r="H1161" t="s">
        <v>220</v>
      </c>
      <c r="I1161" t="s">
        <v>43</v>
      </c>
      <c r="J1161">
        <v>2022</v>
      </c>
      <c r="K1161" t="s">
        <v>60</v>
      </c>
      <c r="N1161" t="s">
        <v>99</v>
      </c>
      <c r="AI1161">
        <f t="shared" si="37"/>
        <v>1</v>
      </c>
      <c r="AJ1161">
        <f>'TABLA PREVIOS'!E1161</f>
        <v>273</v>
      </c>
      <c r="AK1161">
        <f>VLOOKUP(E1161,ALUMNOS!A:B,2,FALSE)</f>
        <v>448</v>
      </c>
    </row>
    <row r="1162" spans="2:37" x14ac:dyDescent="0.25">
      <c r="B1162" t="str">
        <f t="shared" si="36"/>
        <v>46509043LENGUA EXTRANJERA - INGLÉS6º</v>
      </c>
      <c r="C1162" t="s">
        <v>386</v>
      </c>
      <c r="D1162" t="s">
        <v>128</v>
      </c>
      <c r="E1162">
        <v>46509043</v>
      </c>
      <c r="F1162" t="s">
        <v>413</v>
      </c>
      <c r="G1162" t="s">
        <v>16</v>
      </c>
      <c r="H1162" t="s">
        <v>245</v>
      </c>
      <c r="I1162" t="s">
        <v>43</v>
      </c>
      <c r="J1162">
        <v>2023</v>
      </c>
      <c r="K1162" t="s">
        <v>60</v>
      </c>
      <c r="N1162" t="s">
        <v>99</v>
      </c>
      <c r="AI1162">
        <f t="shared" si="37"/>
        <v>1</v>
      </c>
      <c r="AJ1162">
        <f>'TABLA PREVIOS'!E1162</f>
        <v>282</v>
      </c>
      <c r="AK1162">
        <f>VLOOKUP(E1162,ALUMNOS!A:B,2,FALSE)</f>
        <v>448</v>
      </c>
    </row>
    <row r="1163" spans="2:37" x14ac:dyDescent="0.25">
      <c r="B1163" t="str">
        <f t="shared" si="36"/>
        <v>46509043QUÍMICA6º</v>
      </c>
      <c r="C1163" t="s">
        <v>386</v>
      </c>
      <c r="D1163" t="s">
        <v>128</v>
      </c>
      <c r="E1163">
        <v>46509043</v>
      </c>
      <c r="F1163" t="s">
        <v>413</v>
      </c>
      <c r="G1163" t="s">
        <v>25</v>
      </c>
      <c r="H1163" t="s">
        <v>245</v>
      </c>
      <c r="I1163" t="s">
        <v>43</v>
      </c>
      <c r="J1163">
        <v>2023</v>
      </c>
      <c r="K1163" t="s">
        <v>60</v>
      </c>
      <c r="N1163" t="s">
        <v>99</v>
      </c>
      <c r="AI1163">
        <f t="shared" si="37"/>
        <v>1</v>
      </c>
      <c r="AJ1163">
        <f>'TABLA PREVIOS'!E1163</f>
        <v>281</v>
      </c>
      <c r="AK1163">
        <f>VLOOKUP(E1163,ALUMNOS!A:B,2,FALSE)</f>
        <v>448</v>
      </c>
    </row>
    <row r="1164" spans="2:37" x14ac:dyDescent="0.25">
      <c r="B1164" t="str">
        <f t="shared" si="36"/>
        <v>46509043SISTEMAS DE INFORMACIÓN CONTABLE6º</v>
      </c>
      <c r="C1164" t="s">
        <v>386</v>
      </c>
      <c r="D1164" t="s">
        <v>128</v>
      </c>
      <c r="E1164">
        <v>46509043</v>
      </c>
      <c r="F1164" t="s">
        <v>413</v>
      </c>
      <c r="G1164" t="s">
        <v>29</v>
      </c>
      <c r="H1164" t="s">
        <v>245</v>
      </c>
      <c r="I1164" t="s">
        <v>43</v>
      </c>
      <c r="J1164">
        <v>2023</v>
      </c>
      <c r="K1164" t="s">
        <v>60</v>
      </c>
      <c r="N1164" t="s">
        <v>99</v>
      </c>
      <c r="AI1164">
        <f t="shared" si="37"/>
        <v>1</v>
      </c>
      <c r="AJ1164">
        <f>'TABLA PREVIOS'!E1164</f>
        <v>290</v>
      </c>
      <c r="AK1164">
        <f>VLOOKUP(E1164,ALUMNOS!A:B,2,FALSE)</f>
        <v>448</v>
      </c>
    </row>
    <row r="1165" spans="2:37" x14ac:dyDescent="0.25">
      <c r="B1165" t="str">
        <f t="shared" si="36"/>
        <v>46509071MATEMÁTICA3º</v>
      </c>
      <c r="C1165" t="s">
        <v>386</v>
      </c>
      <c r="D1165" t="s">
        <v>128</v>
      </c>
      <c r="E1165">
        <v>46509071</v>
      </c>
      <c r="F1165" t="s">
        <v>414</v>
      </c>
      <c r="G1165" t="s">
        <v>12</v>
      </c>
      <c r="H1165" t="s">
        <v>143</v>
      </c>
      <c r="I1165" t="s">
        <v>43</v>
      </c>
      <c r="J1165">
        <v>2020</v>
      </c>
      <c r="K1165" t="s">
        <v>59</v>
      </c>
      <c r="N1165" t="s">
        <v>99</v>
      </c>
      <c r="AI1165">
        <f t="shared" si="37"/>
        <v>1</v>
      </c>
      <c r="AJ1165">
        <f>'TABLA PREVIOS'!E1165</f>
        <v>240</v>
      </c>
      <c r="AK1165">
        <f>VLOOKUP(E1165,ALUMNOS!A:B,2,FALSE)</f>
        <v>628</v>
      </c>
    </row>
    <row r="1166" spans="2:37" x14ac:dyDescent="0.25">
      <c r="B1166" t="str">
        <f t="shared" si="36"/>
        <v>46509071MATEMÁTICA4º</v>
      </c>
      <c r="C1166" t="s">
        <v>386</v>
      </c>
      <c r="D1166" t="s">
        <v>128</v>
      </c>
      <c r="E1166">
        <v>46509071</v>
      </c>
      <c r="F1166" t="s">
        <v>414</v>
      </c>
      <c r="G1166" t="s">
        <v>12</v>
      </c>
      <c r="H1166" t="s">
        <v>190</v>
      </c>
      <c r="I1166" t="s">
        <v>43</v>
      </c>
      <c r="J1166">
        <v>2021</v>
      </c>
      <c r="K1166" t="s">
        <v>60</v>
      </c>
      <c r="N1166" t="s">
        <v>99</v>
      </c>
      <c r="AI1166">
        <f t="shared" si="37"/>
        <v>1</v>
      </c>
      <c r="AJ1166">
        <f>'TABLA PREVIOS'!E1166</f>
        <v>252</v>
      </c>
      <c r="AK1166">
        <f>VLOOKUP(E1166,ALUMNOS!A:B,2,FALSE)</f>
        <v>628</v>
      </c>
    </row>
    <row r="1167" spans="2:37" x14ac:dyDescent="0.25">
      <c r="B1167" t="str">
        <f t="shared" si="36"/>
        <v>46509071MATEMÁTICA5º</v>
      </c>
      <c r="C1167" t="s">
        <v>386</v>
      </c>
      <c r="D1167" t="s">
        <v>128</v>
      </c>
      <c r="E1167">
        <v>46509071</v>
      </c>
      <c r="F1167" t="s">
        <v>414</v>
      </c>
      <c r="G1167" t="s">
        <v>12</v>
      </c>
      <c r="H1167" t="s">
        <v>220</v>
      </c>
      <c r="I1167" t="s">
        <v>43</v>
      </c>
      <c r="J1167">
        <v>2022</v>
      </c>
      <c r="K1167" t="s">
        <v>60</v>
      </c>
      <c r="N1167" t="s">
        <v>99</v>
      </c>
      <c r="AI1167">
        <f t="shared" si="37"/>
        <v>1</v>
      </c>
      <c r="AJ1167">
        <f>'TABLA PREVIOS'!E1167</f>
        <v>265</v>
      </c>
      <c r="AK1167">
        <f>VLOOKUP(E1167,ALUMNOS!A:B,2,FALSE)</f>
        <v>628</v>
      </c>
    </row>
    <row r="1168" spans="2:37" x14ac:dyDescent="0.25">
      <c r="B1168" t="str">
        <f t="shared" si="36"/>
        <v>46509071QUÍMICA6º</v>
      </c>
      <c r="C1168" t="s">
        <v>386</v>
      </c>
      <c r="D1168" t="s">
        <v>128</v>
      </c>
      <c r="E1168">
        <v>46509071</v>
      </c>
      <c r="F1168" t="s">
        <v>414</v>
      </c>
      <c r="G1168" t="s">
        <v>25</v>
      </c>
      <c r="H1168" t="s">
        <v>245</v>
      </c>
      <c r="I1168" t="s">
        <v>43</v>
      </c>
      <c r="J1168">
        <v>2023</v>
      </c>
      <c r="K1168" t="s">
        <v>60</v>
      </c>
      <c r="N1168" t="s">
        <v>99</v>
      </c>
      <c r="AI1168">
        <f t="shared" si="37"/>
        <v>1</v>
      </c>
      <c r="AJ1168">
        <f>'TABLA PREVIOS'!E1168</f>
        <v>281</v>
      </c>
      <c r="AK1168">
        <f>VLOOKUP(E1168,ALUMNOS!A:B,2,FALSE)</f>
        <v>628</v>
      </c>
    </row>
    <row r="1169" spans="2:37" x14ac:dyDescent="0.25">
      <c r="B1169" t="str">
        <f t="shared" si="36"/>
        <v>46509071SISTEMAS DE INFORMACIÓN CONTABLE6º</v>
      </c>
      <c r="C1169" t="s">
        <v>386</v>
      </c>
      <c r="D1169" t="s">
        <v>128</v>
      </c>
      <c r="E1169">
        <v>46509071</v>
      </c>
      <c r="F1169" t="s">
        <v>414</v>
      </c>
      <c r="G1169" t="s">
        <v>29</v>
      </c>
      <c r="H1169" t="s">
        <v>245</v>
      </c>
      <c r="I1169" t="s">
        <v>43</v>
      </c>
      <c r="J1169">
        <v>2023</v>
      </c>
      <c r="K1169" t="s">
        <v>60</v>
      </c>
      <c r="N1169" t="s">
        <v>99</v>
      </c>
      <c r="AI1169">
        <f t="shared" si="37"/>
        <v>1</v>
      </c>
      <c r="AJ1169">
        <f>'TABLA PREVIOS'!E1169</f>
        <v>290</v>
      </c>
      <c r="AK1169">
        <f>VLOOKUP(E1169,ALUMNOS!A:B,2,FALSE)</f>
        <v>628</v>
      </c>
    </row>
    <row r="1170" spans="2:37" x14ac:dyDescent="0.25">
      <c r="B1170" t="str">
        <f t="shared" si="36"/>
        <v>46509084HISTORIA5º</v>
      </c>
      <c r="C1170" t="s">
        <v>386</v>
      </c>
      <c r="D1170" t="s">
        <v>128</v>
      </c>
      <c r="E1170">
        <v>46509084</v>
      </c>
      <c r="F1170" t="s">
        <v>415</v>
      </c>
      <c r="G1170" t="s">
        <v>27</v>
      </c>
      <c r="H1170" t="s">
        <v>220</v>
      </c>
      <c r="I1170" t="s">
        <v>43</v>
      </c>
      <c r="J1170">
        <v>2022</v>
      </c>
      <c r="K1170" t="s">
        <v>60</v>
      </c>
      <c r="N1170" t="s">
        <v>99</v>
      </c>
      <c r="AI1170">
        <f t="shared" si="37"/>
        <v>1</v>
      </c>
      <c r="AJ1170">
        <f>'TABLA PREVIOS'!E1170</f>
        <v>268</v>
      </c>
      <c r="AK1170">
        <f>VLOOKUP(E1170,ALUMNOS!A:B,2,FALSE)</f>
        <v>760</v>
      </c>
    </row>
    <row r="1171" spans="2:37" x14ac:dyDescent="0.25">
      <c r="B1171" t="str">
        <f t="shared" si="36"/>
        <v>46509084SISTEMAS DE INFORMACIÓN CONTABLE5º</v>
      </c>
      <c r="C1171" t="s">
        <v>386</v>
      </c>
      <c r="D1171" t="s">
        <v>128</v>
      </c>
      <c r="E1171">
        <v>46509084</v>
      </c>
      <c r="F1171" t="s">
        <v>415</v>
      </c>
      <c r="G1171" t="s">
        <v>29</v>
      </c>
      <c r="H1171" t="s">
        <v>220</v>
      </c>
      <c r="I1171" t="s">
        <v>43</v>
      </c>
      <c r="J1171">
        <v>2022</v>
      </c>
      <c r="K1171" t="s">
        <v>60</v>
      </c>
      <c r="N1171" t="s">
        <v>99</v>
      </c>
      <c r="AI1171">
        <f t="shared" si="37"/>
        <v>1</v>
      </c>
      <c r="AJ1171">
        <f>'TABLA PREVIOS'!E1171</f>
        <v>273</v>
      </c>
      <c r="AK1171">
        <f>VLOOKUP(E1171,ALUMNOS!A:B,2,FALSE)</f>
        <v>760</v>
      </c>
    </row>
    <row r="1172" spans="2:37" x14ac:dyDescent="0.25">
      <c r="B1172" t="str">
        <f t="shared" si="36"/>
        <v>46509084LENGUA EXTRANJERA - INGLÉS6º</v>
      </c>
      <c r="C1172" t="s">
        <v>386</v>
      </c>
      <c r="D1172" t="s">
        <v>128</v>
      </c>
      <c r="E1172">
        <v>46509084</v>
      </c>
      <c r="F1172" t="s">
        <v>415</v>
      </c>
      <c r="G1172" t="s">
        <v>16</v>
      </c>
      <c r="H1172" t="s">
        <v>245</v>
      </c>
      <c r="I1172" t="s">
        <v>43</v>
      </c>
      <c r="J1172">
        <v>2023</v>
      </c>
      <c r="K1172" t="s">
        <v>60</v>
      </c>
      <c r="N1172" t="s">
        <v>99</v>
      </c>
      <c r="AI1172">
        <f t="shared" si="37"/>
        <v>1</v>
      </c>
      <c r="AJ1172">
        <f>'TABLA PREVIOS'!E1172</f>
        <v>282</v>
      </c>
      <c r="AK1172">
        <f>VLOOKUP(E1172,ALUMNOS!A:B,2,FALSE)</f>
        <v>760</v>
      </c>
    </row>
    <row r="1173" spans="2:37" x14ac:dyDescent="0.25">
      <c r="B1173" t="str">
        <f t="shared" si="36"/>
        <v>46509084QUÍMICA6º</v>
      </c>
      <c r="C1173" t="s">
        <v>386</v>
      </c>
      <c r="D1173" t="s">
        <v>128</v>
      </c>
      <c r="E1173">
        <v>46509084</v>
      </c>
      <c r="F1173" t="s">
        <v>415</v>
      </c>
      <c r="G1173" t="s">
        <v>25</v>
      </c>
      <c r="H1173" t="s">
        <v>245</v>
      </c>
      <c r="I1173" t="s">
        <v>43</v>
      </c>
      <c r="J1173">
        <v>2023</v>
      </c>
      <c r="K1173" t="s">
        <v>60</v>
      </c>
      <c r="N1173" t="s">
        <v>99</v>
      </c>
      <c r="AI1173">
        <f t="shared" si="37"/>
        <v>1</v>
      </c>
      <c r="AJ1173">
        <f>'TABLA PREVIOS'!E1173</f>
        <v>281</v>
      </c>
      <c r="AK1173">
        <f>VLOOKUP(E1173,ALUMNOS!A:B,2,FALSE)</f>
        <v>760</v>
      </c>
    </row>
    <row r="1174" spans="2:37" x14ac:dyDescent="0.25">
      <c r="B1174" t="str">
        <f t="shared" si="36"/>
        <v>46509084SISTEMAS DE INFORMACIÓN CONTABLE6º</v>
      </c>
      <c r="C1174" t="s">
        <v>386</v>
      </c>
      <c r="D1174" t="s">
        <v>128</v>
      </c>
      <c r="E1174">
        <v>46509084</v>
      </c>
      <c r="F1174" t="s">
        <v>415</v>
      </c>
      <c r="G1174" t="s">
        <v>29</v>
      </c>
      <c r="H1174" t="s">
        <v>245</v>
      </c>
      <c r="I1174" t="s">
        <v>43</v>
      </c>
      <c r="J1174">
        <v>2023</v>
      </c>
      <c r="K1174" t="s">
        <v>60</v>
      </c>
      <c r="N1174" t="s">
        <v>99</v>
      </c>
      <c r="AI1174">
        <f t="shared" si="37"/>
        <v>1</v>
      </c>
      <c r="AJ1174">
        <f>'TABLA PREVIOS'!E1174</f>
        <v>290</v>
      </c>
      <c r="AK1174">
        <f>VLOOKUP(E1174,ALUMNOS!A:B,2,FALSE)</f>
        <v>760</v>
      </c>
    </row>
    <row r="1175" spans="2:37" x14ac:dyDescent="0.25">
      <c r="B1175" t="str">
        <f t="shared" si="36"/>
        <v>43808675LENGUA Y LITERATURA1º</v>
      </c>
      <c r="E1175">
        <v>43808675</v>
      </c>
      <c r="F1175" t="s">
        <v>416</v>
      </c>
      <c r="G1175" t="s">
        <v>11</v>
      </c>
      <c r="H1175" t="s">
        <v>98</v>
      </c>
      <c r="I1175" t="s">
        <v>43</v>
      </c>
      <c r="J1175">
        <v>2018</v>
      </c>
      <c r="K1175" t="s">
        <v>59</v>
      </c>
      <c r="L1175" t="s">
        <v>417</v>
      </c>
      <c r="N1175" t="s">
        <v>99</v>
      </c>
      <c r="AI1175">
        <f t="shared" si="37"/>
        <v>1</v>
      </c>
      <c r="AJ1175">
        <f>'TABLA PREVIOS'!E1175</f>
        <v>219</v>
      </c>
      <c r="AK1175">
        <f>VLOOKUP(E1175,ALUMNOS!A:B,2,FALSE)</f>
        <v>3</v>
      </c>
    </row>
    <row r="1176" spans="2:37" x14ac:dyDescent="0.25">
      <c r="B1176" t="str">
        <f t="shared" si="36"/>
        <v>43808675CIENCIAS SOCIALES - HISTORIA2º</v>
      </c>
      <c r="E1176">
        <v>43808675</v>
      </c>
      <c r="F1176" t="s">
        <v>416</v>
      </c>
      <c r="G1176" t="s">
        <v>22</v>
      </c>
      <c r="H1176" t="s">
        <v>95</v>
      </c>
      <c r="I1176" t="s">
        <v>43</v>
      </c>
      <c r="J1176">
        <v>2019</v>
      </c>
      <c r="K1176" t="s">
        <v>59</v>
      </c>
      <c r="N1176" t="s">
        <v>99</v>
      </c>
      <c r="AI1176">
        <f t="shared" si="37"/>
        <v>1</v>
      </c>
      <c r="AJ1176">
        <f>'TABLA PREVIOS'!E1176</f>
        <v>233</v>
      </c>
      <c r="AK1176">
        <f>VLOOKUP(E1176,ALUMNOS!A:B,2,FALSE)</f>
        <v>3</v>
      </c>
    </row>
    <row r="1177" spans="2:37" x14ac:dyDescent="0.25">
      <c r="B1177" t="str">
        <f t="shared" si="36"/>
        <v>43808675MATEMÁTICA3º</v>
      </c>
      <c r="E1177">
        <v>43808675</v>
      </c>
      <c r="F1177" t="s">
        <v>416</v>
      </c>
      <c r="G1177" t="s">
        <v>12</v>
      </c>
      <c r="H1177" t="s">
        <v>143</v>
      </c>
      <c r="I1177" t="s">
        <v>43</v>
      </c>
      <c r="J1177">
        <v>2020</v>
      </c>
      <c r="K1177" t="s">
        <v>59</v>
      </c>
      <c r="N1177" t="s">
        <v>99</v>
      </c>
      <c r="AI1177">
        <f t="shared" si="37"/>
        <v>1</v>
      </c>
      <c r="AJ1177">
        <f>'TABLA PREVIOS'!E1177</f>
        <v>240</v>
      </c>
      <c r="AK1177">
        <f>VLOOKUP(E1177,ALUMNOS!A:B,2,FALSE)</f>
        <v>3</v>
      </c>
    </row>
    <row r="1178" spans="2:37" x14ac:dyDescent="0.25">
      <c r="B1178" t="str">
        <f t="shared" si="36"/>
        <v>48816210CIENCIAS NATURALES - BIOLOGÍA1º</v>
      </c>
      <c r="E1178">
        <v>48816210</v>
      </c>
      <c r="F1178" t="s">
        <v>418</v>
      </c>
      <c r="G1178" t="s">
        <v>13</v>
      </c>
      <c r="H1178" t="s">
        <v>98</v>
      </c>
      <c r="I1178" t="s">
        <v>43</v>
      </c>
      <c r="J1178">
        <v>2021</v>
      </c>
      <c r="K1178" t="s">
        <v>59</v>
      </c>
      <c r="L1178" t="s">
        <v>105</v>
      </c>
      <c r="N1178" t="s">
        <v>99</v>
      </c>
      <c r="AI1178">
        <f t="shared" si="37"/>
        <v>1</v>
      </c>
      <c r="AJ1178">
        <f>'TABLA PREVIOS'!E1178</f>
        <v>221</v>
      </c>
      <c r="AK1178">
        <f>VLOOKUP(E1178,ALUMNOS!A:B,2,FALSE)</f>
        <v>2</v>
      </c>
    </row>
    <row r="1179" spans="2:37" x14ac:dyDescent="0.25">
      <c r="B1179" t="str">
        <f t="shared" si="36"/>
        <v>48816210CIENCIAS NATURALES - FÍSICA1º</v>
      </c>
      <c r="E1179">
        <v>48816210</v>
      </c>
      <c r="F1179" t="s">
        <v>418</v>
      </c>
      <c r="G1179" t="s">
        <v>14</v>
      </c>
      <c r="H1179" t="s">
        <v>98</v>
      </c>
      <c r="I1179" t="s">
        <v>43</v>
      </c>
      <c r="J1179">
        <v>2021</v>
      </c>
      <c r="K1179" t="s">
        <v>59</v>
      </c>
      <c r="N1179" t="s">
        <v>99</v>
      </c>
      <c r="AI1179">
        <f t="shared" si="37"/>
        <v>1</v>
      </c>
      <c r="AJ1179">
        <f>'TABLA PREVIOS'!E1179</f>
        <v>222</v>
      </c>
      <c r="AK1179">
        <f>VLOOKUP(E1179,ALUMNOS!A:B,2,FALSE)</f>
        <v>2</v>
      </c>
    </row>
    <row r="1180" spans="2:37" x14ac:dyDescent="0.25">
      <c r="B1180" t="str">
        <f t="shared" si="36"/>
        <v>45698169CIENCIAS NATURALES - FÍSICA1º</v>
      </c>
      <c r="E1180">
        <v>45698169</v>
      </c>
      <c r="F1180" t="s">
        <v>419</v>
      </c>
      <c r="G1180" t="s">
        <v>14</v>
      </c>
      <c r="H1180" t="s">
        <v>98</v>
      </c>
      <c r="I1180" t="s">
        <v>43</v>
      </c>
      <c r="J1180">
        <v>2018</v>
      </c>
      <c r="K1180" t="s">
        <v>59</v>
      </c>
      <c r="L1180" t="s">
        <v>420</v>
      </c>
      <c r="N1180" t="s">
        <v>99</v>
      </c>
      <c r="AI1180">
        <f t="shared" si="37"/>
        <v>1</v>
      </c>
      <c r="AJ1180">
        <f>'TABLA PREVIOS'!E1180</f>
        <v>222</v>
      </c>
      <c r="AK1180">
        <f>VLOOKUP(E1180,ALUMNOS!A:B,2,FALSE)</f>
        <v>12</v>
      </c>
    </row>
    <row r="1181" spans="2:37" x14ac:dyDescent="0.25">
      <c r="B1181" t="str">
        <f t="shared" si="36"/>
        <v>45698169LENGUA Y LITERATURA3º</v>
      </c>
      <c r="E1181">
        <v>45698169</v>
      </c>
      <c r="F1181" t="s">
        <v>419</v>
      </c>
      <c r="G1181" t="s">
        <v>11</v>
      </c>
      <c r="H1181" t="s">
        <v>143</v>
      </c>
      <c r="I1181" t="s">
        <v>43</v>
      </c>
      <c r="J1181">
        <v>2020</v>
      </c>
      <c r="K1181" t="s">
        <v>59</v>
      </c>
      <c r="L1181" t="s">
        <v>420</v>
      </c>
      <c r="N1181" t="s">
        <v>99</v>
      </c>
      <c r="AI1181">
        <f t="shared" si="37"/>
        <v>1</v>
      </c>
      <c r="AJ1181">
        <f>'TABLA PREVIOS'!E1181</f>
        <v>239</v>
      </c>
      <c r="AK1181">
        <f>VLOOKUP(E1181,ALUMNOS!A:B,2,FALSE)</f>
        <v>12</v>
      </c>
    </row>
    <row r="1182" spans="2:37" x14ac:dyDescent="0.25">
      <c r="B1182" t="str">
        <f t="shared" si="36"/>
        <v>45698169QUÍMICA3º</v>
      </c>
      <c r="E1182">
        <v>45698169</v>
      </c>
      <c r="F1182" t="s">
        <v>419</v>
      </c>
      <c r="G1182" t="s">
        <v>25</v>
      </c>
      <c r="H1182" t="s">
        <v>143</v>
      </c>
      <c r="I1182" t="s">
        <v>43</v>
      </c>
      <c r="J1182">
        <v>2020</v>
      </c>
      <c r="K1182" t="s">
        <v>59</v>
      </c>
      <c r="L1182" t="s">
        <v>420</v>
      </c>
      <c r="N1182" t="s">
        <v>99</v>
      </c>
      <c r="AI1182">
        <f t="shared" si="37"/>
        <v>1</v>
      </c>
      <c r="AJ1182">
        <f>'TABLA PREVIOS'!E1182</f>
        <v>242</v>
      </c>
      <c r="AK1182">
        <f>VLOOKUP(E1182,ALUMNOS!A:B,2,FALSE)</f>
        <v>12</v>
      </c>
    </row>
    <row r="1183" spans="2:37" x14ac:dyDescent="0.25">
      <c r="B1183" t="str">
        <f t="shared" si="36"/>
        <v>48326453LENGUA EXTRANJERA - INGLÉS3º</v>
      </c>
      <c r="E1183">
        <v>48326453</v>
      </c>
      <c r="F1183" t="s">
        <v>421</v>
      </c>
      <c r="G1183" t="s">
        <v>16</v>
      </c>
      <c r="H1183" t="s">
        <v>143</v>
      </c>
      <c r="I1183" t="s">
        <v>43</v>
      </c>
      <c r="J1183">
        <v>2022</v>
      </c>
      <c r="K1183" t="s">
        <v>59</v>
      </c>
      <c r="N1183" t="s">
        <v>99</v>
      </c>
      <c r="AI1183">
        <f t="shared" si="37"/>
        <v>1</v>
      </c>
      <c r="AJ1183">
        <f>'TABLA PREVIOS'!E1183</f>
        <v>245</v>
      </c>
      <c r="AK1183">
        <f>VLOOKUP(E1183,ALUMNOS!A:B,2,FALSE)</f>
        <v>18</v>
      </c>
    </row>
    <row r="1184" spans="2:37" x14ac:dyDescent="0.25">
      <c r="B1184" t="str">
        <f t="shared" si="36"/>
        <v>48326453LENGUA Y LITERATURA3º</v>
      </c>
      <c r="E1184">
        <v>48326453</v>
      </c>
      <c r="F1184" t="s">
        <v>421</v>
      </c>
      <c r="G1184" t="s">
        <v>11</v>
      </c>
      <c r="H1184" t="s">
        <v>143</v>
      </c>
      <c r="I1184" t="s">
        <v>43</v>
      </c>
      <c r="J1184">
        <v>2022</v>
      </c>
      <c r="K1184" t="s">
        <v>59</v>
      </c>
      <c r="N1184" t="s">
        <v>99</v>
      </c>
      <c r="AI1184">
        <f t="shared" si="37"/>
        <v>1</v>
      </c>
      <c r="AJ1184">
        <f>'TABLA PREVIOS'!E1184</f>
        <v>239</v>
      </c>
      <c r="AK1184">
        <f>VLOOKUP(E1184,ALUMNOS!A:B,2,FALSE)</f>
        <v>18</v>
      </c>
    </row>
    <row r="1185" spans="2:37" x14ac:dyDescent="0.25">
      <c r="B1185" t="str">
        <f t="shared" si="36"/>
        <v>49502266CIENCIAS NATURALES - BIOLOGÍA1º</v>
      </c>
      <c r="E1185">
        <v>49502266</v>
      </c>
      <c r="F1185" t="s">
        <v>422</v>
      </c>
      <c r="G1185" t="s">
        <v>13</v>
      </c>
      <c r="H1185" t="s">
        <v>98</v>
      </c>
      <c r="I1185" t="s">
        <v>43</v>
      </c>
      <c r="J1185">
        <v>2021</v>
      </c>
      <c r="K1185" t="s">
        <v>59</v>
      </c>
      <c r="M1185" t="s">
        <v>423</v>
      </c>
      <c r="N1185" t="s">
        <v>99</v>
      </c>
      <c r="AI1185">
        <f t="shared" si="37"/>
        <v>1</v>
      </c>
      <c r="AJ1185">
        <f>'TABLA PREVIOS'!E1185</f>
        <v>221</v>
      </c>
      <c r="AK1185">
        <f>VLOOKUP(E1185,ALUMNOS!A:B,2,FALSE)</f>
        <v>29</v>
      </c>
    </row>
    <row r="1186" spans="2:37" x14ac:dyDescent="0.25">
      <c r="B1186" t="str">
        <f t="shared" si="36"/>
        <v>49502266CIENCIAS NATURALES - FÍSICA1º</v>
      </c>
      <c r="E1186">
        <v>49502266</v>
      </c>
      <c r="F1186" t="s">
        <v>422</v>
      </c>
      <c r="G1186" t="s">
        <v>14</v>
      </c>
      <c r="H1186" t="s">
        <v>98</v>
      </c>
      <c r="I1186" t="s">
        <v>43</v>
      </c>
      <c r="J1186">
        <v>2021</v>
      </c>
      <c r="K1186" t="s">
        <v>59</v>
      </c>
      <c r="M1186" t="s">
        <v>423</v>
      </c>
      <c r="N1186" t="s">
        <v>99</v>
      </c>
      <c r="AI1186">
        <f t="shared" si="37"/>
        <v>1</v>
      </c>
      <c r="AJ1186">
        <f>'TABLA PREVIOS'!E1186</f>
        <v>222</v>
      </c>
      <c r="AK1186">
        <f>VLOOKUP(E1186,ALUMNOS!A:B,2,FALSE)</f>
        <v>29</v>
      </c>
    </row>
    <row r="1187" spans="2:37" x14ac:dyDescent="0.25">
      <c r="B1187" t="str">
        <f t="shared" si="36"/>
        <v>49502266LENGUA EXTRANJERA - INGLÉS1º</v>
      </c>
      <c r="E1187">
        <v>49502266</v>
      </c>
      <c r="F1187" t="s">
        <v>422</v>
      </c>
      <c r="G1187" t="s">
        <v>16</v>
      </c>
      <c r="H1187" t="s">
        <v>98</v>
      </c>
      <c r="I1187" t="s">
        <v>43</v>
      </c>
      <c r="J1187">
        <v>2021</v>
      </c>
      <c r="K1187" t="s">
        <v>59</v>
      </c>
      <c r="N1187" t="s">
        <v>99</v>
      </c>
      <c r="AI1187">
        <f t="shared" si="37"/>
        <v>1</v>
      </c>
      <c r="AJ1187">
        <f>'TABLA PREVIOS'!E1187</f>
        <v>224</v>
      </c>
      <c r="AK1187">
        <f>VLOOKUP(E1187,ALUMNOS!A:B,2,FALSE)</f>
        <v>29</v>
      </c>
    </row>
    <row r="1188" spans="2:37" x14ac:dyDescent="0.25">
      <c r="B1188" t="str">
        <f t="shared" si="36"/>
        <v>49502266MATEMÁTICA1º</v>
      </c>
      <c r="E1188">
        <v>49502266</v>
      </c>
      <c r="F1188" t="s">
        <v>422</v>
      </c>
      <c r="G1188" t="s">
        <v>12</v>
      </c>
      <c r="H1188" t="s">
        <v>98</v>
      </c>
      <c r="I1188" t="s">
        <v>43</v>
      </c>
      <c r="J1188">
        <v>2021</v>
      </c>
      <c r="K1188" t="s">
        <v>59</v>
      </c>
      <c r="N1188" t="s">
        <v>99</v>
      </c>
      <c r="AI1188">
        <f t="shared" si="37"/>
        <v>1</v>
      </c>
      <c r="AJ1188">
        <f>'TABLA PREVIOS'!E1188</f>
        <v>220</v>
      </c>
      <c r="AK1188">
        <f>VLOOKUP(E1188,ALUMNOS!A:B,2,FALSE)</f>
        <v>29</v>
      </c>
    </row>
    <row r="1189" spans="2:37" x14ac:dyDescent="0.25">
      <c r="B1189" t="str">
        <f t="shared" si="36"/>
        <v>45698166EDUCACIÓN FÍSICA2º</v>
      </c>
      <c r="E1189">
        <v>45698166</v>
      </c>
      <c r="F1189" t="s">
        <v>424</v>
      </c>
      <c r="G1189" t="s">
        <v>10</v>
      </c>
      <c r="H1189" t="s">
        <v>95</v>
      </c>
      <c r="I1189" t="s">
        <v>43</v>
      </c>
      <c r="J1189">
        <v>2020</v>
      </c>
      <c r="K1189" t="s">
        <v>59</v>
      </c>
      <c r="L1189" t="s">
        <v>372</v>
      </c>
      <c r="N1189" t="s">
        <v>99</v>
      </c>
      <c r="AI1189">
        <f t="shared" si="37"/>
        <v>1</v>
      </c>
      <c r="AJ1189">
        <f>'TABLA PREVIOS'!E1189</f>
        <v>228</v>
      </c>
      <c r="AK1189">
        <f>VLOOKUP(E1189,ALUMNOS!A:B,2,FALSE)</f>
        <v>61</v>
      </c>
    </row>
    <row r="1190" spans="2:37" x14ac:dyDescent="0.25">
      <c r="B1190" t="str">
        <f t="shared" si="36"/>
        <v>46768264EDUCACIÓN ARTÍSTICA - ARTES VISUALES1º</v>
      </c>
      <c r="E1190">
        <v>46768264</v>
      </c>
      <c r="F1190" t="s">
        <v>425</v>
      </c>
      <c r="G1190" t="s">
        <v>17</v>
      </c>
      <c r="H1190" t="s">
        <v>98</v>
      </c>
      <c r="I1190" t="s">
        <v>43</v>
      </c>
      <c r="J1190">
        <v>2020</v>
      </c>
      <c r="K1190" t="s">
        <v>59</v>
      </c>
      <c r="L1190" t="s">
        <v>105</v>
      </c>
      <c r="N1190" t="s">
        <v>99</v>
      </c>
      <c r="AI1190">
        <f t="shared" si="37"/>
        <v>1</v>
      </c>
      <c r="AJ1190">
        <f>'TABLA PREVIOS'!E1190</f>
        <v>225</v>
      </c>
      <c r="AK1190">
        <f>VLOOKUP(E1190,ALUMNOS!A:B,2,FALSE)</f>
        <v>92</v>
      </c>
    </row>
    <row r="1191" spans="2:37" x14ac:dyDescent="0.25">
      <c r="B1191" t="str">
        <f t="shared" si="36"/>
        <v>46768264LENGUA EXTRANJERA - INGLÉS2º</v>
      </c>
      <c r="E1191">
        <v>46768264</v>
      </c>
      <c r="F1191" t="s">
        <v>425</v>
      </c>
      <c r="G1191" t="s">
        <v>16</v>
      </c>
      <c r="H1191" t="s">
        <v>95</v>
      </c>
      <c r="I1191" t="s">
        <v>43</v>
      </c>
      <c r="J1191">
        <v>2021</v>
      </c>
      <c r="K1191" t="s">
        <v>59</v>
      </c>
      <c r="N1191" t="s">
        <v>99</v>
      </c>
      <c r="AI1191">
        <f t="shared" si="37"/>
        <v>1</v>
      </c>
      <c r="AJ1191">
        <f>'TABLA PREVIOS'!E1191</f>
        <v>234</v>
      </c>
      <c r="AK1191">
        <f>VLOOKUP(E1191,ALUMNOS!A:B,2,FALSE)</f>
        <v>92</v>
      </c>
    </row>
    <row r="1192" spans="2:37" x14ac:dyDescent="0.25">
      <c r="B1192" t="str">
        <f t="shared" si="36"/>
        <v>46768264LENGUA Y LITERATURA2º</v>
      </c>
      <c r="E1192">
        <v>46768264</v>
      </c>
      <c r="F1192" t="s">
        <v>425</v>
      </c>
      <c r="G1192" t="s">
        <v>11</v>
      </c>
      <c r="H1192" t="s">
        <v>95</v>
      </c>
      <c r="I1192" t="s">
        <v>43</v>
      </c>
      <c r="J1192">
        <v>2021</v>
      </c>
      <c r="K1192" t="s">
        <v>59</v>
      </c>
      <c r="N1192" t="s">
        <v>99</v>
      </c>
      <c r="AI1192">
        <f t="shared" si="37"/>
        <v>1</v>
      </c>
      <c r="AJ1192">
        <f>'TABLA PREVIOS'!E1192</f>
        <v>229</v>
      </c>
      <c r="AK1192">
        <f>VLOOKUP(E1192,ALUMNOS!A:B,2,FALSE)</f>
        <v>92</v>
      </c>
    </row>
    <row r="1193" spans="2:37" x14ac:dyDescent="0.25">
      <c r="B1193" t="str">
        <f t="shared" si="36"/>
        <v>47567431MATEMÁTICA1º</v>
      </c>
      <c r="E1193">
        <v>47567431</v>
      </c>
      <c r="F1193" t="s">
        <v>426</v>
      </c>
      <c r="G1193" t="s">
        <v>12</v>
      </c>
      <c r="H1193" t="s">
        <v>98</v>
      </c>
      <c r="I1193" t="s">
        <v>43</v>
      </c>
      <c r="J1193">
        <v>2019</v>
      </c>
      <c r="K1193" t="s">
        <v>59</v>
      </c>
      <c r="N1193" t="s">
        <v>99</v>
      </c>
      <c r="AI1193">
        <f t="shared" si="37"/>
        <v>1</v>
      </c>
      <c r="AJ1193">
        <f>'TABLA PREVIOS'!E1193</f>
        <v>220</v>
      </c>
      <c r="AK1193">
        <f>VLOOKUP(E1193,ALUMNOS!A:B,2,FALSE)</f>
        <v>93</v>
      </c>
    </row>
    <row r="1194" spans="2:37" x14ac:dyDescent="0.25">
      <c r="B1194" t="str">
        <f t="shared" si="36"/>
        <v>47567431GEOGRAFÍA3º</v>
      </c>
      <c r="E1194">
        <v>47567431</v>
      </c>
      <c r="F1194" t="s">
        <v>426</v>
      </c>
      <c r="G1194" t="s">
        <v>26</v>
      </c>
      <c r="H1194" t="s">
        <v>143</v>
      </c>
      <c r="I1194" t="s">
        <v>43</v>
      </c>
      <c r="J1194">
        <v>2021</v>
      </c>
      <c r="K1194" t="s">
        <v>59</v>
      </c>
      <c r="N1194" t="s">
        <v>99</v>
      </c>
      <c r="AI1194">
        <f t="shared" si="37"/>
        <v>1</v>
      </c>
      <c r="AJ1194">
        <f>'TABLA PREVIOS'!E1194</f>
        <v>243</v>
      </c>
      <c r="AK1194">
        <f>VLOOKUP(E1194,ALUMNOS!A:B,2,FALSE)</f>
        <v>93</v>
      </c>
    </row>
    <row r="1195" spans="2:37" x14ac:dyDescent="0.25">
      <c r="B1195" t="str">
        <f t="shared" si="36"/>
        <v>47567431HISTORIA3º</v>
      </c>
      <c r="E1195">
        <v>47567431</v>
      </c>
      <c r="F1195" t="s">
        <v>426</v>
      </c>
      <c r="G1195" t="s">
        <v>27</v>
      </c>
      <c r="H1195" t="s">
        <v>143</v>
      </c>
      <c r="I1195" t="s">
        <v>43</v>
      </c>
      <c r="J1195">
        <v>2021</v>
      </c>
      <c r="K1195" t="s">
        <v>59</v>
      </c>
      <c r="N1195" t="s">
        <v>99</v>
      </c>
      <c r="AI1195">
        <f t="shared" si="37"/>
        <v>1</v>
      </c>
      <c r="AJ1195">
        <f>'TABLA PREVIOS'!E1195</f>
        <v>244</v>
      </c>
      <c r="AK1195">
        <f>VLOOKUP(E1195,ALUMNOS!A:B,2,FALSE)</f>
        <v>93</v>
      </c>
    </row>
    <row r="1196" spans="2:37" x14ac:dyDescent="0.25">
      <c r="B1196" t="str">
        <f t="shared" si="36"/>
        <v>45485875ADMINISTRACIÓN4º</v>
      </c>
      <c r="E1196">
        <v>45485875</v>
      </c>
      <c r="F1196" t="s">
        <v>427</v>
      </c>
      <c r="G1196" t="s">
        <v>30</v>
      </c>
      <c r="H1196" t="s">
        <v>190</v>
      </c>
      <c r="I1196" t="s">
        <v>43</v>
      </c>
      <c r="J1196">
        <v>2021</v>
      </c>
      <c r="K1196" t="s">
        <v>60</v>
      </c>
      <c r="N1196" t="s">
        <v>99</v>
      </c>
      <c r="AI1196">
        <f t="shared" si="37"/>
        <v>1</v>
      </c>
      <c r="AJ1196">
        <f>'TABLA PREVIOS'!E1196</f>
        <v>260</v>
      </c>
      <c r="AK1196">
        <f>VLOOKUP(E1196,ALUMNOS!A:B,2,FALSE)</f>
        <v>104</v>
      </c>
    </row>
    <row r="1197" spans="2:37" x14ac:dyDescent="0.25">
      <c r="B1197" t="str">
        <f t="shared" si="36"/>
        <v>45485875ADMINISTRACIÓN DE LA PRODUCCIÓN Y COMERCIALIZACIÓN4º</v>
      </c>
      <c r="E1197">
        <v>45485875</v>
      </c>
      <c r="F1197" t="s">
        <v>427</v>
      </c>
      <c r="G1197" t="s">
        <v>32</v>
      </c>
      <c r="H1197" t="s">
        <v>190</v>
      </c>
      <c r="I1197" t="s">
        <v>43</v>
      </c>
      <c r="J1197">
        <v>2021</v>
      </c>
      <c r="K1197" t="s">
        <v>60</v>
      </c>
      <c r="N1197" t="s">
        <v>99</v>
      </c>
      <c r="AI1197">
        <f t="shared" si="37"/>
        <v>1</v>
      </c>
      <c r="AJ1197">
        <f>'TABLA PREVIOS'!E1197</f>
        <v>262</v>
      </c>
      <c r="AK1197">
        <f>VLOOKUP(E1197,ALUMNOS!A:B,2,FALSE)</f>
        <v>104</v>
      </c>
    </row>
    <row r="1198" spans="2:37" x14ac:dyDescent="0.25">
      <c r="B1198" t="str">
        <f t="shared" si="36"/>
        <v>45485875ECONOMÍA Y DESARROLLO SUSTENTABLE4º</v>
      </c>
      <c r="E1198">
        <v>45485875</v>
      </c>
      <c r="F1198" t="s">
        <v>427</v>
      </c>
      <c r="G1198" t="s">
        <v>31</v>
      </c>
      <c r="H1198" t="s">
        <v>190</v>
      </c>
      <c r="I1198" t="s">
        <v>43</v>
      </c>
      <c r="J1198">
        <v>2021</v>
      </c>
      <c r="K1198" t="s">
        <v>60</v>
      </c>
      <c r="N1198" t="s">
        <v>99</v>
      </c>
      <c r="AI1198">
        <f t="shared" si="37"/>
        <v>1</v>
      </c>
      <c r="AJ1198">
        <f>'TABLA PREVIOS'!E1198</f>
        <v>261</v>
      </c>
      <c r="AK1198">
        <f>VLOOKUP(E1198,ALUMNOS!A:B,2,FALSE)</f>
        <v>104</v>
      </c>
    </row>
    <row r="1199" spans="2:37" x14ac:dyDescent="0.25">
      <c r="B1199" t="str">
        <f t="shared" si="36"/>
        <v>45485875LENGUA EXTRANJERA - INGLÉS4º</v>
      </c>
      <c r="E1199">
        <v>45485875</v>
      </c>
      <c r="F1199" t="s">
        <v>427</v>
      </c>
      <c r="G1199" t="s">
        <v>16</v>
      </c>
      <c r="H1199" t="s">
        <v>190</v>
      </c>
      <c r="I1199" t="s">
        <v>43</v>
      </c>
      <c r="J1199">
        <v>2021</v>
      </c>
      <c r="K1199" t="s">
        <v>60</v>
      </c>
      <c r="N1199" t="s">
        <v>99</v>
      </c>
      <c r="AI1199">
        <f t="shared" si="37"/>
        <v>1</v>
      </c>
      <c r="AJ1199">
        <f>'TABLA PREVIOS'!E1199</f>
        <v>256</v>
      </c>
      <c r="AK1199">
        <f>VLOOKUP(E1199,ALUMNOS!A:B,2,FALSE)</f>
        <v>104</v>
      </c>
    </row>
    <row r="1200" spans="2:37" x14ac:dyDescent="0.25">
      <c r="B1200" t="str">
        <f t="shared" si="36"/>
        <v>45485875MATEMÁTICA4º</v>
      </c>
      <c r="E1200">
        <v>45485875</v>
      </c>
      <c r="F1200" t="s">
        <v>427</v>
      </c>
      <c r="G1200" t="s">
        <v>12</v>
      </c>
      <c r="H1200" t="s">
        <v>190</v>
      </c>
      <c r="I1200" t="s">
        <v>43</v>
      </c>
      <c r="J1200">
        <v>2021</v>
      </c>
      <c r="K1200" t="s">
        <v>60</v>
      </c>
      <c r="N1200" t="s">
        <v>99</v>
      </c>
      <c r="AI1200">
        <f t="shared" si="37"/>
        <v>1</v>
      </c>
      <c r="AJ1200">
        <f>'TABLA PREVIOS'!E1200</f>
        <v>252</v>
      </c>
      <c r="AK1200">
        <f>VLOOKUP(E1200,ALUMNOS!A:B,2,FALSE)</f>
        <v>104</v>
      </c>
    </row>
    <row r="1201" spans="2:37" x14ac:dyDescent="0.25">
      <c r="B1201" t="str">
        <f t="shared" si="36"/>
        <v>45485875SISTEMAS DE INFORMACIÓN CONTABLE4º</v>
      </c>
      <c r="E1201">
        <v>45485875</v>
      </c>
      <c r="F1201" t="s">
        <v>427</v>
      </c>
      <c r="G1201" t="s">
        <v>29</v>
      </c>
      <c r="H1201" t="s">
        <v>190</v>
      </c>
      <c r="I1201" t="s">
        <v>43</v>
      </c>
      <c r="J1201">
        <v>2021</v>
      </c>
      <c r="K1201" t="s">
        <v>60</v>
      </c>
      <c r="M1201" t="s">
        <v>428</v>
      </c>
      <c r="N1201" t="s">
        <v>99</v>
      </c>
      <c r="AI1201">
        <f t="shared" si="37"/>
        <v>1</v>
      </c>
      <c r="AJ1201">
        <f>'TABLA PREVIOS'!E1201</f>
        <v>259</v>
      </c>
      <c r="AK1201">
        <f>VLOOKUP(E1201,ALUMNOS!A:B,2,FALSE)</f>
        <v>104</v>
      </c>
    </row>
    <row r="1202" spans="2:37" x14ac:dyDescent="0.25">
      <c r="B1202" t="str">
        <f t="shared" si="36"/>
        <v>46721918LENGUA Y LITERATURA2º</v>
      </c>
      <c r="E1202">
        <v>46721918</v>
      </c>
      <c r="F1202" t="s">
        <v>429</v>
      </c>
      <c r="G1202" t="s">
        <v>11</v>
      </c>
      <c r="H1202" t="s">
        <v>95</v>
      </c>
      <c r="I1202" t="s">
        <v>43</v>
      </c>
      <c r="J1202">
        <v>2020</v>
      </c>
      <c r="K1202" t="s">
        <v>59</v>
      </c>
      <c r="L1202" t="s">
        <v>111</v>
      </c>
      <c r="N1202" t="s">
        <v>99</v>
      </c>
      <c r="AI1202">
        <f t="shared" si="37"/>
        <v>1</v>
      </c>
      <c r="AJ1202">
        <f>'TABLA PREVIOS'!E1202</f>
        <v>229</v>
      </c>
      <c r="AK1202">
        <f>VLOOKUP(E1202,ALUMNOS!A:B,2,FALSE)</f>
        <v>105</v>
      </c>
    </row>
    <row r="1203" spans="2:37" x14ac:dyDescent="0.25">
      <c r="B1203" t="str">
        <f t="shared" si="36"/>
        <v>46721918EDUCACIÓN ARTÍSTICA - ARTES VISUALES3º</v>
      </c>
      <c r="E1203">
        <v>46721918</v>
      </c>
      <c r="F1203" t="s">
        <v>429</v>
      </c>
      <c r="G1203" t="s">
        <v>17</v>
      </c>
      <c r="H1203" t="s">
        <v>143</v>
      </c>
      <c r="I1203" t="s">
        <v>43</v>
      </c>
      <c r="J1203">
        <v>2021</v>
      </c>
      <c r="K1203" t="s">
        <v>59</v>
      </c>
      <c r="N1203" t="s">
        <v>99</v>
      </c>
      <c r="AI1203">
        <f t="shared" si="37"/>
        <v>1</v>
      </c>
      <c r="AJ1203">
        <f>'TABLA PREVIOS'!E1203</f>
        <v>246</v>
      </c>
      <c r="AK1203">
        <f>VLOOKUP(E1203,ALUMNOS!A:B,2,FALSE)</f>
        <v>105</v>
      </c>
    </row>
    <row r="1204" spans="2:37" x14ac:dyDescent="0.25">
      <c r="B1204" t="str">
        <f t="shared" si="36"/>
        <v>46721918EDUCACIÓN ARTÍSTICA - MÚSICA3º</v>
      </c>
      <c r="E1204">
        <v>46721918</v>
      </c>
      <c r="F1204" t="s">
        <v>429</v>
      </c>
      <c r="G1204" t="s">
        <v>23</v>
      </c>
      <c r="H1204" t="s">
        <v>143</v>
      </c>
      <c r="I1204" t="s">
        <v>43</v>
      </c>
      <c r="J1204">
        <v>2021</v>
      </c>
      <c r="K1204" t="s">
        <v>59</v>
      </c>
      <c r="N1204" t="s">
        <v>99</v>
      </c>
      <c r="AI1204">
        <f t="shared" si="37"/>
        <v>1</v>
      </c>
      <c r="AJ1204">
        <f>'TABLA PREVIOS'!E1204</f>
        <v>247</v>
      </c>
      <c r="AK1204">
        <f>VLOOKUP(E1204,ALUMNOS!A:B,2,FALSE)</f>
        <v>105</v>
      </c>
    </row>
    <row r="1205" spans="2:37" x14ac:dyDescent="0.25">
      <c r="B1205" t="str">
        <f t="shared" si="36"/>
        <v>46721918EDUCACIÓN FÍSICA3º</v>
      </c>
      <c r="E1205">
        <v>46721918</v>
      </c>
      <c r="F1205" t="s">
        <v>429</v>
      </c>
      <c r="G1205" t="s">
        <v>10</v>
      </c>
      <c r="H1205" t="s">
        <v>143</v>
      </c>
      <c r="I1205" t="s">
        <v>43</v>
      </c>
      <c r="J1205">
        <v>2021</v>
      </c>
      <c r="K1205" t="s">
        <v>59</v>
      </c>
      <c r="N1205" t="s">
        <v>99</v>
      </c>
      <c r="AI1205">
        <f t="shared" si="37"/>
        <v>1</v>
      </c>
      <c r="AJ1205">
        <f>'TABLA PREVIOS'!E1205</f>
        <v>238</v>
      </c>
      <c r="AK1205">
        <f>VLOOKUP(E1205,ALUMNOS!A:B,2,FALSE)</f>
        <v>105</v>
      </c>
    </row>
    <row r="1206" spans="2:37" x14ac:dyDescent="0.25">
      <c r="B1206" t="str">
        <f t="shared" si="36"/>
        <v>46721918MATEMÁTICA3º</v>
      </c>
      <c r="E1206">
        <v>46721918</v>
      </c>
      <c r="F1206" t="s">
        <v>429</v>
      </c>
      <c r="G1206" t="s">
        <v>12</v>
      </c>
      <c r="H1206" t="s">
        <v>143</v>
      </c>
      <c r="I1206" t="s">
        <v>43</v>
      </c>
      <c r="J1206">
        <v>2021</v>
      </c>
      <c r="K1206" t="s">
        <v>59</v>
      </c>
      <c r="N1206" t="s">
        <v>99</v>
      </c>
      <c r="AI1206">
        <f t="shared" si="37"/>
        <v>1</v>
      </c>
      <c r="AJ1206">
        <f>'TABLA PREVIOS'!E1206</f>
        <v>240</v>
      </c>
      <c r="AK1206">
        <f>VLOOKUP(E1206,ALUMNOS!A:B,2,FALSE)</f>
        <v>105</v>
      </c>
    </row>
    <row r="1207" spans="2:37" x14ac:dyDescent="0.25">
      <c r="B1207" t="str">
        <f t="shared" si="36"/>
        <v>48130230CIENCIAS NATURALES - QUÍMICA2º</v>
      </c>
      <c r="E1207">
        <v>48130230</v>
      </c>
      <c r="F1207" t="s">
        <v>430</v>
      </c>
      <c r="G1207" t="s">
        <v>20</v>
      </c>
      <c r="H1207" t="s">
        <v>95</v>
      </c>
      <c r="I1207" t="s">
        <v>43</v>
      </c>
      <c r="J1207">
        <v>2022</v>
      </c>
      <c r="K1207" t="s">
        <v>59</v>
      </c>
      <c r="L1207" t="s">
        <v>105</v>
      </c>
      <c r="N1207" t="s">
        <v>99</v>
      </c>
      <c r="AI1207">
        <f t="shared" si="37"/>
        <v>1</v>
      </c>
      <c r="AJ1207">
        <f>'TABLA PREVIOS'!E1207</f>
        <v>231</v>
      </c>
      <c r="AK1207">
        <f>VLOOKUP(E1207,ALUMNOS!A:B,2,FALSE)</f>
        <v>108</v>
      </c>
    </row>
    <row r="1208" spans="2:37" x14ac:dyDescent="0.25">
      <c r="B1208" t="str">
        <f t="shared" si="36"/>
        <v>48130230MATEMÁTICA2º</v>
      </c>
      <c r="E1208">
        <v>48130230</v>
      </c>
      <c r="F1208" t="s">
        <v>430</v>
      </c>
      <c r="G1208" t="s">
        <v>12</v>
      </c>
      <c r="H1208" t="s">
        <v>95</v>
      </c>
      <c r="I1208" t="s">
        <v>43</v>
      </c>
      <c r="J1208">
        <v>2022</v>
      </c>
      <c r="K1208" t="s">
        <v>59</v>
      </c>
      <c r="N1208" t="s">
        <v>99</v>
      </c>
      <c r="AI1208">
        <f t="shared" si="37"/>
        <v>1</v>
      </c>
      <c r="AJ1208">
        <f>'TABLA PREVIOS'!E1208</f>
        <v>230</v>
      </c>
      <c r="AK1208">
        <f>VLOOKUP(E1208,ALUMNOS!A:B,2,FALSE)</f>
        <v>108</v>
      </c>
    </row>
    <row r="1209" spans="2:37" x14ac:dyDescent="0.25">
      <c r="B1209" t="str">
        <f t="shared" si="36"/>
        <v>46721807BIOLOGÍA2º</v>
      </c>
      <c r="E1209">
        <v>46721807</v>
      </c>
      <c r="F1209" t="s">
        <v>431</v>
      </c>
      <c r="G1209" t="s">
        <v>21</v>
      </c>
      <c r="H1209" t="s">
        <v>95</v>
      </c>
      <c r="I1209" t="s">
        <v>43</v>
      </c>
      <c r="J1209">
        <v>2020</v>
      </c>
      <c r="K1209" t="s">
        <v>59</v>
      </c>
      <c r="L1209" t="s">
        <v>105</v>
      </c>
      <c r="N1209" t="s">
        <v>99</v>
      </c>
      <c r="AI1209">
        <f t="shared" si="37"/>
        <v>1</v>
      </c>
      <c r="AJ1209">
        <f>'TABLA PREVIOS'!E1209</f>
        <v>232</v>
      </c>
      <c r="AK1209">
        <f>VLOOKUP(E1209,ALUMNOS!A:B,2,FALSE)</f>
        <v>113</v>
      </c>
    </row>
    <row r="1210" spans="2:37" x14ac:dyDescent="0.25">
      <c r="B1210" t="str">
        <f t="shared" si="36"/>
        <v>46721807GEOGRAFÍA3º</v>
      </c>
      <c r="E1210">
        <v>46721807</v>
      </c>
      <c r="F1210" t="s">
        <v>431</v>
      </c>
      <c r="G1210" t="s">
        <v>26</v>
      </c>
      <c r="H1210" t="s">
        <v>143</v>
      </c>
      <c r="I1210" t="s">
        <v>43</v>
      </c>
      <c r="J1210">
        <v>2021</v>
      </c>
      <c r="K1210" t="s">
        <v>59</v>
      </c>
      <c r="N1210" t="s">
        <v>99</v>
      </c>
      <c r="AI1210">
        <f t="shared" si="37"/>
        <v>1</v>
      </c>
      <c r="AJ1210">
        <f>'TABLA PREVIOS'!E1210</f>
        <v>243</v>
      </c>
      <c r="AK1210">
        <f>VLOOKUP(E1210,ALUMNOS!A:B,2,FALSE)</f>
        <v>113</v>
      </c>
    </row>
    <row r="1211" spans="2:37" x14ac:dyDescent="0.25">
      <c r="B1211" t="str">
        <f t="shared" si="36"/>
        <v>46721807HISTORIA3º</v>
      </c>
      <c r="E1211">
        <v>46721807</v>
      </c>
      <c r="F1211" t="s">
        <v>431</v>
      </c>
      <c r="G1211" t="s">
        <v>27</v>
      </c>
      <c r="H1211" t="s">
        <v>143</v>
      </c>
      <c r="I1211" t="s">
        <v>43</v>
      </c>
      <c r="J1211">
        <v>2021</v>
      </c>
      <c r="K1211" t="s">
        <v>59</v>
      </c>
      <c r="N1211" t="s">
        <v>99</v>
      </c>
      <c r="AI1211">
        <f t="shared" si="37"/>
        <v>1</v>
      </c>
      <c r="AJ1211">
        <f>'TABLA PREVIOS'!E1211</f>
        <v>244</v>
      </c>
      <c r="AK1211">
        <f>VLOOKUP(E1211,ALUMNOS!A:B,2,FALSE)</f>
        <v>113</v>
      </c>
    </row>
    <row r="1212" spans="2:37" x14ac:dyDescent="0.25">
      <c r="B1212" t="str">
        <f t="shared" si="36"/>
        <v>45933490LENGUA Y LITERATURA1º</v>
      </c>
      <c r="E1212">
        <v>45933490</v>
      </c>
      <c r="F1212" t="s">
        <v>432</v>
      </c>
      <c r="G1212" t="s">
        <v>11</v>
      </c>
      <c r="H1212" t="s">
        <v>98</v>
      </c>
      <c r="I1212" t="s">
        <v>43</v>
      </c>
      <c r="J1212">
        <v>2019</v>
      </c>
      <c r="K1212" t="s">
        <v>59</v>
      </c>
      <c r="L1212" t="s">
        <v>105</v>
      </c>
      <c r="N1212" t="s">
        <v>99</v>
      </c>
      <c r="AI1212">
        <f t="shared" si="37"/>
        <v>1</v>
      </c>
      <c r="AJ1212">
        <f>'TABLA PREVIOS'!E1212</f>
        <v>219</v>
      </c>
      <c r="AK1212">
        <f>VLOOKUP(E1212,ALUMNOS!A:B,2,FALSE)</f>
        <v>114</v>
      </c>
    </row>
    <row r="1213" spans="2:37" x14ac:dyDescent="0.25">
      <c r="B1213" t="str">
        <f t="shared" si="36"/>
        <v>45933490MATEMÁTICA1º</v>
      </c>
      <c r="E1213">
        <v>45933490</v>
      </c>
      <c r="F1213" t="s">
        <v>432</v>
      </c>
      <c r="G1213" t="s">
        <v>12</v>
      </c>
      <c r="H1213" t="s">
        <v>98</v>
      </c>
      <c r="I1213" t="s">
        <v>43</v>
      </c>
      <c r="J1213">
        <v>2019</v>
      </c>
      <c r="K1213" t="s">
        <v>59</v>
      </c>
      <c r="N1213" t="s">
        <v>99</v>
      </c>
      <c r="AI1213">
        <f t="shared" si="37"/>
        <v>1</v>
      </c>
      <c r="AJ1213">
        <f>'TABLA PREVIOS'!E1213</f>
        <v>220</v>
      </c>
      <c r="AK1213">
        <f>VLOOKUP(E1213,ALUMNOS!A:B,2,FALSE)</f>
        <v>114</v>
      </c>
    </row>
    <row r="1214" spans="2:37" x14ac:dyDescent="0.25">
      <c r="B1214" t="str">
        <f t="shared" si="36"/>
        <v>45933490MATEMÁTICA3º</v>
      </c>
      <c r="E1214">
        <v>45933490</v>
      </c>
      <c r="F1214" t="s">
        <v>432</v>
      </c>
      <c r="G1214" t="s">
        <v>12</v>
      </c>
      <c r="H1214" t="s">
        <v>143</v>
      </c>
      <c r="I1214" t="s">
        <v>43</v>
      </c>
      <c r="J1214">
        <v>2021</v>
      </c>
      <c r="K1214" t="s">
        <v>59</v>
      </c>
      <c r="N1214" t="s">
        <v>99</v>
      </c>
      <c r="AI1214">
        <f t="shared" si="37"/>
        <v>1</v>
      </c>
      <c r="AJ1214">
        <f>'TABLA PREVIOS'!E1214</f>
        <v>240</v>
      </c>
      <c r="AK1214">
        <f>VLOOKUP(E1214,ALUMNOS!A:B,2,FALSE)</f>
        <v>114</v>
      </c>
    </row>
    <row r="1215" spans="2:37" x14ac:dyDescent="0.25">
      <c r="B1215" t="str">
        <f t="shared" si="36"/>
        <v>47964660CIENCIAS SOCIALES - GEOGRAFÍA1º</v>
      </c>
      <c r="E1215">
        <v>47964660</v>
      </c>
      <c r="F1215" t="s">
        <v>433</v>
      </c>
      <c r="G1215" t="s">
        <v>15</v>
      </c>
      <c r="H1215" t="s">
        <v>98</v>
      </c>
      <c r="I1215" t="s">
        <v>43</v>
      </c>
      <c r="J1215">
        <v>2020</v>
      </c>
      <c r="K1215" t="s">
        <v>59</v>
      </c>
      <c r="N1215" t="s">
        <v>99</v>
      </c>
      <c r="AI1215">
        <f t="shared" si="37"/>
        <v>1</v>
      </c>
      <c r="AJ1215">
        <f>'TABLA PREVIOS'!E1215</f>
        <v>223</v>
      </c>
      <c r="AK1215">
        <f>VLOOKUP(E1215,ALUMNOS!A:B,2,FALSE)</f>
        <v>117</v>
      </c>
    </row>
    <row r="1216" spans="2:37" x14ac:dyDescent="0.25">
      <c r="B1216" t="str">
        <f t="shared" si="36"/>
        <v>47964660MATEMÁTICA2º</v>
      </c>
      <c r="E1216">
        <v>47964660</v>
      </c>
      <c r="F1216" t="s">
        <v>433</v>
      </c>
      <c r="G1216" t="s">
        <v>12</v>
      </c>
      <c r="H1216" t="s">
        <v>95</v>
      </c>
      <c r="I1216" t="s">
        <v>43</v>
      </c>
      <c r="J1216">
        <v>2021</v>
      </c>
      <c r="K1216" t="s">
        <v>59</v>
      </c>
      <c r="N1216" t="s">
        <v>99</v>
      </c>
      <c r="AI1216">
        <f t="shared" si="37"/>
        <v>1</v>
      </c>
      <c r="AJ1216">
        <f>'TABLA PREVIOS'!E1216</f>
        <v>230</v>
      </c>
      <c r="AK1216">
        <f>VLOOKUP(E1216,ALUMNOS!A:B,2,FALSE)</f>
        <v>117</v>
      </c>
    </row>
    <row r="1217" spans="2:37" x14ac:dyDescent="0.25">
      <c r="B1217" t="str">
        <f t="shared" si="36"/>
        <v>47964660HISTORIA3º</v>
      </c>
      <c r="E1217">
        <v>47964660</v>
      </c>
      <c r="F1217" t="s">
        <v>433</v>
      </c>
      <c r="G1217" t="s">
        <v>27</v>
      </c>
      <c r="H1217" t="s">
        <v>143</v>
      </c>
      <c r="I1217" t="s">
        <v>43</v>
      </c>
      <c r="J1217">
        <v>2022</v>
      </c>
      <c r="K1217" t="s">
        <v>59</v>
      </c>
      <c r="N1217" t="s">
        <v>99</v>
      </c>
      <c r="AI1217">
        <f t="shared" si="37"/>
        <v>1</v>
      </c>
      <c r="AJ1217">
        <f>'TABLA PREVIOS'!E1217</f>
        <v>244</v>
      </c>
      <c r="AK1217">
        <f>VLOOKUP(E1217,ALUMNOS!A:B,2,FALSE)</f>
        <v>117</v>
      </c>
    </row>
    <row r="1218" spans="2:37" x14ac:dyDescent="0.25">
      <c r="B1218" t="str">
        <f t="shared" si="36"/>
        <v>95048224CIENCIAS SOCIALES - HISTORIA2º</v>
      </c>
      <c r="E1218">
        <v>95048224</v>
      </c>
      <c r="F1218" t="s">
        <v>434</v>
      </c>
      <c r="G1218" t="s">
        <v>22</v>
      </c>
      <c r="H1218" t="s">
        <v>95</v>
      </c>
      <c r="I1218" t="s">
        <v>43</v>
      </c>
      <c r="J1218">
        <v>2019</v>
      </c>
      <c r="K1218" t="s">
        <v>59</v>
      </c>
      <c r="L1218" t="s">
        <v>176</v>
      </c>
      <c r="N1218" t="s">
        <v>99</v>
      </c>
      <c r="AI1218">
        <f t="shared" si="37"/>
        <v>1</v>
      </c>
      <c r="AJ1218">
        <f>'TABLA PREVIOS'!E1218</f>
        <v>233</v>
      </c>
      <c r="AK1218">
        <f>VLOOKUP(E1218,ALUMNOS!A:B,2,FALSE)</f>
        <v>124</v>
      </c>
    </row>
    <row r="1219" spans="2:37" x14ac:dyDescent="0.25">
      <c r="B1219" t="str">
        <f t="shared" ref="B1219:B1282" si="38">E1219&amp;G1219&amp;H1219</f>
        <v>95048224LENGUA EXTRANJERA - INGLÉS2º</v>
      </c>
      <c r="E1219">
        <v>95048224</v>
      </c>
      <c r="F1219" t="s">
        <v>434</v>
      </c>
      <c r="G1219" t="s">
        <v>16</v>
      </c>
      <c r="H1219" t="s">
        <v>95</v>
      </c>
      <c r="I1219" t="s">
        <v>43</v>
      </c>
      <c r="J1219">
        <v>2019</v>
      </c>
      <c r="K1219" t="s">
        <v>59</v>
      </c>
      <c r="L1219" t="s">
        <v>176</v>
      </c>
      <c r="N1219" t="s">
        <v>99</v>
      </c>
      <c r="AI1219">
        <f t="shared" ref="AI1219:AI1282" si="39">IF(VALUE(MAX(P1219,T1219,X1219,AB1219,AE1219,))&gt;=7,VALUE(MAX(P1219,T1219,X1219,AB1219,AE1219,)),1)</f>
        <v>1</v>
      </c>
      <c r="AJ1219">
        <f>'TABLA PREVIOS'!E1219</f>
        <v>234</v>
      </c>
      <c r="AK1219">
        <f>VLOOKUP(E1219,ALUMNOS!A:B,2,FALSE)</f>
        <v>124</v>
      </c>
    </row>
    <row r="1220" spans="2:37" x14ac:dyDescent="0.25">
      <c r="B1220" t="str">
        <f t="shared" si="38"/>
        <v>95308967BIOLOGÍA2º</v>
      </c>
      <c r="E1220">
        <v>95308967</v>
      </c>
      <c r="F1220" t="s">
        <v>435</v>
      </c>
      <c r="G1220" t="s">
        <v>21</v>
      </c>
      <c r="H1220" t="s">
        <v>95</v>
      </c>
      <c r="I1220" t="s">
        <v>43</v>
      </c>
      <c r="J1220">
        <v>2021</v>
      </c>
      <c r="K1220" t="s">
        <v>59</v>
      </c>
      <c r="L1220" t="s">
        <v>436</v>
      </c>
      <c r="N1220" t="s">
        <v>99</v>
      </c>
      <c r="AI1220">
        <f t="shared" si="39"/>
        <v>1</v>
      </c>
      <c r="AJ1220">
        <f>'TABLA PREVIOS'!E1220</f>
        <v>232</v>
      </c>
      <c r="AK1220">
        <f>VLOOKUP(E1220,ALUMNOS!A:B,2,FALSE)</f>
        <v>126</v>
      </c>
    </row>
    <row r="1221" spans="2:37" x14ac:dyDescent="0.25">
      <c r="B1221" t="str">
        <f t="shared" si="38"/>
        <v>95308967LENGUA Y LITERATURA2º</v>
      </c>
      <c r="E1221">
        <v>95308967</v>
      </c>
      <c r="F1221" t="s">
        <v>435</v>
      </c>
      <c r="G1221" t="s">
        <v>11</v>
      </c>
      <c r="H1221" t="s">
        <v>95</v>
      </c>
      <c r="I1221" t="s">
        <v>43</v>
      </c>
      <c r="J1221">
        <v>2021</v>
      </c>
      <c r="K1221" t="s">
        <v>59</v>
      </c>
      <c r="L1221" t="s">
        <v>436</v>
      </c>
      <c r="N1221" t="s">
        <v>99</v>
      </c>
      <c r="AI1221">
        <f t="shared" si="39"/>
        <v>1</v>
      </c>
      <c r="AJ1221">
        <f>'TABLA PREVIOS'!E1221</f>
        <v>229</v>
      </c>
      <c r="AK1221">
        <f>VLOOKUP(E1221,ALUMNOS!A:B,2,FALSE)</f>
        <v>126</v>
      </c>
    </row>
    <row r="1222" spans="2:37" x14ac:dyDescent="0.25">
      <c r="B1222" t="str">
        <f t="shared" si="38"/>
        <v>49087762MATEMÁTICA1º</v>
      </c>
      <c r="E1222">
        <v>49087762</v>
      </c>
      <c r="F1222" t="s">
        <v>437</v>
      </c>
      <c r="G1222" t="s">
        <v>12</v>
      </c>
      <c r="H1222" t="s">
        <v>98</v>
      </c>
      <c r="I1222" t="s">
        <v>43</v>
      </c>
      <c r="J1222">
        <v>2021</v>
      </c>
      <c r="K1222" t="s">
        <v>59</v>
      </c>
      <c r="N1222" t="s">
        <v>99</v>
      </c>
      <c r="AI1222">
        <f t="shared" si="39"/>
        <v>1</v>
      </c>
      <c r="AJ1222">
        <f>'TABLA PREVIOS'!E1222</f>
        <v>220</v>
      </c>
      <c r="AK1222">
        <f>VLOOKUP(E1222,ALUMNOS!A:B,2,FALSE)</f>
        <v>134</v>
      </c>
    </row>
    <row r="1223" spans="2:37" x14ac:dyDescent="0.25">
      <c r="B1223" t="str">
        <f t="shared" si="38"/>
        <v>46035174MATEMÁTICA4º</v>
      </c>
      <c r="E1223">
        <v>46035174</v>
      </c>
      <c r="F1223" t="s">
        <v>438</v>
      </c>
      <c r="G1223" t="s">
        <v>12</v>
      </c>
      <c r="H1223" t="s">
        <v>190</v>
      </c>
      <c r="I1223" t="s">
        <v>43</v>
      </c>
      <c r="J1223">
        <v>2020</v>
      </c>
      <c r="K1223" t="s">
        <v>60</v>
      </c>
      <c r="L1223" t="s">
        <v>105</v>
      </c>
      <c r="N1223" t="s">
        <v>99</v>
      </c>
      <c r="AI1223">
        <f t="shared" si="39"/>
        <v>1</v>
      </c>
      <c r="AJ1223">
        <f>'TABLA PREVIOS'!E1223</f>
        <v>252</v>
      </c>
      <c r="AK1223">
        <f>VLOOKUP(E1223,ALUMNOS!A:B,2,FALSE)</f>
        <v>139</v>
      </c>
    </row>
    <row r="1224" spans="2:37" x14ac:dyDescent="0.25">
      <c r="B1224" t="str">
        <f t="shared" si="38"/>
        <v>46972561CIENCIAS NATURALES - BIOLOGÍA1º</v>
      </c>
      <c r="E1224">
        <v>46972561</v>
      </c>
      <c r="F1224" t="s">
        <v>439</v>
      </c>
      <c r="G1224" t="s">
        <v>13</v>
      </c>
      <c r="H1224" t="s">
        <v>98</v>
      </c>
      <c r="I1224" t="s">
        <v>43</v>
      </c>
      <c r="J1224">
        <v>2020</v>
      </c>
      <c r="K1224" t="s">
        <v>59</v>
      </c>
      <c r="M1224" t="s">
        <v>440</v>
      </c>
      <c r="N1224" t="s">
        <v>99</v>
      </c>
      <c r="AI1224">
        <f t="shared" si="39"/>
        <v>1</v>
      </c>
      <c r="AJ1224">
        <f>'TABLA PREVIOS'!E1224</f>
        <v>221</v>
      </c>
      <c r="AK1224">
        <f>VLOOKUP(E1224,ALUMNOS!A:B,2,FALSE)</f>
        <v>140</v>
      </c>
    </row>
    <row r="1225" spans="2:37" x14ac:dyDescent="0.25">
      <c r="B1225" t="str">
        <f t="shared" si="38"/>
        <v>46972561LENGUA EXTRANJERA - INGLÉS2º</v>
      </c>
      <c r="E1225">
        <v>46972561</v>
      </c>
      <c r="F1225" t="s">
        <v>439</v>
      </c>
      <c r="G1225" t="s">
        <v>16</v>
      </c>
      <c r="H1225" t="s">
        <v>95</v>
      </c>
      <c r="I1225" t="s">
        <v>43</v>
      </c>
      <c r="J1225">
        <v>2021</v>
      </c>
      <c r="K1225" t="s">
        <v>59</v>
      </c>
      <c r="N1225" t="s">
        <v>99</v>
      </c>
      <c r="AI1225">
        <f t="shared" si="39"/>
        <v>1</v>
      </c>
      <c r="AJ1225">
        <f>'TABLA PREVIOS'!E1225</f>
        <v>234</v>
      </c>
      <c r="AK1225">
        <f>VLOOKUP(E1225,ALUMNOS!A:B,2,FALSE)</f>
        <v>140</v>
      </c>
    </row>
    <row r="1226" spans="2:37" x14ac:dyDescent="0.25">
      <c r="B1226" t="str">
        <f t="shared" si="38"/>
        <v>46972561MATEMÁTICA2º</v>
      </c>
      <c r="E1226">
        <v>46972561</v>
      </c>
      <c r="F1226" t="s">
        <v>439</v>
      </c>
      <c r="G1226" t="s">
        <v>12</v>
      </c>
      <c r="H1226" t="s">
        <v>95</v>
      </c>
      <c r="I1226" t="s">
        <v>43</v>
      </c>
      <c r="J1226">
        <v>2021</v>
      </c>
      <c r="K1226" t="s">
        <v>59</v>
      </c>
      <c r="N1226" t="s">
        <v>99</v>
      </c>
      <c r="AI1226">
        <f t="shared" si="39"/>
        <v>1</v>
      </c>
      <c r="AJ1226">
        <f>'TABLA PREVIOS'!E1226</f>
        <v>230</v>
      </c>
      <c r="AK1226">
        <f>VLOOKUP(E1226,ALUMNOS!A:B,2,FALSE)</f>
        <v>140</v>
      </c>
    </row>
    <row r="1227" spans="2:37" x14ac:dyDescent="0.25">
      <c r="B1227" t="str">
        <f t="shared" si="38"/>
        <v>47989281EDUCACIÓN FÍSICA1º</v>
      </c>
      <c r="E1227">
        <v>47989281</v>
      </c>
      <c r="F1227" t="s">
        <v>441</v>
      </c>
      <c r="G1227" t="s">
        <v>10</v>
      </c>
      <c r="H1227" t="s">
        <v>98</v>
      </c>
      <c r="I1227" t="s">
        <v>43</v>
      </c>
      <c r="J1227">
        <v>2020</v>
      </c>
      <c r="K1227" t="s">
        <v>59</v>
      </c>
      <c r="N1227" t="s">
        <v>99</v>
      </c>
      <c r="AI1227">
        <f t="shared" si="39"/>
        <v>1</v>
      </c>
      <c r="AJ1227">
        <f>'TABLA PREVIOS'!E1227</f>
        <v>218</v>
      </c>
      <c r="AK1227">
        <f>VLOOKUP(E1227,ALUMNOS!A:B,2,FALSE)</f>
        <v>141</v>
      </c>
    </row>
    <row r="1228" spans="2:37" x14ac:dyDescent="0.25">
      <c r="B1228" t="str">
        <f t="shared" si="38"/>
        <v>45154816LENGUA Y LITERATURA1º</v>
      </c>
      <c r="E1228">
        <v>45154816</v>
      </c>
      <c r="F1228" t="s">
        <v>442</v>
      </c>
      <c r="G1228" t="s">
        <v>11</v>
      </c>
      <c r="H1228" t="s">
        <v>98</v>
      </c>
      <c r="I1228" t="s">
        <v>43</v>
      </c>
      <c r="J1228">
        <v>2020</v>
      </c>
      <c r="K1228" t="s">
        <v>59</v>
      </c>
      <c r="L1228" t="s">
        <v>443</v>
      </c>
      <c r="N1228" t="s">
        <v>99</v>
      </c>
      <c r="AI1228">
        <f t="shared" si="39"/>
        <v>1</v>
      </c>
      <c r="AJ1228">
        <f>'TABLA PREVIOS'!E1228</f>
        <v>219</v>
      </c>
      <c r="AK1228">
        <f>VLOOKUP(E1228,ALUMNOS!A:B,2,FALSE)</f>
        <v>162</v>
      </c>
    </row>
    <row r="1229" spans="2:37" x14ac:dyDescent="0.25">
      <c r="B1229" t="str">
        <f t="shared" si="38"/>
        <v>46917655CIENCIAS SOCIALES - HISTORIA2º</v>
      </c>
      <c r="E1229">
        <v>46917655</v>
      </c>
      <c r="F1229" t="s">
        <v>444</v>
      </c>
      <c r="G1229" t="s">
        <v>22</v>
      </c>
      <c r="H1229" t="s">
        <v>95</v>
      </c>
      <c r="I1229" t="s">
        <v>43</v>
      </c>
      <c r="J1229">
        <v>2019</v>
      </c>
      <c r="K1229" t="s">
        <v>59</v>
      </c>
      <c r="L1229" t="s">
        <v>105</v>
      </c>
      <c r="N1229" t="s">
        <v>99</v>
      </c>
      <c r="AI1229">
        <f t="shared" si="39"/>
        <v>1</v>
      </c>
      <c r="AJ1229">
        <f>'TABLA PREVIOS'!E1229</f>
        <v>233</v>
      </c>
      <c r="AK1229">
        <f>VLOOKUP(E1229,ALUMNOS!A:B,2,FALSE)</f>
        <v>167</v>
      </c>
    </row>
    <row r="1230" spans="2:37" x14ac:dyDescent="0.25">
      <c r="B1230" t="str">
        <f t="shared" si="38"/>
        <v>46917655GEOGRAFÍA3º</v>
      </c>
      <c r="E1230">
        <v>46917655</v>
      </c>
      <c r="F1230" t="s">
        <v>444</v>
      </c>
      <c r="G1230" t="s">
        <v>26</v>
      </c>
      <c r="H1230" t="s">
        <v>143</v>
      </c>
      <c r="I1230" t="s">
        <v>43</v>
      </c>
      <c r="J1230">
        <v>2021</v>
      </c>
      <c r="K1230" t="s">
        <v>59</v>
      </c>
      <c r="N1230" t="s">
        <v>99</v>
      </c>
      <c r="AI1230">
        <f t="shared" si="39"/>
        <v>1</v>
      </c>
      <c r="AJ1230">
        <f>'TABLA PREVIOS'!E1230</f>
        <v>243</v>
      </c>
      <c r="AK1230">
        <f>VLOOKUP(E1230,ALUMNOS!A:B,2,FALSE)</f>
        <v>167</v>
      </c>
    </row>
    <row r="1231" spans="2:37" x14ac:dyDescent="0.25">
      <c r="B1231" t="str">
        <f t="shared" si="38"/>
        <v>46917655HISTORIA3º</v>
      </c>
      <c r="E1231">
        <v>46917655</v>
      </c>
      <c r="F1231" t="s">
        <v>444</v>
      </c>
      <c r="G1231" t="s">
        <v>27</v>
      </c>
      <c r="H1231" t="s">
        <v>143</v>
      </c>
      <c r="I1231" t="s">
        <v>43</v>
      </c>
      <c r="J1231">
        <v>2021</v>
      </c>
      <c r="K1231" t="s">
        <v>59</v>
      </c>
      <c r="N1231" t="s">
        <v>99</v>
      </c>
      <c r="AI1231">
        <f t="shared" si="39"/>
        <v>1</v>
      </c>
      <c r="AJ1231">
        <f>'TABLA PREVIOS'!E1231</f>
        <v>244</v>
      </c>
      <c r="AK1231">
        <f>VLOOKUP(E1231,ALUMNOS!A:B,2,FALSE)</f>
        <v>167</v>
      </c>
    </row>
    <row r="1232" spans="2:37" x14ac:dyDescent="0.25">
      <c r="B1232" t="str">
        <f t="shared" si="38"/>
        <v>47364868ADMINISTRACIÓN4º</v>
      </c>
      <c r="E1232">
        <v>47364868</v>
      </c>
      <c r="F1232" t="s">
        <v>445</v>
      </c>
      <c r="G1232" t="s">
        <v>30</v>
      </c>
      <c r="H1232" t="s">
        <v>190</v>
      </c>
      <c r="I1232" t="s">
        <v>43</v>
      </c>
      <c r="J1232">
        <v>2021</v>
      </c>
      <c r="K1232" t="s">
        <v>60</v>
      </c>
      <c r="N1232" t="s">
        <v>99</v>
      </c>
      <c r="AI1232">
        <f t="shared" si="39"/>
        <v>1</v>
      </c>
      <c r="AJ1232">
        <f>'TABLA PREVIOS'!E1232</f>
        <v>260</v>
      </c>
      <c r="AK1232">
        <f>VLOOKUP(E1232,ALUMNOS!A:B,2,FALSE)</f>
        <v>203</v>
      </c>
    </row>
    <row r="1233" spans="2:37" x14ac:dyDescent="0.25">
      <c r="B1233" t="str">
        <f t="shared" si="38"/>
        <v>47364868ADMINISTRACIÓN DE LA PRODUCCIÓN Y COMERCIALIZACIÓN4º</v>
      </c>
      <c r="E1233">
        <v>47364868</v>
      </c>
      <c r="F1233" t="s">
        <v>445</v>
      </c>
      <c r="G1233" t="s">
        <v>32</v>
      </c>
      <c r="H1233" t="s">
        <v>190</v>
      </c>
      <c r="I1233" t="s">
        <v>43</v>
      </c>
      <c r="J1233">
        <v>2021</v>
      </c>
      <c r="K1233" t="s">
        <v>60</v>
      </c>
      <c r="N1233" t="s">
        <v>99</v>
      </c>
      <c r="AI1233">
        <f t="shared" si="39"/>
        <v>1</v>
      </c>
      <c r="AJ1233">
        <f>'TABLA PREVIOS'!E1233</f>
        <v>262</v>
      </c>
      <c r="AK1233">
        <f>VLOOKUP(E1233,ALUMNOS!A:B,2,FALSE)</f>
        <v>203</v>
      </c>
    </row>
    <row r="1234" spans="2:37" x14ac:dyDescent="0.25">
      <c r="B1234" t="str">
        <f t="shared" si="38"/>
        <v>47364868ECONOMÍA Y DESARROLLO SUSTENTABLE4º</v>
      </c>
      <c r="E1234">
        <v>47364868</v>
      </c>
      <c r="F1234" t="s">
        <v>445</v>
      </c>
      <c r="G1234" t="s">
        <v>31</v>
      </c>
      <c r="H1234" t="s">
        <v>190</v>
      </c>
      <c r="I1234" t="s">
        <v>43</v>
      </c>
      <c r="J1234">
        <v>2021</v>
      </c>
      <c r="K1234" t="s">
        <v>60</v>
      </c>
      <c r="N1234" t="s">
        <v>99</v>
      </c>
      <c r="AI1234">
        <f t="shared" si="39"/>
        <v>1</v>
      </c>
      <c r="AJ1234">
        <f>'TABLA PREVIOS'!E1234</f>
        <v>261</v>
      </c>
      <c r="AK1234">
        <f>VLOOKUP(E1234,ALUMNOS!A:B,2,FALSE)</f>
        <v>203</v>
      </c>
    </row>
    <row r="1235" spans="2:37" x14ac:dyDescent="0.25">
      <c r="B1235" t="str">
        <f t="shared" si="38"/>
        <v>47364868LENGUA Y LITERATURA4º</v>
      </c>
      <c r="E1235">
        <v>47364868</v>
      </c>
      <c r="F1235" t="s">
        <v>445</v>
      </c>
      <c r="G1235" t="s">
        <v>11</v>
      </c>
      <c r="H1235" t="s">
        <v>190</v>
      </c>
      <c r="I1235" t="s">
        <v>43</v>
      </c>
      <c r="J1235">
        <v>2021</v>
      </c>
      <c r="K1235" t="s">
        <v>60</v>
      </c>
      <c r="N1235" t="s">
        <v>99</v>
      </c>
      <c r="AI1235">
        <f t="shared" si="39"/>
        <v>1</v>
      </c>
      <c r="AJ1235">
        <f>'TABLA PREVIOS'!E1235</f>
        <v>251</v>
      </c>
      <c r="AK1235">
        <f>VLOOKUP(E1235,ALUMNOS!A:B,2,FALSE)</f>
        <v>203</v>
      </c>
    </row>
    <row r="1236" spans="2:37" x14ac:dyDescent="0.25">
      <c r="B1236" t="str">
        <f t="shared" si="38"/>
        <v>47364868SISTEMAS DE INFORMACIÓN CONTABLE4º</v>
      </c>
      <c r="E1236">
        <v>47364868</v>
      </c>
      <c r="F1236" t="s">
        <v>445</v>
      </c>
      <c r="G1236" t="s">
        <v>29</v>
      </c>
      <c r="H1236" t="s">
        <v>190</v>
      </c>
      <c r="I1236" t="s">
        <v>43</v>
      </c>
      <c r="J1236">
        <v>2021</v>
      </c>
      <c r="K1236" t="s">
        <v>60</v>
      </c>
      <c r="N1236" t="s">
        <v>99</v>
      </c>
      <c r="AI1236">
        <f t="shared" si="39"/>
        <v>1</v>
      </c>
      <c r="AJ1236">
        <f>'TABLA PREVIOS'!E1236</f>
        <v>259</v>
      </c>
      <c r="AK1236">
        <f>VLOOKUP(E1236,ALUMNOS!A:B,2,FALSE)</f>
        <v>203</v>
      </c>
    </row>
    <row r="1237" spans="2:37" x14ac:dyDescent="0.25">
      <c r="B1237" t="str">
        <f t="shared" si="38"/>
        <v>49496964FORMACIÓN PARA LA VIDA Y EL TRABAJO3º</v>
      </c>
      <c r="E1237">
        <v>49496964</v>
      </c>
      <c r="F1237" t="s">
        <v>446</v>
      </c>
      <c r="G1237" t="s">
        <v>28</v>
      </c>
      <c r="H1237" t="s">
        <v>143</v>
      </c>
      <c r="I1237" t="s">
        <v>43</v>
      </c>
      <c r="J1237">
        <v>2023</v>
      </c>
      <c r="K1237" t="s">
        <v>59</v>
      </c>
      <c r="N1237" t="s">
        <v>99</v>
      </c>
      <c r="AI1237">
        <f t="shared" si="39"/>
        <v>1</v>
      </c>
      <c r="AJ1237">
        <f>'TABLA PREVIOS'!E1237</f>
        <v>249</v>
      </c>
      <c r="AK1237">
        <f>VLOOKUP(E1237,ALUMNOS!A:B,2,FALSE)</f>
        <v>231</v>
      </c>
    </row>
    <row r="1238" spans="2:37" x14ac:dyDescent="0.25">
      <c r="B1238" t="str">
        <f t="shared" si="38"/>
        <v>49496964GEOGRAFÍA3º</v>
      </c>
      <c r="E1238">
        <v>49496964</v>
      </c>
      <c r="F1238" t="s">
        <v>446</v>
      </c>
      <c r="G1238" t="s">
        <v>26</v>
      </c>
      <c r="H1238" t="s">
        <v>143</v>
      </c>
      <c r="I1238" t="s">
        <v>43</v>
      </c>
      <c r="J1238">
        <v>2023</v>
      </c>
      <c r="K1238" t="s">
        <v>59</v>
      </c>
      <c r="N1238" t="s">
        <v>99</v>
      </c>
      <c r="AI1238">
        <f t="shared" si="39"/>
        <v>1</v>
      </c>
      <c r="AJ1238">
        <f>'TABLA PREVIOS'!E1238</f>
        <v>243</v>
      </c>
      <c r="AK1238">
        <f>VLOOKUP(E1238,ALUMNOS!A:B,2,FALSE)</f>
        <v>231</v>
      </c>
    </row>
    <row r="1239" spans="2:37" x14ac:dyDescent="0.25">
      <c r="B1239" t="str">
        <f t="shared" si="38"/>
        <v>49496964LENGUA Y LITERATURA3º</v>
      </c>
      <c r="E1239">
        <v>49496964</v>
      </c>
      <c r="F1239" t="s">
        <v>446</v>
      </c>
      <c r="G1239" t="s">
        <v>11</v>
      </c>
      <c r="H1239" t="s">
        <v>143</v>
      </c>
      <c r="I1239" t="s">
        <v>43</v>
      </c>
      <c r="J1239">
        <v>2023</v>
      </c>
      <c r="K1239" t="s">
        <v>59</v>
      </c>
      <c r="N1239" t="s">
        <v>99</v>
      </c>
      <c r="AI1239">
        <f t="shared" si="39"/>
        <v>1</v>
      </c>
      <c r="AJ1239">
        <f>'TABLA PREVIOS'!E1239</f>
        <v>239</v>
      </c>
      <c r="AK1239">
        <f>VLOOKUP(E1239,ALUMNOS!A:B,2,FALSE)</f>
        <v>231</v>
      </c>
    </row>
    <row r="1240" spans="2:37" x14ac:dyDescent="0.25">
      <c r="B1240" t="str">
        <f t="shared" si="38"/>
        <v>48180657EDUCACIÓN FÍSICA3º</v>
      </c>
      <c r="E1240">
        <v>48180657</v>
      </c>
      <c r="F1240" t="s">
        <v>447</v>
      </c>
      <c r="G1240" t="s">
        <v>10</v>
      </c>
      <c r="H1240" t="s">
        <v>143</v>
      </c>
      <c r="I1240" t="s">
        <v>43</v>
      </c>
      <c r="J1240">
        <v>2022</v>
      </c>
      <c r="K1240" t="s">
        <v>59</v>
      </c>
      <c r="L1240" t="s">
        <v>105</v>
      </c>
      <c r="N1240" t="s">
        <v>99</v>
      </c>
      <c r="AI1240">
        <f t="shared" si="39"/>
        <v>1</v>
      </c>
      <c r="AJ1240">
        <f>'TABLA PREVIOS'!E1240</f>
        <v>238</v>
      </c>
      <c r="AK1240">
        <f>VLOOKUP(E1240,ALUMNOS!A:B,2,FALSE)</f>
        <v>233</v>
      </c>
    </row>
    <row r="1241" spans="2:37" x14ac:dyDescent="0.25">
      <c r="B1241" t="str">
        <f t="shared" si="38"/>
        <v>46155454HISTORIA3º</v>
      </c>
      <c r="E1241">
        <v>46155454</v>
      </c>
      <c r="F1241" t="s">
        <v>448</v>
      </c>
      <c r="G1241" t="s">
        <v>27</v>
      </c>
      <c r="H1241" t="s">
        <v>143</v>
      </c>
      <c r="I1241" t="s">
        <v>43</v>
      </c>
      <c r="J1241">
        <v>2020</v>
      </c>
      <c r="K1241" t="s">
        <v>59</v>
      </c>
      <c r="L1241" t="s">
        <v>105</v>
      </c>
      <c r="N1241" t="s">
        <v>99</v>
      </c>
      <c r="AI1241">
        <f t="shared" si="39"/>
        <v>1</v>
      </c>
      <c r="AJ1241">
        <f>'TABLA PREVIOS'!E1241</f>
        <v>244</v>
      </c>
      <c r="AK1241">
        <f>VLOOKUP(E1241,ALUMNOS!A:B,2,FALSE)</f>
        <v>232</v>
      </c>
    </row>
    <row r="1242" spans="2:37" x14ac:dyDescent="0.25">
      <c r="B1242" t="str">
        <f t="shared" si="38"/>
        <v>46155454LENGUA Y LITERATURA3º</v>
      </c>
      <c r="E1242">
        <v>46155454</v>
      </c>
      <c r="F1242" t="s">
        <v>448</v>
      </c>
      <c r="G1242" t="s">
        <v>11</v>
      </c>
      <c r="H1242" t="s">
        <v>143</v>
      </c>
      <c r="I1242" t="s">
        <v>43</v>
      </c>
      <c r="J1242">
        <v>2020</v>
      </c>
      <c r="K1242" t="s">
        <v>59</v>
      </c>
      <c r="N1242" t="s">
        <v>99</v>
      </c>
      <c r="AI1242">
        <f t="shared" si="39"/>
        <v>1</v>
      </c>
      <c r="AJ1242">
        <f>'TABLA PREVIOS'!E1242</f>
        <v>239</v>
      </c>
      <c r="AK1242">
        <f>VLOOKUP(E1242,ALUMNOS!A:B,2,FALSE)</f>
        <v>232</v>
      </c>
    </row>
    <row r="1243" spans="2:37" x14ac:dyDescent="0.25">
      <c r="B1243" t="str">
        <f t="shared" si="38"/>
        <v>45483169HISTORIA3º</v>
      </c>
      <c r="E1243">
        <v>45483169</v>
      </c>
      <c r="F1243" t="s">
        <v>449</v>
      </c>
      <c r="G1243" t="s">
        <v>27</v>
      </c>
      <c r="H1243" t="s">
        <v>143</v>
      </c>
      <c r="I1243" t="s">
        <v>43</v>
      </c>
      <c r="J1243">
        <v>2020</v>
      </c>
      <c r="K1243" t="s">
        <v>59</v>
      </c>
      <c r="L1243" t="s">
        <v>417</v>
      </c>
      <c r="N1243" t="s">
        <v>99</v>
      </c>
      <c r="AI1243">
        <f t="shared" si="39"/>
        <v>1</v>
      </c>
      <c r="AJ1243">
        <f>'TABLA PREVIOS'!E1243</f>
        <v>244</v>
      </c>
      <c r="AK1243">
        <f>VLOOKUP(E1243,ALUMNOS!A:B,2,FALSE)</f>
        <v>262</v>
      </c>
    </row>
    <row r="1244" spans="2:37" x14ac:dyDescent="0.25">
      <c r="B1244" t="str">
        <f t="shared" si="38"/>
        <v>45483169LENGUA EXTRANJERA - INGLÉS3º</v>
      </c>
      <c r="E1244">
        <v>45483169</v>
      </c>
      <c r="F1244" t="s">
        <v>449</v>
      </c>
      <c r="G1244" t="s">
        <v>16</v>
      </c>
      <c r="H1244" t="s">
        <v>143</v>
      </c>
      <c r="I1244" t="s">
        <v>43</v>
      </c>
      <c r="J1244">
        <v>2020</v>
      </c>
      <c r="K1244" t="s">
        <v>59</v>
      </c>
      <c r="L1244" t="s">
        <v>417</v>
      </c>
      <c r="N1244" t="s">
        <v>99</v>
      </c>
      <c r="AI1244">
        <f t="shared" si="39"/>
        <v>1</v>
      </c>
      <c r="AJ1244">
        <f>'TABLA PREVIOS'!E1244</f>
        <v>245</v>
      </c>
      <c r="AK1244">
        <f>VLOOKUP(E1244,ALUMNOS!A:B,2,FALSE)</f>
        <v>262</v>
      </c>
    </row>
    <row r="1245" spans="2:37" x14ac:dyDescent="0.25">
      <c r="B1245" t="str">
        <f t="shared" si="38"/>
        <v>46035159CIENCIAS NATURALES - BIOLOGÍA1º</v>
      </c>
      <c r="E1245">
        <v>46035159</v>
      </c>
      <c r="F1245" t="s">
        <v>450</v>
      </c>
      <c r="G1245" t="s">
        <v>13</v>
      </c>
      <c r="H1245" t="s">
        <v>98</v>
      </c>
      <c r="I1245" t="s">
        <v>43</v>
      </c>
      <c r="J1245">
        <v>2020</v>
      </c>
      <c r="K1245" t="s">
        <v>59</v>
      </c>
      <c r="L1245" t="s">
        <v>443</v>
      </c>
      <c r="N1245" t="s">
        <v>99</v>
      </c>
      <c r="AI1245">
        <f t="shared" si="39"/>
        <v>1</v>
      </c>
      <c r="AJ1245">
        <f>'TABLA PREVIOS'!E1245</f>
        <v>221</v>
      </c>
      <c r="AK1245">
        <f>VLOOKUP(E1245,ALUMNOS!A:B,2,FALSE)</f>
        <v>287</v>
      </c>
    </row>
    <row r="1246" spans="2:37" x14ac:dyDescent="0.25">
      <c r="B1246" t="str">
        <f t="shared" si="38"/>
        <v>46035159BIOLOGÍA2º</v>
      </c>
      <c r="E1246">
        <v>46035159</v>
      </c>
      <c r="F1246" t="s">
        <v>450</v>
      </c>
      <c r="G1246" t="s">
        <v>21</v>
      </c>
      <c r="H1246" t="s">
        <v>95</v>
      </c>
      <c r="I1246" t="s">
        <v>43</v>
      </c>
      <c r="J1246">
        <v>2021</v>
      </c>
      <c r="K1246" t="s">
        <v>59</v>
      </c>
      <c r="L1246" t="s">
        <v>443</v>
      </c>
      <c r="M1246" t="s">
        <v>451</v>
      </c>
      <c r="N1246" t="s">
        <v>99</v>
      </c>
      <c r="AI1246">
        <f t="shared" si="39"/>
        <v>1</v>
      </c>
      <c r="AJ1246">
        <f>'TABLA PREVIOS'!E1246</f>
        <v>232</v>
      </c>
      <c r="AK1246">
        <f>VLOOKUP(E1246,ALUMNOS!A:B,2,FALSE)</f>
        <v>287</v>
      </c>
    </row>
    <row r="1247" spans="2:37" x14ac:dyDescent="0.25">
      <c r="B1247" t="str">
        <f t="shared" si="38"/>
        <v>46035159CIENCIAS NATURALES - QUÍMICA2º</v>
      </c>
      <c r="E1247">
        <v>46035159</v>
      </c>
      <c r="F1247" t="s">
        <v>450</v>
      </c>
      <c r="G1247" t="s">
        <v>20</v>
      </c>
      <c r="H1247" t="s">
        <v>95</v>
      </c>
      <c r="I1247" t="s">
        <v>43</v>
      </c>
      <c r="J1247">
        <v>2021</v>
      </c>
      <c r="K1247" t="s">
        <v>59</v>
      </c>
      <c r="L1247" t="s">
        <v>443</v>
      </c>
      <c r="M1247" t="s">
        <v>451</v>
      </c>
      <c r="N1247" t="s">
        <v>99</v>
      </c>
      <c r="AI1247">
        <f t="shared" si="39"/>
        <v>1</v>
      </c>
      <c r="AJ1247">
        <f>'TABLA PREVIOS'!E1247</f>
        <v>231</v>
      </c>
      <c r="AK1247">
        <f>VLOOKUP(E1247,ALUMNOS!A:B,2,FALSE)</f>
        <v>287</v>
      </c>
    </row>
    <row r="1248" spans="2:37" x14ac:dyDescent="0.25">
      <c r="B1248" t="str">
        <f t="shared" si="38"/>
        <v>45829208CIENCIAS SOCIALES - GEOGRAFÍA1º</v>
      </c>
      <c r="E1248">
        <v>45829208</v>
      </c>
      <c r="F1248" t="s">
        <v>452</v>
      </c>
      <c r="G1248" t="s">
        <v>15</v>
      </c>
      <c r="H1248" t="s">
        <v>98</v>
      </c>
      <c r="I1248" t="s">
        <v>43</v>
      </c>
      <c r="J1248">
        <v>2017</v>
      </c>
      <c r="K1248" t="s">
        <v>59</v>
      </c>
      <c r="L1248" t="s">
        <v>453</v>
      </c>
      <c r="N1248" t="s">
        <v>99</v>
      </c>
      <c r="AI1248">
        <f t="shared" si="39"/>
        <v>1</v>
      </c>
      <c r="AJ1248">
        <f>'TABLA PREVIOS'!E1248</f>
        <v>223</v>
      </c>
      <c r="AK1248">
        <f>VLOOKUP(E1248,ALUMNOS!A:B,2,FALSE)</f>
        <v>293</v>
      </c>
    </row>
    <row r="1249" spans="2:37" x14ac:dyDescent="0.25">
      <c r="B1249" t="str">
        <f t="shared" si="38"/>
        <v>45829208SISTEMAS DE INFORMACIÓN CONTABLE4º</v>
      </c>
      <c r="E1249">
        <v>45829208</v>
      </c>
      <c r="F1249" t="s">
        <v>452</v>
      </c>
      <c r="G1249" t="s">
        <v>29</v>
      </c>
      <c r="H1249" t="s">
        <v>190</v>
      </c>
      <c r="I1249" t="s">
        <v>43</v>
      </c>
      <c r="J1249">
        <v>2020</v>
      </c>
      <c r="K1249" t="s">
        <v>60</v>
      </c>
      <c r="L1249" t="s">
        <v>453</v>
      </c>
      <c r="N1249" t="s">
        <v>99</v>
      </c>
      <c r="AI1249">
        <f t="shared" si="39"/>
        <v>1</v>
      </c>
      <c r="AJ1249">
        <f>'TABLA PREVIOS'!E1249</f>
        <v>259</v>
      </c>
      <c r="AK1249">
        <f>VLOOKUP(E1249,ALUMNOS!A:B,2,FALSE)</f>
        <v>293</v>
      </c>
    </row>
    <row r="1250" spans="2:37" x14ac:dyDescent="0.25">
      <c r="B1250" t="str">
        <f t="shared" si="38"/>
        <v>47989278LENGUA EXTRANJERA - INGLÉS2º</v>
      </c>
      <c r="E1250">
        <v>47989278</v>
      </c>
      <c r="F1250" t="s">
        <v>454</v>
      </c>
      <c r="G1250" t="s">
        <v>16</v>
      </c>
      <c r="H1250" t="s">
        <v>95</v>
      </c>
      <c r="I1250" t="s">
        <v>43</v>
      </c>
      <c r="J1250">
        <v>2021</v>
      </c>
      <c r="K1250" t="s">
        <v>59</v>
      </c>
      <c r="L1250" t="s">
        <v>105</v>
      </c>
      <c r="N1250" t="s">
        <v>99</v>
      </c>
      <c r="AI1250">
        <f t="shared" si="39"/>
        <v>1</v>
      </c>
      <c r="AJ1250">
        <f>'TABLA PREVIOS'!E1250</f>
        <v>234</v>
      </c>
      <c r="AK1250">
        <f>VLOOKUP(E1250,ALUMNOS!A:B,2,FALSE)</f>
        <v>297</v>
      </c>
    </row>
    <row r="1251" spans="2:37" x14ac:dyDescent="0.25">
      <c r="B1251" t="str">
        <f t="shared" si="38"/>
        <v>47794342FÍSICA3º</v>
      </c>
      <c r="E1251">
        <v>47794342</v>
      </c>
      <c r="F1251" t="s">
        <v>455</v>
      </c>
      <c r="G1251" t="s">
        <v>24</v>
      </c>
      <c r="H1251" t="s">
        <v>143</v>
      </c>
      <c r="I1251" t="s">
        <v>43</v>
      </c>
      <c r="J1251">
        <v>2022</v>
      </c>
      <c r="K1251" t="s">
        <v>59</v>
      </c>
      <c r="L1251" t="s">
        <v>105</v>
      </c>
      <c r="N1251" t="s">
        <v>99</v>
      </c>
      <c r="AI1251">
        <f t="shared" si="39"/>
        <v>1</v>
      </c>
      <c r="AJ1251">
        <f>'TABLA PREVIOS'!E1251</f>
        <v>241</v>
      </c>
      <c r="AK1251">
        <f>VLOOKUP(E1251,ALUMNOS!A:B,2,FALSE)</f>
        <v>308</v>
      </c>
    </row>
    <row r="1252" spans="2:37" x14ac:dyDescent="0.25">
      <c r="B1252" t="str">
        <f t="shared" si="38"/>
        <v>47794342QUÍMICA3º</v>
      </c>
      <c r="E1252">
        <v>47794342</v>
      </c>
      <c r="F1252" t="s">
        <v>455</v>
      </c>
      <c r="G1252" t="s">
        <v>25</v>
      </c>
      <c r="H1252" t="s">
        <v>143</v>
      </c>
      <c r="I1252" t="s">
        <v>43</v>
      </c>
      <c r="J1252">
        <v>2022</v>
      </c>
      <c r="K1252" t="s">
        <v>59</v>
      </c>
      <c r="N1252" t="s">
        <v>99</v>
      </c>
      <c r="AI1252">
        <f t="shared" si="39"/>
        <v>1</v>
      </c>
      <c r="AJ1252">
        <f>'TABLA PREVIOS'!E1252</f>
        <v>242</v>
      </c>
      <c r="AK1252">
        <f>VLOOKUP(E1252,ALUMNOS!A:B,2,FALSE)</f>
        <v>308</v>
      </c>
    </row>
    <row r="1253" spans="2:37" x14ac:dyDescent="0.25">
      <c r="B1253" t="str">
        <f t="shared" si="38"/>
        <v>49079922LENGUA Y LITERATURA1º</v>
      </c>
      <c r="E1253">
        <v>49079922</v>
      </c>
      <c r="F1253" t="s">
        <v>456</v>
      </c>
      <c r="G1253" t="s">
        <v>11</v>
      </c>
      <c r="H1253" t="s">
        <v>98</v>
      </c>
      <c r="I1253" t="s">
        <v>43</v>
      </c>
      <c r="J1253">
        <v>2021</v>
      </c>
      <c r="K1253" t="s">
        <v>59</v>
      </c>
      <c r="N1253" t="s">
        <v>99</v>
      </c>
      <c r="AI1253">
        <f t="shared" si="39"/>
        <v>1</v>
      </c>
      <c r="AJ1253">
        <f>'TABLA PREVIOS'!E1253</f>
        <v>219</v>
      </c>
      <c r="AK1253">
        <f>VLOOKUP(E1253,ALUMNOS!A:B,2,FALSE)</f>
        <v>309</v>
      </c>
    </row>
    <row r="1254" spans="2:37" x14ac:dyDescent="0.25">
      <c r="B1254" t="str">
        <f t="shared" si="38"/>
        <v>47665577MATEMÁTICA1º</v>
      </c>
      <c r="E1254">
        <v>47665577</v>
      </c>
      <c r="F1254" t="s">
        <v>457</v>
      </c>
      <c r="G1254" t="s">
        <v>12</v>
      </c>
      <c r="H1254" t="s">
        <v>98</v>
      </c>
      <c r="I1254" t="s">
        <v>43</v>
      </c>
      <c r="J1254">
        <v>2020</v>
      </c>
      <c r="K1254" t="s">
        <v>59</v>
      </c>
      <c r="L1254" t="s">
        <v>458</v>
      </c>
      <c r="N1254" t="s">
        <v>99</v>
      </c>
      <c r="AI1254">
        <f t="shared" si="39"/>
        <v>1</v>
      </c>
      <c r="AJ1254">
        <f>'TABLA PREVIOS'!E1254</f>
        <v>220</v>
      </c>
      <c r="AK1254">
        <f>VLOOKUP(E1254,ALUMNOS!A:B,2,FALSE)</f>
        <v>318</v>
      </c>
    </row>
    <row r="1255" spans="2:37" x14ac:dyDescent="0.25">
      <c r="B1255" t="str">
        <f t="shared" si="38"/>
        <v>47665577CIUDADANÍA Y PARTICIPACIÓN2º</v>
      </c>
      <c r="E1255">
        <v>47665577</v>
      </c>
      <c r="F1255" t="s">
        <v>457</v>
      </c>
      <c r="G1255" t="s">
        <v>19</v>
      </c>
      <c r="H1255" t="s">
        <v>95</v>
      </c>
      <c r="I1255" t="s">
        <v>43</v>
      </c>
      <c r="J1255">
        <v>2022</v>
      </c>
      <c r="K1255" t="s">
        <v>59</v>
      </c>
      <c r="N1255" t="s">
        <v>99</v>
      </c>
      <c r="AI1255">
        <f t="shared" si="39"/>
        <v>1</v>
      </c>
      <c r="AJ1255">
        <f>'TABLA PREVIOS'!E1255</f>
        <v>237</v>
      </c>
      <c r="AK1255">
        <f>VLOOKUP(E1255,ALUMNOS!A:B,2,FALSE)</f>
        <v>318</v>
      </c>
    </row>
    <row r="1256" spans="2:37" x14ac:dyDescent="0.25">
      <c r="B1256" t="str">
        <f t="shared" si="38"/>
        <v>47665577EDUCACIÓN FÍSICA2º</v>
      </c>
      <c r="E1256">
        <v>47665577</v>
      </c>
      <c r="F1256" t="s">
        <v>457</v>
      </c>
      <c r="G1256" t="s">
        <v>10</v>
      </c>
      <c r="H1256" t="s">
        <v>95</v>
      </c>
      <c r="I1256" t="s">
        <v>43</v>
      </c>
      <c r="J1256">
        <v>2022</v>
      </c>
      <c r="K1256" t="s">
        <v>59</v>
      </c>
      <c r="N1256" t="s">
        <v>99</v>
      </c>
      <c r="AI1256">
        <f t="shared" si="39"/>
        <v>1</v>
      </c>
      <c r="AJ1256">
        <f>'TABLA PREVIOS'!E1256</f>
        <v>228</v>
      </c>
      <c r="AK1256">
        <f>VLOOKUP(E1256,ALUMNOS!A:B,2,FALSE)</f>
        <v>318</v>
      </c>
    </row>
    <row r="1257" spans="2:37" x14ac:dyDescent="0.25">
      <c r="B1257" t="str">
        <f t="shared" si="38"/>
        <v>46509036LENGUA EXTRANJERA - INGLÉS3º</v>
      </c>
      <c r="E1257">
        <v>46509036</v>
      </c>
      <c r="F1257" t="s">
        <v>459</v>
      </c>
      <c r="G1257" t="s">
        <v>16</v>
      </c>
      <c r="H1257" t="s">
        <v>143</v>
      </c>
      <c r="I1257" t="s">
        <v>43</v>
      </c>
      <c r="J1257">
        <v>2021</v>
      </c>
      <c r="K1257" t="s">
        <v>59</v>
      </c>
      <c r="L1257" t="s">
        <v>105</v>
      </c>
      <c r="N1257" t="s">
        <v>99</v>
      </c>
      <c r="AI1257">
        <f t="shared" si="39"/>
        <v>1</v>
      </c>
      <c r="AJ1257">
        <f>'TABLA PREVIOS'!E1257</f>
        <v>245</v>
      </c>
      <c r="AK1257">
        <f>VLOOKUP(E1257,ALUMNOS!A:B,2,FALSE)</f>
        <v>320</v>
      </c>
    </row>
    <row r="1258" spans="2:37" x14ac:dyDescent="0.25">
      <c r="B1258" t="str">
        <f t="shared" si="38"/>
        <v>46509036SISTEMAS DE INFORMACIÓN CONTABLE4º</v>
      </c>
      <c r="E1258">
        <v>46509036</v>
      </c>
      <c r="F1258" t="s">
        <v>459</v>
      </c>
      <c r="G1258" t="s">
        <v>29</v>
      </c>
      <c r="H1258" t="s">
        <v>190</v>
      </c>
      <c r="I1258" t="s">
        <v>43</v>
      </c>
      <c r="J1258">
        <v>2022</v>
      </c>
      <c r="K1258" t="s">
        <v>60</v>
      </c>
      <c r="N1258" t="s">
        <v>99</v>
      </c>
      <c r="AI1258">
        <f t="shared" si="39"/>
        <v>1</v>
      </c>
      <c r="AJ1258">
        <f>'TABLA PREVIOS'!E1258</f>
        <v>259</v>
      </c>
      <c r="AK1258">
        <f>VLOOKUP(E1258,ALUMNOS!A:B,2,FALSE)</f>
        <v>320</v>
      </c>
    </row>
    <row r="1259" spans="2:37" x14ac:dyDescent="0.25">
      <c r="B1259" t="str">
        <f t="shared" si="38"/>
        <v>46035161LENGUA Y LITERATURA1º</v>
      </c>
      <c r="E1259">
        <v>46035161</v>
      </c>
      <c r="F1259" t="s">
        <v>460</v>
      </c>
      <c r="G1259" t="s">
        <v>11</v>
      </c>
      <c r="H1259" t="s">
        <v>98</v>
      </c>
      <c r="I1259" t="s">
        <v>43</v>
      </c>
      <c r="J1259">
        <v>2019</v>
      </c>
      <c r="K1259" t="s">
        <v>59</v>
      </c>
      <c r="L1259" t="s">
        <v>372</v>
      </c>
      <c r="N1259" t="s">
        <v>99</v>
      </c>
      <c r="AI1259">
        <f t="shared" si="39"/>
        <v>1</v>
      </c>
      <c r="AJ1259">
        <f>'TABLA PREVIOS'!E1259</f>
        <v>219</v>
      </c>
      <c r="AK1259">
        <f>VLOOKUP(E1259,ALUMNOS!A:B,2,FALSE)</f>
        <v>321</v>
      </c>
    </row>
    <row r="1260" spans="2:37" x14ac:dyDescent="0.25">
      <c r="B1260" t="str">
        <f t="shared" si="38"/>
        <v>46035161CIENCIAS SOCIALES - HISTORIA2º</v>
      </c>
      <c r="E1260">
        <v>46035161</v>
      </c>
      <c r="F1260" t="s">
        <v>460</v>
      </c>
      <c r="G1260" t="s">
        <v>22</v>
      </c>
      <c r="H1260" t="s">
        <v>95</v>
      </c>
      <c r="I1260" t="s">
        <v>43</v>
      </c>
      <c r="J1260">
        <v>2020</v>
      </c>
      <c r="K1260" t="s">
        <v>59</v>
      </c>
      <c r="N1260" t="s">
        <v>99</v>
      </c>
      <c r="AI1260">
        <f t="shared" si="39"/>
        <v>1</v>
      </c>
      <c r="AJ1260">
        <f>'TABLA PREVIOS'!E1260</f>
        <v>233</v>
      </c>
      <c r="AK1260">
        <f>VLOOKUP(E1260,ALUMNOS!A:B,2,FALSE)</f>
        <v>321</v>
      </c>
    </row>
    <row r="1261" spans="2:37" x14ac:dyDescent="0.25">
      <c r="B1261" t="str">
        <f t="shared" si="38"/>
        <v>46035161LENGUA EXTRANJERA - INGLÉS2º</v>
      </c>
      <c r="E1261">
        <v>46035161</v>
      </c>
      <c r="F1261" t="s">
        <v>460</v>
      </c>
      <c r="G1261" t="s">
        <v>16</v>
      </c>
      <c r="H1261" t="s">
        <v>95</v>
      </c>
      <c r="I1261" t="s">
        <v>43</v>
      </c>
      <c r="J1261">
        <v>2020</v>
      </c>
      <c r="K1261" t="s">
        <v>59</v>
      </c>
      <c r="L1261" t="s">
        <v>420</v>
      </c>
      <c r="N1261" t="s">
        <v>99</v>
      </c>
      <c r="AI1261">
        <f t="shared" si="39"/>
        <v>1</v>
      </c>
      <c r="AJ1261">
        <f>'TABLA PREVIOS'!E1261</f>
        <v>234</v>
      </c>
      <c r="AK1261">
        <f>VLOOKUP(E1261,ALUMNOS!A:B,2,FALSE)</f>
        <v>321</v>
      </c>
    </row>
    <row r="1262" spans="2:37" x14ac:dyDescent="0.25">
      <c r="B1262" t="str">
        <f t="shared" si="38"/>
        <v>46472609QUÍMICA3º</v>
      </c>
      <c r="E1262">
        <v>46472609</v>
      </c>
      <c r="F1262" t="s">
        <v>461</v>
      </c>
      <c r="G1262" t="s">
        <v>25</v>
      </c>
      <c r="H1262" t="s">
        <v>143</v>
      </c>
      <c r="I1262" t="s">
        <v>43</v>
      </c>
      <c r="J1262">
        <v>2022</v>
      </c>
      <c r="K1262" t="s">
        <v>59</v>
      </c>
      <c r="L1262" t="s">
        <v>105</v>
      </c>
      <c r="N1262" t="s">
        <v>99</v>
      </c>
      <c r="AI1262">
        <f t="shared" si="39"/>
        <v>1</v>
      </c>
      <c r="AJ1262">
        <f>'TABLA PREVIOS'!E1262</f>
        <v>242</v>
      </c>
      <c r="AK1262">
        <f>VLOOKUP(E1262,ALUMNOS!A:B,2,FALSE)</f>
        <v>330</v>
      </c>
    </row>
    <row r="1263" spans="2:37" x14ac:dyDescent="0.25">
      <c r="B1263" t="str">
        <f t="shared" si="38"/>
        <v>46472609ADMINISTRACIÓN4º</v>
      </c>
      <c r="E1263">
        <v>46472609</v>
      </c>
      <c r="F1263" t="s">
        <v>461</v>
      </c>
      <c r="G1263" t="s">
        <v>30</v>
      </c>
      <c r="H1263" t="s">
        <v>190</v>
      </c>
      <c r="I1263" t="s">
        <v>44</v>
      </c>
      <c r="J1263">
        <v>2023</v>
      </c>
      <c r="K1263" t="s">
        <v>60</v>
      </c>
      <c r="N1263" t="s">
        <v>99</v>
      </c>
      <c r="AI1263">
        <f t="shared" si="39"/>
        <v>1</v>
      </c>
      <c r="AJ1263">
        <f>'TABLA PREVIOS'!E1263</f>
        <v>260</v>
      </c>
      <c r="AK1263">
        <f>VLOOKUP(E1263,ALUMNOS!A:B,2,FALSE)</f>
        <v>330</v>
      </c>
    </row>
    <row r="1264" spans="2:37" x14ac:dyDescent="0.25">
      <c r="B1264" t="str">
        <f t="shared" si="38"/>
        <v>46472609MATEMÁTICA4º</v>
      </c>
      <c r="E1264">
        <v>46472609</v>
      </c>
      <c r="F1264" t="s">
        <v>461</v>
      </c>
      <c r="G1264" t="s">
        <v>12</v>
      </c>
      <c r="H1264" t="s">
        <v>190</v>
      </c>
      <c r="I1264" t="s">
        <v>43</v>
      </c>
      <c r="J1264">
        <v>2022</v>
      </c>
      <c r="K1264" t="s">
        <v>60</v>
      </c>
      <c r="N1264" t="s">
        <v>99</v>
      </c>
      <c r="AI1264">
        <f t="shared" si="39"/>
        <v>1</v>
      </c>
      <c r="AJ1264">
        <f>'TABLA PREVIOS'!E1264</f>
        <v>252</v>
      </c>
      <c r="AK1264">
        <f>VLOOKUP(E1264,ALUMNOS!A:B,2,FALSE)</f>
        <v>330</v>
      </c>
    </row>
    <row r="1265" spans="2:37" x14ac:dyDescent="0.25">
      <c r="B1265" t="str">
        <f t="shared" si="38"/>
        <v>46472609SISTEMAS DE INFORMACIÓN CONTABLE4º</v>
      </c>
      <c r="E1265">
        <v>46472609</v>
      </c>
      <c r="F1265" t="s">
        <v>461</v>
      </c>
      <c r="G1265" t="s">
        <v>29</v>
      </c>
      <c r="H1265" t="s">
        <v>190</v>
      </c>
      <c r="I1265" t="s">
        <v>44</v>
      </c>
      <c r="J1265">
        <v>2023</v>
      </c>
      <c r="K1265" t="s">
        <v>60</v>
      </c>
      <c r="N1265" t="s">
        <v>99</v>
      </c>
      <c r="AI1265">
        <f t="shared" si="39"/>
        <v>1</v>
      </c>
      <c r="AJ1265">
        <f>'TABLA PREVIOS'!E1265</f>
        <v>259</v>
      </c>
      <c r="AK1265">
        <f>VLOOKUP(E1265,ALUMNOS!A:B,2,FALSE)</f>
        <v>330</v>
      </c>
    </row>
    <row r="1266" spans="2:37" x14ac:dyDescent="0.25">
      <c r="B1266" t="str">
        <f t="shared" si="38"/>
        <v>48538109LENGUA EXTRANJERA - INGLÉS1º</v>
      </c>
      <c r="E1266">
        <v>48538109</v>
      </c>
      <c r="F1266" t="s">
        <v>462</v>
      </c>
      <c r="G1266" t="s">
        <v>16</v>
      </c>
      <c r="H1266" t="s">
        <v>98</v>
      </c>
      <c r="I1266" t="s">
        <v>43</v>
      </c>
      <c r="J1266">
        <v>2021</v>
      </c>
      <c r="K1266" t="s">
        <v>59</v>
      </c>
      <c r="N1266" t="s">
        <v>99</v>
      </c>
      <c r="AI1266">
        <f t="shared" si="39"/>
        <v>1</v>
      </c>
      <c r="AJ1266">
        <f>'TABLA PREVIOS'!E1266</f>
        <v>224</v>
      </c>
      <c r="AK1266">
        <f>VLOOKUP(E1266,ALUMNOS!A:B,2,FALSE)</f>
        <v>336</v>
      </c>
    </row>
    <row r="1267" spans="2:37" x14ac:dyDescent="0.25">
      <c r="B1267" t="str">
        <f t="shared" si="38"/>
        <v>48538109MATEMÁTICA1º</v>
      </c>
      <c r="E1267">
        <v>48538109</v>
      </c>
      <c r="F1267" t="s">
        <v>462</v>
      </c>
      <c r="G1267" t="s">
        <v>12</v>
      </c>
      <c r="H1267" t="s">
        <v>98</v>
      </c>
      <c r="I1267" t="s">
        <v>43</v>
      </c>
      <c r="J1267">
        <v>2021</v>
      </c>
      <c r="K1267" t="s">
        <v>59</v>
      </c>
      <c r="N1267" t="s">
        <v>99</v>
      </c>
      <c r="AI1267">
        <f t="shared" si="39"/>
        <v>1</v>
      </c>
      <c r="AJ1267">
        <f>'TABLA PREVIOS'!E1267</f>
        <v>220</v>
      </c>
      <c r="AK1267">
        <f>VLOOKUP(E1267,ALUMNOS!A:B,2,FALSE)</f>
        <v>336</v>
      </c>
    </row>
    <row r="1268" spans="2:37" x14ac:dyDescent="0.25">
      <c r="B1268" t="str">
        <f t="shared" si="38"/>
        <v>46509098CIENCIAS SOCIALES - HISTORIA2º</v>
      </c>
      <c r="E1268">
        <v>46509098</v>
      </c>
      <c r="F1268" t="s">
        <v>463</v>
      </c>
      <c r="G1268" t="s">
        <v>22</v>
      </c>
      <c r="H1268" t="s">
        <v>95</v>
      </c>
      <c r="I1268" t="s">
        <v>43</v>
      </c>
      <c r="J1268">
        <v>2020</v>
      </c>
      <c r="K1268" t="s">
        <v>59</v>
      </c>
      <c r="L1268" t="s">
        <v>105</v>
      </c>
      <c r="N1268" t="s">
        <v>99</v>
      </c>
      <c r="AI1268">
        <f t="shared" si="39"/>
        <v>1</v>
      </c>
      <c r="AJ1268">
        <f>'TABLA PREVIOS'!E1268</f>
        <v>233</v>
      </c>
      <c r="AK1268">
        <f>VLOOKUP(E1268,ALUMNOS!A:B,2,FALSE)</f>
        <v>337</v>
      </c>
    </row>
    <row r="1269" spans="2:37" x14ac:dyDescent="0.25">
      <c r="B1269" t="str">
        <f t="shared" si="38"/>
        <v>46509098MATEMÁTICA2º</v>
      </c>
      <c r="E1269">
        <v>46509098</v>
      </c>
      <c r="F1269" t="s">
        <v>463</v>
      </c>
      <c r="G1269" t="s">
        <v>12</v>
      </c>
      <c r="H1269" t="s">
        <v>95</v>
      </c>
      <c r="I1269" t="s">
        <v>43</v>
      </c>
      <c r="J1269">
        <v>2020</v>
      </c>
      <c r="K1269" t="s">
        <v>59</v>
      </c>
      <c r="N1269" t="s">
        <v>99</v>
      </c>
      <c r="AI1269">
        <f t="shared" si="39"/>
        <v>1</v>
      </c>
      <c r="AJ1269">
        <f>'TABLA PREVIOS'!E1269</f>
        <v>230</v>
      </c>
      <c r="AK1269">
        <f>VLOOKUP(E1269,ALUMNOS!A:B,2,FALSE)</f>
        <v>337</v>
      </c>
    </row>
    <row r="1270" spans="2:37" x14ac:dyDescent="0.25">
      <c r="B1270" t="str">
        <f t="shared" si="38"/>
        <v>45349554MATEMÁTICA3º</v>
      </c>
      <c r="E1270">
        <v>45349554</v>
      </c>
      <c r="F1270" t="s">
        <v>464</v>
      </c>
      <c r="G1270" t="s">
        <v>12</v>
      </c>
      <c r="H1270" t="s">
        <v>143</v>
      </c>
      <c r="I1270" t="s">
        <v>43</v>
      </c>
      <c r="J1270">
        <v>2019</v>
      </c>
      <c r="K1270" t="s">
        <v>59</v>
      </c>
      <c r="L1270" t="s">
        <v>465</v>
      </c>
      <c r="N1270" t="s">
        <v>99</v>
      </c>
      <c r="AI1270">
        <f t="shared" si="39"/>
        <v>1</v>
      </c>
      <c r="AJ1270">
        <f>'TABLA PREVIOS'!E1270</f>
        <v>240</v>
      </c>
      <c r="AK1270">
        <f>VLOOKUP(E1270,ALUMNOS!A:B,2,FALSE)</f>
        <v>360</v>
      </c>
    </row>
    <row r="1271" spans="2:37" x14ac:dyDescent="0.25">
      <c r="B1271" t="str">
        <f t="shared" si="38"/>
        <v>45349554LENGUA EXTRANJERA - INGLÉS4º</v>
      </c>
      <c r="E1271">
        <v>45349554</v>
      </c>
      <c r="F1271" t="s">
        <v>464</v>
      </c>
      <c r="G1271" t="s">
        <v>16</v>
      </c>
      <c r="H1271" t="s">
        <v>190</v>
      </c>
      <c r="I1271" t="s">
        <v>43</v>
      </c>
      <c r="J1271">
        <v>2020</v>
      </c>
      <c r="K1271" t="s">
        <v>60</v>
      </c>
      <c r="L1271" t="s">
        <v>465</v>
      </c>
      <c r="N1271" t="s">
        <v>99</v>
      </c>
      <c r="AI1271">
        <f t="shared" si="39"/>
        <v>1</v>
      </c>
      <c r="AJ1271">
        <f>'TABLA PREVIOS'!E1271</f>
        <v>256</v>
      </c>
      <c r="AK1271">
        <f>VLOOKUP(E1271,ALUMNOS!A:B,2,FALSE)</f>
        <v>360</v>
      </c>
    </row>
    <row r="1272" spans="2:37" x14ac:dyDescent="0.25">
      <c r="B1272" t="str">
        <f t="shared" si="38"/>
        <v>45349554MATEMÁTICA4º</v>
      </c>
      <c r="E1272">
        <v>45349554</v>
      </c>
      <c r="F1272" t="s">
        <v>464</v>
      </c>
      <c r="G1272" t="s">
        <v>12</v>
      </c>
      <c r="H1272" t="s">
        <v>190</v>
      </c>
      <c r="I1272" t="s">
        <v>43</v>
      </c>
      <c r="J1272">
        <v>2020</v>
      </c>
      <c r="K1272" t="s">
        <v>60</v>
      </c>
      <c r="L1272" t="s">
        <v>465</v>
      </c>
      <c r="N1272" t="s">
        <v>99</v>
      </c>
      <c r="AI1272">
        <f t="shared" si="39"/>
        <v>1</v>
      </c>
      <c r="AJ1272">
        <f>'TABLA PREVIOS'!E1272</f>
        <v>252</v>
      </c>
      <c r="AK1272">
        <f>VLOOKUP(E1272,ALUMNOS!A:B,2,FALSE)</f>
        <v>360</v>
      </c>
    </row>
    <row r="1273" spans="2:37" x14ac:dyDescent="0.25">
      <c r="B1273" t="str">
        <f t="shared" si="38"/>
        <v>46029110LENGUA EXTRANJERA - INGLÉS3º</v>
      </c>
      <c r="E1273">
        <v>46029110</v>
      </c>
      <c r="F1273" t="s">
        <v>466</v>
      </c>
      <c r="G1273" t="s">
        <v>16</v>
      </c>
      <c r="H1273" t="s">
        <v>143</v>
      </c>
      <c r="I1273" t="s">
        <v>43</v>
      </c>
      <c r="J1273">
        <v>2020</v>
      </c>
      <c r="K1273" t="s">
        <v>59</v>
      </c>
      <c r="L1273" t="s">
        <v>417</v>
      </c>
      <c r="N1273" t="s">
        <v>99</v>
      </c>
      <c r="AI1273">
        <f t="shared" si="39"/>
        <v>1</v>
      </c>
      <c r="AJ1273">
        <f>'TABLA PREVIOS'!E1273</f>
        <v>245</v>
      </c>
      <c r="AK1273">
        <f>VLOOKUP(E1273,ALUMNOS!A:B,2,FALSE)</f>
        <v>363</v>
      </c>
    </row>
    <row r="1274" spans="2:37" x14ac:dyDescent="0.25">
      <c r="B1274" t="str">
        <f t="shared" si="38"/>
        <v>46029110MATEMÁTICA3º</v>
      </c>
      <c r="E1274">
        <v>46029110</v>
      </c>
      <c r="F1274" t="s">
        <v>466</v>
      </c>
      <c r="G1274" t="s">
        <v>12</v>
      </c>
      <c r="H1274" t="s">
        <v>143</v>
      </c>
      <c r="I1274" t="s">
        <v>43</v>
      </c>
      <c r="J1274">
        <v>2020</v>
      </c>
      <c r="K1274" t="s">
        <v>59</v>
      </c>
      <c r="L1274" t="s">
        <v>417</v>
      </c>
      <c r="N1274" t="s">
        <v>99</v>
      </c>
      <c r="AI1274">
        <f t="shared" si="39"/>
        <v>1</v>
      </c>
      <c r="AJ1274">
        <f>'TABLA PREVIOS'!E1274</f>
        <v>240</v>
      </c>
      <c r="AK1274">
        <f>VLOOKUP(E1274,ALUMNOS!A:B,2,FALSE)</f>
        <v>363</v>
      </c>
    </row>
    <row r="1275" spans="2:37" x14ac:dyDescent="0.25">
      <c r="B1275" t="str">
        <f t="shared" si="38"/>
        <v>46509063LENGUA Y LITERATURA4º</v>
      </c>
      <c r="E1275">
        <v>46509063</v>
      </c>
      <c r="F1275" t="s">
        <v>467</v>
      </c>
      <c r="G1275" t="s">
        <v>11</v>
      </c>
      <c r="H1275" t="s">
        <v>190</v>
      </c>
      <c r="I1275" t="s">
        <v>43</v>
      </c>
      <c r="J1275">
        <v>2021</v>
      </c>
      <c r="K1275" t="s">
        <v>60</v>
      </c>
      <c r="N1275" t="s">
        <v>99</v>
      </c>
      <c r="AI1275">
        <f t="shared" si="39"/>
        <v>1</v>
      </c>
      <c r="AJ1275">
        <f>'TABLA PREVIOS'!E1275</f>
        <v>251</v>
      </c>
      <c r="AK1275">
        <f>VLOOKUP(E1275,ALUMNOS!A:B,2,FALSE)</f>
        <v>373</v>
      </c>
    </row>
    <row r="1276" spans="2:37" x14ac:dyDescent="0.25">
      <c r="B1276" t="str">
        <f t="shared" si="38"/>
        <v>50430108CIENCIAS SOCIALES - GEOGRAFÍA1º</v>
      </c>
      <c r="E1276">
        <v>50430108</v>
      </c>
      <c r="F1276" t="s">
        <v>468</v>
      </c>
      <c r="G1276" t="s">
        <v>15</v>
      </c>
      <c r="H1276" t="s">
        <v>98</v>
      </c>
      <c r="I1276" t="s">
        <v>43</v>
      </c>
      <c r="J1276">
        <v>2022</v>
      </c>
      <c r="K1276" t="s">
        <v>59</v>
      </c>
      <c r="L1276" t="s">
        <v>126</v>
      </c>
      <c r="N1276" t="s">
        <v>99</v>
      </c>
      <c r="AI1276">
        <f t="shared" si="39"/>
        <v>1</v>
      </c>
      <c r="AJ1276">
        <f>'TABLA PREVIOS'!E1276</f>
        <v>223</v>
      </c>
      <c r="AK1276">
        <f>VLOOKUP(E1276,ALUMNOS!A:B,2,FALSE)</f>
        <v>380</v>
      </c>
    </row>
    <row r="1277" spans="2:37" x14ac:dyDescent="0.25">
      <c r="B1277" t="str">
        <f t="shared" si="38"/>
        <v>45933997EDUCACIÓN FÍSICA2º</v>
      </c>
      <c r="E1277">
        <v>45933997</v>
      </c>
      <c r="F1277" t="s">
        <v>469</v>
      </c>
      <c r="G1277" t="s">
        <v>10</v>
      </c>
      <c r="H1277" t="s">
        <v>95</v>
      </c>
      <c r="I1277" t="s">
        <v>43</v>
      </c>
      <c r="J1277">
        <v>2020</v>
      </c>
      <c r="K1277" t="s">
        <v>59</v>
      </c>
      <c r="L1277" t="s">
        <v>363</v>
      </c>
      <c r="N1277" t="s">
        <v>99</v>
      </c>
      <c r="AI1277">
        <f t="shared" si="39"/>
        <v>1</v>
      </c>
      <c r="AJ1277">
        <f>'TABLA PREVIOS'!E1277</f>
        <v>228</v>
      </c>
      <c r="AK1277">
        <f>VLOOKUP(E1277,ALUMNOS!A:B,2,FALSE)</f>
        <v>389</v>
      </c>
    </row>
    <row r="1278" spans="2:37" x14ac:dyDescent="0.25">
      <c r="B1278" t="str">
        <f t="shared" si="38"/>
        <v>45933997MATEMÁTICA2º</v>
      </c>
      <c r="E1278">
        <v>45933997</v>
      </c>
      <c r="F1278" t="s">
        <v>469</v>
      </c>
      <c r="G1278" t="s">
        <v>12</v>
      </c>
      <c r="H1278" t="s">
        <v>95</v>
      </c>
      <c r="I1278" t="s">
        <v>43</v>
      </c>
      <c r="J1278">
        <v>2020</v>
      </c>
      <c r="K1278" t="s">
        <v>59</v>
      </c>
      <c r="L1278" t="s">
        <v>363</v>
      </c>
      <c r="N1278" t="s">
        <v>99</v>
      </c>
      <c r="AI1278">
        <f t="shared" si="39"/>
        <v>1</v>
      </c>
      <c r="AJ1278">
        <f>'TABLA PREVIOS'!E1278</f>
        <v>230</v>
      </c>
      <c r="AK1278">
        <f>VLOOKUP(E1278,ALUMNOS!A:B,2,FALSE)</f>
        <v>389</v>
      </c>
    </row>
    <row r="1279" spans="2:37" x14ac:dyDescent="0.25">
      <c r="B1279" t="str">
        <f t="shared" si="38"/>
        <v>45349553HISTORIA3º</v>
      </c>
      <c r="E1279">
        <v>45349553</v>
      </c>
      <c r="F1279" t="s">
        <v>470</v>
      </c>
      <c r="G1279" t="s">
        <v>27</v>
      </c>
      <c r="H1279" t="s">
        <v>143</v>
      </c>
      <c r="I1279" t="s">
        <v>43</v>
      </c>
      <c r="J1279">
        <v>2020</v>
      </c>
      <c r="K1279" t="s">
        <v>59</v>
      </c>
      <c r="L1279" t="s">
        <v>471</v>
      </c>
      <c r="N1279" t="s">
        <v>99</v>
      </c>
      <c r="AI1279">
        <f t="shared" si="39"/>
        <v>1</v>
      </c>
      <c r="AJ1279">
        <f>'TABLA PREVIOS'!E1279</f>
        <v>244</v>
      </c>
      <c r="AK1279">
        <f>VLOOKUP(E1279,ALUMNOS!A:B,2,FALSE)</f>
        <v>397</v>
      </c>
    </row>
    <row r="1280" spans="2:37" x14ac:dyDescent="0.25">
      <c r="B1280" t="str">
        <f t="shared" si="38"/>
        <v>45349553LENGUA EXTRANJERA - INGLÉS3º</v>
      </c>
      <c r="E1280">
        <v>45349553</v>
      </c>
      <c r="F1280" t="s">
        <v>470</v>
      </c>
      <c r="G1280" t="s">
        <v>16</v>
      </c>
      <c r="H1280" t="s">
        <v>143</v>
      </c>
      <c r="I1280" t="s">
        <v>43</v>
      </c>
      <c r="J1280">
        <v>2020</v>
      </c>
      <c r="K1280" t="s">
        <v>59</v>
      </c>
      <c r="L1280" t="s">
        <v>471</v>
      </c>
      <c r="N1280" t="s">
        <v>99</v>
      </c>
      <c r="AI1280">
        <f t="shared" si="39"/>
        <v>1</v>
      </c>
      <c r="AJ1280">
        <f>'TABLA PREVIOS'!E1280</f>
        <v>245</v>
      </c>
      <c r="AK1280">
        <f>VLOOKUP(E1280,ALUMNOS!A:B,2,FALSE)</f>
        <v>397</v>
      </c>
    </row>
    <row r="1281" spans="2:37" x14ac:dyDescent="0.25">
      <c r="B1281" t="str">
        <f t="shared" si="38"/>
        <v>46037028CIENCIAS SOCIALES - HISTORIA2º</v>
      </c>
      <c r="E1281">
        <v>46037028</v>
      </c>
      <c r="F1281" t="s">
        <v>472</v>
      </c>
      <c r="G1281" t="s">
        <v>22</v>
      </c>
      <c r="H1281" t="s">
        <v>95</v>
      </c>
      <c r="I1281" t="s">
        <v>43</v>
      </c>
      <c r="J1281">
        <v>2019</v>
      </c>
      <c r="K1281" t="s">
        <v>59</v>
      </c>
      <c r="L1281" t="s">
        <v>473</v>
      </c>
      <c r="N1281" t="s">
        <v>99</v>
      </c>
      <c r="AI1281">
        <f t="shared" si="39"/>
        <v>1</v>
      </c>
      <c r="AJ1281">
        <f>'TABLA PREVIOS'!E1281</f>
        <v>233</v>
      </c>
      <c r="AK1281">
        <f>VLOOKUP(E1281,ALUMNOS!A:B,2,FALSE)</f>
        <v>405</v>
      </c>
    </row>
    <row r="1282" spans="2:37" x14ac:dyDescent="0.25">
      <c r="B1282" t="str">
        <f t="shared" si="38"/>
        <v>46890402MATEMÁTICA4º</v>
      </c>
      <c r="E1282">
        <v>46890402</v>
      </c>
      <c r="F1282" t="s">
        <v>474</v>
      </c>
      <c r="G1282" t="s">
        <v>12</v>
      </c>
      <c r="H1282" t="s">
        <v>190</v>
      </c>
      <c r="I1282" t="s">
        <v>43</v>
      </c>
      <c r="J1282">
        <v>2021</v>
      </c>
      <c r="K1282" t="s">
        <v>60</v>
      </c>
      <c r="N1282" t="s">
        <v>99</v>
      </c>
      <c r="AI1282">
        <f t="shared" si="39"/>
        <v>1</v>
      </c>
      <c r="AJ1282">
        <f>'TABLA PREVIOS'!E1282</f>
        <v>252</v>
      </c>
      <c r="AK1282">
        <f>VLOOKUP(E1282,ALUMNOS!A:B,2,FALSE)</f>
        <v>413</v>
      </c>
    </row>
    <row r="1283" spans="2:37" x14ac:dyDescent="0.25">
      <c r="B1283" t="str">
        <f t="shared" ref="B1283:B1346" si="40">E1283&amp;G1283&amp;H1283</f>
        <v>46890402ADMINISTRACIÓN DE LA PRODUCCIÓN Y COMERCIALIZACIÓN5º</v>
      </c>
      <c r="E1283">
        <v>46890402</v>
      </c>
      <c r="F1283" t="s">
        <v>474</v>
      </c>
      <c r="G1283" t="s">
        <v>32</v>
      </c>
      <c r="H1283" t="s">
        <v>220</v>
      </c>
      <c r="I1283" t="s">
        <v>43</v>
      </c>
      <c r="J1283">
        <v>2022</v>
      </c>
      <c r="K1283" t="s">
        <v>60</v>
      </c>
      <c r="N1283" t="s">
        <v>99</v>
      </c>
      <c r="AI1283">
        <f t="shared" ref="AI1283:AI1346" si="41">IF(VALUE(MAX(P1283,T1283,X1283,AB1283,AE1283,))&gt;=7,VALUE(MAX(P1283,T1283,X1283,AB1283,AE1283,)),1)</f>
        <v>1</v>
      </c>
      <c r="AJ1283">
        <f>'TABLA PREVIOS'!E1283</f>
        <v>277</v>
      </c>
      <c r="AK1283">
        <f>VLOOKUP(E1283,ALUMNOS!A:B,2,FALSE)</f>
        <v>413</v>
      </c>
    </row>
    <row r="1284" spans="2:37" x14ac:dyDescent="0.25">
      <c r="B1284" t="str">
        <f t="shared" si="40"/>
        <v>46890402SISTEMAS DE INFORMACIÓN CONTABLE5º</v>
      </c>
      <c r="E1284">
        <v>46890402</v>
      </c>
      <c r="F1284" t="s">
        <v>474</v>
      </c>
      <c r="G1284" t="s">
        <v>29</v>
      </c>
      <c r="H1284" t="s">
        <v>220</v>
      </c>
      <c r="I1284" t="s">
        <v>43</v>
      </c>
      <c r="J1284">
        <v>2022</v>
      </c>
      <c r="K1284" t="s">
        <v>60</v>
      </c>
      <c r="N1284" t="s">
        <v>99</v>
      </c>
      <c r="AI1284">
        <f t="shared" si="41"/>
        <v>1</v>
      </c>
      <c r="AJ1284">
        <f>'TABLA PREVIOS'!E1284</f>
        <v>273</v>
      </c>
      <c r="AK1284">
        <f>VLOOKUP(E1284,ALUMNOS!A:B,2,FALSE)</f>
        <v>413</v>
      </c>
    </row>
    <row r="1285" spans="2:37" x14ac:dyDescent="0.25">
      <c r="B1285" t="str">
        <f t="shared" si="40"/>
        <v>53420253LENGUA EXTRANJERA - INGLÉS3º</v>
      </c>
      <c r="E1285">
        <v>53420253</v>
      </c>
      <c r="F1285" t="s">
        <v>475</v>
      </c>
      <c r="G1285" t="s">
        <v>16</v>
      </c>
      <c r="H1285" t="s">
        <v>143</v>
      </c>
      <c r="I1285" t="s">
        <v>43</v>
      </c>
      <c r="J1285">
        <v>2020</v>
      </c>
      <c r="K1285" t="s">
        <v>59</v>
      </c>
      <c r="L1285" t="s">
        <v>465</v>
      </c>
      <c r="N1285" t="s">
        <v>99</v>
      </c>
      <c r="AI1285">
        <f t="shared" si="41"/>
        <v>1</v>
      </c>
      <c r="AJ1285">
        <f>'TABLA PREVIOS'!E1285</f>
        <v>245</v>
      </c>
      <c r="AK1285">
        <f>VLOOKUP(E1285,ALUMNOS!A:B,2,FALSE)</f>
        <v>414</v>
      </c>
    </row>
    <row r="1286" spans="2:37" x14ac:dyDescent="0.25">
      <c r="B1286" t="str">
        <f t="shared" si="40"/>
        <v>53420253LENGUA Y LITERATURA3º</v>
      </c>
      <c r="E1286">
        <v>53420253</v>
      </c>
      <c r="F1286" t="s">
        <v>475</v>
      </c>
      <c r="G1286" t="s">
        <v>11</v>
      </c>
      <c r="H1286" t="s">
        <v>143</v>
      </c>
      <c r="I1286" t="s">
        <v>43</v>
      </c>
      <c r="J1286">
        <v>2020</v>
      </c>
      <c r="K1286" t="s">
        <v>59</v>
      </c>
      <c r="L1286" t="s">
        <v>465</v>
      </c>
      <c r="N1286" t="s">
        <v>99</v>
      </c>
      <c r="AI1286">
        <f t="shared" si="41"/>
        <v>1</v>
      </c>
      <c r="AJ1286">
        <f>'TABLA PREVIOS'!E1286</f>
        <v>239</v>
      </c>
      <c r="AK1286">
        <f>VLOOKUP(E1286,ALUMNOS!A:B,2,FALSE)</f>
        <v>414</v>
      </c>
    </row>
    <row r="1287" spans="2:37" x14ac:dyDescent="0.25">
      <c r="B1287" t="str">
        <f t="shared" si="40"/>
        <v>53420253MATEMÁTICA3º</v>
      </c>
      <c r="E1287">
        <v>53420253</v>
      </c>
      <c r="F1287" t="s">
        <v>475</v>
      </c>
      <c r="G1287" t="s">
        <v>12</v>
      </c>
      <c r="H1287" t="s">
        <v>143</v>
      </c>
      <c r="I1287" t="s">
        <v>43</v>
      </c>
      <c r="J1287">
        <v>2020</v>
      </c>
      <c r="K1287" t="s">
        <v>59</v>
      </c>
      <c r="L1287" t="s">
        <v>465</v>
      </c>
      <c r="N1287" t="s">
        <v>99</v>
      </c>
      <c r="AI1287">
        <f t="shared" si="41"/>
        <v>1</v>
      </c>
      <c r="AJ1287">
        <f>'TABLA PREVIOS'!E1287</f>
        <v>240</v>
      </c>
      <c r="AK1287">
        <f>VLOOKUP(E1287,ALUMNOS!A:B,2,FALSE)</f>
        <v>414</v>
      </c>
    </row>
    <row r="1288" spans="2:37" x14ac:dyDescent="0.25">
      <c r="B1288" t="str">
        <f t="shared" si="40"/>
        <v>47665580BIOLOGÍA2º</v>
      </c>
      <c r="E1288">
        <v>47665580</v>
      </c>
      <c r="F1288" t="s">
        <v>476</v>
      </c>
      <c r="G1288" t="s">
        <v>21</v>
      </c>
      <c r="H1288" t="s">
        <v>95</v>
      </c>
      <c r="I1288" t="s">
        <v>43</v>
      </c>
      <c r="J1288">
        <v>2020</v>
      </c>
      <c r="K1288" t="s">
        <v>59</v>
      </c>
      <c r="L1288" t="s">
        <v>363</v>
      </c>
      <c r="N1288" t="s">
        <v>99</v>
      </c>
      <c r="AI1288">
        <f t="shared" si="41"/>
        <v>1</v>
      </c>
      <c r="AJ1288">
        <f>'TABLA PREVIOS'!E1288</f>
        <v>232</v>
      </c>
      <c r="AK1288">
        <f>VLOOKUP(E1288,ALUMNOS!A:B,2,FALSE)</f>
        <v>432</v>
      </c>
    </row>
    <row r="1289" spans="2:37" x14ac:dyDescent="0.25">
      <c r="B1289" t="str">
        <f t="shared" si="40"/>
        <v>47665580CIENCIAS NATURALES - QUÍMICA2º</v>
      </c>
      <c r="E1289">
        <v>47665580</v>
      </c>
      <c r="F1289" t="s">
        <v>476</v>
      </c>
      <c r="G1289" t="s">
        <v>20</v>
      </c>
      <c r="H1289" t="s">
        <v>95</v>
      </c>
      <c r="I1289" t="s">
        <v>43</v>
      </c>
      <c r="J1289">
        <v>2020</v>
      </c>
      <c r="K1289" t="s">
        <v>59</v>
      </c>
      <c r="L1289" t="s">
        <v>363</v>
      </c>
      <c r="N1289" t="s">
        <v>99</v>
      </c>
      <c r="AI1289">
        <f t="shared" si="41"/>
        <v>1</v>
      </c>
      <c r="AJ1289">
        <f>'TABLA PREVIOS'!E1289</f>
        <v>231</v>
      </c>
      <c r="AK1289">
        <f>VLOOKUP(E1289,ALUMNOS!A:B,2,FALSE)</f>
        <v>432</v>
      </c>
    </row>
    <row r="1290" spans="2:37" x14ac:dyDescent="0.25">
      <c r="B1290" t="str">
        <f t="shared" si="40"/>
        <v>48816232CIENCIAS NATURALES - BIOLOGÍA1º</v>
      </c>
      <c r="E1290">
        <v>48816232</v>
      </c>
      <c r="F1290" t="s">
        <v>477</v>
      </c>
      <c r="G1290" t="s">
        <v>13</v>
      </c>
      <c r="H1290" t="s">
        <v>98</v>
      </c>
      <c r="I1290" t="s">
        <v>43</v>
      </c>
      <c r="J1290">
        <v>2021</v>
      </c>
      <c r="K1290" t="s">
        <v>59</v>
      </c>
      <c r="N1290" t="s">
        <v>99</v>
      </c>
      <c r="AI1290">
        <f t="shared" si="41"/>
        <v>1</v>
      </c>
      <c r="AJ1290">
        <f>'TABLA PREVIOS'!E1290</f>
        <v>221</v>
      </c>
      <c r="AK1290">
        <f>VLOOKUP(E1290,ALUMNOS!A:B,2,FALSE)</f>
        <v>422</v>
      </c>
    </row>
    <row r="1291" spans="2:37" x14ac:dyDescent="0.25">
      <c r="B1291" t="str">
        <f t="shared" si="40"/>
        <v>48816232CIENCIAS NATURALES - FÍSICA1º</v>
      </c>
      <c r="E1291">
        <v>48816232</v>
      </c>
      <c r="F1291" t="s">
        <v>477</v>
      </c>
      <c r="G1291" t="s">
        <v>14</v>
      </c>
      <c r="H1291" t="s">
        <v>98</v>
      </c>
      <c r="I1291" t="s">
        <v>43</v>
      </c>
      <c r="J1291">
        <v>2021</v>
      </c>
      <c r="K1291" t="s">
        <v>59</v>
      </c>
      <c r="N1291" t="s">
        <v>99</v>
      </c>
      <c r="AI1291">
        <f t="shared" si="41"/>
        <v>1</v>
      </c>
      <c r="AJ1291">
        <f>'TABLA PREVIOS'!E1291</f>
        <v>222</v>
      </c>
      <c r="AK1291">
        <f>VLOOKUP(E1291,ALUMNOS!A:B,2,FALSE)</f>
        <v>422</v>
      </c>
    </row>
    <row r="1292" spans="2:37" x14ac:dyDescent="0.25">
      <c r="B1292" t="str">
        <f t="shared" si="40"/>
        <v>48816232LENGUA Y LITERATURA1º</v>
      </c>
      <c r="E1292">
        <v>48816232</v>
      </c>
      <c r="F1292" t="s">
        <v>477</v>
      </c>
      <c r="G1292" t="s">
        <v>11</v>
      </c>
      <c r="H1292" t="s">
        <v>98</v>
      </c>
      <c r="I1292" t="s">
        <v>43</v>
      </c>
      <c r="J1292">
        <v>2021</v>
      </c>
      <c r="K1292" t="s">
        <v>59</v>
      </c>
      <c r="N1292" t="s">
        <v>99</v>
      </c>
      <c r="AI1292">
        <f t="shared" si="41"/>
        <v>1</v>
      </c>
      <c r="AJ1292">
        <f>'TABLA PREVIOS'!E1292</f>
        <v>219</v>
      </c>
      <c r="AK1292">
        <f>VLOOKUP(E1292,ALUMNOS!A:B,2,FALSE)</f>
        <v>422</v>
      </c>
    </row>
    <row r="1293" spans="2:37" x14ac:dyDescent="0.25">
      <c r="B1293" t="str">
        <f t="shared" si="40"/>
        <v>44607525HISTORIA3º</v>
      </c>
      <c r="E1293">
        <v>44607525</v>
      </c>
      <c r="F1293" t="s">
        <v>478</v>
      </c>
      <c r="G1293" t="s">
        <v>27</v>
      </c>
      <c r="H1293" t="s">
        <v>143</v>
      </c>
      <c r="I1293" t="s">
        <v>43</v>
      </c>
      <c r="J1293">
        <v>2019</v>
      </c>
      <c r="K1293" t="s">
        <v>59</v>
      </c>
      <c r="L1293" t="s">
        <v>465</v>
      </c>
      <c r="N1293" t="s">
        <v>99</v>
      </c>
      <c r="AI1293">
        <f t="shared" si="41"/>
        <v>1</v>
      </c>
      <c r="AJ1293">
        <f>'TABLA PREVIOS'!E1293</f>
        <v>244</v>
      </c>
      <c r="AK1293">
        <f>VLOOKUP(E1293,ALUMNOS!A:B,2,FALSE)</f>
        <v>424</v>
      </c>
    </row>
    <row r="1294" spans="2:37" x14ac:dyDescent="0.25">
      <c r="B1294" t="str">
        <f t="shared" si="40"/>
        <v>44607491GEOGRAFÍA4º</v>
      </c>
      <c r="E1294">
        <v>44607491</v>
      </c>
      <c r="F1294" t="s">
        <v>479</v>
      </c>
      <c r="G1294" t="s">
        <v>26</v>
      </c>
      <c r="H1294" t="s">
        <v>190</v>
      </c>
      <c r="I1294" t="s">
        <v>43</v>
      </c>
      <c r="J1294">
        <v>2020</v>
      </c>
      <c r="K1294" t="s">
        <v>60</v>
      </c>
      <c r="L1294" t="s">
        <v>465</v>
      </c>
      <c r="N1294" t="s">
        <v>99</v>
      </c>
      <c r="AI1294">
        <f t="shared" si="41"/>
        <v>1</v>
      </c>
      <c r="AJ1294">
        <f>'TABLA PREVIOS'!E1294</f>
        <v>254</v>
      </c>
      <c r="AK1294">
        <f>VLOOKUP(E1294,ALUMNOS!A:B,2,FALSE)</f>
        <v>439</v>
      </c>
    </row>
    <row r="1295" spans="2:37" x14ac:dyDescent="0.25">
      <c r="B1295" t="str">
        <f t="shared" si="40"/>
        <v>44607491LENGUA EXTRANJERA - INGLÉS4º</v>
      </c>
      <c r="E1295">
        <v>44607491</v>
      </c>
      <c r="F1295" t="s">
        <v>479</v>
      </c>
      <c r="G1295" t="s">
        <v>16</v>
      </c>
      <c r="H1295" t="s">
        <v>190</v>
      </c>
      <c r="I1295" t="s">
        <v>43</v>
      </c>
      <c r="J1295">
        <v>2020</v>
      </c>
      <c r="K1295" t="s">
        <v>60</v>
      </c>
      <c r="L1295" t="s">
        <v>465</v>
      </c>
      <c r="N1295" t="s">
        <v>99</v>
      </c>
      <c r="AI1295">
        <f t="shared" si="41"/>
        <v>1</v>
      </c>
      <c r="AJ1295">
        <f>'TABLA PREVIOS'!E1295</f>
        <v>256</v>
      </c>
      <c r="AK1295">
        <f>VLOOKUP(E1295,ALUMNOS!A:B,2,FALSE)</f>
        <v>439</v>
      </c>
    </row>
    <row r="1296" spans="2:37" x14ac:dyDescent="0.25">
      <c r="B1296" t="str">
        <f t="shared" si="40"/>
        <v>47774034LENGUA EXTRANJERA - INGLÉS2º</v>
      </c>
      <c r="E1296">
        <v>47774034</v>
      </c>
      <c r="F1296" t="s">
        <v>480</v>
      </c>
      <c r="G1296" t="s">
        <v>16</v>
      </c>
      <c r="H1296" t="s">
        <v>95</v>
      </c>
      <c r="I1296" t="s">
        <v>43</v>
      </c>
      <c r="J1296">
        <v>2022</v>
      </c>
      <c r="K1296" t="s">
        <v>59</v>
      </c>
      <c r="N1296" t="s">
        <v>99</v>
      </c>
      <c r="AI1296">
        <f t="shared" si="41"/>
        <v>1</v>
      </c>
      <c r="AJ1296">
        <f>'TABLA PREVIOS'!E1296</f>
        <v>234</v>
      </c>
      <c r="AK1296">
        <f>VLOOKUP(E1296,ALUMNOS!A:B,2,FALSE)</f>
        <v>440</v>
      </c>
    </row>
    <row r="1297" spans="2:37" x14ac:dyDescent="0.25">
      <c r="B1297" t="str">
        <f t="shared" si="40"/>
        <v>47774034MATEMÁTICA2º</v>
      </c>
      <c r="E1297">
        <v>47774034</v>
      </c>
      <c r="F1297" t="s">
        <v>480</v>
      </c>
      <c r="G1297" t="s">
        <v>12</v>
      </c>
      <c r="H1297" t="s">
        <v>95</v>
      </c>
      <c r="I1297" t="s">
        <v>43</v>
      </c>
      <c r="J1297">
        <v>2022</v>
      </c>
      <c r="K1297" t="s">
        <v>59</v>
      </c>
      <c r="N1297" t="s">
        <v>99</v>
      </c>
      <c r="AI1297">
        <f t="shared" si="41"/>
        <v>1</v>
      </c>
      <c r="AJ1297">
        <f>'TABLA PREVIOS'!E1297</f>
        <v>230</v>
      </c>
      <c r="AK1297">
        <f>VLOOKUP(E1297,ALUMNOS!A:B,2,FALSE)</f>
        <v>440</v>
      </c>
    </row>
    <row r="1298" spans="2:37" x14ac:dyDescent="0.25">
      <c r="B1298" t="str">
        <f t="shared" si="40"/>
        <v>46035124LENGUA EXTRANJERA - INGLÉS2º</v>
      </c>
      <c r="E1298">
        <v>46035124</v>
      </c>
      <c r="F1298" t="s">
        <v>481</v>
      </c>
      <c r="G1298" t="s">
        <v>16</v>
      </c>
      <c r="H1298" t="s">
        <v>95</v>
      </c>
      <c r="I1298" t="s">
        <v>43</v>
      </c>
      <c r="J1298">
        <v>2019</v>
      </c>
      <c r="K1298" t="s">
        <v>59</v>
      </c>
      <c r="L1298" t="s">
        <v>417</v>
      </c>
      <c r="N1298" t="s">
        <v>99</v>
      </c>
      <c r="AI1298">
        <f t="shared" si="41"/>
        <v>1</v>
      </c>
      <c r="AJ1298">
        <f>'TABLA PREVIOS'!E1298</f>
        <v>234</v>
      </c>
      <c r="AK1298">
        <f>VLOOKUP(E1298,ALUMNOS!A:B,2,FALSE)</f>
        <v>444</v>
      </c>
    </row>
    <row r="1299" spans="2:37" x14ac:dyDescent="0.25">
      <c r="B1299" t="str">
        <f t="shared" si="40"/>
        <v>46035124HISTORIA3º</v>
      </c>
      <c r="E1299">
        <v>46035124</v>
      </c>
      <c r="F1299" t="s">
        <v>481</v>
      </c>
      <c r="G1299" t="s">
        <v>27</v>
      </c>
      <c r="H1299" t="s">
        <v>143</v>
      </c>
      <c r="I1299" t="s">
        <v>43</v>
      </c>
      <c r="J1299">
        <v>2020</v>
      </c>
      <c r="K1299" t="s">
        <v>59</v>
      </c>
      <c r="L1299" t="s">
        <v>417</v>
      </c>
      <c r="N1299" t="s">
        <v>99</v>
      </c>
      <c r="AI1299">
        <f t="shared" si="41"/>
        <v>1</v>
      </c>
      <c r="AJ1299">
        <f>'TABLA PREVIOS'!E1299</f>
        <v>244</v>
      </c>
      <c r="AK1299">
        <f>VLOOKUP(E1299,ALUMNOS!A:B,2,FALSE)</f>
        <v>444</v>
      </c>
    </row>
    <row r="1300" spans="2:37" x14ac:dyDescent="0.25">
      <c r="B1300" t="str">
        <f t="shared" si="40"/>
        <v>46035124LENGUA EXTRANJERA - INGLÉS3º</v>
      </c>
      <c r="E1300">
        <v>46035124</v>
      </c>
      <c r="F1300" t="s">
        <v>481</v>
      </c>
      <c r="G1300" t="s">
        <v>16</v>
      </c>
      <c r="H1300" t="s">
        <v>143</v>
      </c>
      <c r="I1300" t="s">
        <v>43</v>
      </c>
      <c r="J1300">
        <v>2020</v>
      </c>
      <c r="K1300" t="s">
        <v>59</v>
      </c>
      <c r="L1300" t="s">
        <v>417</v>
      </c>
      <c r="N1300" t="s">
        <v>99</v>
      </c>
      <c r="AI1300">
        <f t="shared" si="41"/>
        <v>1</v>
      </c>
      <c r="AJ1300">
        <f>'TABLA PREVIOS'!E1300</f>
        <v>245</v>
      </c>
      <c r="AK1300">
        <f>VLOOKUP(E1300,ALUMNOS!A:B,2,FALSE)</f>
        <v>444</v>
      </c>
    </row>
    <row r="1301" spans="2:37" x14ac:dyDescent="0.25">
      <c r="B1301" t="str">
        <f t="shared" si="40"/>
        <v>48719981CIENCIAS NATURALES - BIOLOGÍA1º</v>
      </c>
      <c r="E1301">
        <v>48719981</v>
      </c>
      <c r="F1301" t="s">
        <v>482</v>
      </c>
      <c r="G1301" t="s">
        <v>13</v>
      </c>
      <c r="H1301" t="s">
        <v>98</v>
      </c>
      <c r="I1301" t="s">
        <v>43</v>
      </c>
      <c r="J1301">
        <v>2021</v>
      </c>
      <c r="K1301" t="s">
        <v>59</v>
      </c>
      <c r="N1301" t="s">
        <v>99</v>
      </c>
      <c r="AI1301">
        <f t="shared" si="41"/>
        <v>1</v>
      </c>
      <c r="AJ1301">
        <f>'TABLA PREVIOS'!E1301</f>
        <v>221</v>
      </c>
      <c r="AK1301">
        <f>VLOOKUP(E1301,ALUMNOS!A:B,2,FALSE)</f>
        <v>456</v>
      </c>
    </row>
    <row r="1302" spans="2:37" x14ac:dyDescent="0.25">
      <c r="B1302" t="str">
        <f t="shared" si="40"/>
        <v>48719981CIENCIAS NATURALES - FÍSICA1º</v>
      </c>
      <c r="E1302">
        <v>48719981</v>
      </c>
      <c r="F1302" t="s">
        <v>482</v>
      </c>
      <c r="G1302" t="s">
        <v>14</v>
      </c>
      <c r="H1302" t="s">
        <v>98</v>
      </c>
      <c r="I1302" t="s">
        <v>43</v>
      </c>
      <c r="J1302">
        <v>2021</v>
      </c>
      <c r="K1302" t="s">
        <v>59</v>
      </c>
      <c r="N1302" t="s">
        <v>99</v>
      </c>
      <c r="AI1302">
        <f t="shared" si="41"/>
        <v>1</v>
      </c>
      <c r="AJ1302">
        <f>'TABLA PREVIOS'!E1302</f>
        <v>222</v>
      </c>
      <c r="AK1302">
        <f>VLOOKUP(E1302,ALUMNOS!A:B,2,FALSE)</f>
        <v>456</v>
      </c>
    </row>
    <row r="1303" spans="2:37" x14ac:dyDescent="0.25">
      <c r="B1303" t="str">
        <f t="shared" si="40"/>
        <v>48719981LENGUA EXTRANJERA - INGLÉS1º</v>
      </c>
      <c r="E1303">
        <v>48719981</v>
      </c>
      <c r="F1303" t="s">
        <v>482</v>
      </c>
      <c r="G1303" t="s">
        <v>16</v>
      </c>
      <c r="H1303" t="s">
        <v>98</v>
      </c>
      <c r="I1303" t="s">
        <v>43</v>
      </c>
      <c r="J1303">
        <v>2021</v>
      </c>
      <c r="K1303" t="s">
        <v>59</v>
      </c>
      <c r="N1303" t="s">
        <v>99</v>
      </c>
      <c r="AI1303">
        <f t="shared" si="41"/>
        <v>1</v>
      </c>
      <c r="AJ1303">
        <f>'TABLA PREVIOS'!E1303</f>
        <v>224</v>
      </c>
      <c r="AK1303">
        <f>VLOOKUP(E1303,ALUMNOS!A:B,2,FALSE)</f>
        <v>456</v>
      </c>
    </row>
    <row r="1304" spans="2:37" x14ac:dyDescent="0.25">
      <c r="B1304" t="str">
        <f t="shared" si="40"/>
        <v>48719981MATEMÁTICA1º</v>
      </c>
      <c r="E1304">
        <v>48719981</v>
      </c>
      <c r="F1304" t="s">
        <v>482</v>
      </c>
      <c r="G1304" t="s">
        <v>12</v>
      </c>
      <c r="H1304" t="s">
        <v>98</v>
      </c>
      <c r="I1304" t="s">
        <v>43</v>
      </c>
      <c r="J1304">
        <v>2021</v>
      </c>
      <c r="K1304" t="s">
        <v>59</v>
      </c>
      <c r="M1304" t="s">
        <v>411</v>
      </c>
      <c r="N1304" t="s">
        <v>99</v>
      </c>
      <c r="AI1304">
        <f t="shared" si="41"/>
        <v>1</v>
      </c>
      <c r="AJ1304">
        <f>'TABLA PREVIOS'!E1304</f>
        <v>220</v>
      </c>
      <c r="AK1304">
        <f>VLOOKUP(E1304,ALUMNOS!A:B,2,FALSE)</f>
        <v>456</v>
      </c>
    </row>
    <row r="1305" spans="2:37" x14ac:dyDescent="0.25">
      <c r="B1305" t="str">
        <f t="shared" si="40"/>
        <v>46509011GEOGRAFÍA3º</v>
      </c>
      <c r="E1305">
        <v>46509011</v>
      </c>
      <c r="F1305" t="s">
        <v>483</v>
      </c>
      <c r="G1305" t="s">
        <v>26</v>
      </c>
      <c r="H1305" t="s">
        <v>143</v>
      </c>
      <c r="I1305" t="s">
        <v>43</v>
      </c>
      <c r="J1305">
        <v>2021</v>
      </c>
      <c r="K1305" t="s">
        <v>59</v>
      </c>
      <c r="L1305" t="s">
        <v>372</v>
      </c>
      <c r="N1305" t="s">
        <v>99</v>
      </c>
      <c r="AI1305">
        <f t="shared" si="41"/>
        <v>1</v>
      </c>
      <c r="AJ1305">
        <f>'TABLA PREVIOS'!E1305</f>
        <v>243</v>
      </c>
      <c r="AK1305">
        <f>VLOOKUP(E1305,ALUMNOS!A:B,2,FALSE)</f>
        <v>465</v>
      </c>
    </row>
    <row r="1306" spans="2:37" x14ac:dyDescent="0.25">
      <c r="B1306" t="str">
        <f t="shared" si="40"/>
        <v>46509011HISTORIA3º</v>
      </c>
      <c r="E1306">
        <v>46509011</v>
      </c>
      <c r="F1306" t="s">
        <v>483</v>
      </c>
      <c r="G1306" t="s">
        <v>27</v>
      </c>
      <c r="H1306" t="s">
        <v>143</v>
      </c>
      <c r="I1306" t="s">
        <v>43</v>
      </c>
      <c r="J1306">
        <v>2021</v>
      </c>
      <c r="K1306" t="s">
        <v>59</v>
      </c>
      <c r="L1306" t="s">
        <v>372</v>
      </c>
      <c r="N1306" t="s">
        <v>99</v>
      </c>
      <c r="AI1306">
        <f t="shared" si="41"/>
        <v>1</v>
      </c>
      <c r="AJ1306">
        <f>'TABLA PREVIOS'!E1306</f>
        <v>244</v>
      </c>
      <c r="AK1306">
        <f>VLOOKUP(E1306,ALUMNOS!A:B,2,FALSE)</f>
        <v>465</v>
      </c>
    </row>
    <row r="1307" spans="2:37" x14ac:dyDescent="0.25">
      <c r="B1307" t="str">
        <f t="shared" si="40"/>
        <v>46509011LENGUA EXTRANJERA - INGLÉS3º</v>
      </c>
      <c r="E1307">
        <v>46509011</v>
      </c>
      <c r="F1307" t="s">
        <v>483</v>
      </c>
      <c r="G1307" t="s">
        <v>16</v>
      </c>
      <c r="H1307" t="s">
        <v>143</v>
      </c>
      <c r="I1307" t="s">
        <v>43</v>
      </c>
      <c r="J1307">
        <v>2021</v>
      </c>
      <c r="K1307" t="s">
        <v>59</v>
      </c>
      <c r="L1307" t="s">
        <v>372</v>
      </c>
      <c r="N1307" t="s">
        <v>99</v>
      </c>
      <c r="AI1307">
        <f t="shared" si="41"/>
        <v>1</v>
      </c>
      <c r="AJ1307">
        <f>'TABLA PREVIOS'!E1307</f>
        <v>245</v>
      </c>
      <c r="AK1307">
        <f>VLOOKUP(E1307,ALUMNOS!A:B,2,FALSE)</f>
        <v>465</v>
      </c>
    </row>
    <row r="1308" spans="2:37" x14ac:dyDescent="0.25">
      <c r="B1308" t="str">
        <f t="shared" si="40"/>
        <v>45349570CIENCIAS SOCIALES - HISTORIA2º</v>
      </c>
      <c r="E1308">
        <v>45349570</v>
      </c>
      <c r="F1308" t="s">
        <v>484</v>
      </c>
      <c r="G1308" t="s">
        <v>22</v>
      </c>
      <c r="H1308" t="s">
        <v>95</v>
      </c>
      <c r="I1308" t="s">
        <v>43</v>
      </c>
      <c r="J1308">
        <v>2019</v>
      </c>
      <c r="K1308" t="s">
        <v>59</v>
      </c>
      <c r="L1308" t="s">
        <v>420</v>
      </c>
      <c r="N1308" t="s">
        <v>99</v>
      </c>
      <c r="AI1308">
        <f t="shared" si="41"/>
        <v>1</v>
      </c>
      <c r="AJ1308">
        <f>'TABLA PREVIOS'!E1308</f>
        <v>233</v>
      </c>
      <c r="AK1308">
        <f>VLOOKUP(E1308,ALUMNOS!A:B,2,FALSE)</f>
        <v>466</v>
      </c>
    </row>
    <row r="1309" spans="2:37" x14ac:dyDescent="0.25">
      <c r="B1309" t="str">
        <f t="shared" si="40"/>
        <v>45349570LENGUA EXTRANJERA - INGLÉS2º</v>
      </c>
      <c r="E1309">
        <v>45349570</v>
      </c>
      <c r="F1309" t="s">
        <v>484</v>
      </c>
      <c r="G1309" t="s">
        <v>16</v>
      </c>
      <c r="H1309" t="s">
        <v>95</v>
      </c>
      <c r="I1309" t="s">
        <v>43</v>
      </c>
      <c r="J1309">
        <v>2019</v>
      </c>
      <c r="K1309" t="s">
        <v>59</v>
      </c>
      <c r="L1309" t="s">
        <v>485</v>
      </c>
      <c r="N1309" t="s">
        <v>99</v>
      </c>
      <c r="AI1309">
        <f t="shared" si="41"/>
        <v>1</v>
      </c>
      <c r="AJ1309">
        <f>'TABLA PREVIOS'!E1309</f>
        <v>234</v>
      </c>
      <c r="AK1309">
        <f>VLOOKUP(E1309,ALUMNOS!A:B,2,FALSE)</f>
        <v>466</v>
      </c>
    </row>
    <row r="1310" spans="2:37" x14ac:dyDescent="0.25">
      <c r="B1310" t="str">
        <f t="shared" si="40"/>
        <v>47989246CIENCIAS SOCIALES - HISTORIA2º</v>
      </c>
      <c r="E1310">
        <v>47989246</v>
      </c>
      <c r="F1310" t="s">
        <v>486</v>
      </c>
      <c r="G1310" t="s">
        <v>22</v>
      </c>
      <c r="H1310" t="s">
        <v>95</v>
      </c>
      <c r="I1310" t="s">
        <v>43</v>
      </c>
      <c r="J1310">
        <v>2021</v>
      </c>
      <c r="K1310" t="s">
        <v>59</v>
      </c>
      <c r="N1310" t="s">
        <v>99</v>
      </c>
      <c r="AI1310">
        <f t="shared" si="41"/>
        <v>1</v>
      </c>
      <c r="AJ1310">
        <f>'TABLA PREVIOS'!E1310</f>
        <v>233</v>
      </c>
      <c r="AK1310">
        <f>VLOOKUP(E1310,ALUMNOS!A:B,2,FALSE)</f>
        <v>471</v>
      </c>
    </row>
    <row r="1311" spans="2:37" x14ac:dyDescent="0.25">
      <c r="B1311" t="str">
        <f t="shared" si="40"/>
        <v>47989246CIUDADANÍA Y PARTICIPACIÓN2º</v>
      </c>
      <c r="E1311">
        <v>47989246</v>
      </c>
      <c r="F1311" t="s">
        <v>486</v>
      </c>
      <c r="G1311" t="s">
        <v>19</v>
      </c>
      <c r="H1311" t="s">
        <v>95</v>
      </c>
      <c r="I1311" t="s">
        <v>43</v>
      </c>
      <c r="J1311">
        <v>2021</v>
      </c>
      <c r="K1311" t="s">
        <v>59</v>
      </c>
      <c r="N1311" t="s">
        <v>99</v>
      </c>
      <c r="AI1311">
        <f t="shared" si="41"/>
        <v>1</v>
      </c>
      <c r="AJ1311">
        <f>'TABLA PREVIOS'!E1311</f>
        <v>237</v>
      </c>
      <c r="AK1311">
        <f>VLOOKUP(E1311,ALUMNOS!A:B,2,FALSE)</f>
        <v>471</v>
      </c>
    </row>
    <row r="1312" spans="2:37" x14ac:dyDescent="0.25">
      <c r="B1312" t="str">
        <f t="shared" si="40"/>
        <v>47989246LENGUA EXTRANJERA - INGLÉS2º</v>
      </c>
      <c r="E1312">
        <v>47989246</v>
      </c>
      <c r="F1312" t="s">
        <v>486</v>
      </c>
      <c r="G1312" t="s">
        <v>16</v>
      </c>
      <c r="H1312" t="s">
        <v>95</v>
      </c>
      <c r="I1312" t="s">
        <v>43</v>
      </c>
      <c r="J1312">
        <v>2021</v>
      </c>
      <c r="K1312" t="s">
        <v>59</v>
      </c>
      <c r="M1312" t="s">
        <v>216</v>
      </c>
      <c r="N1312" t="s">
        <v>99</v>
      </c>
      <c r="AI1312">
        <f t="shared" si="41"/>
        <v>1</v>
      </c>
      <c r="AJ1312">
        <f>'TABLA PREVIOS'!E1312</f>
        <v>234</v>
      </c>
      <c r="AK1312">
        <f>VLOOKUP(E1312,ALUMNOS!A:B,2,FALSE)</f>
        <v>471</v>
      </c>
    </row>
    <row r="1313" spans="2:37" x14ac:dyDescent="0.25">
      <c r="B1313" t="str">
        <f t="shared" si="40"/>
        <v>47989246MATEMÁTICA2º</v>
      </c>
      <c r="E1313">
        <v>47989246</v>
      </c>
      <c r="F1313" t="s">
        <v>486</v>
      </c>
      <c r="G1313" t="s">
        <v>12</v>
      </c>
      <c r="H1313" t="s">
        <v>95</v>
      </c>
      <c r="I1313" t="s">
        <v>43</v>
      </c>
      <c r="J1313">
        <v>2021</v>
      </c>
      <c r="K1313" t="s">
        <v>59</v>
      </c>
      <c r="N1313" t="s">
        <v>99</v>
      </c>
      <c r="AI1313">
        <f t="shared" si="41"/>
        <v>1</v>
      </c>
      <c r="AJ1313">
        <f>'TABLA PREVIOS'!E1313</f>
        <v>230</v>
      </c>
      <c r="AK1313">
        <f>VLOOKUP(E1313,ALUMNOS!A:B,2,FALSE)</f>
        <v>471</v>
      </c>
    </row>
    <row r="1314" spans="2:37" x14ac:dyDescent="0.25">
      <c r="B1314" t="str">
        <f t="shared" si="40"/>
        <v>47665585LENGUA EXTRANJERA - INGLÉS1º</v>
      </c>
      <c r="E1314">
        <v>47665585</v>
      </c>
      <c r="F1314" t="s">
        <v>487</v>
      </c>
      <c r="G1314" t="s">
        <v>16</v>
      </c>
      <c r="H1314" t="s">
        <v>98</v>
      </c>
      <c r="I1314" t="s">
        <v>43</v>
      </c>
      <c r="J1314">
        <v>2020</v>
      </c>
      <c r="K1314" t="s">
        <v>59</v>
      </c>
      <c r="L1314" t="s">
        <v>111</v>
      </c>
      <c r="N1314" t="s">
        <v>99</v>
      </c>
      <c r="AI1314">
        <f t="shared" si="41"/>
        <v>1</v>
      </c>
      <c r="AJ1314">
        <f>'TABLA PREVIOS'!E1314</f>
        <v>224</v>
      </c>
      <c r="AK1314">
        <f>VLOOKUP(E1314,ALUMNOS!A:B,2,FALSE)</f>
        <v>481</v>
      </c>
    </row>
    <row r="1315" spans="2:37" x14ac:dyDescent="0.25">
      <c r="B1315" t="str">
        <f t="shared" si="40"/>
        <v>47665585LENGUA Y LITERATURA1º</v>
      </c>
      <c r="E1315">
        <v>47665585</v>
      </c>
      <c r="F1315" t="s">
        <v>487</v>
      </c>
      <c r="G1315" t="s">
        <v>11</v>
      </c>
      <c r="H1315" t="s">
        <v>98</v>
      </c>
      <c r="I1315" t="s">
        <v>43</v>
      </c>
      <c r="J1315">
        <v>2020</v>
      </c>
      <c r="K1315" t="s">
        <v>59</v>
      </c>
      <c r="N1315" t="s">
        <v>99</v>
      </c>
      <c r="AI1315">
        <f t="shared" si="41"/>
        <v>1</v>
      </c>
      <c r="AJ1315">
        <f>'TABLA PREVIOS'!E1315</f>
        <v>219</v>
      </c>
      <c r="AK1315">
        <f>VLOOKUP(E1315,ALUMNOS!A:B,2,FALSE)</f>
        <v>481</v>
      </c>
    </row>
    <row r="1316" spans="2:37" x14ac:dyDescent="0.25">
      <c r="B1316" t="str">
        <f t="shared" si="40"/>
        <v>46035116LENGUA EXTRANJERA - INGLÉS1º</v>
      </c>
      <c r="E1316">
        <v>46035116</v>
      </c>
      <c r="F1316" t="s">
        <v>488</v>
      </c>
      <c r="G1316" t="s">
        <v>16</v>
      </c>
      <c r="H1316" t="s">
        <v>98</v>
      </c>
      <c r="I1316" t="s">
        <v>43</v>
      </c>
      <c r="J1316">
        <v>2019</v>
      </c>
      <c r="K1316" t="s">
        <v>59</v>
      </c>
      <c r="L1316" t="s">
        <v>372</v>
      </c>
      <c r="N1316" t="s">
        <v>99</v>
      </c>
      <c r="AI1316">
        <f t="shared" si="41"/>
        <v>1</v>
      </c>
      <c r="AJ1316">
        <f>'TABLA PREVIOS'!E1316</f>
        <v>224</v>
      </c>
      <c r="AK1316">
        <f>VLOOKUP(E1316,ALUMNOS!A:B,2,FALSE)</f>
        <v>492</v>
      </c>
    </row>
    <row r="1317" spans="2:37" x14ac:dyDescent="0.25">
      <c r="B1317" t="str">
        <f t="shared" si="40"/>
        <v>46035116EDUCACIÓN FÍSICA2º</v>
      </c>
      <c r="E1317">
        <v>46035116</v>
      </c>
      <c r="F1317" t="s">
        <v>488</v>
      </c>
      <c r="G1317" t="s">
        <v>10</v>
      </c>
      <c r="H1317" t="s">
        <v>95</v>
      </c>
      <c r="I1317" t="s">
        <v>43</v>
      </c>
      <c r="J1317">
        <v>2020</v>
      </c>
      <c r="K1317" t="s">
        <v>59</v>
      </c>
      <c r="N1317" t="s">
        <v>99</v>
      </c>
      <c r="AI1317">
        <f t="shared" si="41"/>
        <v>1</v>
      </c>
      <c r="AJ1317">
        <f>'TABLA PREVIOS'!E1317</f>
        <v>228</v>
      </c>
      <c r="AK1317">
        <f>VLOOKUP(E1317,ALUMNOS!A:B,2,FALSE)</f>
        <v>492</v>
      </c>
    </row>
    <row r="1318" spans="2:37" x14ac:dyDescent="0.25">
      <c r="B1318" t="str">
        <f t="shared" si="40"/>
        <v>46035116LENGUA Y LITERATURA3º</v>
      </c>
      <c r="E1318">
        <v>46035116</v>
      </c>
      <c r="F1318" t="s">
        <v>488</v>
      </c>
      <c r="G1318" t="s">
        <v>11</v>
      </c>
      <c r="H1318" t="s">
        <v>143</v>
      </c>
      <c r="I1318" t="s">
        <v>43</v>
      </c>
      <c r="J1318">
        <v>2021</v>
      </c>
      <c r="K1318" t="s">
        <v>59</v>
      </c>
      <c r="M1318" t="s">
        <v>229</v>
      </c>
      <c r="N1318" t="s">
        <v>99</v>
      </c>
      <c r="AI1318">
        <f t="shared" si="41"/>
        <v>1</v>
      </c>
      <c r="AJ1318">
        <f>'TABLA PREVIOS'!E1318</f>
        <v>239</v>
      </c>
      <c r="AK1318">
        <f>VLOOKUP(E1318,ALUMNOS!A:B,2,FALSE)</f>
        <v>492</v>
      </c>
    </row>
    <row r="1319" spans="2:37" x14ac:dyDescent="0.25">
      <c r="B1319" t="str">
        <f t="shared" si="40"/>
        <v>47665558LENGUA EXTRANJERA - INGLÉS3º</v>
      </c>
      <c r="E1319">
        <v>47665558</v>
      </c>
      <c r="F1319" t="s">
        <v>489</v>
      </c>
      <c r="G1319" t="s">
        <v>16</v>
      </c>
      <c r="H1319" t="s">
        <v>143</v>
      </c>
      <c r="I1319" t="s">
        <v>43</v>
      </c>
      <c r="J1319">
        <v>2021</v>
      </c>
      <c r="K1319" t="s">
        <v>59</v>
      </c>
      <c r="N1319" t="s">
        <v>99</v>
      </c>
      <c r="AI1319">
        <f t="shared" si="41"/>
        <v>1</v>
      </c>
      <c r="AJ1319">
        <f>'TABLA PREVIOS'!E1319</f>
        <v>245</v>
      </c>
      <c r="AK1319">
        <f>VLOOKUP(E1319,ALUMNOS!A:B,2,FALSE)</f>
        <v>500</v>
      </c>
    </row>
    <row r="1320" spans="2:37" x14ac:dyDescent="0.25">
      <c r="B1320" t="str">
        <f t="shared" si="40"/>
        <v>47665558SISTEMAS DE INFORMACIÓN CONTABLE4º</v>
      </c>
      <c r="E1320">
        <v>47665558</v>
      </c>
      <c r="F1320" t="s">
        <v>489</v>
      </c>
      <c r="G1320" t="s">
        <v>29</v>
      </c>
      <c r="H1320" t="s">
        <v>190</v>
      </c>
      <c r="I1320" t="s">
        <v>43</v>
      </c>
      <c r="J1320">
        <v>2022</v>
      </c>
      <c r="K1320" t="s">
        <v>60</v>
      </c>
      <c r="N1320" t="s">
        <v>99</v>
      </c>
      <c r="AI1320">
        <f t="shared" si="41"/>
        <v>1</v>
      </c>
      <c r="AJ1320">
        <f>'TABLA PREVIOS'!E1320</f>
        <v>259</v>
      </c>
      <c r="AK1320">
        <f>VLOOKUP(E1320,ALUMNOS!A:B,2,FALSE)</f>
        <v>500</v>
      </c>
    </row>
    <row r="1321" spans="2:37" x14ac:dyDescent="0.25">
      <c r="B1321" t="str">
        <f t="shared" si="40"/>
        <v>47665558MATEMÁTICA5º</v>
      </c>
      <c r="E1321">
        <v>47665558</v>
      </c>
      <c r="F1321" t="s">
        <v>489</v>
      </c>
      <c r="G1321" t="s">
        <v>12</v>
      </c>
      <c r="H1321" t="s">
        <v>220</v>
      </c>
      <c r="I1321" t="s">
        <v>43</v>
      </c>
      <c r="J1321">
        <v>2023</v>
      </c>
      <c r="K1321" t="s">
        <v>60</v>
      </c>
      <c r="N1321" t="s">
        <v>99</v>
      </c>
      <c r="AI1321">
        <f t="shared" si="41"/>
        <v>1</v>
      </c>
      <c r="AJ1321">
        <f>'TABLA PREVIOS'!E1321</f>
        <v>265</v>
      </c>
      <c r="AK1321">
        <f>VLOOKUP(E1321,ALUMNOS!A:B,2,FALSE)</f>
        <v>500</v>
      </c>
    </row>
    <row r="1322" spans="2:37" x14ac:dyDescent="0.25">
      <c r="B1322" t="str">
        <f t="shared" si="40"/>
        <v>47665558SISTEMAS DE INFORMACIÓN CONTABLE5º</v>
      </c>
      <c r="E1322">
        <v>47665558</v>
      </c>
      <c r="F1322" t="s">
        <v>489</v>
      </c>
      <c r="G1322" t="s">
        <v>29</v>
      </c>
      <c r="H1322" t="s">
        <v>220</v>
      </c>
      <c r="I1322" t="s">
        <v>43</v>
      </c>
      <c r="J1322">
        <v>2023</v>
      </c>
      <c r="K1322" t="s">
        <v>60</v>
      </c>
      <c r="N1322" t="s">
        <v>99</v>
      </c>
      <c r="AI1322">
        <f t="shared" si="41"/>
        <v>1</v>
      </c>
      <c r="AJ1322">
        <f>'TABLA PREVIOS'!E1322</f>
        <v>273</v>
      </c>
      <c r="AK1322">
        <f>VLOOKUP(E1322,ALUMNOS!A:B,2,FALSE)</f>
        <v>500</v>
      </c>
    </row>
    <row r="1323" spans="2:37" x14ac:dyDescent="0.25">
      <c r="B1323" t="str">
        <f t="shared" si="40"/>
        <v>46509096ADMINISTRACIÓN4º</v>
      </c>
      <c r="E1323">
        <v>46509096</v>
      </c>
      <c r="F1323" t="s">
        <v>490</v>
      </c>
      <c r="G1323" t="s">
        <v>30</v>
      </c>
      <c r="H1323" t="s">
        <v>190</v>
      </c>
      <c r="I1323" t="s">
        <v>43</v>
      </c>
      <c r="J1323">
        <v>2021</v>
      </c>
      <c r="K1323" t="s">
        <v>60</v>
      </c>
      <c r="M1323" t="s">
        <v>491</v>
      </c>
      <c r="N1323" t="s">
        <v>99</v>
      </c>
      <c r="AI1323">
        <f t="shared" si="41"/>
        <v>1</v>
      </c>
      <c r="AJ1323">
        <f>'TABLA PREVIOS'!E1323</f>
        <v>260</v>
      </c>
      <c r="AK1323">
        <f>VLOOKUP(E1323,ALUMNOS!A:B,2,FALSE)</f>
        <v>502</v>
      </c>
    </row>
    <row r="1324" spans="2:37" x14ac:dyDescent="0.25">
      <c r="B1324" t="str">
        <f t="shared" si="40"/>
        <v>46509096ADMINISTRACIÓN DE LA PRODUCCIÓN Y COMERCIALIZACIÓN4º</v>
      </c>
      <c r="E1324">
        <v>46509096</v>
      </c>
      <c r="F1324" t="s">
        <v>490</v>
      </c>
      <c r="G1324" t="s">
        <v>32</v>
      </c>
      <c r="H1324" t="s">
        <v>190</v>
      </c>
      <c r="I1324" t="s">
        <v>43</v>
      </c>
      <c r="J1324">
        <v>2021</v>
      </c>
      <c r="K1324" t="s">
        <v>60</v>
      </c>
      <c r="M1324" t="s">
        <v>491</v>
      </c>
      <c r="N1324" t="s">
        <v>99</v>
      </c>
      <c r="AI1324">
        <f t="shared" si="41"/>
        <v>1</v>
      </c>
      <c r="AJ1324">
        <f>'TABLA PREVIOS'!E1324</f>
        <v>262</v>
      </c>
      <c r="AK1324">
        <f>VLOOKUP(E1324,ALUMNOS!A:B,2,FALSE)</f>
        <v>502</v>
      </c>
    </row>
    <row r="1325" spans="2:37" x14ac:dyDescent="0.25">
      <c r="B1325" t="str">
        <f t="shared" si="40"/>
        <v>46509096BIOLOGÍA4º</v>
      </c>
      <c r="E1325">
        <v>46509096</v>
      </c>
      <c r="F1325" t="s">
        <v>490</v>
      </c>
      <c r="G1325" t="s">
        <v>21</v>
      </c>
      <c r="H1325" t="s">
        <v>190</v>
      </c>
      <c r="I1325" t="s">
        <v>43</v>
      </c>
      <c r="J1325">
        <v>2021</v>
      </c>
      <c r="K1325" t="s">
        <v>60</v>
      </c>
      <c r="N1325" t="s">
        <v>99</v>
      </c>
      <c r="AI1325">
        <f t="shared" si="41"/>
        <v>1</v>
      </c>
      <c r="AJ1325">
        <f>'TABLA PREVIOS'!E1325</f>
        <v>253</v>
      </c>
      <c r="AK1325">
        <f>VLOOKUP(E1325,ALUMNOS!A:B,2,FALSE)</f>
        <v>502</v>
      </c>
    </row>
    <row r="1326" spans="2:37" x14ac:dyDescent="0.25">
      <c r="B1326" t="str">
        <f t="shared" si="40"/>
        <v>46509096ECONOMÍA Y DESARROLLO SUSTENTABLE4º</v>
      </c>
      <c r="E1326">
        <v>46509096</v>
      </c>
      <c r="F1326" t="s">
        <v>490</v>
      </c>
      <c r="G1326" t="s">
        <v>31</v>
      </c>
      <c r="H1326" t="s">
        <v>190</v>
      </c>
      <c r="I1326" t="s">
        <v>43</v>
      </c>
      <c r="J1326">
        <v>2021</v>
      </c>
      <c r="K1326" t="s">
        <v>60</v>
      </c>
      <c r="M1326" t="s">
        <v>491</v>
      </c>
      <c r="N1326" t="s">
        <v>99</v>
      </c>
      <c r="AI1326">
        <f t="shared" si="41"/>
        <v>1</v>
      </c>
      <c r="AJ1326">
        <f>'TABLA PREVIOS'!E1326</f>
        <v>261</v>
      </c>
      <c r="AK1326">
        <f>VLOOKUP(E1326,ALUMNOS!A:B,2,FALSE)</f>
        <v>502</v>
      </c>
    </row>
    <row r="1327" spans="2:37" x14ac:dyDescent="0.25">
      <c r="B1327" t="str">
        <f t="shared" si="40"/>
        <v>46509096GEOGRAFÍA4º</v>
      </c>
      <c r="E1327">
        <v>46509096</v>
      </c>
      <c r="F1327" t="s">
        <v>490</v>
      </c>
      <c r="G1327" t="s">
        <v>26</v>
      </c>
      <c r="H1327" t="s">
        <v>190</v>
      </c>
      <c r="I1327" t="s">
        <v>43</v>
      </c>
      <c r="J1327">
        <v>2021</v>
      </c>
      <c r="K1327" t="s">
        <v>60</v>
      </c>
      <c r="N1327" t="s">
        <v>99</v>
      </c>
      <c r="AI1327">
        <f t="shared" si="41"/>
        <v>1</v>
      </c>
      <c r="AJ1327">
        <f>'TABLA PREVIOS'!E1327</f>
        <v>254</v>
      </c>
      <c r="AK1327">
        <f>VLOOKUP(E1327,ALUMNOS!A:B,2,FALSE)</f>
        <v>502</v>
      </c>
    </row>
    <row r="1328" spans="2:37" x14ac:dyDescent="0.25">
      <c r="B1328" t="str">
        <f t="shared" si="40"/>
        <v>46509096HISTORIA4º</v>
      </c>
      <c r="E1328">
        <v>46509096</v>
      </c>
      <c r="F1328" t="s">
        <v>490</v>
      </c>
      <c r="G1328" t="s">
        <v>27</v>
      </c>
      <c r="H1328" t="s">
        <v>190</v>
      </c>
      <c r="I1328" t="s">
        <v>43</v>
      </c>
      <c r="J1328">
        <v>2021</v>
      </c>
      <c r="K1328" t="s">
        <v>60</v>
      </c>
      <c r="N1328" t="s">
        <v>99</v>
      </c>
      <c r="AI1328">
        <f t="shared" si="41"/>
        <v>1</v>
      </c>
      <c r="AJ1328">
        <f>'TABLA PREVIOS'!E1328</f>
        <v>255</v>
      </c>
      <c r="AK1328">
        <f>VLOOKUP(E1328,ALUMNOS!A:B,2,FALSE)</f>
        <v>502</v>
      </c>
    </row>
    <row r="1329" spans="2:37" x14ac:dyDescent="0.25">
      <c r="B1329" t="str">
        <f t="shared" si="40"/>
        <v>46509096SISTEMAS DE INFORMACIÓN CONTABLE4º</v>
      </c>
      <c r="E1329">
        <v>46509096</v>
      </c>
      <c r="F1329" t="s">
        <v>490</v>
      </c>
      <c r="G1329" t="s">
        <v>29</v>
      </c>
      <c r="H1329" t="s">
        <v>190</v>
      </c>
      <c r="I1329" t="s">
        <v>43</v>
      </c>
      <c r="J1329">
        <v>2021</v>
      </c>
      <c r="K1329" t="s">
        <v>60</v>
      </c>
      <c r="M1329" t="s">
        <v>491</v>
      </c>
      <c r="N1329" t="s">
        <v>99</v>
      </c>
      <c r="AI1329">
        <f t="shared" si="41"/>
        <v>1</v>
      </c>
      <c r="AJ1329">
        <f>'TABLA PREVIOS'!E1329</f>
        <v>259</v>
      </c>
      <c r="AK1329">
        <f>VLOOKUP(E1329,ALUMNOS!A:B,2,FALSE)</f>
        <v>502</v>
      </c>
    </row>
    <row r="1330" spans="2:37" x14ac:dyDescent="0.25">
      <c r="B1330" t="str">
        <f t="shared" si="40"/>
        <v>45838458LENGUA EXTRANJERA - INGLÉS2º</v>
      </c>
      <c r="E1330">
        <v>45838458</v>
      </c>
      <c r="F1330" t="s">
        <v>492</v>
      </c>
      <c r="G1330" t="s">
        <v>16</v>
      </c>
      <c r="H1330" t="s">
        <v>95</v>
      </c>
      <c r="I1330" t="s">
        <v>43</v>
      </c>
      <c r="J1330">
        <v>2019</v>
      </c>
      <c r="K1330" t="s">
        <v>59</v>
      </c>
      <c r="L1330" t="s">
        <v>493</v>
      </c>
      <c r="N1330" t="s">
        <v>99</v>
      </c>
      <c r="AI1330">
        <f t="shared" si="41"/>
        <v>1</v>
      </c>
      <c r="AJ1330">
        <f>'TABLA PREVIOS'!E1330</f>
        <v>234</v>
      </c>
      <c r="AK1330">
        <f>VLOOKUP(E1330,ALUMNOS!A:B,2,FALSE)</f>
        <v>514</v>
      </c>
    </row>
    <row r="1331" spans="2:37" x14ac:dyDescent="0.25">
      <c r="B1331" t="str">
        <f t="shared" si="40"/>
        <v>45838458LENGUA EXTRANJERA - INGLÉS3º</v>
      </c>
      <c r="E1331">
        <v>45838458</v>
      </c>
      <c r="F1331" t="s">
        <v>492</v>
      </c>
      <c r="G1331" t="s">
        <v>16</v>
      </c>
      <c r="H1331" t="s">
        <v>143</v>
      </c>
      <c r="I1331" t="s">
        <v>43</v>
      </c>
      <c r="J1331">
        <v>2020</v>
      </c>
      <c r="K1331" t="s">
        <v>59</v>
      </c>
      <c r="L1331" t="s">
        <v>493</v>
      </c>
      <c r="N1331" t="s">
        <v>99</v>
      </c>
      <c r="AI1331">
        <f t="shared" si="41"/>
        <v>1</v>
      </c>
      <c r="AJ1331">
        <f>'TABLA PREVIOS'!E1331</f>
        <v>245</v>
      </c>
      <c r="AK1331">
        <f>VLOOKUP(E1331,ALUMNOS!A:B,2,FALSE)</f>
        <v>514</v>
      </c>
    </row>
    <row r="1332" spans="2:37" x14ac:dyDescent="0.25">
      <c r="B1332" t="str">
        <f t="shared" si="40"/>
        <v>45484423HISTORIA3º</v>
      </c>
      <c r="E1332">
        <v>45484423</v>
      </c>
      <c r="F1332" t="s">
        <v>494</v>
      </c>
      <c r="G1332" t="s">
        <v>27</v>
      </c>
      <c r="H1332" t="s">
        <v>143</v>
      </c>
      <c r="I1332" t="s">
        <v>43</v>
      </c>
      <c r="J1332">
        <v>2020</v>
      </c>
      <c r="K1332" t="s">
        <v>59</v>
      </c>
      <c r="L1332" t="s">
        <v>465</v>
      </c>
      <c r="N1332" t="s">
        <v>99</v>
      </c>
      <c r="AI1332">
        <f t="shared" si="41"/>
        <v>1</v>
      </c>
      <c r="AJ1332">
        <f>'TABLA PREVIOS'!E1332</f>
        <v>244</v>
      </c>
      <c r="AK1332">
        <f>VLOOKUP(E1332,ALUMNOS!A:B,2,FALSE)</f>
        <v>517</v>
      </c>
    </row>
    <row r="1333" spans="2:37" x14ac:dyDescent="0.25">
      <c r="B1333" t="str">
        <f t="shared" si="40"/>
        <v>45484423LENGUA EXTRANJERA - INGLÉS3º</v>
      </c>
      <c r="E1333">
        <v>45484423</v>
      </c>
      <c r="F1333" t="s">
        <v>494</v>
      </c>
      <c r="G1333" t="s">
        <v>16</v>
      </c>
      <c r="H1333" t="s">
        <v>143</v>
      </c>
      <c r="I1333" t="s">
        <v>43</v>
      </c>
      <c r="J1333">
        <v>2020</v>
      </c>
      <c r="K1333" t="s">
        <v>59</v>
      </c>
      <c r="L1333" t="s">
        <v>465</v>
      </c>
      <c r="N1333" t="s">
        <v>99</v>
      </c>
      <c r="AI1333">
        <f t="shared" si="41"/>
        <v>1</v>
      </c>
      <c r="AJ1333">
        <f>'TABLA PREVIOS'!E1333</f>
        <v>245</v>
      </c>
      <c r="AK1333">
        <f>VLOOKUP(E1333,ALUMNOS!A:B,2,FALSE)</f>
        <v>517</v>
      </c>
    </row>
    <row r="1334" spans="2:37" x14ac:dyDescent="0.25">
      <c r="B1334" t="str">
        <f t="shared" si="40"/>
        <v>49455830MATEMÁTICA1º</v>
      </c>
      <c r="E1334">
        <v>49455830</v>
      </c>
      <c r="F1334" t="s">
        <v>495</v>
      </c>
      <c r="G1334" t="s">
        <v>12</v>
      </c>
      <c r="H1334" t="s">
        <v>98</v>
      </c>
      <c r="I1334" t="s">
        <v>43</v>
      </c>
      <c r="J1334">
        <v>2021</v>
      </c>
      <c r="K1334" t="s">
        <v>59</v>
      </c>
      <c r="N1334" t="s">
        <v>99</v>
      </c>
      <c r="AI1334">
        <f t="shared" si="41"/>
        <v>1</v>
      </c>
      <c r="AJ1334">
        <f>'TABLA PREVIOS'!E1334</f>
        <v>220</v>
      </c>
      <c r="AK1334">
        <f>VLOOKUP(E1334,ALUMNOS!A:B,2,FALSE)</f>
        <v>527</v>
      </c>
    </row>
    <row r="1335" spans="2:37" x14ac:dyDescent="0.25">
      <c r="B1335" t="str">
        <f t="shared" si="40"/>
        <v>47989277MATEMÁTICA3º</v>
      </c>
      <c r="E1335">
        <v>47989277</v>
      </c>
      <c r="F1335" t="s">
        <v>496</v>
      </c>
      <c r="G1335" t="s">
        <v>12</v>
      </c>
      <c r="H1335" t="s">
        <v>143</v>
      </c>
      <c r="I1335" t="s">
        <v>43</v>
      </c>
      <c r="J1335">
        <v>2022</v>
      </c>
      <c r="K1335" t="s">
        <v>59</v>
      </c>
      <c r="N1335" t="s">
        <v>99</v>
      </c>
      <c r="AI1335">
        <f t="shared" si="41"/>
        <v>1</v>
      </c>
      <c r="AJ1335">
        <f>'TABLA PREVIOS'!E1335</f>
        <v>240</v>
      </c>
      <c r="AK1335">
        <f>VLOOKUP(E1335,ALUMNOS!A:B,2,FALSE)</f>
        <v>531</v>
      </c>
    </row>
    <row r="1336" spans="2:37" x14ac:dyDescent="0.25">
      <c r="B1336" t="str">
        <f t="shared" si="40"/>
        <v>46721862ECONOMÍA Y DESARROLLO SUSTENTABLE4º</v>
      </c>
      <c r="E1336">
        <v>46721862</v>
      </c>
      <c r="F1336" t="s">
        <v>497</v>
      </c>
      <c r="G1336" t="s">
        <v>31</v>
      </c>
      <c r="H1336" t="s">
        <v>190</v>
      </c>
      <c r="I1336" t="s">
        <v>43</v>
      </c>
      <c r="J1336">
        <v>2022</v>
      </c>
      <c r="K1336" t="s">
        <v>60</v>
      </c>
      <c r="L1336" t="s">
        <v>105</v>
      </c>
      <c r="N1336" t="s">
        <v>99</v>
      </c>
      <c r="AI1336">
        <f t="shared" si="41"/>
        <v>1</v>
      </c>
      <c r="AJ1336">
        <f>'TABLA PREVIOS'!E1336</f>
        <v>261</v>
      </c>
      <c r="AK1336">
        <f>VLOOKUP(E1336,ALUMNOS!A:B,2,FALSE)</f>
        <v>544</v>
      </c>
    </row>
    <row r="1337" spans="2:37" x14ac:dyDescent="0.25">
      <c r="B1337" t="str">
        <f t="shared" si="40"/>
        <v>46721862LENGUA EXTRANJERA - INGLÉS4º</v>
      </c>
      <c r="E1337">
        <v>46721862</v>
      </c>
      <c r="F1337" t="s">
        <v>497</v>
      </c>
      <c r="G1337" t="s">
        <v>16</v>
      </c>
      <c r="H1337" t="s">
        <v>190</v>
      </c>
      <c r="I1337" t="s">
        <v>43</v>
      </c>
      <c r="J1337">
        <v>2022</v>
      </c>
      <c r="K1337" t="s">
        <v>60</v>
      </c>
      <c r="N1337" t="s">
        <v>99</v>
      </c>
      <c r="AI1337">
        <f t="shared" si="41"/>
        <v>1</v>
      </c>
      <c r="AJ1337">
        <f>'TABLA PREVIOS'!E1337</f>
        <v>256</v>
      </c>
      <c r="AK1337">
        <f>VLOOKUP(E1337,ALUMNOS!A:B,2,FALSE)</f>
        <v>544</v>
      </c>
    </row>
    <row r="1338" spans="2:37" x14ac:dyDescent="0.25">
      <c r="B1338" t="str">
        <f t="shared" si="40"/>
        <v>30779913LENGUA CASTELLANA3º</v>
      </c>
      <c r="E1338">
        <v>30779913</v>
      </c>
      <c r="F1338" t="s">
        <v>498</v>
      </c>
      <c r="G1338" t="s">
        <v>499</v>
      </c>
      <c r="H1338" t="s">
        <v>143</v>
      </c>
      <c r="I1338" t="s">
        <v>43</v>
      </c>
      <c r="J1338">
        <v>2000</v>
      </c>
      <c r="K1338" t="s">
        <v>57</v>
      </c>
      <c r="N1338" t="s">
        <v>107</v>
      </c>
      <c r="O1338">
        <v>45411</v>
      </c>
      <c r="P1338">
        <v>8</v>
      </c>
      <c r="Q1338">
        <v>68</v>
      </c>
      <c r="R1338">
        <v>40</v>
      </c>
      <c r="AI1338">
        <f t="shared" si="41"/>
        <v>8</v>
      </c>
      <c r="AJ1338">
        <f>'TABLA PREVIOS'!E1338</f>
        <v>155</v>
      </c>
      <c r="AK1338">
        <f>VLOOKUP(E1338,ALUMNOS!A:B,2,FALSE)</f>
        <v>817</v>
      </c>
    </row>
    <row r="1339" spans="2:37" x14ac:dyDescent="0.25">
      <c r="B1339" t="str">
        <f t="shared" si="40"/>
        <v>30779913INGLÉS5º</v>
      </c>
      <c r="E1339">
        <v>30779913</v>
      </c>
      <c r="F1339" t="s">
        <v>498</v>
      </c>
      <c r="G1339" t="s">
        <v>500</v>
      </c>
      <c r="H1339" t="s">
        <v>220</v>
      </c>
      <c r="I1339" t="s">
        <v>43</v>
      </c>
      <c r="J1339">
        <v>2002</v>
      </c>
      <c r="K1339" t="s">
        <v>58</v>
      </c>
      <c r="N1339" t="s">
        <v>107</v>
      </c>
      <c r="O1339">
        <v>45406</v>
      </c>
      <c r="P1339">
        <v>7</v>
      </c>
      <c r="Q1339">
        <v>68</v>
      </c>
      <c r="R1339">
        <v>35</v>
      </c>
      <c r="AI1339">
        <f t="shared" si="41"/>
        <v>7</v>
      </c>
      <c r="AJ1339">
        <f>'TABLA PREVIOS'!E1339</f>
        <v>187</v>
      </c>
      <c r="AK1339">
        <f>VLOOKUP(E1339,ALUMNOS!A:B,2,FALSE)</f>
        <v>817</v>
      </c>
    </row>
    <row r="1340" spans="2:37" x14ac:dyDescent="0.25">
      <c r="B1340" t="str">
        <f t="shared" si="40"/>
        <v>30779913QUÍMICA6º</v>
      </c>
      <c r="E1340">
        <v>30779913</v>
      </c>
      <c r="F1340" t="s">
        <v>498</v>
      </c>
      <c r="G1340" t="s">
        <v>25</v>
      </c>
      <c r="H1340" t="s">
        <v>245</v>
      </c>
      <c r="I1340" t="s">
        <v>43</v>
      </c>
      <c r="J1340">
        <v>2003</v>
      </c>
      <c r="K1340" t="s">
        <v>58</v>
      </c>
      <c r="N1340" t="s">
        <v>107</v>
      </c>
      <c r="O1340">
        <v>45401</v>
      </c>
      <c r="P1340">
        <v>7</v>
      </c>
      <c r="Q1340">
        <v>68</v>
      </c>
      <c r="R1340">
        <v>23</v>
      </c>
      <c r="AI1340">
        <f t="shared" si="41"/>
        <v>7</v>
      </c>
      <c r="AJ1340">
        <f>'TABLA PREVIOS'!E1340</f>
        <v>207</v>
      </c>
      <c r="AK1340">
        <f>VLOOKUP(E1340,ALUMNOS!A:B,2,FALSE)</f>
        <v>817</v>
      </c>
    </row>
    <row r="1341" spans="2:37" x14ac:dyDescent="0.25">
      <c r="B1341" t="str">
        <f t="shared" si="40"/>
        <v>47250832FÍSICA3º</v>
      </c>
      <c r="E1341">
        <v>47250832</v>
      </c>
      <c r="F1341" t="s">
        <v>501</v>
      </c>
      <c r="G1341" t="s">
        <v>24</v>
      </c>
      <c r="H1341" t="s">
        <v>143</v>
      </c>
      <c r="I1341" t="s">
        <v>43</v>
      </c>
      <c r="J1341">
        <v>2020</v>
      </c>
      <c r="K1341" t="s">
        <v>59</v>
      </c>
      <c r="L1341" t="s">
        <v>111</v>
      </c>
      <c r="N1341" t="s">
        <v>99</v>
      </c>
      <c r="AI1341">
        <f t="shared" si="41"/>
        <v>1</v>
      </c>
      <c r="AJ1341">
        <f>'TABLA PREVIOS'!E1341</f>
        <v>241</v>
      </c>
      <c r="AK1341">
        <f>VLOOKUP(E1341,ALUMNOS!A:B,2,FALSE)</f>
        <v>566</v>
      </c>
    </row>
    <row r="1342" spans="2:37" x14ac:dyDescent="0.25">
      <c r="B1342" t="str">
        <f t="shared" si="40"/>
        <v>47250832LENGUA EXTRANJERA - INGLÉS3º</v>
      </c>
      <c r="E1342">
        <v>47250832</v>
      </c>
      <c r="F1342" t="s">
        <v>501</v>
      </c>
      <c r="G1342" t="s">
        <v>16</v>
      </c>
      <c r="H1342" t="s">
        <v>143</v>
      </c>
      <c r="I1342" t="s">
        <v>43</v>
      </c>
      <c r="J1342">
        <v>2020</v>
      </c>
      <c r="K1342" t="s">
        <v>59</v>
      </c>
      <c r="N1342" t="s">
        <v>99</v>
      </c>
      <c r="AI1342">
        <f t="shared" si="41"/>
        <v>1</v>
      </c>
      <c r="AJ1342">
        <f>'TABLA PREVIOS'!E1342</f>
        <v>245</v>
      </c>
      <c r="AK1342">
        <f>VLOOKUP(E1342,ALUMNOS!A:B,2,FALSE)</f>
        <v>566</v>
      </c>
    </row>
    <row r="1343" spans="2:37" x14ac:dyDescent="0.25">
      <c r="B1343" t="str">
        <f t="shared" si="40"/>
        <v>47250832MATEMÁTICA3º</v>
      </c>
      <c r="E1343">
        <v>47250832</v>
      </c>
      <c r="F1343" t="s">
        <v>501</v>
      </c>
      <c r="G1343" t="s">
        <v>12</v>
      </c>
      <c r="H1343" t="s">
        <v>143</v>
      </c>
      <c r="I1343" t="s">
        <v>43</v>
      </c>
      <c r="J1343">
        <v>2020</v>
      </c>
      <c r="K1343" t="s">
        <v>59</v>
      </c>
      <c r="M1343" t="s">
        <v>502</v>
      </c>
      <c r="N1343" t="s">
        <v>99</v>
      </c>
      <c r="AI1343">
        <f t="shared" si="41"/>
        <v>1</v>
      </c>
      <c r="AJ1343">
        <f>'TABLA PREVIOS'!E1343</f>
        <v>240</v>
      </c>
      <c r="AK1343">
        <f>VLOOKUP(E1343,ALUMNOS!A:B,2,FALSE)</f>
        <v>566</v>
      </c>
    </row>
    <row r="1344" spans="2:37" x14ac:dyDescent="0.25">
      <c r="B1344" t="str">
        <f t="shared" si="40"/>
        <v>46035165LENGUA Y LITERATURA2º</v>
      </c>
      <c r="E1344">
        <v>46035165</v>
      </c>
      <c r="F1344" t="s">
        <v>503</v>
      </c>
      <c r="G1344" t="s">
        <v>11</v>
      </c>
      <c r="H1344" t="s">
        <v>95</v>
      </c>
      <c r="I1344" t="s">
        <v>43</v>
      </c>
      <c r="J1344">
        <v>2020</v>
      </c>
      <c r="K1344" t="s">
        <v>59</v>
      </c>
      <c r="L1344" t="s">
        <v>485</v>
      </c>
      <c r="N1344" t="s">
        <v>99</v>
      </c>
      <c r="AI1344">
        <f t="shared" si="41"/>
        <v>1</v>
      </c>
      <c r="AJ1344">
        <f>'TABLA PREVIOS'!E1344</f>
        <v>229</v>
      </c>
      <c r="AK1344">
        <f>VLOOKUP(E1344,ALUMNOS!A:B,2,FALSE)</f>
        <v>569</v>
      </c>
    </row>
    <row r="1345" spans="2:37" x14ac:dyDescent="0.25">
      <c r="B1345" t="str">
        <f t="shared" si="40"/>
        <v>44657981CIENCIAS SOCIALES - HISTORIA2º</v>
      </c>
      <c r="E1345">
        <v>44657981</v>
      </c>
      <c r="F1345" t="s">
        <v>504</v>
      </c>
      <c r="G1345" t="s">
        <v>22</v>
      </c>
      <c r="H1345" t="s">
        <v>95</v>
      </c>
      <c r="I1345" t="s">
        <v>43</v>
      </c>
      <c r="J1345">
        <v>2019</v>
      </c>
      <c r="K1345" t="s">
        <v>59</v>
      </c>
      <c r="L1345" t="s">
        <v>505</v>
      </c>
      <c r="N1345" t="s">
        <v>99</v>
      </c>
      <c r="AI1345">
        <f t="shared" si="41"/>
        <v>1</v>
      </c>
      <c r="AJ1345">
        <f>'TABLA PREVIOS'!E1345</f>
        <v>233</v>
      </c>
      <c r="AK1345">
        <f>VLOOKUP(E1345,ALUMNOS!A:B,2,FALSE)</f>
        <v>577</v>
      </c>
    </row>
    <row r="1346" spans="2:37" x14ac:dyDescent="0.25">
      <c r="B1346" t="str">
        <f t="shared" si="40"/>
        <v>44657981LENGUA EXTRANJERA - INGLÉS2º</v>
      </c>
      <c r="E1346">
        <v>44657981</v>
      </c>
      <c r="F1346" t="s">
        <v>504</v>
      </c>
      <c r="G1346" t="s">
        <v>16</v>
      </c>
      <c r="H1346" t="s">
        <v>95</v>
      </c>
      <c r="I1346" t="s">
        <v>43</v>
      </c>
      <c r="J1346">
        <v>2019</v>
      </c>
      <c r="K1346" t="s">
        <v>59</v>
      </c>
      <c r="L1346" t="s">
        <v>505</v>
      </c>
      <c r="N1346" t="s">
        <v>99</v>
      </c>
      <c r="AI1346">
        <f t="shared" si="41"/>
        <v>1</v>
      </c>
      <c r="AJ1346">
        <f>'TABLA PREVIOS'!E1346</f>
        <v>234</v>
      </c>
      <c r="AK1346">
        <f>VLOOKUP(E1346,ALUMNOS!A:B,2,FALSE)</f>
        <v>577</v>
      </c>
    </row>
    <row r="1347" spans="2:37" x14ac:dyDescent="0.25">
      <c r="B1347" t="str">
        <f t="shared" ref="B1347:B1406" si="42">E1347&amp;G1347&amp;H1347</f>
        <v>44657981LENGUA EXTRANJERA - INGLÉS3º</v>
      </c>
      <c r="E1347">
        <v>44657981</v>
      </c>
      <c r="F1347" t="s">
        <v>504</v>
      </c>
      <c r="G1347" t="s">
        <v>16</v>
      </c>
      <c r="H1347" t="s">
        <v>143</v>
      </c>
      <c r="I1347" t="s">
        <v>43</v>
      </c>
      <c r="J1347">
        <v>2020</v>
      </c>
      <c r="K1347" t="s">
        <v>59</v>
      </c>
      <c r="L1347" t="s">
        <v>505</v>
      </c>
      <c r="N1347" t="s">
        <v>99</v>
      </c>
      <c r="AI1347">
        <f t="shared" ref="AI1347:AI1406" si="43">IF(VALUE(MAX(P1347,T1347,X1347,AB1347,AE1347,))&gt;=7,VALUE(MAX(P1347,T1347,X1347,AB1347,AE1347,)),1)</f>
        <v>1</v>
      </c>
      <c r="AJ1347">
        <f>'TABLA PREVIOS'!E1347</f>
        <v>245</v>
      </c>
      <c r="AK1347">
        <f>VLOOKUP(E1347,ALUMNOS!A:B,2,FALSE)</f>
        <v>577</v>
      </c>
    </row>
    <row r="1348" spans="2:37" x14ac:dyDescent="0.25">
      <c r="B1348" t="str">
        <f t="shared" si="42"/>
        <v>48814891LENGUA EXTRANJERA - INGLÉS2º</v>
      </c>
      <c r="E1348">
        <v>48814891</v>
      </c>
      <c r="F1348" t="s">
        <v>506</v>
      </c>
      <c r="G1348" t="s">
        <v>16</v>
      </c>
      <c r="H1348" t="s">
        <v>95</v>
      </c>
      <c r="I1348" t="s">
        <v>43</v>
      </c>
      <c r="J1348">
        <v>2021</v>
      </c>
      <c r="K1348" t="s">
        <v>59</v>
      </c>
      <c r="L1348" t="s">
        <v>105</v>
      </c>
      <c r="N1348" t="s">
        <v>99</v>
      </c>
      <c r="AI1348">
        <f t="shared" si="43"/>
        <v>1</v>
      </c>
      <c r="AJ1348">
        <f>'TABLA PREVIOS'!E1348</f>
        <v>234</v>
      </c>
      <c r="AK1348">
        <f>VLOOKUP(E1348,ALUMNOS!A:B,2,FALSE)</f>
        <v>583</v>
      </c>
    </row>
    <row r="1349" spans="2:37" x14ac:dyDescent="0.25">
      <c r="B1349" t="str">
        <f t="shared" si="42"/>
        <v>48814891MATEMÁTICA2º</v>
      </c>
      <c r="E1349">
        <v>48814891</v>
      </c>
      <c r="F1349" t="s">
        <v>506</v>
      </c>
      <c r="G1349" t="s">
        <v>12</v>
      </c>
      <c r="H1349" t="s">
        <v>95</v>
      </c>
      <c r="I1349" t="s">
        <v>43</v>
      </c>
      <c r="J1349">
        <v>2021</v>
      </c>
      <c r="K1349" t="s">
        <v>59</v>
      </c>
      <c r="N1349" t="s">
        <v>99</v>
      </c>
      <c r="AI1349">
        <f t="shared" si="43"/>
        <v>1</v>
      </c>
      <c r="AJ1349">
        <f>'TABLA PREVIOS'!E1349</f>
        <v>230</v>
      </c>
      <c r="AK1349">
        <f>VLOOKUP(E1349,ALUMNOS!A:B,2,FALSE)</f>
        <v>583</v>
      </c>
    </row>
    <row r="1350" spans="2:37" x14ac:dyDescent="0.25">
      <c r="B1350" t="str">
        <f t="shared" si="42"/>
        <v>47250873LENGUA Y LITERATURA1º</v>
      </c>
      <c r="E1350">
        <v>47250873</v>
      </c>
      <c r="F1350" t="s">
        <v>507</v>
      </c>
      <c r="G1350" t="s">
        <v>11</v>
      </c>
      <c r="H1350" t="s">
        <v>98</v>
      </c>
      <c r="I1350" t="s">
        <v>43</v>
      </c>
      <c r="J1350">
        <v>2019</v>
      </c>
      <c r="K1350" t="s">
        <v>59</v>
      </c>
      <c r="L1350" t="s">
        <v>508</v>
      </c>
      <c r="N1350" t="s">
        <v>99</v>
      </c>
      <c r="AI1350">
        <f t="shared" si="43"/>
        <v>1</v>
      </c>
      <c r="AJ1350">
        <f>'TABLA PREVIOS'!E1350</f>
        <v>219</v>
      </c>
      <c r="AK1350">
        <f>VLOOKUP(E1350,ALUMNOS!A:B,2,FALSE)</f>
        <v>591</v>
      </c>
    </row>
    <row r="1351" spans="2:37" x14ac:dyDescent="0.25">
      <c r="B1351" t="str">
        <f t="shared" si="42"/>
        <v>47250873MATEMÁTICA3º</v>
      </c>
      <c r="E1351">
        <v>47250873</v>
      </c>
      <c r="F1351" t="s">
        <v>507</v>
      </c>
      <c r="G1351" t="s">
        <v>12</v>
      </c>
      <c r="H1351" t="s">
        <v>143</v>
      </c>
      <c r="I1351" t="s">
        <v>43</v>
      </c>
      <c r="J1351">
        <v>2021</v>
      </c>
      <c r="K1351" t="s">
        <v>59</v>
      </c>
      <c r="N1351" t="s">
        <v>99</v>
      </c>
      <c r="AI1351">
        <f t="shared" si="43"/>
        <v>1</v>
      </c>
      <c r="AJ1351">
        <f>'TABLA PREVIOS'!E1351</f>
        <v>240</v>
      </c>
      <c r="AK1351">
        <f>VLOOKUP(E1351,ALUMNOS!A:B,2,FALSE)</f>
        <v>591</v>
      </c>
    </row>
    <row r="1352" spans="2:37" x14ac:dyDescent="0.25">
      <c r="B1352" t="str">
        <f t="shared" si="42"/>
        <v>47250867GEOGRAFÍA3º</v>
      </c>
      <c r="E1352">
        <v>47250867</v>
      </c>
      <c r="F1352" t="s">
        <v>509</v>
      </c>
      <c r="G1352" t="s">
        <v>26</v>
      </c>
      <c r="H1352" t="s">
        <v>143</v>
      </c>
      <c r="I1352" t="s">
        <v>43</v>
      </c>
      <c r="J1352">
        <v>2021</v>
      </c>
      <c r="K1352" t="s">
        <v>59</v>
      </c>
      <c r="L1352" t="s">
        <v>152</v>
      </c>
      <c r="N1352" t="s">
        <v>99</v>
      </c>
      <c r="AI1352">
        <f t="shared" si="43"/>
        <v>1</v>
      </c>
      <c r="AJ1352">
        <f>'TABLA PREVIOS'!E1352</f>
        <v>243</v>
      </c>
      <c r="AK1352">
        <f>VLOOKUP(E1352,ALUMNOS!A:B,2,FALSE)</f>
        <v>587</v>
      </c>
    </row>
    <row r="1353" spans="2:37" x14ac:dyDescent="0.25">
      <c r="B1353" t="str">
        <f t="shared" si="42"/>
        <v>47250867HISTORIA3º</v>
      </c>
      <c r="E1353">
        <v>47250867</v>
      </c>
      <c r="F1353" t="s">
        <v>509</v>
      </c>
      <c r="G1353" t="s">
        <v>27</v>
      </c>
      <c r="H1353" t="s">
        <v>143</v>
      </c>
      <c r="I1353" t="s">
        <v>43</v>
      </c>
      <c r="J1353">
        <v>2021</v>
      </c>
      <c r="K1353" t="s">
        <v>59</v>
      </c>
      <c r="N1353" t="s">
        <v>99</v>
      </c>
      <c r="AI1353">
        <f t="shared" si="43"/>
        <v>1</v>
      </c>
      <c r="AJ1353">
        <f>'TABLA PREVIOS'!E1353</f>
        <v>244</v>
      </c>
      <c r="AK1353">
        <f>VLOOKUP(E1353,ALUMNOS!A:B,2,FALSE)</f>
        <v>587</v>
      </c>
    </row>
    <row r="1354" spans="2:37" x14ac:dyDescent="0.25">
      <c r="B1354" t="str">
        <f t="shared" si="42"/>
        <v>47250867MATEMÁTICA3º</v>
      </c>
      <c r="E1354">
        <v>47250867</v>
      </c>
      <c r="F1354" t="s">
        <v>509</v>
      </c>
      <c r="G1354" t="s">
        <v>12</v>
      </c>
      <c r="H1354" t="s">
        <v>143</v>
      </c>
      <c r="I1354" t="s">
        <v>43</v>
      </c>
      <c r="J1354">
        <v>2021</v>
      </c>
      <c r="K1354" t="s">
        <v>59</v>
      </c>
      <c r="N1354" t="s">
        <v>99</v>
      </c>
      <c r="AI1354">
        <f t="shared" si="43"/>
        <v>1</v>
      </c>
      <c r="AJ1354">
        <f>'TABLA PREVIOS'!E1354</f>
        <v>240</v>
      </c>
      <c r="AK1354">
        <f>VLOOKUP(E1354,ALUMNOS!A:B,2,FALSE)</f>
        <v>587</v>
      </c>
    </row>
    <row r="1355" spans="2:37" x14ac:dyDescent="0.25">
      <c r="B1355" t="str">
        <f t="shared" si="42"/>
        <v>46771568LENGUA EXTRANJERA - INGLÉS2º</v>
      </c>
      <c r="E1355">
        <v>46771568</v>
      </c>
      <c r="F1355" t="s">
        <v>510</v>
      </c>
      <c r="G1355" t="s">
        <v>16</v>
      </c>
      <c r="H1355" t="s">
        <v>95</v>
      </c>
      <c r="I1355" t="s">
        <v>43</v>
      </c>
      <c r="J1355">
        <v>2020</v>
      </c>
      <c r="K1355" t="s">
        <v>59</v>
      </c>
      <c r="N1355" t="s">
        <v>99</v>
      </c>
      <c r="AI1355">
        <f t="shared" si="43"/>
        <v>1</v>
      </c>
      <c r="AJ1355">
        <f>'TABLA PREVIOS'!E1355</f>
        <v>234</v>
      </c>
      <c r="AK1355">
        <f>VLOOKUP(E1355,ALUMNOS!A:B,2,FALSE)</f>
        <v>599</v>
      </c>
    </row>
    <row r="1356" spans="2:37" x14ac:dyDescent="0.25">
      <c r="B1356" t="str">
        <f t="shared" si="42"/>
        <v>46771568MATEMÁTICA2º</v>
      </c>
      <c r="E1356">
        <v>46771568</v>
      </c>
      <c r="F1356" t="s">
        <v>510</v>
      </c>
      <c r="G1356" t="s">
        <v>12</v>
      </c>
      <c r="H1356" t="s">
        <v>95</v>
      </c>
      <c r="I1356" t="s">
        <v>43</v>
      </c>
      <c r="J1356">
        <v>2020</v>
      </c>
      <c r="K1356" t="s">
        <v>59</v>
      </c>
      <c r="L1356" t="s">
        <v>372</v>
      </c>
      <c r="N1356" t="s">
        <v>99</v>
      </c>
      <c r="AI1356">
        <f t="shared" si="43"/>
        <v>1</v>
      </c>
      <c r="AJ1356">
        <f>'TABLA PREVIOS'!E1356</f>
        <v>230</v>
      </c>
      <c r="AK1356">
        <f>VLOOKUP(E1356,ALUMNOS!A:B,2,FALSE)</f>
        <v>599</v>
      </c>
    </row>
    <row r="1357" spans="2:37" x14ac:dyDescent="0.25">
      <c r="B1357" t="str">
        <f t="shared" si="42"/>
        <v>46771568LENGUA EXTRANJERA - INGLÉS3º</v>
      </c>
      <c r="E1357">
        <v>46771568</v>
      </c>
      <c r="F1357" t="s">
        <v>510</v>
      </c>
      <c r="G1357" t="s">
        <v>16</v>
      </c>
      <c r="H1357" t="s">
        <v>143</v>
      </c>
      <c r="I1357" t="s">
        <v>43</v>
      </c>
      <c r="J1357">
        <v>2021</v>
      </c>
      <c r="K1357" t="s">
        <v>59</v>
      </c>
      <c r="M1357" t="s">
        <v>216</v>
      </c>
      <c r="N1357" t="s">
        <v>99</v>
      </c>
      <c r="AI1357">
        <f t="shared" si="43"/>
        <v>1</v>
      </c>
      <c r="AJ1357">
        <f>'TABLA PREVIOS'!E1357</f>
        <v>245</v>
      </c>
      <c r="AK1357">
        <f>VLOOKUP(E1357,ALUMNOS!A:B,2,FALSE)</f>
        <v>599</v>
      </c>
    </row>
    <row r="1358" spans="2:37" x14ac:dyDescent="0.25">
      <c r="B1358" t="str">
        <f t="shared" si="42"/>
        <v>50179729CIENCIAS NATURALES - FÍSICA1º</v>
      </c>
      <c r="E1358">
        <v>50179729</v>
      </c>
      <c r="F1358" t="s">
        <v>511</v>
      </c>
      <c r="G1358" t="s">
        <v>14</v>
      </c>
      <c r="H1358" t="s">
        <v>98</v>
      </c>
      <c r="I1358" t="s">
        <v>43</v>
      </c>
      <c r="J1358">
        <v>2018</v>
      </c>
      <c r="K1358" t="s">
        <v>59</v>
      </c>
      <c r="L1358" t="s">
        <v>105</v>
      </c>
      <c r="N1358" t="s">
        <v>99</v>
      </c>
      <c r="AI1358">
        <f t="shared" si="43"/>
        <v>1</v>
      </c>
      <c r="AJ1358">
        <f>'TABLA PREVIOS'!E1358</f>
        <v>222</v>
      </c>
      <c r="AK1358">
        <f>VLOOKUP(E1358,ALUMNOS!A:B,2,FALSE)</f>
        <v>604</v>
      </c>
    </row>
    <row r="1359" spans="2:37" x14ac:dyDescent="0.25">
      <c r="B1359" t="str">
        <f t="shared" si="42"/>
        <v>50179729HISTORIA3º</v>
      </c>
      <c r="E1359">
        <v>50179729</v>
      </c>
      <c r="F1359" t="s">
        <v>511</v>
      </c>
      <c r="G1359" t="s">
        <v>27</v>
      </c>
      <c r="H1359" t="s">
        <v>143</v>
      </c>
      <c r="I1359" t="s">
        <v>43</v>
      </c>
      <c r="J1359">
        <v>2020</v>
      </c>
      <c r="K1359" t="s">
        <v>59</v>
      </c>
      <c r="N1359" t="s">
        <v>99</v>
      </c>
      <c r="AI1359">
        <f t="shared" si="43"/>
        <v>1</v>
      </c>
      <c r="AJ1359">
        <f>'TABLA PREVIOS'!E1359</f>
        <v>244</v>
      </c>
      <c r="AK1359">
        <f>VLOOKUP(E1359,ALUMNOS!A:B,2,FALSE)</f>
        <v>604</v>
      </c>
    </row>
    <row r="1360" spans="2:37" x14ac:dyDescent="0.25">
      <c r="B1360" t="str">
        <f t="shared" si="42"/>
        <v>45484429ADMINISTRACIÓN4º</v>
      </c>
      <c r="E1360">
        <v>45484429</v>
      </c>
      <c r="F1360" t="s">
        <v>512</v>
      </c>
      <c r="G1360" t="s">
        <v>30</v>
      </c>
      <c r="H1360" t="s">
        <v>190</v>
      </c>
      <c r="I1360" t="s">
        <v>43</v>
      </c>
      <c r="J1360">
        <v>2021</v>
      </c>
      <c r="K1360" t="s">
        <v>60</v>
      </c>
      <c r="L1360" t="s">
        <v>105</v>
      </c>
      <c r="M1360" t="s">
        <v>491</v>
      </c>
      <c r="N1360" t="s">
        <v>99</v>
      </c>
      <c r="AI1360">
        <f t="shared" si="43"/>
        <v>1</v>
      </c>
      <c r="AJ1360">
        <f>'TABLA PREVIOS'!E1360</f>
        <v>260</v>
      </c>
      <c r="AK1360">
        <f>VLOOKUP(E1360,ALUMNOS!A:B,2,FALSE)</f>
        <v>618</v>
      </c>
    </row>
    <row r="1361" spans="2:37" x14ac:dyDescent="0.25">
      <c r="B1361" t="str">
        <f t="shared" si="42"/>
        <v>45484429ADMINISTRACIÓN DE LA PRODUCCIÓN Y COMERCIALIZACIÓN4º</v>
      </c>
      <c r="E1361">
        <v>45484429</v>
      </c>
      <c r="F1361" t="s">
        <v>512</v>
      </c>
      <c r="G1361" t="s">
        <v>32</v>
      </c>
      <c r="H1361" t="s">
        <v>190</v>
      </c>
      <c r="I1361" t="s">
        <v>43</v>
      </c>
      <c r="J1361">
        <v>2021</v>
      </c>
      <c r="K1361" t="s">
        <v>60</v>
      </c>
      <c r="M1361" t="s">
        <v>491</v>
      </c>
      <c r="N1361" t="s">
        <v>99</v>
      </c>
      <c r="AI1361">
        <f t="shared" si="43"/>
        <v>1</v>
      </c>
      <c r="AJ1361">
        <f>'TABLA PREVIOS'!E1361</f>
        <v>262</v>
      </c>
      <c r="AK1361">
        <f>VLOOKUP(E1361,ALUMNOS!A:B,2,FALSE)</f>
        <v>618</v>
      </c>
    </row>
    <row r="1362" spans="2:37" x14ac:dyDescent="0.25">
      <c r="B1362" t="str">
        <f t="shared" si="42"/>
        <v>45484429BIOLOGÍA4º</v>
      </c>
      <c r="E1362">
        <v>45484429</v>
      </c>
      <c r="F1362" t="s">
        <v>512</v>
      </c>
      <c r="G1362" t="s">
        <v>21</v>
      </c>
      <c r="H1362" t="s">
        <v>190</v>
      </c>
      <c r="I1362" t="s">
        <v>43</v>
      </c>
      <c r="J1362">
        <v>2021</v>
      </c>
      <c r="K1362" t="s">
        <v>60</v>
      </c>
      <c r="N1362" t="s">
        <v>99</v>
      </c>
      <c r="AI1362">
        <f t="shared" si="43"/>
        <v>1</v>
      </c>
      <c r="AJ1362">
        <f>'TABLA PREVIOS'!E1362</f>
        <v>253</v>
      </c>
      <c r="AK1362">
        <f>VLOOKUP(E1362,ALUMNOS!A:B,2,FALSE)</f>
        <v>618</v>
      </c>
    </row>
    <row r="1363" spans="2:37" x14ac:dyDescent="0.25">
      <c r="B1363" t="str">
        <f t="shared" si="42"/>
        <v>45484429ECONOMÍA Y DESARROLLO SUSTENTABLE4º</v>
      </c>
      <c r="E1363">
        <v>45484429</v>
      </c>
      <c r="F1363" t="s">
        <v>512</v>
      </c>
      <c r="G1363" t="s">
        <v>31</v>
      </c>
      <c r="H1363" t="s">
        <v>190</v>
      </c>
      <c r="I1363" t="s">
        <v>43</v>
      </c>
      <c r="J1363">
        <v>2021</v>
      </c>
      <c r="K1363" t="s">
        <v>60</v>
      </c>
      <c r="M1363" t="s">
        <v>491</v>
      </c>
      <c r="N1363" t="s">
        <v>99</v>
      </c>
      <c r="AI1363">
        <f t="shared" si="43"/>
        <v>1</v>
      </c>
      <c r="AJ1363">
        <f>'TABLA PREVIOS'!E1363</f>
        <v>261</v>
      </c>
      <c r="AK1363">
        <f>VLOOKUP(E1363,ALUMNOS!A:B,2,FALSE)</f>
        <v>618</v>
      </c>
    </row>
    <row r="1364" spans="2:37" x14ac:dyDescent="0.25">
      <c r="B1364" t="str">
        <f t="shared" si="42"/>
        <v>45484429MATEMÁTICA4º</v>
      </c>
      <c r="E1364">
        <v>45484429</v>
      </c>
      <c r="F1364" t="s">
        <v>512</v>
      </c>
      <c r="G1364" t="s">
        <v>12</v>
      </c>
      <c r="H1364" t="s">
        <v>190</v>
      </c>
      <c r="I1364" t="s">
        <v>43</v>
      </c>
      <c r="J1364">
        <v>2021</v>
      </c>
      <c r="K1364" t="s">
        <v>60</v>
      </c>
      <c r="N1364" t="s">
        <v>99</v>
      </c>
      <c r="AI1364">
        <f t="shared" si="43"/>
        <v>1</v>
      </c>
      <c r="AJ1364">
        <f>'TABLA PREVIOS'!E1364</f>
        <v>252</v>
      </c>
      <c r="AK1364">
        <f>VLOOKUP(E1364,ALUMNOS!A:B,2,FALSE)</f>
        <v>618</v>
      </c>
    </row>
    <row r="1365" spans="2:37" x14ac:dyDescent="0.25">
      <c r="B1365" t="str">
        <f t="shared" si="42"/>
        <v>45484429SISTEMAS DE INFORMACIÓN CONTABLE4º</v>
      </c>
      <c r="E1365">
        <v>45484429</v>
      </c>
      <c r="F1365" t="s">
        <v>512</v>
      </c>
      <c r="G1365" t="s">
        <v>29</v>
      </c>
      <c r="H1365" t="s">
        <v>190</v>
      </c>
      <c r="I1365" t="s">
        <v>43</v>
      </c>
      <c r="J1365">
        <v>2021</v>
      </c>
      <c r="K1365" t="s">
        <v>60</v>
      </c>
      <c r="M1365" t="s">
        <v>491</v>
      </c>
      <c r="N1365" t="s">
        <v>99</v>
      </c>
      <c r="AI1365">
        <f t="shared" si="43"/>
        <v>1</v>
      </c>
      <c r="AJ1365">
        <f>'TABLA PREVIOS'!E1365</f>
        <v>259</v>
      </c>
      <c r="AK1365">
        <f>VLOOKUP(E1365,ALUMNOS!A:B,2,FALSE)</f>
        <v>618</v>
      </c>
    </row>
    <row r="1366" spans="2:37" x14ac:dyDescent="0.25">
      <c r="B1366" t="str">
        <f t="shared" si="42"/>
        <v>45070707BIOLOGÍA2º</v>
      </c>
      <c r="E1366">
        <v>45070707</v>
      </c>
      <c r="F1366" t="s">
        <v>513</v>
      </c>
      <c r="G1366" t="s">
        <v>21</v>
      </c>
      <c r="H1366" t="s">
        <v>95</v>
      </c>
      <c r="I1366" t="s">
        <v>43</v>
      </c>
      <c r="J1366">
        <v>2018</v>
      </c>
      <c r="K1366" t="s">
        <v>59</v>
      </c>
      <c r="L1366" t="s">
        <v>465</v>
      </c>
      <c r="N1366" t="s">
        <v>99</v>
      </c>
      <c r="AI1366">
        <f t="shared" si="43"/>
        <v>1</v>
      </c>
      <c r="AJ1366">
        <f>'TABLA PREVIOS'!E1366</f>
        <v>232</v>
      </c>
      <c r="AK1366">
        <f>VLOOKUP(E1366,ALUMNOS!A:B,2,FALSE)</f>
        <v>638</v>
      </c>
    </row>
    <row r="1367" spans="2:37" x14ac:dyDescent="0.25">
      <c r="B1367" t="str">
        <f t="shared" si="42"/>
        <v>45070707FÍSICA3º</v>
      </c>
      <c r="E1367">
        <v>45070707</v>
      </c>
      <c r="F1367" t="s">
        <v>513</v>
      </c>
      <c r="G1367" t="s">
        <v>24</v>
      </c>
      <c r="H1367" t="s">
        <v>143</v>
      </c>
      <c r="I1367" t="s">
        <v>43</v>
      </c>
      <c r="J1367">
        <v>2019</v>
      </c>
      <c r="K1367" t="s">
        <v>59</v>
      </c>
      <c r="L1367" t="s">
        <v>465</v>
      </c>
      <c r="N1367" t="s">
        <v>99</v>
      </c>
      <c r="AI1367">
        <f t="shared" si="43"/>
        <v>1</v>
      </c>
      <c r="AJ1367">
        <f>'TABLA PREVIOS'!E1367</f>
        <v>241</v>
      </c>
      <c r="AK1367">
        <f>VLOOKUP(E1367,ALUMNOS!A:B,2,FALSE)</f>
        <v>638</v>
      </c>
    </row>
    <row r="1368" spans="2:37" x14ac:dyDescent="0.25">
      <c r="B1368" t="str">
        <f t="shared" si="42"/>
        <v>45070707LENGUA EXTRANJERA - INGLÉS3º</v>
      </c>
      <c r="E1368">
        <v>45070707</v>
      </c>
      <c r="F1368" t="s">
        <v>513</v>
      </c>
      <c r="G1368" t="s">
        <v>16</v>
      </c>
      <c r="H1368" t="s">
        <v>143</v>
      </c>
      <c r="I1368" t="s">
        <v>43</v>
      </c>
      <c r="J1368">
        <v>2019</v>
      </c>
      <c r="K1368" t="s">
        <v>59</v>
      </c>
      <c r="L1368" t="s">
        <v>465</v>
      </c>
      <c r="N1368" t="s">
        <v>99</v>
      </c>
      <c r="AI1368">
        <f t="shared" si="43"/>
        <v>1</v>
      </c>
      <c r="AJ1368">
        <f>'TABLA PREVIOS'!E1368</f>
        <v>245</v>
      </c>
      <c r="AK1368">
        <f>VLOOKUP(E1368,ALUMNOS!A:B,2,FALSE)</f>
        <v>638</v>
      </c>
    </row>
    <row r="1369" spans="2:37" x14ac:dyDescent="0.25">
      <c r="B1369" t="str">
        <f t="shared" si="42"/>
        <v>47424761LENGUA Y LITERATURA1º</v>
      </c>
      <c r="E1369">
        <v>47424761</v>
      </c>
      <c r="F1369" t="s">
        <v>514</v>
      </c>
      <c r="G1369" t="s">
        <v>11</v>
      </c>
      <c r="H1369" t="s">
        <v>98</v>
      </c>
      <c r="I1369" t="s">
        <v>43</v>
      </c>
      <c r="J1369">
        <v>2019</v>
      </c>
      <c r="K1369" t="s">
        <v>59</v>
      </c>
      <c r="L1369" t="s">
        <v>105</v>
      </c>
      <c r="N1369" t="s">
        <v>99</v>
      </c>
      <c r="AI1369">
        <f t="shared" si="43"/>
        <v>1</v>
      </c>
      <c r="AJ1369">
        <f>'TABLA PREVIOS'!E1369</f>
        <v>219</v>
      </c>
      <c r="AK1369">
        <f>VLOOKUP(E1369,ALUMNOS!A:B,2,FALSE)</f>
        <v>645</v>
      </c>
    </row>
    <row r="1370" spans="2:37" x14ac:dyDescent="0.25">
      <c r="B1370" t="str">
        <f t="shared" si="42"/>
        <v>47424761EDUCACIÓN ARTÍSTICA - MÚSICA2º</v>
      </c>
      <c r="E1370">
        <v>47424761</v>
      </c>
      <c r="F1370" t="s">
        <v>514</v>
      </c>
      <c r="G1370" t="s">
        <v>23</v>
      </c>
      <c r="H1370" t="s">
        <v>95</v>
      </c>
      <c r="I1370" t="s">
        <v>43</v>
      </c>
      <c r="J1370">
        <v>2020</v>
      </c>
      <c r="K1370" t="s">
        <v>59</v>
      </c>
      <c r="N1370" t="s">
        <v>99</v>
      </c>
      <c r="AI1370">
        <f t="shared" si="43"/>
        <v>1</v>
      </c>
      <c r="AJ1370">
        <f>'TABLA PREVIOS'!E1370</f>
        <v>235</v>
      </c>
      <c r="AK1370">
        <f>VLOOKUP(E1370,ALUMNOS!A:B,2,FALSE)</f>
        <v>645</v>
      </c>
    </row>
    <row r="1371" spans="2:37" x14ac:dyDescent="0.25">
      <c r="B1371" t="str">
        <f t="shared" si="42"/>
        <v>47250879MATEMÁTICA3º</v>
      </c>
      <c r="E1371">
        <v>47250879</v>
      </c>
      <c r="F1371" t="s">
        <v>515</v>
      </c>
      <c r="G1371" t="s">
        <v>12</v>
      </c>
      <c r="H1371" t="s">
        <v>143</v>
      </c>
      <c r="I1371" t="s">
        <v>43</v>
      </c>
      <c r="J1371">
        <v>2021</v>
      </c>
      <c r="K1371" t="s">
        <v>59</v>
      </c>
      <c r="L1371" t="s">
        <v>508</v>
      </c>
      <c r="M1371" t="s">
        <v>502</v>
      </c>
      <c r="N1371" t="s">
        <v>99</v>
      </c>
      <c r="AI1371">
        <f t="shared" si="43"/>
        <v>1</v>
      </c>
      <c r="AJ1371">
        <f>'TABLA PREVIOS'!E1371</f>
        <v>240</v>
      </c>
      <c r="AK1371">
        <f>VLOOKUP(E1371,ALUMNOS!A:B,2,FALSE)</f>
        <v>652</v>
      </c>
    </row>
    <row r="1372" spans="2:37" x14ac:dyDescent="0.25">
      <c r="B1372" t="str">
        <f t="shared" si="42"/>
        <v>46509056CIENCIAS NATURALES - FÍSICA1º</v>
      </c>
      <c r="E1372">
        <v>46509056</v>
      </c>
      <c r="F1372" t="s">
        <v>516</v>
      </c>
      <c r="G1372" t="s">
        <v>14</v>
      </c>
      <c r="H1372" t="s">
        <v>98</v>
      </c>
      <c r="I1372" t="s">
        <v>43</v>
      </c>
      <c r="J1372">
        <v>2020</v>
      </c>
      <c r="K1372" t="s">
        <v>59</v>
      </c>
      <c r="L1372" t="s">
        <v>517</v>
      </c>
      <c r="N1372" t="s">
        <v>99</v>
      </c>
      <c r="AI1372">
        <f t="shared" si="43"/>
        <v>1</v>
      </c>
      <c r="AJ1372">
        <f>'TABLA PREVIOS'!E1372</f>
        <v>222</v>
      </c>
      <c r="AK1372">
        <f>VLOOKUP(E1372,ALUMNOS!A:B,2,FALSE)</f>
        <v>661</v>
      </c>
    </row>
    <row r="1373" spans="2:37" x14ac:dyDescent="0.25">
      <c r="B1373" t="str">
        <f t="shared" si="42"/>
        <v>46509056MATEMÁTICA1º</v>
      </c>
      <c r="E1373">
        <v>46509056</v>
      </c>
      <c r="F1373" t="s">
        <v>516</v>
      </c>
      <c r="G1373" t="s">
        <v>12</v>
      </c>
      <c r="H1373" t="s">
        <v>98</v>
      </c>
      <c r="I1373" t="s">
        <v>43</v>
      </c>
      <c r="J1373">
        <v>2020</v>
      </c>
      <c r="K1373" t="s">
        <v>59</v>
      </c>
      <c r="L1373" t="s">
        <v>517</v>
      </c>
      <c r="M1373" t="s">
        <v>172</v>
      </c>
      <c r="N1373" t="s">
        <v>99</v>
      </c>
      <c r="AI1373">
        <f t="shared" si="43"/>
        <v>1</v>
      </c>
      <c r="AJ1373">
        <f>'TABLA PREVIOS'!E1373</f>
        <v>220</v>
      </c>
      <c r="AK1373">
        <f>VLOOKUP(E1373,ALUMNOS!A:B,2,FALSE)</f>
        <v>661</v>
      </c>
    </row>
    <row r="1374" spans="2:37" x14ac:dyDescent="0.25">
      <c r="B1374" t="str">
        <f t="shared" si="42"/>
        <v>46509056MATEMÁTICA2º</v>
      </c>
      <c r="E1374">
        <v>46509056</v>
      </c>
      <c r="F1374" t="s">
        <v>516</v>
      </c>
      <c r="G1374" t="s">
        <v>12</v>
      </c>
      <c r="H1374" t="s">
        <v>95</v>
      </c>
      <c r="I1374" t="s">
        <v>43</v>
      </c>
      <c r="J1374">
        <v>2021</v>
      </c>
      <c r="K1374" t="s">
        <v>59</v>
      </c>
      <c r="L1374" t="s">
        <v>517</v>
      </c>
      <c r="N1374" t="s">
        <v>99</v>
      </c>
      <c r="AI1374">
        <f t="shared" si="43"/>
        <v>1</v>
      </c>
      <c r="AJ1374">
        <f>'TABLA PREVIOS'!E1374</f>
        <v>230</v>
      </c>
      <c r="AK1374">
        <f>VLOOKUP(E1374,ALUMNOS!A:B,2,FALSE)</f>
        <v>661</v>
      </c>
    </row>
    <row r="1375" spans="2:37" x14ac:dyDescent="0.25">
      <c r="B1375" t="str">
        <f t="shared" si="42"/>
        <v>46035154FORMACIÓN PARA LA VIDA Y EL TRABAJO3º</v>
      </c>
      <c r="E1375">
        <v>46035154</v>
      </c>
      <c r="F1375" t="s">
        <v>518</v>
      </c>
      <c r="G1375" t="s">
        <v>28</v>
      </c>
      <c r="H1375" t="s">
        <v>143</v>
      </c>
      <c r="I1375" t="s">
        <v>43</v>
      </c>
      <c r="J1375">
        <v>2020</v>
      </c>
      <c r="K1375" t="s">
        <v>59</v>
      </c>
      <c r="L1375" t="s">
        <v>420</v>
      </c>
      <c r="N1375" t="s">
        <v>99</v>
      </c>
      <c r="AI1375">
        <f t="shared" si="43"/>
        <v>1</v>
      </c>
      <c r="AJ1375">
        <f>'TABLA PREVIOS'!E1375</f>
        <v>249</v>
      </c>
      <c r="AK1375">
        <f>VLOOKUP(E1375,ALUMNOS!A:B,2,FALSE)</f>
        <v>672</v>
      </c>
    </row>
    <row r="1376" spans="2:37" x14ac:dyDescent="0.25">
      <c r="B1376" t="str">
        <f t="shared" si="42"/>
        <v>45698127CIENCIAS SOCIALES - GEOGRAFÍA1º</v>
      </c>
      <c r="E1376">
        <v>45698127</v>
      </c>
      <c r="F1376" t="s">
        <v>519</v>
      </c>
      <c r="G1376" t="s">
        <v>15</v>
      </c>
      <c r="H1376" t="s">
        <v>98</v>
      </c>
      <c r="I1376" t="s">
        <v>43</v>
      </c>
      <c r="J1376">
        <v>2018</v>
      </c>
      <c r="K1376" t="s">
        <v>59</v>
      </c>
      <c r="L1376" t="s">
        <v>176</v>
      </c>
      <c r="N1376" t="s">
        <v>99</v>
      </c>
      <c r="AI1376">
        <f t="shared" si="43"/>
        <v>1</v>
      </c>
      <c r="AJ1376">
        <f>'TABLA PREVIOS'!E1376</f>
        <v>223</v>
      </c>
      <c r="AK1376">
        <f>VLOOKUP(E1376,ALUMNOS!A:B,2,FALSE)</f>
        <v>678</v>
      </c>
    </row>
    <row r="1377" spans="2:37" x14ac:dyDescent="0.25">
      <c r="B1377" t="str">
        <f t="shared" si="42"/>
        <v>45698127MATEMÁTICA1º</v>
      </c>
      <c r="E1377">
        <v>45698127</v>
      </c>
      <c r="F1377" t="s">
        <v>519</v>
      </c>
      <c r="G1377" t="s">
        <v>12</v>
      </c>
      <c r="H1377" t="s">
        <v>98</v>
      </c>
      <c r="I1377" t="s">
        <v>43</v>
      </c>
      <c r="J1377">
        <v>2018</v>
      </c>
      <c r="K1377" t="s">
        <v>59</v>
      </c>
      <c r="L1377" t="s">
        <v>176</v>
      </c>
      <c r="N1377" t="s">
        <v>99</v>
      </c>
      <c r="AI1377">
        <f t="shared" si="43"/>
        <v>1</v>
      </c>
      <c r="AJ1377">
        <f>'TABLA PREVIOS'!E1377</f>
        <v>220</v>
      </c>
      <c r="AK1377">
        <f>VLOOKUP(E1377,ALUMNOS!A:B,2,FALSE)</f>
        <v>678</v>
      </c>
    </row>
    <row r="1378" spans="2:37" x14ac:dyDescent="0.25">
      <c r="B1378" t="str">
        <f t="shared" si="42"/>
        <v>47250849LENGUA EXTRANJERA - INGLÉS2º</v>
      </c>
      <c r="E1378">
        <v>47250849</v>
      </c>
      <c r="F1378" t="s">
        <v>520</v>
      </c>
      <c r="G1378" t="s">
        <v>16</v>
      </c>
      <c r="H1378" t="s">
        <v>95</v>
      </c>
      <c r="I1378" t="s">
        <v>43</v>
      </c>
      <c r="J1378">
        <v>2020</v>
      </c>
      <c r="K1378" t="s">
        <v>59</v>
      </c>
      <c r="L1378" t="s">
        <v>111</v>
      </c>
      <c r="N1378" t="s">
        <v>99</v>
      </c>
      <c r="AI1378">
        <f t="shared" si="43"/>
        <v>1</v>
      </c>
      <c r="AJ1378">
        <f>'TABLA PREVIOS'!E1378</f>
        <v>234</v>
      </c>
      <c r="AK1378">
        <f>VLOOKUP(E1378,ALUMNOS!A:B,2,FALSE)</f>
        <v>680</v>
      </c>
    </row>
    <row r="1379" spans="2:37" x14ac:dyDescent="0.25">
      <c r="B1379" t="str">
        <f t="shared" si="42"/>
        <v>47250849LENGUA EXTRANJERA - INGLÉS3º</v>
      </c>
      <c r="E1379">
        <v>47250849</v>
      </c>
      <c r="F1379" t="s">
        <v>520</v>
      </c>
      <c r="G1379" t="s">
        <v>16</v>
      </c>
      <c r="H1379" t="s">
        <v>143</v>
      </c>
      <c r="I1379" t="s">
        <v>43</v>
      </c>
      <c r="J1379">
        <v>2021</v>
      </c>
      <c r="K1379" t="s">
        <v>59</v>
      </c>
      <c r="N1379" t="s">
        <v>99</v>
      </c>
      <c r="AI1379">
        <f t="shared" si="43"/>
        <v>1</v>
      </c>
      <c r="AJ1379">
        <f>'TABLA PREVIOS'!E1379</f>
        <v>245</v>
      </c>
      <c r="AK1379">
        <f>VLOOKUP(E1379,ALUMNOS!A:B,2,FALSE)</f>
        <v>680</v>
      </c>
    </row>
    <row r="1380" spans="2:37" x14ac:dyDescent="0.25">
      <c r="B1380" t="str">
        <f t="shared" si="42"/>
        <v>44369814LENGUA EXTRANJERA - INGLÉS3º</v>
      </c>
      <c r="E1380">
        <v>44369814</v>
      </c>
      <c r="F1380" t="s">
        <v>521</v>
      </c>
      <c r="G1380" t="s">
        <v>16</v>
      </c>
      <c r="H1380" t="s">
        <v>143</v>
      </c>
      <c r="I1380" t="s">
        <v>43</v>
      </c>
      <c r="J1380">
        <v>2020</v>
      </c>
      <c r="K1380" t="s">
        <v>59</v>
      </c>
      <c r="L1380" t="s">
        <v>465</v>
      </c>
      <c r="N1380" t="s">
        <v>99</v>
      </c>
      <c r="AI1380">
        <f t="shared" si="43"/>
        <v>1</v>
      </c>
      <c r="AJ1380">
        <f>'TABLA PREVIOS'!E1380</f>
        <v>245</v>
      </c>
      <c r="AK1380">
        <f>VLOOKUP(E1380,ALUMNOS!A:B,2,FALSE)</f>
        <v>688</v>
      </c>
    </row>
    <row r="1381" spans="2:37" x14ac:dyDescent="0.25">
      <c r="B1381" t="str">
        <f t="shared" si="42"/>
        <v>44369814MATEMÁTICA3º</v>
      </c>
      <c r="E1381">
        <v>44369814</v>
      </c>
      <c r="F1381" t="s">
        <v>521</v>
      </c>
      <c r="G1381" t="s">
        <v>12</v>
      </c>
      <c r="H1381" t="s">
        <v>143</v>
      </c>
      <c r="I1381" t="s">
        <v>43</v>
      </c>
      <c r="J1381">
        <v>2020</v>
      </c>
      <c r="K1381" t="s">
        <v>59</v>
      </c>
      <c r="L1381" t="s">
        <v>465</v>
      </c>
      <c r="N1381" t="s">
        <v>99</v>
      </c>
      <c r="AI1381">
        <f t="shared" si="43"/>
        <v>1</v>
      </c>
      <c r="AJ1381">
        <f>'TABLA PREVIOS'!E1381</f>
        <v>240</v>
      </c>
      <c r="AK1381">
        <f>VLOOKUP(E1381,ALUMNOS!A:B,2,FALSE)</f>
        <v>688</v>
      </c>
    </row>
    <row r="1382" spans="2:37" x14ac:dyDescent="0.25">
      <c r="B1382" t="str">
        <f t="shared" si="42"/>
        <v>45698153BIOLOGÍA2º</v>
      </c>
      <c r="C1382" t="s">
        <v>353</v>
      </c>
      <c r="E1382">
        <v>45698153</v>
      </c>
      <c r="F1382" t="s">
        <v>522</v>
      </c>
      <c r="G1382" t="s">
        <v>21</v>
      </c>
      <c r="H1382" t="s">
        <v>95</v>
      </c>
      <c r="I1382" t="s">
        <v>43</v>
      </c>
      <c r="J1382">
        <v>2018</v>
      </c>
      <c r="K1382" t="s">
        <v>59</v>
      </c>
      <c r="N1382" t="s">
        <v>99</v>
      </c>
      <c r="AI1382">
        <f t="shared" si="43"/>
        <v>1</v>
      </c>
      <c r="AJ1382">
        <f>'TABLA PREVIOS'!E1382</f>
        <v>232</v>
      </c>
      <c r="AK1382">
        <f>VLOOKUP(E1382,ALUMNOS!A:B,2,FALSE)</f>
        <v>689</v>
      </c>
    </row>
    <row r="1383" spans="2:37" x14ac:dyDescent="0.25">
      <c r="B1383" t="str">
        <f t="shared" si="42"/>
        <v>48177631EDUCACIÓN FÍSICA3º</v>
      </c>
      <c r="E1383">
        <v>48177631</v>
      </c>
      <c r="F1383" t="s">
        <v>523</v>
      </c>
      <c r="G1383" t="s">
        <v>10</v>
      </c>
      <c r="H1383" t="s">
        <v>143</v>
      </c>
      <c r="I1383" t="s">
        <v>43</v>
      </c>
      <c r="J1383">
        <v>2022</v>
      </c>
      <c r="K1383" t="s">
        <v>59</v>
      </c>
      <c r="L1383" t="s">
        <v>105</v>
      </c>
      <c r="N1383" t="s">
        <v>99</v>
      </c>
      <c r="AI1383">
        <f t="shared" si="43"/>
        <v>1</v>
      </c>
      <c r="AJ1383">
        <f>'TABLA PREVIOS'!E1383</f>
        <v>238</v>
      </c>
      <c r="AK1383">
        <f>VLOOKUP(E1383,ALUMNOS!A:B,2,FALSE)</f>
        <v>691</v>
      </c>
    </row>
    <row r="1384" spans="2:37" x14ac:dyDescent="0.25">
      <c r="B1384" t="str">
        <f t="shared" si="42"/>
        <v>48177631LENGUA Y LITERATURA3º</v>
      </c>
      <c r="E1384">
        <v>48177631</v>
      </c>
      <c r="F1384" t="s">
        <v>523</v>
      </c>
      <c r="G1384" t="s">
        <v>11</v>
      </c>
      <c r="H1384" t="s">
        <v>143</v>
      </c>
      <c r="I1384" t="s">
        <v>43</v>
      </c>
      <c r="J1384">
        <v>2022</v>
      </c>
      <c r="K1384" t="s">
        <v>59</v>
      </c>
      <c r="N1384" t="s">
        <v>99</v>
      </c>
      <c r="AI1384">
        <f t="shared" si="43"/>
        <v>1</v>
      </c>
      <c r="AJ1384">
        <f>'TABLA PREVIOS'!E1384</f>
        <v>239</v>
      </c>
      <c r="AK1384">
        <f>VLOOKUP(E1384,ALUMNOS!A:B,2,FALSE)</f>
        <v>691</v>
      </c>
    </row>
    <row r="1385" spans="2:37" x14ac:dyDescent="0.25">
      <c r="B1385" t="str">
        <f t="shared" si="42"/>
        <v>44974383LENGUA EXTRANJERA - INGLÉS1º</v>
      </c>
      <c r="E1385">
        <v>44974383</v>
      </c>
      <c r="F1385" t="s">
        <v>524</v>
      </c>
      <c r="G1385" t="s">
        <v>16</v>
      </c>
      <c r="H1385" t="s">
        <v>98</v>
      </c>
      <c r="I1385" t="s">
        <v>43</v>
      </c>
      <c r="J1385">
        <v>2017</v>
      </c>
      <c r="K1385" t="s">
        <v>59</v>
      </c>
      <c r="L1385" t="s">
        <v>525</v>
      </c>
      <c r="N1385" t="s">
        <v>99</v>
      </c>
      <c r="AI1385">
        <f t="shared" si="43"/>
        <v>1</v>
      </c>
      <c r="AJ1385">
        <f>'TABLA PREVIOS'!E1385</f>
        <v>224</v>
      </c>
      <c r="AK1385">
        <f>VLOOKUP(E1385,ALUMNOS!A:B,2,FALSE)</f>
        <v>704</v>
      </c>
    </row>
    <row r="1386" spans="2:37" x14ac:dyDescent="0.25">
      <c r="B1386" t="str">
        <f t="shared" si="42"/>
        <v>44974383LENGUA Y LITERATURA4º</v>
      </c>
      <c r="E1386">
        <v>44974383</v>
      </c>
      <c r="F1386" t="s">
        <v>524</v>
      </c>
      <c r="G1386" t="s">
        <v>11</v>
      </c>
      <c r="H1386" t="s">
        <v>190</v>
      </c>
      <c r="I1386" t="s">
        <v>43</v>
      </c>
      <c r="J1386">
        <v>2020</v>
      </c>
      <c r="K1386" t="s">
        <v>60</v>
      </c>
      <c r="L1386" t="s">
        <v>525</v>
      </c>
      <c r="N1386" t="s">
        <v>99</v>
      </c>
      <c r="AI1386">
        <f t="shared" si="43"/>
        <v>1</v>
      </c>
      <c r="AJ1386">
        <f>'TABLA PREVIOS'!E1386</f>
        <v>251</v>
      </c>
      <c r="AK1386">
        <f>VLOOKUP(E1386,ALUMNOS!A:B,2,FALSE)</f>
        <v>704</v>
      </c>
    </row>
    <row r="1387" spans="2:37" x14ac:dyDescent="0.25">
      <c r="B1387" t="str">
        <f t="shared" si="42"/>
        <v>44974383SISTEMAS DE INFORMACIÓN CONTABLE4º</v>
      </c>
      <c r="E1387">
        <v>44974383</v>
      </c>
      <c r="F1387" t="s">
        <v>524</v>
      </c>
      <c r="G1387" t="s">
        <v>29</v>
      </c>
      <c r="H1387" t="s">
        <v>190</v>
      </c>
      <c r="I1387" t="s">
        <v>43</v>
      </c>
      <c r="J1387">
        <v>2020</v>
      </c>
      <c r="K1387" t="s">
        <v>60</v>
      </c>
      <c r="L1387" t="s">
        <v>525</v>
      </c>
      <c r="N1387" t="s">
        <v>99</v>
      </c>
      <c r="AI1387">
        <f t="shared" si="43"/>
        <v>1</v>
      </c>
      <c r="AJ1387">
        <f>'TABLA PREVIOS'!E1387</f>
        <v>259</v>
      </c>
      <c r="AK1387">
        <f>VLOOKUP(E1387,ALUMNOS!A:B,2,FALSE)</f>
        <v>704</v>
      </c>
    </row>
    <row r="1388" spans="2:37" x14ac:dyDescent="0.25">
      <c r="B1388" t="str">
        <f t="shared" si="42"/>
        <v>48130234CIENCIAS NATURALES - QUÍMICA2º</v>
      </c>
      <c r="E1388">
        <v>48130234</v>
      </c>
      <c r="F1388" t="s">
        <v>526</v>
      </c>
      <c r="G1388" t="s">
        <v>20</v>
      </c>
      <c r="H1388" t="s">
        <v>95</v>
      </c>
      <c r="I1388" t="s">
        <v>43</v>
      </c>
      <c r="J1388">
        <v>2022</v>
      </c>
      <c r="K1388" t="s">
        <v>59</v>
      </c>
      <c r="N1388" t="s">
        <v>99</v>
      </c>
      <c r="AI1388">
        <f t="shared" si="43"/>
        <v>1</v>
      </c>
      <c r="AJ1388">
        <f>'TABLA PREVIOS'!E1388</f>
        <v>231</v>
      </c>
      <c r="AK1388">
        <f>VLOOKUP(E1388,ALUMNOS!A:B,2,FALSE)</f>
        <v>707</v>
      </c>
    </row>
    <row r="1389" spans="2:37" x14ac:dyDescent="0.25">
      <c r="B1389" t="str">
        <f t="shared" si="42"/>
        <v>48130234CIENCIAS SOCIALES - HISTORIA2º</v>
      </c>
      <c r="E1389">
        <v>48130234</v>
      </c>
      <c r="F1389" t="s">
        <v>526</v>
      </c>
      <c r="G1389" t="s">
        <v>22</v>
      </c>
      <c r="H1389" t="s">
        <v>95</v>
      </c>
      <c r="I1389" t="s">
        <v>43</v>
      </c>
      <c r="J1389">
        <v>2022</v>
      </c>
      <c r="K1389" t="s">
        <v>59</v>
      </c>
      <c r="N1389" t="s">
        <v>99</v>
      </c>
      <c r="AI1389">
        <f t="shared" si="43"/>
        <v>1</v>
      </c>
      <c r="AJ1389">
        <f>'TABLA PREVIOS'!E1389</f>
        <v>233</v>
      </c>
      <c r="AK1389">
        <f>VLOOKUP(E1389,ALUMNOS!A:B,2,FALSE)</f>
        <v>707</v>
      </c>
    </row>
    <row r="1390" spans="2:37" x14ac:dyDescent="0.25">
      <c r="B1390" t="str">
        <f t="shared" si="42"/>
        <v>48130234LENGUA EXTRANJERA - INGLÉS2º</v>
      </c>
      <c r="E1390">
        <v>48130234</v>
      </c>
      <c r="F1390" t="s">
        <v>526</v>
      </c>
      <c r="G1390" t="s">
        <v>16</v>
      </c>
      <c r="H1390" t="s">
        <v>95</v>
      </c>
      <c r="I1390" t="s">
        <v>43</v>
      </c>
      <c r="J1390">
        <v>2022</v>
      </c>
      <c r="K1390" t="s">
        <v>59</v>
      </c>
      <c r="N1390" t="s">
        <v>99</v>
      </c>
      <c r="AI1390">
        <f t="shared" si="43"/>
        <v>1</v>
      </c>
      <c r="AJ1390">
        <f>'TABLA PREVIOS'!E1390</f>
        <v>234</v>
      </c>
      <c r="AK1390">
        <f>VLOOKUP(E1390,ALUMNOS!A:B,2,FALSE)</f>
        <v>707</v>
      </c>
    </row>
    <row r="1391" spans="2:37" x14ac:dyDescent="0.25">
      <c r="B1391" t="str">
        <f t="shared" si="42"/>
        <v>48130234LENGUA Y LITERATURA2º</v>
      </c>
      <c r="E1391">
        <v>48130234</v>
      </c>
      <c r="F1391" t="s">
        <v>526</v>
      </c>
      <c r="G1391" t="s">
        <v>11</v>
      </c>
      <c r="H1391" t="s">
        <v>95</v>
      </c>
      <c r="I1391" t="s">
        <v>43</v>
      </c>
      <c r="J1391">
        <v>2022</v>
      </c>
      <c r="K1391" t="s">
        <v>59</v>
      </c>
      <c r="N1391" t="s">
        <v>99</v>
      </c>
      <c r="AI1391">
        <f t="shared" si="43"/>
        <v>1</v>
      </c>
      <c r="AJ1391">
        <f>'TABLA PREVIOS'!E1391</f>
        <v>229</v>
      </c>
      <c r="AK1391">
        <f>VLOOKUP(E1391,ALUMNOS!A:B,2,FALSE)</f>
        <v>707</v>
      </c>
    </row>
    <row r="1392" spans="2:37" x14ac:dyDescent="0.25">
      <c r="B1392" t="str">
        <f t="shared" si="42"/>
        <v>45698157LENGUA EXTRANJERA - INGLÉS2º</v>
      </c>
      <c r="E1392">
        <v>45698157</v>
      </c>
      <c r="F1392" t="s">
        <v>527</v>
      </c>
      <c r="G1392" t="s">
        <v>16</v>
      </c>
      <c r="H1392" t="s">
        <v>95</v>
      </c>
      <c r="I1392" t="s">
        <v>43</v>
      </c>
      <c r="J1392">
        <v>2019</v>
      </c>
      <c r="K1392" t="s">
        <v>59</v>
      </c>
      <c r="L1392" t="s">
        <v>372</v>
      </c>
      <c r="N1392" t="s">
        <v>99</v>
      </c>
      <c r="AI1392">
        <f t="shared" si="43"/>
        <v>1</v>
      </c>
      <c r="AJ1392">
        <f>'TABLA PREVIOS'!E1392</f>
        <v>234</v>
      </c>
      <c r="AK1392">
        <f>VLOOKUP(E1392,ALUMNOS!A:B,2,FALSE)</f>
        <v>735</v>
      </c>
    </row>
    <row r="1393" spans="2:37" x14ac:dyDescent="0.25">
      <c r="B1393" t="str">
        <f t="shared" si="42"/>
        <v>45698157LENGUA EXTRANJERA - INGLÉS3º</v>
      </c>
      <c r="E1393">
        <v>45698157</v>
      </c>
      <c r="F1393" t="s">
        <v>527</v>
      </c>
      <c r="G1393" t="s">
        <v>16</v>
      </c>
      <c r="H1393" t="s">
        <v>143</v>
      </c>
      <c r="I1393" t="s">
        <v>43</v>
      </c>
      <c r="J1393">
        <v>2020</v>
      </c>
      <c r="K1393" t="s">
        <v>59</v>
      </c>
      <c r="L1393" t="s">
        <v>372</v>
      </c>
      <c r="N1393" t="s">
        <v>99</v>
      </c>
      <c r="AI1393">
        <f t="shared" si="43"/>
        <v>1</v>
      </c>
      <c r="AJ1393">
        <f>'TABLA PREVIOS'!E1393</f>
        <v>245</v>
      </c>
      <c r="AK1393">
        <f>VLOOKUP(E1393,ALUMNOS!A:B,2,FALSE)</f>
        <v>735</v>
      </c>
    </row>
    <row r="1394" spans="2:37" x14ac:dyDescent="0.25">
      <c r="B1394" t="str">
        <f t="shared" si="42"/>
        <v>46506642LENGUA Y LITERATURA2º</v>
      </c>
      <c r="E1394">
        <v>46506642</v>
      </c>
      <c r="F1394" t="s">
        <v>528</v>
      </c>
      <c r="G1394" t="s">
        <v>11</v>
      </c>
      <c r="H1394" t="s">
        <v>95</v>
      </c>
      <c r="I1394" t="s">
        <v>43</v>
      </c>
      <c r="J1394">
        <v>2019</v>
      </c>
      <c r="K1394" t="s">
        <v>59</v>
      </c>
      <c r="L1394" t="s">
        <v>473</v>
      </c>
      <c r="N1394" t="s">
        <v>99</v>
      </c>
      <c r="AI1394">
        <f t="shared" si="43"/>
        <v>1</v>
      </c>
      <c r="AJ1394">
        <f>'TABLA PREVIOS'!E1394</f>
        <v>229</v>
      </c>
      <c r="AK1394">
        <f>VLOOKUP(E1394,ALUMNOS!A:B,2,FALSE)</f>
        <v>746</v>
      </c>
    </row>
    <row r="1395" spans="2:37" x14ac:dyDescent="0.25">
      <c r="B1395" t="str">
        <f t="shared" si="42"/>
        <v>46506642ADMINISTRACIÓN4º</v>
      </c>
      <c r="E1395">
        <v>46506642</v>
      </c>
      <c r="F1395" t="s">
        <v>528</v>
      </c>
      <c r="G1395" t="s">
        <v>30</v>
      </c>
      <c r="H1395" t="s">
        <v>190</v>
      </c>
      <c r="I1395" t="s">
        <v>43</v>
      </c>
      <c r="J1395">
        <v>2021</v>
      </c>
      <c r="K1395" t="s">
        <v>60</v>
      </c>
      <c r="L1395" t="s">
        <v>473</v>
      </c>
      <c r="N1395" t="s">
        <v>99</v>
      </c>
      <c r="AI1395">
        <f t="shared" si="43"/>
        <v>1</v>
      </c>
      <c r="AJ1395">
        <f>'TABLA PREVIOS'!E1395</f>
        <v>260</v>
      </c>
      <c r="AK1395">
        <f>VLOOKUP(E1395,ALUMNOS!A:B,2,FALSE)</f>
        <v>746</v>
      </c>
    </row>
    <row r="1396" spans="2:37" x14ac:dyDescent="0.25">
      <c r="B1396" t="str">
        <f t="shared" si="42"/>
        <v>46506642ADMINISTRACIÓN DE LA PRODUCCIÓN Y COMERCIALIZACIÓN4º</v>
      </c>
      <c r="E1396">
        <v>46506642</v>
      </c>
      <c r="F1396" t="s">
        <v>528</v>
      </c>
      <c r="G1396" t="s">
        <v>32</v>
      </c>
      <c r="H1396" t="s">
        <v>190</v>
      </c>
      <c r="I1396" t="s">
        <v>43</v>
      </c>
      <c r="J1396">
        <v>2021</v>
      </c>
      <c r="K1396" t="s">
        <v>60</v>
      </c>
      <c r="L1396" t="s">
        <v>473</v>
      </c>
      <c r="N1396" t="s">
        <v>99</v>
      </c>
      <c r="AI1396">
        <f t="shared" si="43"/>
        <v>1</v>
      </c>
      <c r="AJ1396">
        <f>'TABLA PREVIOS'!E1396</f>
        <v>262</v>
      </c>
      <c r="AK1396">
        <f>VLOOKUP(E1396,ALUMNOS!A:B,2,FALSE)</f>
        <v>746</v>
      </c>
    </row>
    <row r="1397" spans="2:37" x14ac:dyDescent="0.25">
      <c r="B1397" t="str">
        <f t="shared" si="42"/>
        <v>46506642ECONOMÍA Y DESARROLLO SUSTENTABLE4º</v>
      </c>
      <c r="E1397">
        <v>46506642</v>
      </c>
      <c r="F1397" t="s">
        <v>528</v>
      </c>
      <c r="G1397" t="s">
        <v>31</v>
      </c>
      <c r="H1397" t="s">
        <v>190</v>
      </c>
      <c r="I1397" t="s">
        <v>43</v>
      </c>
      <c r="J1397">
        <v>2021</v>
      </c>
      <c r="K1397" t="s">
        <v>60</v>
      </c>
      <c r="L1397" t="s">
        <v>473</v>
      </c>
      <c r="N1397" t="s">
        <v>99</v>
      </c>
      <c r="AI1397">
        <f t="shared" si="43"/>
        <v>1</v>
      </c>
      <c r="AJ1397">
        <f>'TABLA PREVIOS'!E1397</f>
        <v>261</v>
      </c>
      <c r="AK1397">
        <f>VLOOKUP(E1397,ALUMNOS!A:B,2,FALSE)</f>
        <v>746</v>
      </c>
    </row>
    <row r="1398" spans="2:37" x14ac:dyDescent="0.25">
      <c r="B1398" t="str">
        <f t="shared" si="42"/>
        <v>46506642LENGUA Y LITERATURA4º</v>
      </c>
      <c r="E1398">
        <v>46506642</v>
      </c>
      <c r="F1398" t="s">
        <v>528</v>
      </c>
      <c r="G1398" t="s">
        <v>11</v>
      </c>
      <c r="H1398" t="s">
        <v>190</v>
      </c>
      <c r="I1398" t="s">
        <v>43</v>
      </c>
      <c r="J1398">
        <v>2021</v>
      </c>
      <c r="K1398" t="s">
        <v>60</v>
      </c>
      <c r="L1398" t="s">
        <v>473</v>
      </c>
      <c r="N1398" t="s">
        <v>99</v>
      </c>
      <c r="AI1398">
        <f t="shared" si="43"/>
        <v>1</v>
      </c>
      <c r="AJ1398">
        <f>'TABLA PREVIOS'!E1398</f>
        <v>251</v>
      </c>
      <c r="AK1398">
        <f>VLOOKUP(E1398,ALUMNOS!A:B,2,FALSE)</f>
        <v>746</v>
      </c>
    </row>
    <row r="1399" spans="2:37" x14ac:dyDescent="0.25">
      <c r="B1399" t="str">
        <f t="shared" si="42"/>
        <v>46506642SISTEMAS DE INFORMACIÓN CONTABLE4º</v>
      </c>
      <c r="E1399">
        <v>46506642</v>
      </c>
      <c r="F1399" t="s">
        <v>528</v>
      </c>
      <c r="G1399" t="s">
        <v>29</v>
      </c>
      <c r="H1399" t="s">
        <v>190</v>
      </c>
      <c r="I1399" t="s">
        <v>43</v>
      </c>
      <c r="J1399">
        <v>2021</v>
      </c>
      <c r="K1399" t="s">
        <v>60</v>
      </c>
      <c r="L1399" t="s">
        <v>473</v>
      </c>
      <c r="M1399" t="s">
        <v>529</v>
      </c>
      <c r="N1399" t="s">
        <v>99</v>
      </c>
      <c r="AI1399">
        <f t="shared" si="43"/>
        <v>1</v>
      </c>
      <c r="AJ1399">
        <f>'TABLA PREVIOS'!E1399</f>
        <v>259</v>
      </c>
      <c r="AK1399">
        <f>VLOOKUP(E1399,ALUMNOS!A:B,2,FALSE)</f>
        <v>746</v>
      </c>
    </row>
    <row r="1400" spans="2:37" x14ac:dyDescent="0.25">
      <c r="B1400" t="str">
        <f t="shared" si="42"/>
        <v>48545342EDUCACIÓN ARTÍSTICA - ARTES VISUALES1º</v>
      </c>
      <c r="E1400">
        <v>48545342</v>
      </c>
      <c r="F1400" t="s">
        <v>530</v>
      </c>
      <c r="G1400" t="s">
        <v>17</v>
      </c>
      <c r="H1400" t="s">
        <v>98</v>
      </c>
      <c r="I1400" t="s">
        <v>43</v>
      </c>
      <c r="J1400">
        <v>2021</v>
      </c>
      <c r="K1400" t="s">
        <v>59</v>
      </c>
      <c r="N1400" t="s">
        <v>99</v>
      </c>
      <c r="AI1400">
        <f t="shared" si="43"/>
        <v>1</v>
      </c>
      <c r="AJ1400">
        <f>'TABLA PREVIOS'!E1400</f>
        <v>225</v>
      </c>
      <c r="AK1400">
        <f>VLOOKUP(E1400,ALUMNOS!A:B,2,FALSE)</f>
        <v>749</v>
      </c>
    </row>
    <row r="1401" spans="2:37" x14ac:dyDescent="0.25">
      <c r="B1401" t="str">
        <f t="shared" si="42"/>
        <v>48545342EDUCACIÓN FÍSICA1º</v>
      </c>
      <c r="E1401">
        <v>48545342</v>
      </c>
      <c r="F1401" t="s">
        <v>530</v>
      </c>
      <c r="G1401" t="s">
        <v>10</v>
      </c>
      <c r="H1401" t="s">
        <v>98</v>
      </c>
      <c r="I1401" t="s">
        <v>43</v>
      </c>
      <c r="J1401">
        <v>2021</v>
      </c>
      <c r="K1401" t="s">
        <v>59</v>
      </c>
      <c r="N1401" t="s">
        <v>99</v>
      </c>
      <c r="AI1401">
        <f t="shared" si="43"/>
        <v>1</v>
      </c>
      <c r="AJ1401">
        <f>'TABLA PREVIOS'!E1401</f>
        <v>218</v>
      </c>
      <c r="AK1401">
        <f>VLOOKUP(E1401,ALUMNOS!A:B,2,FALSE)</f>
        <v>749</v>
      </c>
    </row>
    <row r="1402" spans="2:37" x14ac:dyDescent="0.25">
      <c r="B1402" t="str">
        <f t="shared" si="42"/>
        <v>48545342LENGUA EXTRANJERA - INGLÉS1º</v>
      </c>
      <c r="E1402">
        <v>48545342</v>
      </c>
      <c r="F1402" t="s">
        <v>530</v>
      </c>
      <c r="G1402" t="s">
        <v>16</v>
      </c>
      <c r="H1402" t="s">
        <v>98</v>
      </c>
      <c r="I1402" t="s">
        <v>43</v>
      </c>
      <c r="J1402">
        <v>2021</v>
      </c>
      <c r="K1402" t="s">
        <v>59</v>
      </c>
      <c r="N1402" t="s">
        <v>99</v>
      </c>
      <c r="AI1402">
        <f t="shared" si="43"/>
        <v>1</v>
      </c>
      <c r="AJ1402">
        <f>'TABLA PREVIOS'!E1402</f>
        <v>224</v>
      </c>
      <c r="AK1402">
        <f>VLOOKUP(E1402,ALUMNOS!A:B,2,FALSE)</f>
        <v>749</v>
      </c>
    </row>
    <row r="1403" spans="2:37" x14ac:dyDescent="0.25">
      <c r="B1403" t="str">
        <f t="shared" si="42"/>
        <v>47665568LENGUA EXTRANJERA - INGLÉS2º</v>
      </c>
      <c r="E1403">
        <v>47665568</v>
      </c>
      <c r="F1403" t="s">
        <v>531</v>
      </c>
      <c r="G1403" t="s">
        <v>16</v>
      </c>
      <c r="H1403" t="s">
        <v>95</v>
      </c>
      <c r="I1403" t="s">
        <v>43</v>
      </c>
      <c r="J1403">
        <v>2020</v>
      </c>
      <c r="K1403" t="s">
        <v>59</v>
      </c>
      <c r="N1403" t="s">
        <v>99</v>
      </c>
      <c r="AI1403">
        <f t="shared" si="43"/>
        <v>1</v>
      </c>
      <c r="AJ1403">
        <f>'TABLA PREVIOS'!E1403</f>
        <v>234</v>
      </c>
      <c r="AK1403">
        <f>VLOOKUP(E1403,ALUMNOS!A:B,2,FALSE)</f>
        <v>767</v>
      </c>
    </row>
    <row r="1404" spans="2:37" x14ac:dyDescent="0.25">
      <c r="B1404" t="str">
        <f t="shared" si="42"/>
        <v>47665568LENGUA EXTRANJERA - INGLÉS3º</v>
      </c>
      <c r="E1404">
        <v>47665568</v>
      </c>
      <c r="F1404" t="s">
        <v>531</v>
      </c>
      <c r="G1404" t="s">
        <v>16</v>
      </c>
      <c r="H1404" t="s">
        <v>143</v>
      </c>
      <c r="I1404" t="s">
        <v>43</v>
      </c>
      <c r="J1404">
        <v>2021</v>
      </c>
      <c r="K1404" t="s">
        <v>59</v>
      </c>
      <c r="N1404" t="s">
        <v>99</v>
      </c>
      <c r="AI1404">
        <f t="shared" si="43"/>
        <v>1</v>
      </c>
      <c r="AJ1404">
        <f>'TABLA PREVIOS'!E1404</f>
        <v>245</v>
      </c>
      <c r="AK1404">
        <f>VLOOKUP(E1404,ALUMNOS!A:B,2,FALSE)</f>
        <v>767</v>
      </c>
    </row>
    <row r="1405" spans="2:37" x14ac:dyDescent="0.25">
      <c r="B1405" t="str">
        <f t="shared" si="42"/>
        <v>47370891EDUCACIÓN TECNOLÓGICA2º</v>
      </c>
      <c r="E1405">
        <v>47370891</v>
      </c>
      <c r="F1405" t="s">
        <v>532</v>
      </c>
      <c r="G1405" t="s">
        <v>18</v>
      </c>
      <c r="H1405" t="s">
        <v>95</v>
      </c>
      <c r="I1405" t="s">
        <v>43</v>
      </c>
      <c r="J1405">
        <v>2020</v>
      </c>
      <c r="K1405" t="s">
        <v>59</v>
      </c>
      <c r="N1405" t="s">
        <v>99</v>
      </c>
      <c r="AI1405">
        <f t="shared" si="43"/>
        <v>1</v>
      </c>
      <c r="AJ1405">
        <f>'TABLA PREVIOS'!E1405</f>
        <v>236</v>
      </c>
      <c r="AK1405">
        <f>VLOOKUP(E1405,ALUMNOS!A:B,2,FALSE)</f>
        <v>787</v>
      </c>
    </row>
    <row r="1406" spans="2:37" x14ac:dyDescent="0.25">
      <c r="B1406" t="str">
        <f t="shared" si="42"/>
        <v>47370891MATEMÁTICA2º</v>
      </c>
      <c r="E1406">
        <v>47370891</v>
      </c>
      <c r="F1406" t="s">
        <v>532</v>
      </c>
      <c r="G1406" t="s">
        <v>12</v>
      </c>
      <c r="H1406" t="s">
        <v>95</v>
      </c>
      <c r="I1406" t="s">
        <v>43</v>
      </c>
      <c r="J1406">
        <v>2020</v>
      </c>
      <c r="K1406" t="s">
        <v>59</v>
      </c>
      <c r="L1406" t="s">
        <v>372</v>
      </c>
      <c r="N1406" t="s">
        <v>99</v>
      </c>
      <c r="AI1406">
        <f t="shared" si="43"/>
        <v>1</v>
      </c>
      <c r="AJ1406">
        <f>'TABLA PREVIOS'!E1406</f>
        <v>230</v>
      </c>
      <c r="AK1406">
        <f>VLOOKUP(E1406,ALUMNOS!A:B,2,FALSE)</f>
        <v>787</v>
      </c>
    </row>
  </sheetData>
  <autoFilter ref="C1:AI1406" xr:uid="{48C36835-2F5E-4309-9B8A-96CBE335E9C7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7E112-8239-4F17-9BF9-A2829CFC1158}">
  <dimension ref="A1:R169"/>
  <sheetViews>
    <sheetView tabSelected="1" topLeftCell="A109" workbookViewId="0">
      <selection activeCell="B76" sqref="B76"/>
    </sheetView>
  </sheetViews>
  <sheetFormatPr baseColWidth="10" defaultRowHeight="15" x14ac:dyDescent="0.25"/>
  <cols>
    <col min="1" max="1" width="9" bestFit="1" customWidth="1"/>
    <col min="2" max="2" width="39.42578125" bestFit="1" customWidth="1"/>
    <col min="3" max="3" width="47.85546875" bestFit="1" customWidth="1"/>
    <col min="4" max="4" width="14.140625" bestFit="1" customWidth="1"/>
    <col min="5" max="5" width="7" bestFit="1" customWidth="1"/>
    <col min="6" max="6" width="10.7109375" style="2" bestFit="1" customWidth="1"/>
    <col min="7" max="7" width="12.140625" style="3" bestFit="1" customWidth="1"/>
    <col min="8" max="8" width="13.85546875" bestFit="1" customWidth="1"/>
    <col min="9" max="10" width="6.140625" bestFit="1" customWidth="1"/>
    <col min="11" max="11" width="6.28515625" bestFit="1" customWidth="1"/>
    <col min="16" max="16" width="13.5703125" bestFit="1" customWidth="1"/>
  </cols>
  <sheetData>
    <row r="1" spans="1:18" x14ac:dyDescent="0.25">
      <c r="A1" t="s">
        <v>65</v>
      </c>
      <c r="B1" t="s">
        <v>602</v>
      </c>
      <c r="C1" t="s">
        <v>603</v>
      </c>
      <c r="D1" t="s">
        <v>604</v>
      </c>
      <c r="E1" t="s">
        <v>535</v>
      </c>
      <c r="F1" s="2" t="s">
        <v>605</v>
      </c>
      <c r="G1" s="3" t="s">
        <v>606</v>
      </c>
      <c r="H1" t="s">
        <v>607</v>
      </c>
      <c r="I1" t="s">
        <v>608</v>
      </c>
      <c r="J1" t="s">
        <v>609</v>
      </c>
      <c r="K1" t="s">
        <v>610</v>
      </c>
      <c r="L1" t="s">
        <v>613</v>
      </c>
      <c r="M1" t="s">
        <v>71</v>
      </c>
      <c r="N1" t="s">
        <v>9</v>
      </c>
      <c r="O1" t="s">
        <v>7</v>
      </c>
      <c r="P1" t="s">
        <v>635</v>
      </c>
      <c r="Q1" t="s">
        <v>62</v>
      </c>
      <c r="R1" t="s">
        <v>42</v>
      </c>
    </row>
    <row r="2" spans="1:18" x14ac:dyDescent="0.25">
      <c r="A2">
        <v>49716919</v>
      </c>
      <c r="B2" t="s">
        <v>140</v>
      </c>
      <c r="C2" t="s">
        <v>17</v>
      </c>
      <c r="D2" t="s">
        <v>43</v>
      </c>
      <c r="E2" t="s">
        <v>98</v>
      </c>
      <c r="F2" s="2">
        <v>45399</v>
      </c>
      <c r="G2" s="3">
        <v>0.33333333333333331</v>
      </c>
      <c r="H2">
        <v>2022</v>
      </c>
      <c r="I2" t="s">
        <v>50</v>
      </c>
      <c r="J2">
        <v>68</v>
      </c>
      <c r="K2">
        <v>19</v>
      </c>
      <c r="L2">
        <f>VLOOKUP(UPPER(TEXT(F2,"mmmm"))&amp;TEXT(F2,"yyyy"),TURNOS!A:F,6,FALSE)</f>
        <v>1</v>
      </c>
      <c r="M2">
        <f>VLOOKUP(VLOOKUP(A2&amp;C2&amp;E2,'PREVIOS (2)'!B:K,10,FALSE),PLAN!A:B,2,FALSE)</f>
        <v>5</v>
      </c>
      <c r="N2">
        <f>VLOOKUP(E2&amp;M2,CURSO!A:D,4,FALSE)</f>
        <v>17</v>
      </c>
      <c r="O2">
        <f>VLOOKUP(C2&amp;N2,MATERIAS!A:G,7,FALSE)</f>
        <v>225</v>
      </c>
      <c r="P2">
        <f>VLOOKUP(I2,CALIFICACION!A:C,3,FALSE)</f>
        <v>2</v>
      </c>
      <c r="Q2">
        <f>VLOOKUP(A2,ALUMNOS!A:B,2,FALSE)</f>
        <v>655</v>
      </c>
      <c r="R2">
        <f>VLOOKUP(D2,CONDICION!A:B,2,FALSE)</f>
        <v>1</v>
      </c>
    </row>
    <row r="3" spans="1:18" x14ac:dyDescent="0.25">
      <c r="A3">
        <v>47665564</v>
      </c>
      <c r="B3" t="s">
        <v>175</v>
      </c>
      <c r="C3" t="s">
        <v>17</v>
      </c>
      <c r="D3" t="s">
        <v>43</v>
      </c>
      <c r="E3" t="s">
        <v>98</v>
      </c>
      <c r="F3" s="2">
        <v>45399</v>
      </c>
      <c r="G3" s="3">
        <v>0.33333333333333331</v>
      </c>
      <c r="H3">
        <v>2020</v>
      </c>
      <c r="I3" t="s">
        <v>50</v>
      </c>
      <c r="J3">
        <v>68</v>
      </c>
      <c r="K3">
        <v>19</v>
      </c>
      <c r="L3">
        <f>VLOOKUP(UPPER(TEXT(F3,"mmmm"))&amp;TEXT(F3,"yyyy"),TURNOS!A:F,6,FALSE)</f>
        <v>1</v>
      </c>
      <c r="M3">
        <f>VLOOKUP(VLOOKUP(A3&amp;C3&amp;E3,'PREVIOS (2)'!B:K,10,FALSE),PLAN!A:B,2,FALSE)</f>
        <v>5</v>
      </c>
      <c r="N3">
        <f>VLOOKUP(E3&amp;M3,CURSO!A:D,4,FALSE)</f>
        <v>17</v>
      </c>
      <c r="O3">
        <f>VLOOKUP(C3&amp;N3,MATERIAS!A:G,7,FALSE)</f>
        <v>225</v>
      </c>
      <c r="P3">
        <f>VLOOKUP(I3,CALIFICACION!A:C,3,FALSE)</f>
        <v>2</v>
      </c>
      <c r="Q3">
        <f>VLOOKUP(A3,ALUMNOS!A:B,2,FALSE)</f>
        <v>736</v>
      </c>
      <c r="R3">
        <f>VLOOKUP(D3,CONDICION!A:B,2,FALSE)</f>
        <v>1</v>
      </c>
    </row>
    <row r="4" spans="1:18" x14ac:dyDescent="0.25">
      <c r="A4">
        <v>50033525</v>
      </c>
      <c r="B4" t="s">
        <v>170</v>
      </c>
      <c r="C4" t="s">
        <v>23</v>
      </c>
      <c r="D4" t="s">
        <v>43</v>
      </c>
      <c r="E4" t="s">
        <v>95</v>
      </c>
      <c r="F4" s="2">
        <v>45399</v>
      </c>
      <c r="G4" s="3">
        <v>0.33333333333333331</v>
      </c>
      <c r="H4">
        <v>2023</v>
      </c>
      <c r="I4" t="s">
        <v>50</v>
      </c>
      <c r="J4">
        <v>68</v>
      </c>
      <c r="K4">
        <v>20</v>
      </c>
      <c r="L4">
        <f>VLOOKUP(UPPER(TEXT(F4,"mmmm"))&amp;TEXT(F4,"yyyy"),TURNOS!A:F,6,FALSE)</f>
        <v>1</v>
      </c>
      <c r="M4">
        <f>VLOOKUP(VLOOKUP(A4&amp;C4&amp;E4,'PREVIOS (2)'!B:K,10,FALSE),PLAN!A:B,2,FALSE)</f>
        <v>5</v>
      </c>
      <c r="N4">
        <f>VLOOKUP(E4&amp;M4,CURSO!A:D,4,FALSE)</f>
        <v>18</v>
      </c>
      <c r="O4">
        <f>VLOOKUP(C4&amp;N4,MATERIAS!A:G,7,FALSE)</f>
        <v>235</v>
      </c>
      <c r="P4">
        <f>VLOOKUP(I4,CALIFICACION!A:C,3,FALSE)</f>
        <v>2</v>
      </c>
      <c r="Q4">
        <f>VLOOKUP(A4,ALUMNOS!A:B,2,FALSE)</f>
        <v>796</v>
      </c>
      <c r="R4">
        <f>VLOOKUP(D4,CONDICION!A:B,2,FALSE)</f>
        <v>1</v>
      </c>
    </row>
    <row r="5" spans="1:18" x14ac:dyDescent="0.25">
      <c r="A5">
        <v>50091901</v>
      </c>
      <c r="B5" t="s">
        <v>158</v>
      </c>
      <c r="C5" t="s">
        <v>23</v>
      </c>
      <c r="D5" t="s">
        <v>43</v>
      </c>
      <c r="E5" t="s">
        <v>95</v>
      </c>
      <c r="F5" s="2">
        <v>45399</v>
      </c>
      <c r="G5" s="3">
        <v>0.33333333333333331</v>
      </c>
      <c r="H5">
        <v>2023</v>
      </c>
      <c r="I5" t="s">
        <v>50</v>
      </c>
      <c r="J5">
        <v>68</v>
      </c>
      <c r="K5">
        <v>20</v>
      </c>
      <c r="L5">
        <f>VLOOKUP(UPPER(TEXT(F5,"mmmm"))&amp;TEXT(F5,"yyyy"),TURNOS!A:F,6,FALSE)</f>
        <v>1</v>
      </c>
      <c r="M5">
        <f>VLOOKUP(VLOOKUP(A5&amp;C5&amp;E5,'PREVIOS (2)'!B:K,10,FALSE),PLAN!A:B,2,FALSE)</f>
        <v>5</v>
      </c>
      <c r="N5">
        <f>VLOOKUP(E5&amp;M5,CURSO!A:D,4,FALSE)</f>
        <v>18</v>
      </c>
      <c r="O5">
        <f>VLOOKUP(C5&amp;N5,MATERIAS!A:G,7,FALSE)</f>
        <v>235</v>
      </c>
      <c r="P5">
        <f>VLOOKUP(I5,CALIFICACION!A:C,3,FALSE)</f>
        <v>2</v>
      </c>
      <c r="Q5">
        <f>VLOOKUP(A5,ALUMNOS!A:B,2,FALSE)</f>
        <v>725</v>
      </c>
      <c r="R5">
        <f>VLOOKUP(D5,CONDICION!A:B,2,FALSE)</f>
        <v>1</v>
      </c>
    </row>
    <row r="6" spans="1:18" x14ac:dyDescent="0.25">
      <c r="A6">
        <v>47250892</v>
      </c>
      <c r="B6" t="s">
        <v>262</v>
      </c>
      <c r="C6" t="s">
        <v>28</v>
      </c>
      <c r="D6" t="s">
        <v>43</v>
      </c>
      <c r="E6" t="s">
        <v>190</v>
      </c>
      <c r="F6" s="2">
        <v>45400</v>
      </c>
      <c r="G6" s="3">
        <v>0.33333333333333331</v>
      </c>
      <c r="H6">
        <v>2022</v>
      </c>
      <c r="I6">
        <v>3</v>
      </c>
      <c r="J6">
        <v>68</v>
      </c>
      <c r="K6">
        <v>21</v>
      </c>
      <c r="L6">
        <f>VLOOKUP(UPPER(TEXT(F6,"mmmm"))&amp;TEXT(F6,"yyyy"),TURNOS!A:F,6,FALSE)</f>
        <v>1</v>
      </c>
      <c r="M6">
        <f>VLOOKUP(VLOOKUP(A6&amp;C6&amp;E6,'PREVIOS (2)'!B:K,10,FALSE),PLAN!A:B,2,FALSE)</f>
        <v>6</v>
      </c>
      <c r="N6">
        <f>VLOOKUP(E6&amp;M6,CURSO!A:D,4,FALSE)</f>
        <v>20</v>
      </c>
      <c r="O6">
        <f>VLOOKUP(C6&amp;N6,MATERIAS!A:G,7,FALSE)</f>
        <v>258</v>
      </c>
      <c r="P6">
        <f>VLOOKUP(I6,CALIFICACION!A:C,3,FALSE)</f>
        <v>5</v>
      </c>
      <c r="Q6">
        <f>VLOOKUP(A6,ALUMNOS!A:B,2,FALSE)</f>
        <v>473</v>
      </c>
      <c r="R6">
        <f>VLOOKUP(D6,CONDICION!A:B,2,FALSE)</f>
        <v>1</v>
      </c>
    </row>
    <row r="7" spans="1:18" x14ac:dyDescent="0.25">
      <c r="A7">
        <v>46509032</v>
      </c>
      <c r="B7" t="s">
        <v>390</v>
      </c>
      <c r="C7" t="s">
        <v>28</v>
      </c>
      <c r="D7" t="s">
        <v>43</v>
      </c>
      <c r="E7" t="s">
        <v>220</v>
      </c>
      <c r="F7" s="2">
        <v>45400</v>
      </c>
      <c r="G7" s="3">
        <v>0.33333333333333331</v>
      </c>
      <c r="H7">
        <v>2022</v>
      </c>
      <c r="I7">
        <v>7</v>
      </c>
      <c r="J7">
        <v>68</v>
      </c>
      <c r="K7">
        <v>22</v>
      </c>
      <c r="L7">
        <f>VLOOKUP(UPPER(TEXT(F7,"mmmm"))&amp;TEXT(F7,"yyyy"),TURNOS!A:F,6,FALSE)</f>
        <v>1</v>
      </c>
      <c r="M7">
        <f>VLOOKUP(VLOOKUP(A7&amp;C7&amp;E7,'PREVIOS (2)'!B:K,10,FALSE),PLAN!A:B,2,FALSE)</f>
        <v>6</v>
      </c>
      <c r="N7">
        <f>VLOOKUP(E7&amp;M7,CURSO!A:D,4,FALSE)</f>
        <v>21</v>
      </c>
      <c r="O7">
        <f>VLOOKUP(C7&amp;N7,MATERIAS!A:G,7,FALSE)</f>
        <v>272</v>
      </c>
      <c r="P7">
        <f>VLOOKUP(I7,CALIFICACION!A:C,3,FALSE)</f>
        <v>9</v>
      </c>
      <c r="Q7">
        <f>VLOOKUP(A7,ALUMNOS!A:B,2,FALSE)</f>
        <v>427</v>
      </c>
      <c r="R7">
        <f>VLOOKUP(D7,CONDICION!A:B,2,FALSE)</f>
        <v>1</v>
      </c>
    </row>
    <row r="8" spans="1:18" x14ac:dyDescent="0.25">
      <c r="A8">
        <v>49661848</v>
      </c>
      <c r="B8" t="s">
        <v>139</v>
      </c>
      <c r="C8" t="s">
        <v>13</v>
      </c>
      <c r="D8" t="s">
        <v>43</v>
      </c>
      <c r="E8" t="s">
        <v>98</v>
      </c>
      <c r="F8" s="2">
        <v>45401</v>
      </c>
      <c r="G8" s="3">
        <v>0.33333333333333331</v>
      </c>
      <c r="H8">
        <v>2023</v>
      </c>
      <c r="I8" t="s">
        <v>50</v>
      </c>
      <c r="J8">
        <v>68</v>
      </c>
      <c r="K8">
        <v>24</v>
      </c>
      <c r="L8">
        <f>VLOOKUP(UPPER(TEXT(F8,"mmmm"))&amp;TEXT(F8,"yyyy"),TURNOS!A:F,6,FALSE)</f>
        <v>1</v>
      </c>
      <c r="M8">
        <f>VLOOKUP(VLOOKUP(A8&amp;C8&amp;E8,'PREVIOS (2)'!B:K,10,FALSE),PLAN!A:B,2,FALSE)</f>
        <v>5</v>
      </c>
      <c r="N8">
        <f>VLOOKUP(E8&amp;M8,CURSO!A:D,4,FALSE)</f>
        <v>17</v>
      </c>
      <c r="O8">
        <f>VLOOKUP(C8&amp;N8,MATERIAS!A:G,7,FALSE)</f>
        <v>221</v>
      </c>
      <c r="P8">
        <f>VLOOKUP(I8,CALIFICACION!A:C,3,FALSE)</f>
        <v>2</v>
      </c>
      <c r="Q8">
        <f>VLOOKUP(A8,ALUMNOS!A:B,2,FALSE)</f>
        <v>647</v>
      </c>
      <c r="R8">
        <f>VLOOKUP(D8,CONDICION!A:B,2,FALSE)</f>
        <v>1</v>
      </c>
    </row>
    <row r="9" spans="1:18" x14ac:dyDescent="0.25">
      <c r="A9">
        <v>49716919</v>
      </c>
      <c r="B9" t="s">
        <v>140</v>
      </c>
      <c r="C9" t="s">
        <v>13</v>
      </c>
      <c r="D9" t="s">
        <v>43</v>
      </c>
      <c r="E9" t="s">
        <v>98</v>
      </c>
      <c r="F9" s="2">
        <v>45401</v>
      </c>
      <c r="G9" s="3">
        <v>0.33333333333333331</v>
      </c>
      <c r="H9">
        <v>2022</v>
      </c>
      <c r="I9" t="s">
        <v>50</v>
      </c>
      <c r="J9">
        <v>68</v>
      </c>
      <c r="K9">
        <v>24</v>
      </c>
      <c r="L9">
        <f>VLOOKUP(UPPER(TEXT(F9,"mmmm"))&amp;TEXT(F9,"yyyy"),TURNOS!A:F,6,FALSE)</f>
        <v>1</v>
      </c>
      <c r="M9">
        <f>VLOOKUP(VLOOKUP(A9&amp;C9&amp;E9,'PREVIOS (2)'!B:K,10,FALSE),PLAN!A:B,2,FALSE)</f>
        <v>5</v>
      </c>
      <c r="N9">
        <f>VLOOKUP(E9&amp;M9,CURSO!A:D,4,FALSE)</f>
        <v>17</v>
      </c>
      <c r="O9">
        <f>VLOOKUP(C9&amp;N9,MATERIAS!A:G,7,FALSE)</f>
        <v>221</v>
      </c>
      <c r="P9">
        <f>VLOOKUP(I9,CALIFICACION!A:C,3,FALSE)</f>
        <v>2</v>
      </c>
      <c r="Q9">
        <f>VLOOKUP(A9,ALUMNOS!A:B,2,FALSE)</f>
        <v>655</v>
      </c>
      <c r="R9">
        <f>VLOOKUP(D9,CONDICION!A:B,2,FALSE)</f>
        <v>1</v>
      </c>
    </row>
    <row r="10" spans="1:18" x14ac:dyDescent="0.25">
      <c r="A10">
        <v>50842190</v>
      </c>
      <c r="B10" t="s">
        <v>127</v>
      </c>
      <c r="C10" t="s">
        <v>13</v>
      </c>
      <c r="D10" t="s">
        <v>43</v>
      </c>
      <c r="E10" t="s">
        <v>98</v>
      </c>
      <c r="F10" s="2">
        <v>45401</v>
      </c>
      <c r="G10" s="3">
        <v>0.33333333333333331</v>
      </c>
      <c r="H10">
        <v>2023</v>
      </c>
      <c r="I10" t="s">
        <v>50</v>
      </c>
      <c r="J10">
        <v>68</v>
      </c>
      <c r="K10">
        <v>24</v>
      </c>
      <c r="L10">
        <f>VLOOKUP(UPPER(TEXT(F10,"mmmm"))&amp;TEXT(F10,"yyyy"),TURNOS!A:F,6,FALSE)</f>
        <v>1</v>
      </c>
      <c r="M10">
        <f>VLOOKUP(VLOOKUP(A10&amp;C10&amp;E10,'PREVIOS (2)'!B:K,10,FALSE),PLAN!A:B,2,FALSE)</f>
        <v>5</v>
      </c>
      <c r="N10">
        <f>VLOOKUP(E10&amp;M10,CURSO!A:D,4,FALSE)</f>
        <v>17</v>
      </c>
      <c r="O10">
        <f>VLOOKUP(C10&amp;N10,MATERIAS!A:G,7,FALSE)</f>
        <v>221</v>
      </c>
      <c r="P10">
        <f>VLOOKUP(I10,CALIFICACION!A:C,3,FALSE)</f>
        <v>2</v>
      </c>
      <c r="Q10">
        <f>VLOOKUP(A10,ALUMNOS!A:B,2,FALSE)</f>
        <v>756</v>
      </c>
      <c r="R10">
        <f>VLOOKUP(D10,CONDICION!A:B,2,FALSE)</f>
        <v>1</v>
      </c>
    </row>
    <row r="11" spans="1:18" x14ac:dyDescent="0.25">
      <c r="A11">
        <v>47618809</v>
      </c>
      <c r="B11" t="s">
        <v>223</v>
      </c>
      <c r="C11" t="s">
        <v>21</v>
      </c>
      <c r="D11" t="s">
        <v>43</v>
      </c>
      <c r="E11" t="s">
        <v>95</v>
      </c>
      <c r="F11" s="2">
        <v>45401</v>
      </c>
      <c r="G11" s="3">
        <v>0.33333333333333331</v>
      </c>
      <c r="H11">
        <v>2021</v>
      </c>
      <c r="I11" t="s">
        <v>50</v>
      </c>
      <c r="J11">
        <v>68</v>
      </c>
      <c r="K11">
        <v>25</v>
      </c>
      <c r="L11">
        <f>VLOOKUP(UPPER(TEXT(F11,"mmmm"))&amp;TEXT(F11,"yyyy"),TURNOS!A:F,6,FALSE)</f>
        <v>1</v>
      </c>
      <c r="M11">
        <f>VLOOKUP(VLOOKUP(A11&amp;C11&amp;E11,'PREVIOS (2)'!B:K,10,FALSE),PLAN!A:B,2,FALSE)</f>
        <v>5</v>
      </c>
      <c r="N11">
        <f>VLOOKUP(E11&amp;M11,CURSO!A:D,4,FALSE)</f>
        <v>18</v>
      </c>
      <c r="O11">
        <f>VLOOKUP(C11&amp;N11,MATERIAS!A:G,7,FALSE)</f>
        <v>232</v>
      </c>
      <c r="P11">
        <f>VLOOKUP(I11,CALIFICACION!A:C,3,FALSE)</f>
        <v>2</v>
      </c>
      <c r="Q11">
        <f>VLOOKUP(A11,ALUMNOS!A:B,2,FALSE)</f>
        <v>355</v>
      </c>
      <c r="R11">
        <f>VLOOKUP(D11,CONDICION!A:B,2,FALSE)</f>
        <v>1</v>
      </c>
    </row>
    <row r="12" spans="1:18" x14ac:dyDescent="0.25">
      <c r="A12">
        <v>46226738</v>
      </c>
      <c r="B12" t="s">
        <v>401</v>
      </c>
      <c r="C12" t="s">
        <v>25</v>
      </c>
      <c r="D12" t="s">
        <v>43</v>
      </c>
      <c r="E12" t="s">
        <v>245</v>
      </c>
      <c r="F12" s="2">
        <v>45401</v>
      </c>
      <c r="G12" s="3">
        <v>0.33333333333333331</v>
      </c>
      <c r="H12">
        <v>2023</v>
      </c>
      <c r="I12" t="s">
        <v>50</v>
      </c>
      <c r="J12">
        <v>68</v>
      </c>
      <c r="K12">
        <v>23</v>
      </c>
      <c r="L12">
        <f>VLOOKUP(UPPER(TEXT(F12,"mmmm"))&amp;TEXT(F12,"yyyy"),TURNOS!A:F,6,FALSE)</f>
        <v>1</v>
      </c>
      <c r="M12">
        <f>VLOOKUP(VLOOKUP(A12&amp;C12&amp;E12,'PREVIOS (2)'!B:K,10,FALSE),PLAN!A:B,2,FALSE)</f>
        <v>6</v>
      </c>
      <c r="N12">
        <f>VLOOKUP(E12&amp;M12,CURSO!A:D,4,FALSE)</f>
        <v>22</v>
      </c>
      <c r="O12">
        <f>VLOOKUP(C12&amp;N12,MATERIAS!A:G,7,FALSE)</f>
        <v>281</v>
      </c>
      <c r="P12">
        <f>VLOOKUP(I12,CALIFICACION!A:C,3,FALSE)</f>
        <v>2</v>
      </c>
      <c r="Q12">
        <f>VLOOKUP(A12,ALUMNOS!A:B,2,FALSE)</f>
        <v>536</v>
      </c>
      <c r="R12">
        <f>VLOOKUP(D12,CONDICION!A:B,2,FALSE)</f>
        <v>1</v>
      </c>
    </row>
    <row r="13" spans="1:18" x14ac:dyDescent="0.25">
      <c r="A13">
        <v>30779913</v>
      </c>
      <c r="B13" t="s">
        <v>498</v>
      </c>
      <c r="C13" t="s">
        <v>25</v>
      </c>
      <c r="D13" t="s">
        <v>43</v>
      </c>
      <c r="E13" t="s">
        <v>245</v>
      </c>
      <c r="F13" s="2">
        <v>45401</v>
      </c>
      <c r="G13" s="3">
        <v>0.33333333333333331</v>
      </c>
      <c r="H13">
        <v>2003</v>
      </c>
      <c r="I13">
        <v>7</v>
      </c>
      <c r="J13">
        <v>68</v>
      </c>
      <c r="K13">
        <v>23</v>
      </c>
      <c r="L13">
        <f>VLOOKUP(UPPER(TEXT(F13,"mmmm"))&amp;TEXT(F13,"yyyy"),TURNOS!A:F,6,FALSE)</f>
        <v>1</v>
      </c>
      <c r="M13">
        <f>VLOOKUP(VLOOKUP(A13&amp;C13&amp;E13,'PREVIOS (2)'!B:K,10,FALSE),PLAN!A:B,2,FALSE)</f>
        <v>4</v>
      </c>
      <c r="N13">
        <f>VLOOKUP(E13&amp;M13,CURSO!A:D,4,FALSE)</f>
        <v>16</v>
      </c>
      <c r="O13">
        <f>VLOOKUP(C13&amp;N13,MATERIAS!A:G,7,FALSE)</f>
        <v>207</v>
      </c>
      <c r="P13">
        <f>VLOOKUP(I13,CALIFICACION!A:C,3,FALSE)</f>
        <v>9</v>
      </c>
      <c r="Q13">
        <f>VLOOKUP(A13,ALUMNOS!A:B,2,FALSE)</f>
        <v>817</v>
      </c>
      <c r="R13">
        <f>VLOOKUP(D13,CONDICION!A:B,2,FALSE)</f>
        <v>1</v>
      </c>
    </row>
    <row r="14" spans="1:18" x14ac:dyDescent="0.25">
      <c r="A14">
        <v>47250822</v>
      </c>
      <c r="B14" t="s">
        <v>402</v>
      </c>
      <c r="C14" t="s">
        <v>25</v>
      </c>
      <c r="D14" t="s">
        <v>43</v>
      </c>
      <c r="E14" t="s">
        <v>245</v>
      </c>
      <c r="F14" s="2">
        <v>45401</v>
      </c>
      <c r="G14" s="3">
        <v>0.33333333333333331</v>
      </c>
      <c r="H14">
        <v>2023</v>
      </c>
      <c r="I14">
        <v>4</v>
      </c>
      <c r="J14">
        <v>68</v>
      </c>
      <c r="K14">
        <v>23</v>
      </c>
      <c r="L14">
        <f>VLOOKUP(UPPER(TEXT(F14,"mmmm"))&amp;TEXT(F14,"yyyy"),TURNOS!A:F,6,FALSE)</f>
        <v>1</v>
      </c>
      <c r="M14">
        <f>VLOOKUP(VLOOKUP(A14&amp;C14&amp;E14,'PREVIOS (2)'!B:K,10,FALSE),PLAN!A:B,2,FALSE)</f>
        <v>6</v>
      </c>
      <c r="N14">
        <f>VLOOKUP(E14&amp;M14,CURSO!A:D,4,FALSE)</f>
        <v>22</v>
      </c>
      <c r="O14">
        <f>VLOOKUP(C14&amp;N14,MATERIAS!A:G,7,FALSE)</f>
        <v>281</v>
      </c>
      <c r="P14">
        <f>VLOOKUP(I14,CALIFICACION!A:C,3,FALSE)</f>
        <v>6</v>
      </c>
      <c r="Q14">
        <f>VLOOKUP(A14,ALUMNOS!A:B,2,FALSE)</f>
        <v>581</v>
      </c>
      <c r="R14">
        <f>VLOOKUP(D14,CONDICION!A:B,2,FALSE)</f>
        <v>1</v>
      </c>
    </row>
    <row r="15" spans="1:18" x14ac:dyDescent="0.25">
      <c r="A15">
        <v>45698167</v>
      </c>
      <c r="B15" t="s">
        <v>404</v>
      </c>
      <c r="C15" t="s">
        <v>25</v>
      </c>
      <c r="D15" t="s">
        <v>43</v>
      </c>
      <c r="E15" t="s">
        <v>245</v>
      </c>
      <c r="F15" s="2">
        <v>45401</v>
      </c>
      <c r="G15" s="3">
        <v>0.33333333333333331</v>
      </c>
      <c r="H15">
        <v>2023</v>
      </c>
      <c r="I15" t="s">
        <v>50</v>
      </c>
      <c r="J15">
        <v>68</v>
      </c>
      <c r="K15">
        <v>23</v>
      </c>
      <c r="L15">
        <f>VLOOKUP(UPPER(TEXT(F15,"mmmm"))&amp;TEXT(F15,"yyyy"),TURNOS!A:F,6,FALSE)</f>
        <v>1</v>
      </c>
      <c r="M15">
        <f>VLOOKUP(VLOOKUP(A15&amp;C15&amp;E15,'PREVIOS (2)'!B:K,10,FALSE),PLAN!A:B,2,FALSE)</f>
        <v>6</v>
      </c>
      <c r="N15">
        <f>VLOOKUP(E15&amp;M15,CURSO!A:D,4,FALSE)</f>
        <v>22</v>
      </c>
      <c r="O15">
        <f>VLOOKUP(C15&amp;N15,MATERIAS!A:G,7,FALSE)</f>
        <v>281</v>
      </c>
      <c r="P15">
        <f>VLOOKUP(I15,CALIFICACION!A:C,3,FALSE)</f>
        <v>2</v>
      </c>
      <c r="Q15">
        <f>VLOOKUP(A15,ALUMNOS!A:B,2,FALSE)</f>
        <v>786</v>
      </c>
      <c r="R15">
        <f>VLOOKUP(D15,CONDICION!A:B,2,FALSE)</f>
        <v>1</v>
      </c>
    </row>
    <row r="16" spans="1:18" x14ac:dyDescent="0.25">
      <c r="A16">
        <v>51013768</v>
      </c>
      <c r="B16" t="s">
        <v>129</v>
      </c>
      <c r="C16" t="s">
        <v>15</v>
      </c>
      <c r="D16" t="s">
        <v>43</v>
      </c>
      <c r="E16" t="s">
        <v>98</v>
      </c>
      <c r="F16" s="2">
        <v>45404</v>
      </c>
      <c r="G16" s="3">
        <v>0.54166666666666663</v>
      </c>
      <c r="H16">
        <v>2023</v>
      </c>
      <c r="I16" t="s">
        <v>50</v>
      </c>
      <c r="J16">
        <v>68</v>
      </c>
      <c r="K16">
        <v>26</v>
      </c>
      <c r="L16">
        <f>VLOOKUP(UPPER(TEXT(F16,"mmmm"))&amp;TEXT(F16,"yyyy"),TURNOS!A:F,6,FALSE)</f>
        <v>1</v>
      </c>
      <c r="M16">
        <f>VLOOKUP(VLOOKUP(A16&amp;C16&amp;E16,'PREVIOS (2)'!B:K,10,FALSE),PLAN!A:B,2,FALSE)</f>
        <v>5</v>
      </c>
      <c r="N16">
        <f>VLOOKUP(E16&amp;M16,CURSO!A:D,4,FALSE)</f>
        <v>17</v>
      </c>
      <c r="O16">
        <f>VLOOKUP(C16&amp;N16,MATERIAS!A:G,7,FALSE)</f>
        <v>223</v>
      </c>
      <c r="P16">
        <f>VLOOKUP(I16,CALIFICACION!A:C,3,FALSE)</f>
        <v>2</v>
      </c>
      <c r="Q16">
        <f>VLOOKUP(A16,ALUMNOS!A:B,2,FALSE)</f>
        <v>209</v>
      </c>
      <c r="R16">
        <f>VLOOKUP(D16,CONDICION!A:B,2,FALSE)</f>
        <v>1</v>
      </c>
    </row>
    <row r="17" spans="1:18" x14ac:dyDescent="0.25">
      <c r="A17">
        <v>50634699</v>
      </c>
      <c r="B17" t="s">
        <v>120</v>
      </c>
      <c r="C17" t="s">
        <v>15</v>
      </c>
      <c r="D17" t="s">
        <v>43</v>
      </c>
      <c r="E17" t="s">
        <v>98</v>
      </c>
      <c r="F17" s="2">
        <v>45404</v>
      </c>
      <c r="G17" s="3">
        <v>0.54166666666666663</v>
      </c>
      <c r="H17">
        <v>2023</v>
      </c>
      <c r="I17" t="s">
        <v>50</v>
      </c>
      <c r="J17">
        <v>68</v>
      </c>
      <c r="K17">
        <v>26</v>
      </c>
      <c r="L17">
        <f>VLOOKUP(UPPER(TEXT(F17,"mmmm"))&amp;TEXT(F17,"yyyy"),TURNOS!A:F,6,FALSE)</f>
        <v>1</v>
      </c>
      <c r="M17">
        <f>VLOOKUP(VLOOKUP(A17&amp;C17&amp;E17,'PREVIOS (2)'!B:K,10,FALSE),PLAN!A:B,2,FALSE)</f>
        <v>5</v>
      </c>
      <c r="N17">
        <f>VLOOKUP(E17&amp;M17,CURSO!A:D,4,FALSE)</f>
        <v>17</v>
      </c>
      <c r="O17">
        <f>VLOOKUP(C17&amp;N17,MATERIAS!A:G,7,FALSE)</f>
        <v>223</v>
      </c>
      <c r="P17">
        <f>VLOOKUP(I17,CALIFICACION!A:C,3,FALSE)</f>
        <v>2</v>
      </c>
      <c r="Q17">
        <f>VLOOKUP(A17,ALUMNOS!A:B,2,FALSE)</f>
        <v>472</v>
      </c>
      <c r="R17">
        <f>VLOOKUP(D17,CONDICION!A:B,2,FALSE)</f>
        <v>1</v>
      </c>
    </row>
    <row r="18" spans="1:18" x14ac:dyDescent="0.25">
      <c r="A18">
        <v>49455858</v>
      </c>
      <c r="B18" t="s">
        <v>149</v>
      </c>
      <c r="C18" t="s">
        <v>22</v>
      </c>
      <c r="D18" t="s">
        <v>43</v>
      </c>
      <c r="E18" t="s">
        <v>95</v>
      </c>
      <c r="F18" s="2">
        <v>45411</v>
      </c>
      <c r="G18" s="3">
        <v>0.54166666666666663</v>
      </c>
      <c r="H18">
        <v>2023</v>
      </c>
      <c r="I18" t="s">
        <v>50</v>
      </c>
      <c r="J18">
        <v>68</v>
      </c>
      <c r="K18">
        <v>42</v>
      </c>
      <c r="L18">
        <f>VLOOKUP(UPPER(TEXT(F18,"mmmm"))&amp;TEXT(F18,"yyyy"),TURNOS!A:F,6,FALSE)</f>
        <v>1</v>
      </c>
      <c r="M18">
        <f>VLOOKUP(VLOOKUP(A18&amp;C18&amp;E18,'PREVIOS (2)'!B:K,10,FALSE),PLAN!A:B,2,FALSE)</f>
        <v>5</v>
      </c>
      <c r="N18">
        <f>VLOOKUP(E18&amp;M18,CURSO!A:D,4,FALSE)</f>
        <v>18</v>
      </c>
      <c r="O18">
        <f>VLOOKUP(C18&amp;N18,MATERIAS!A:G,7,FALSE)</f>
        <v>233</v>
      </c>
      <c r="P18">
        <f>VLOOKUP(I18,CALIFICACION!A:C,3,FALSE)</f>
        <v>2</v>
      </c>
      <c r="Q18">
        <f>VLOOKUP(A18,ALUMNOS!A:B,2,FALSE)</f>
        <v>553</v>
      </c>
      <c r="R18">
        <f>VLOOKUP(D18,CONDICION!A:B,2,FALSE)</f>
        <v>1</v>
      </c>
    </row>
    <row r="19" spans="1:18" x14ac:dyDescent="0.25">
      <c r="A19">
        <v>47989251</v>
      </c>
      <c r="B19" t="s">
        <v>160</v>
      </c>
      <c r="C19" t="s">
        <v>19</v>
      </c>
      <c r="D19" t="s">
        <v>43</v>
      </c>
      <c r="E19" t="s">
        <v>95</v>
      </c>
      <c r="F19" s="2">
        <v>45404</v>
      </c>
      <c r="G19" s="3">
        <v>0.54166666666666663</v>
      </c>
      <c r="H19">
        <v>2023</v>
      </c>
      <c r="I19" t="s">
        <v>50</v>
      </c>
      <c r="J19">
        <v>68</v>
      </c>
      <c r="K19">
        <v>28</v>
      </c>
      <c r="L19">
        <f>VLOOKUP(UPPER(TEXT(F19,"mmmm"))&amp;TEXT(F19,"yyyy"),TURNOS!A:F,6,FALSE)</f>
        <v>1</v>
      </c>
      <c r="M19">
        <f>VLOOKUP(VLOOKUP(A19&amp;C19&amp;E19,'PREVIOS (2)'!B:K,10,FALSE),PLAN!A:B,2,FALSE)</f>
        <v>5</v>
      </c>
      <c r="N19">
        <f>VLOOKUP(E19&amp;M19,CURSO!A:D,4,FALSE)</f>
        <v>18</v>
      </c>
      <c r="O19">
        <f>VLOOKUP(C19&amp;N19,MATERIAS!A:G,7,FALSE)</f>
        <v>237</v>
      </c>
      <c r="P19">
        <f>VLOOKUP(I19,CALIFICACION!A:C,3,FALSE)</f>
        <v>2</v>
      </c>
      <c r="Q19">
        <f>VLOOKUP(A19,ALUMNOS!A:B,2,FALSE)</f>
        <v>16</v>
      </c>
      <c r="R19">
        <f>VLOOKUP(D19,CONDICION!A:B,2,FALSE)</f>
        <v>1</v>
      </c>
    </row>
    <row r="20" spans="1:18" x14ac:dyDescent="0.25">
      <c r="A20">
        <v>49497126</v>
      </c>
      <c r="B20" t="s">
        <v>217</v>
      </c>
      <c r="C20" t="s">
        <v>26</v>
      </c>
      <c r="D20" t="s">
        <v>43</v>
      </c>
      <c r="E20" t="s">
        <v>143</v>
      </c>
      <c r="F20" s="2">
        <v>45404</v>
      </c>
      <c r="G20" s="3">
        <v>0.54166666666666663</v>
      </c>
      <c r="H20">
        <v>2023</v>
      </c>
      <c r="I20">
        <v>7</v>
      </c>
      <c r="J20">
        <v>68</v>
      </c>
      <c r="K20">
        <v>27</v>
      </c>
      <c r="L20">
        <f>VLOOKUP(UPPER(TEXT(F20,"mmmm"))&amp;TEXT(F20,"yyyy"),TURNOS!A:F,6,FALSE)</f>
        <v>1</v>
      </c>
      <c r="M20">
        <f>VLOOKUP(VLOOKUP(A20&amp;C20&amp;E20,'PREVIOS (2)'!B:K,10,FALSE),PLAN!A:B,2,FALSE)</f>
        <v>5</v>
      </c>
      <c r="N20">
        <f>VLOOKUP(E20&amp;M20,CURSO!A:D,4,FALSE)</f>
        <v>19</v>
      </c>
      <c r="O20">
        <f>VLOOKUP(C20&amp;N20,MATERIAS!A:G,7,FALSE)</f>
        <v>243</v>
      </c>
      <c r="P20">
        <f>VLOOKUP(I20,CALIFICACION!A:C,3,FALSE)</f>
        <v>9</v>
      </c>
      <c r="Q20">
        <f>VLOOKUP(A20,ALUMNOS!A:B,2,FALSE)</f>
        <v>723</v>
      </c>
      <c r="R20">
        <f>VLOOKUP(D20,CONDICION!A:B,2,FALSE)</f>
        <v>1</v>
      </c>
    </row>
    <row r="21" spans="1:18" x14ac:dyDescent="0.25">
      <c r="A21">
        <v>42156664</v>
      </c>
      <c r="B21" t="s">
        <v>280</v>
      </c>
      <c r="C21" t="s">
        <v>27</v>
      </c>
      <c r="D21" t="s">
        <v>43</v>
      </c>
      <c r="E21" t="s">
        <v>143</v>
      </c>
      <c r="F21" s="2">
        <v>45411</v>
      </c>
      <c r="G21" s="3">
        <v>0.54166666666666663</v>
      </c>
      <c r="H21">
        <v>2014</v>
      </c>
      <c r="I21">
        <v>7</v>
      </c>
      <c r="J21">
        <v>68</v>
      </c>
      <c r="K21">
        <v>43</v>
      </c>
      <c r="L21">
        <f>VLOOKUP(UPPER(TEXT(F21,"mmmm"))&amp;TEXT(F21,"yyyy"),TURNOS!A:F,6,FALSE)</f>
        <v>1</v>
      </c>
      <c r="M21">
        <f>VLOOKUP(VLOOKUP(A21&amp;C21&amp;E21,'PREVIOS (2)'!B:K,10,FALSE),PLAN!A:B,2,FALSE)</f>
        <v>5</v>
      </c>
      <c r="N21">
        <f>VLOOKUP(E21&amp;M21,CURSO!A:D,4,FALSE)</f>
        <v>19</v>
      </c>
      <c r="O21">
        <f>VLOOKUP(C21&amp;N21,MATERIAS!A:G,7,FALSE)</f>
        <v>244</v>
      </c>
      <c r="P21">
        <f>VLOOKUP(I21,CALIFICACION!A:C,3,FALSE)</f>
        <v>9</v>
      </c>
      <c r="Q21">
        <f>VLOOKUP(A21,ALUMNOS!A:B,2,FALSE)</f>
        <v>222</v>
      </c>
      <c r="R21">
        <f>VLOOKUP(D21,CONDICION!A:B,2,FALSE)</f>
        <v>1</v>
      </c>
    </row>
    <row r="22" spans="1:18" x14ac:dyDescent="0.25">
      <c r="A22">
        <v>49458710</v>
      </c>
      <c r="B22" t="s">
        <v>213</v>
      </c>
      <c r="C22" t="s">
        <v>27</v>
      </c>
      <c r="D22" t="s">
        <v>43</v>
      </c>
      <c r="E22" t="s">
        <v>143</v>
      </c>
      <c r="F22" s="2">
        <v>45411</v>
      </c>
      <c r="G22" s="3">
        <v>0.54166666666666663</v>
      </c>
      <c r="H22">
        <v>2023</v>
      </c>
      <c r="I22">
        <v>4</v>
      </c>
      <c r="J22">
        <v>68</v>
      </c>
      <c r="K22">
        <v>43</v>
      </c>
      <c r="L22">
        <f>VLOOKUP(UPPER(TEXT(F22,"mmmm"))&amp;TEXT(F22,"yyyy"),TURNOS!A:F,6,FALSE)</f>
        <v>1</v>
      </c>
      <c r="M22">
        <f>VLOOKUP(VLOOKUP(A22&amp;C22&amp;E22,'PREVIOS (2)'!B:K,10,FALSE),PLAN!A:B,2,FALSE)</f>
        <v>5</v>
      </c>
      <c r="N22">
        <f>VLOOKUP(E22&amp;M22,CURSO!A:D,4,FALSE)</f>
        <v>19</v>
      </c>
      <c r="O22">
        <f>VLOOKUP(C22&amp;N22,MATERIAS!A:G,7,FALSE)</f>
        <v>244</v>
      </c>
      <c r="P22">
        <f>VLOOKUP(I22,CALIFICACION!A:C,3,FALSE)</f>
        <v>6</v>
      </c>
      <c r="Q22">
        <f>VLOOKUP(A22,ALUMNOS!A:B,2,FALSE)</f>
        <v>806</v>
      </c>
      <c r="R22">
        <f>VLOOKUP(D22,CONDICION!A:B,2,FALSE)</f>
        <v>1</v>
      </c>
    </row>
    <row r="23" spans="1:18" x14ac:dyDescent="0.25">
      <c r="A23">
        <v>50836436</v>
      </c>
      <c r="B23" t="s">
        <v>112</v>
      </c>
      <c r="C23" t="s">
        <v>12</v>
      </c>
      <c r="D23" t="s">
        <v>43</v>
      </c>
      <c r="E23" t="s">
        <v>98</v>
      </c>
      <c r="F23" s="2">
        <v>45405</v>
      </c>
      <c r="G23" s="3">
        <v>0.33333333333333331</v>
      </c>
      <c r="H23">
        <v>2023</v>
      </c>
      <c r="I23" t="s">
        <v>50</v>
      </c>
      <c r="J23">
        <v>68</v>
      </c>
      <c r="K23">
        <v>29</v>
      </c>
      <c r="L23">
        <f>VLOOKUP(UPPER(TEXT(F23,"mmmm"))&amp;TEXT(F23,"yyyy"),TURNOS!A:F,6,FALSE)</f>
        <v>1</v>
      </c>
      <c r="M23">
        <f>VLOOKUP(VLOOKUP(A23&amp;C23&amp;E23,'PREVIOS (2)'!B:K,10,FALSE),PLAN!A:B,2,FALSE)</f>
        <v>5</v>
      </c>
      <c r="N23">
        <f>VLOOKUP(E23&amp;M23,CURSO!A:D,4,FALSE)</f>
        <v>17</v>
      </c>
      <c r="O23">
        <f>VLOOKUP(C23&amp;N23,MATERIAS!A:G,7,FALSE)</f>
        <v>220</v>
      </c>
      <c r="P23">
        <f>VLOOKUP(I23,CALIFICACION!A:C,3,FALSE)</f>
        <v>2</v>
      </c>
      <c r="Q23">
        <f>VLOOKUP(A23,ALUMNOS!A:B,2,FALSE)</f>
        <v>161</v>
      </c>
      <c r="R23">
        <f>VLOOKUP(D23,CONDICION!A:B,2,FALSE)</f>
        <v>1</v>
      </c>
    </row>
    <row r="24" spans="1:18" x14ac:dyDescent="0.25">
      <c r="A24">
        <v>50683284</v>
      </c>
      <c r="B24" t="s">
        <v>100</v>
      </c>
      <c r="C24" t="s">
        <v>12</v>
      </c>
      <c r="D24" t="s">
        <v>43</v>
      </c>
      <c r="E24" t="s">
        <v>98</v>
      </c>
      <c r="F24" s="2">
        <v>45405</v>
      </c>
      <c r="G24" s="3">
        <v>0.33333333333333331</v>
      </c>
      <c r="H24">
        <v>2023</v>
      </c>
      <c r="I24">
        <v>2</v>
      </c>
      <c r="J24">
        <v>68</v>
      </c>
      <c r="K24">
        <v>29</v>
      </c>
      <c r="L24">
        <f>VLOOKUP(UPPER(TEXT(F24,"mmmm"))&amp;TEXT(F24,"yyyy"),TURNOS!A:F,6,FALSE)</f>
        <v>1</v>
      </c>
      <c r="M24">
        <f>VLOOKUP(VLOOKUP(A24&amp;C24&amp;E24,'PREVIOS (2)'!B:K,10,FALSE),PLAN!A:B,2,FALSE)</f>
        <v>5</v>
      </c>
      <c r="N24">
        <f>VLOOKUP(E24&amp;M24,CURSO!A:D,4,FALSE)</f>
        <v>17</v>
      </c>
      <c r="O24">
        <f>VLOOKUP(C24&amp;N24,MATERIAS!A:G,7,FALSE)</f>
        <v>220</v>
      </c>
      <c r="P24">
        <f>VLOOKUP(I24,CALIFICACION!A:C,3,FALSE)</f>
        <v>4</v>
      </c>
      <c r="Q24">
        <f>VLOOKUP(A24,ALUMNOS!A:B,2,FALSE)</f>
        <v>266</v>
      </c>
      <c r="R24">
        <f>VLOOKUP(D24,CONDICION!A:B,2,FALSE)</f>
        <v>1</v>
      </c>
    </row>
    <row r="25" spans="1:18" x14ac:dyDescent="0.25">
      <c r="A25">
        <v>50971126</v>
      </c>
      <c r="B25" t="s">
        <v>116</v>
      </c>
      <c r="C25" t="s">
        <v>12</v>
      </c>
      <c r="D25" t="s">
        <v>43</v>
      </c>
      <c r="E25" t="s">
        <v>98</v>
      </c>
      <c r="F25" s="2">
        <v>45405</v>
      </c>
      <c r="G25" s="3">
        <v>0.33333333333333331</v>
      </c>
      <c r="H25">
        <v>2023</v>
      </c>
      <c r="I25" t="s">
        <v>50</v>
      </c>
      <c r="J25">
        <v>68</v>
      </c>
      <c r="K25">
        <v>29</v>
      </c>
      <c r="L25">
        <f>VLOOKUP(UPPER(TEXT(F25,"mmmm"))&amp;TEXT(F25,"yyyy"),TURNOS!A:F,6,FALSE)</f>
        <v>1</v>
      </c>
      <c r="M25">
        <f>VLOOKUP(VLOOKUP(A25&amp;C25&amp;E25,'PREVIOS (2)'!B:K,10,FALSE),PLAN!A:B,2,FALSE)</f>
        <v>5</v>
      </c>
      <c r="N25">
        <f>VLOOKUP(E25&amp;M25,CURSO!A:D,4,FALSE)</f>
        <v>17</v>
      </c>
      <c r="O25">
        <f>VLOOKUP(C25&amp;N25,MATERIAS!A:G,7,FALSE)</f>
        <v>220</v>
      </c>
      <c r="P25">
        <f>VLOOKUP(I25,CALIFICACION!A:C,3,FALSE)</f>
        <v>2</v>
      </c>
      <c r="Q25">
        <f>VLOOKUP(A25,ALUMNOS!A:B,2,FALSE)</f>
        <v>327</v>
      </c>
      <c r="R25">
        <f>VLOOKUP(D25,CONDICION!A:B,2,FALSE)</f>
        <v>1</v>
      </c>
    </row>
    <row r="26" spans="1:18" x14ac:dyDescent="0.25">
      <c r="A26">
        <v>49324876</v>
      </c>
      <c r="B26" t="s">
        <v>167</v>
      </c>
      <c r="C26" t="s">
        <v>12</v>
      </c>
      <c r="D26" t="s">
        <v>43</v>
      </c>
      <c r="E26" t="s">
        <v>98</v>
      </c>
      <c r="F26" s="2">
        <v>45405</v>
      </c>
      <c r="G26" s="3">
        <v>0.33333333333333331</v>
      </c>
      <c r="H26">
        <v>2021</v>
      </c>
      <c r="I26" t="s">
        <v>50</v>
      </c>
      <c r="J26">
        <v>68</v>
      </c>
      <c r="K26">
        <v>29</v>
      </c>
      <c r="L26">
        <f>VLOOKUP(UPPER(TEXT(F26,"mmmm"))&amp;TEXT(F26,"yyyy"),TURNOS!A:F,6,FALSE)</f>
        <v>1</v>
      </c>
      <c r="M26">
        <f>VLOOKUP(VLOOKUP(A26&amp;C26&amp;E26,'PREVIOS (2)'!B:K,10,FALSE),PLAN!A:B,2,FALSE)</f>
        <v>5</v>
      </c>
      <c r="N26">
        <f>VLOOKUP(E26&amp;M26,CURSO!A:D,4,FALSE)</f>
        <v>17</v>
      </c>
      <c r="O26">
        <f>VLOOKUP(C26&amp;N26,MATERIAS!A:G,7,FALSE)</f>
        <v>220</v>
      </c>
      <c r="P26">
        <f>VLOOKUP(I26,CALIFICACION!A:C,3,FALSE)</f>
        <v>2</v>
      </c>
      <c r="Q26">
        <f>VLOOKUP(A26,ALUMNOS!A:B,2,FALSE)</f>
        <v>339</v>
      </c>
      <c r="R26">
        <f>VLOOKUP(D26,CONDICION!A:B,2,FALSE)</f>
        <v>1</v>
      </c>
    </row>
    <row r="27" spans="1:18" x14ac:dyDescent="0.25">
      <c r="A27">
        <v>50091999</v>
      </c>
      <c r="B27" t="s">
        <v>106</v>
      </c>
      <c r="C27" t="s">
        <v>12</v>
      </c>
      <c r="D27" t="s">
        <v>43</v>
      </c>
      <c r="E27" t="s">
        <v>98</v>
      </c>
      <c r="F27" s="2">
        <v>45405</v>
      </c>
      <c r="G27" s="3">
        <v>0.33333333333333331</v>
      </c>
      <c r="H27">
        <v>2023</v>
      </c>
      <c r="I27">
        <v>7</v>
      </c>
      <c r="J27">
        <v>68</v>
      </c>
      <c r="K27">
        <v>29</v>
      </c>
      <c r="L27">
        <f>VLOOKUP(UPPER(TEXT(F27,"mmmm"))&amp;TEXT(F27,"yyyy"),TURNOS!A:F,6,FALSE)</f>
        <v>1</v>
      </c>
      <c r="M27">
        <f>VLOOKUP(VLOOKUP(A27&amp;C27&amp;E27,'PREVIOS (2)'!B:K,10,FALSE),PLAN!A:B,2,FALSE)</f>
        <v>5</v>
      </c>
      <c r="N27">
        <f>VLOOKUP(E27&amp;M27,CURSO!A:D,4,FALSE)</f>
        <v>17</v>
      </c>
      <c r="O27">
        <f>VLOOKUP(C27&amp;N27,MATERIAS!A:G,7,FALSE)</f>
        <v>220</v>
      </c>
      <c r="P27">
        <f>VLOOKUP(I27,CALIFICACION!A:C,3,FALSE)</f>
        <v>9</v>
      </c>
      <c r="Q27">
        <f>VLOOKUP(A27,ALUMNOS!A:B,2,FALSE)</f>
        <v>425</v>
      </c>
      <c r="R27">
        <f>VLOOKUP(D27,CONDICION!A:B,2,FALSE)</f>
        <v>1</v>
      </c>
    </row>
    <row r="28" spans="1:18" x14ac:dyDescent="0.25">
      <c r="A28">
        <v>50634841</v>
      </c>
      <c r="B28" t="s">
        <v>119</v>
      </c>
      <c r="C28" t="s">
        <v>12</v>
      </c>
      <c r="D28" t="s">
        <v>43</v>
      </c>
      <c r="E28" t="s">
        <v>98</v>
      </c>
      <c r="F28" s="2">
        <v>45405</v>
      </c>
      <c r="G28" s="3">
        <v>0.33333333333333331</v>
      </c>
      <c r="H28">
        <v>2023</v>
      </c>
      <c r="I28">
        <v>2</v>
      </c>
      <c r="J28">
        <v>68</v>
      </c>
      <c r="K28">
        <v>29</v>
      </c>
      <c r="L28">
        <f>VLOOKUP(UPPER(TEXT(F28,"mmmm"))&amp;TEXT(F28,"yyyy"),TURNOS!A:F,6,FALSE)</f>
        <v>1</v>
      </c>
      <c r="M28">
        <f>VLOOKUP(VLOOKUP(A28&amp;C28&amp;E28,'PREVIOS (2)'!B:K,10,FALSE),PLAN!A:B,2,FALSE)</f>
        <v>5</v>
      </c>
      <c r="N28">
        <f>VLOOKUP(E28&amp;M28,CURSO!A:D,4,FALSE)</f>
        <v>17</v>
      </c>
      <c r="O28">
        <f>VLOOKUP(C28&amp;N28,MATERIAS!A:G,7,FALSE)</f>
        <v>220</v>
      </c>
      <c r="P28">
        <f>VLOOKUP(I28,CALIFICACION!A:C,3,FALSE)</f>
        <v>4</v>
      </c>
      <c r="Q28">
        <f>VLOOKUP(A28,ALUMNOS!A:B,2,FALSE)</f>
        <v>455</v>
      </c>
      <c r="R28">
        <f>VLOOKUP(D28,CONDICION!A:B,2,FALSE)</f>
        <v>1</v>
      </c>
    </row>
    <row r="29" spans="1:18" x14ac:dyDescent="0.25">
      <c r="A29">
        <v>50634699</v>
      </c>
      <c r="B29" t="s">
        <v>120</v>
      </c>
      <c r="C29" t="s">
        <v>12</v>
      </c>
      <c r="D29" t="s">
        <v>43</v>
      </c>
      <c r="E29" t="s">
        <v>98</v>
      </c>
      <c r="F29" s="2">
        <v>45405</v>
      </c>
      <c r="G29" s="3">
        <v>0.33333333333333331</v>
      </c>
      <c r="H29">
        <v>2023</v>
      </c>
      <c r="I29" t="s">
        <v>50</v>
      </c>
      <c r="J29">
        <v>68</v>
      </c>
      <c r="K29">
        <v>29</v>
      </c>
      <c r="L29">
        <f>VLOOKUP(UPPER(TEXT(F29,"mmmm"))&amp;TEXT(F29,"yyyy"),TURNOS!A:F,6,FALSE)</f>
        <v>1</v>
      </c>
      <c r="M29">
        <f>VLOOKUP(VLOOKUP(A29&amp;C29&amp;E29,'PREVIOS (2)'!B:K,10,FALSE),PLAN!A:B,2,FALSE)</f>
        <v>5</v>
      </c>
      <c r="N29">
        <f>VLOOKUP(E29&amp;M29,CURSO!A:D,4,FALSE)</f>
        <v>17</v>
      </c>
      <c r="O29">
        <f>VLOOKUP(C29&amp;N29,MATERIAS!A:G,7,FALSE)</f>
        <v>220</v>
      </c>
      <c r="P29">
        <f>VLOOKUP(I29,CALIFICACION!A:C,3,FALSE)</f>
        <v>2</v>
      </c>
      <c r="Q29">
        <f>VLOOKUP(A29,ALUMNOS!A:B,2,FALSE)</f>
        <v>472</v>
      </c>
      <c r="R29">
        <f>VLOOKUP(D29,CONDICION!A:B,2,FALSE)</f>
        <v>1</v>
      </c>
    </row>
    <row r="30" spans="1:18" x14ac:dyDescent="0.25">
      <c r="A30">
        <v>50091934</v>
      </c>
      <c r="B30" t="s">
        <v>122</v>
      </c>
      <c r="C30" t="s">
        <v>12</v>
      </c>
      <c r="D30" t="s">
        <v>43</v>
      </c>
      <c r="E30" t="s">
        <v>98</v>
      </c>
      <c r="F30" s="2">
        <v>45405</v>
      </c>
      <c r="G30" s="3">
        <v>0.33333333333333331</v>
      </c>
      <c r="H30">
        <v>2023</v>
      </c>
      <c r="I30">
        <v>2</v>
      </c>
      <c r="J30">
        <v>68</v>
      </c>
      <c r="K30">
        <v>29</v>
      </c>
      <c r="L30">
        <f>VLOOKUP(UPPER(TEXT(F30,"mmmm"))&amp;TEXT(F30,"yyyy"),TURNOS!A:F,6,FALSE)</f>
        <v>1</v>
      </c>
      <c r="M30">
        <f>VLOOKUP(VLOOKUP(A30&amp;C30&amp;E30,'PREVIOS (2)'!B:K,10,FALSE),PLAN!A:B,2,FALSE)</f>
        <v>5</v>
      </c>
      <c r="N30">
        <f>VLOOKUP(E30&amp;M30,CURSO!A:D,4,FALSE)</f>
        <v>17</v>
      </c>
      <c r="O30">
        <f>VLOOKUP(C30&amp;N30,MATERIAS!A:G,7,FALSE)</f>
        <v>220</v>
      </c>
      <c r="P30">
        <f>VLOOKUP(I30,CALIFICACION!A:C,3,FALSE)</f>
        <v>4</v>
      </c>
      <c r="Q30">
        <f>VLOOKUP(A30,ALUMNOS!A:B,2,FALSE)</f>
        <v>518</v>
      </c>
      <c r="R30">
        <f>VLOOKUP(D30,CONDICION!A:B,2,FALSE)</f>
        <v>1</v>
      </c>
    </row>
    <row r="31" spans="1:18" x14ac:dyDescent="0.25">
      <c r="A31">
        <v>50553951</v>
      </c>
      <c r="B31" t="s">
        <v>123</v>
      </c>
      <c r="C31" t="s">
        <v>12</v>
      </c>
      <c r="D31" t="s">
        <v>43</v>
      </c>
      <c r="E31" t="s">
        <v>98</v>
      </c>
      <c r="F31" s="2">
        <v>45405</v>
      </c>
      <c r="G31" s="3">
        <v>0.33333333333333331</v>
      </c>
      <c r="H31">
        <v>2023</v>
      </c>
      <c r="I31" t="s">
        <v>50</v>
      </c>
      <c r="J31">
        <v>68</v>
      </c>
      <c r="K31">
        <v>29</v>
      </c>
      <c r="L31">
        <f>VLOOKUP(UPPER(TEXT(F31,"mmmm"))&amp;TEXT(F31,"yyyy"),TURNOS!A:F,6,FALSE)</f>
        <v>1</v>
      </c>
      <c r="M31">
        <f>VLOOKUP(VLOOKUP(A31&amp;C31&amp;E31,'PREVIOS (2)'!B:K,10,FALSE),PLAN!A:B,2,FALSE)</f>
        <v>5</v>
      </c>
      <c r="N31">
        <f>VLOOKUP(E31&amp;M31,CURSO!A:D,4,FALSE)</f>
        <v>17</v>
      </c>
      <c r="O31">
        <f>VLOOKUP(C31&amp;N31,MATERIAS!A:G,7,FALSE)</f>
        <v>220</v>
      </c>
      <c r="P31">
        <f>VLOOKUP(I31,CALIFICACION!A:C,3,FALSE)</f>
        <v>2</v>
      </c>
      <c r="Q31">
        <f>VLOOKUP(A31,ALUMNOS!A:B,2,FALSE)</f>
        <v>564</v>
      </c>
      <c r="R31">
        <f>VLOOKUP(D31,CONDICION!A:B,2,FALSE)</f>
        <v>1</v>
      </c>
    </row>
    <row r="32" spans="1:18" x14ac:dyDescent="0.25">
      <c r="A32">
        <v>49766174</v>
      </c>
      <c r="B32" t="s">
        <v>174</v>
      </c>
      <c r="C32" t="s">
        <v>12</v>
      </c>
      <c r="D32" t="s">
        <v>43</v>
      </c>
      <c r="E32" t="s">
        <v>98</v>
      </c>
      <c r="F32" s="2">
        <v>45405</v>
      </c>
      <c r="G32" s="3">
        <v>0.33333333333333331</v>
      </c>
      <c r="H32">
        <v>2022</v>
      </c>
      <c r="I32">
        <v>2</v>
      </c>
      <c r="J32">
        <v>68</v>
      </c>
      <c r="K32">
        <v>29</v>
      </c>
      <c r="L32">
        <f>VLOOKUP(UPPER(TEXT(F32,"mmmm"))&amp;TEXT(F32,"yyyy"),TURNOS!A:F,6,FALSE)</f>
        <v>1</v>
      </c>
      <c r="M32">
        <f>VLOOKUP(VLOOKUP(A32&amp;C32&amp;E32,'PREVIOS (2)'!B:K,10,FALSE),PLAN!A:B,2,FALSE)</f>
        <v>5</v>
      </c>
      <c r="N32">
        <f>VLOOKUP(E32&amp;M32,CURSO!A:D,4,FALSE)</f>
        <v>17</v>
      </c>
      <c r="O32">
        <f>VLOOKUP(C32&amp;N32,MATERIAS!A:G,7,FALSE)</f>
        <v>220</v>
      </c>
      <c r="P32">
        <f>VLOOKUP(I32,CALIFICACION!A:C,3,FALSE)</f>
        <v>4</v>
      </c>
      <c r="Q32">
        <f>VLOOKUP(A32,ALUMNOS!A:B,2,FALSE)</f>
        <v>665</v>
      </c>
      <c r="R32">
        <f>VLOOKUP(D32,CONDICION!A:B,2,FALSE)</f>
        <v>1</v>
      </c>
    </row>
    <row r="33" spans="1:18" x14ac:dyDescent="0.25">
      <c r="A33">
        <v>49716986</v>
      </c>
      <c r="B33" t="s">
        <v>164</v>
      </c>
      <c r="C33" t="s">
        <v>12</v>
      </c>
      <c r="D33" t="s">
        <v>43</v>
      </c>
      <c r="E33" t="s">
        <v>95</v>
      </c>
      <c r="F33" s="2">
        <v>45405</v>
      </c>
      <c r="G33" s="3">
        <v>0.33333333333333331</v>
      </c>
      <c r="H33">
        <v>2023</v>
      </c>
      <c r="I33">
        <v>2</v>
      </c>
      <c r="J33">
        <v>68</v>
      </c>
      <c r="K33">
        <v>30</v>
      </c>
      <c r="L33">
        <f>VLOOKUP(UPPER(TEXT(F33,"mmmm"))&amp;TEXT(F33,"yyyy"),TURNOS!A:F,6,FALSE)</f>
        <v>1</v>
      </c>
      <c r="M33">
        <f>VLOOKUP(VLOOKUP(A33&amp;C33&amp;E33,'PREVIOS (2)'!B:K,10,FALSE),PLAN!A:B,2,FALSE)</f>
        <v>5</v>
      </c>
      <c r="N33">
        <f>VLOOKUP(E33&amp;M33,CURSO!A:D,4,FALSE)</f>
        <v>18</v>
      </c>
      <c r="O33">
        <f>VLOOKUP(C33&amp;N33,MATERIAS!A:G,7,FALSE)</f>
        <v>230</v>
      </c>
      <c r="P33">
        <f>VLOOKUP(I33,CALIFICACION!A:C,3,FALSE)</f>
        <v>4</v>
      </c>
      <c r="Q33">
        <f>VLOOKUP(A33,ALUMNOS!A:B,2,FALSE)</f>
        <v>248</v>
      </c>
      <c r="R33">
        <f>VLOOKUP(D33,CONDICION!A:B,2,FALSE)</f>
        <v>1</v>
      </c>
    </row>
    <row r="34" spans="1:18" x14ac:dyDescent="0.25">
      <c r="A34">
        <v>48264989</v>
      </c>
      <c r="B34" t="s">
        <v>236</v>
      </c>
      <c r="C34" t="s">
        <v>12</v>
      </c>
      <c r="D34" t="s">
        <v>43</v>
      </c>
      <c r="E34" t="s">
        <v>95</v>
      </c>
      <c r="F34" s="2">
        <v>45405</v>
      </c>
      <c r="G34" s="3">
        <v>0.33333333333333331</v>
      </c>
      <c r="H34">
        <v>2021</v>
      </c>
      <c r="I34" t="s">
        <v>50</v>
      </c>
      <c r="J34">
        <v>68</v>
      </c>
      <c r="K34">
        <v>30</v>
      </c>
      <c r="L34">
        <f>VLOOKUP(UPPER(TEXT(F34,"mmmm"))&amp;TEXT(F34,"yyyy"),TURNOS!A:F,6,FALSE)</f>
        <v>1</v>
      </c>
      <c r="M34">
        <f>VLOOKUP(VLOOKUP(A34&amp;C34&amp;E34,'PREVIOS (2)'!B:K,10,FALSE),PLAN!A:B,2,FALSE)</f>
        <v>5</v>
      </c>
      <c r="N34">
        <f>VLOOKUP(E34&amp;M34,CURSO!A:D,4,FALSE)</f>
        <v>18</v>
      </c>
      <c r="O34">
        <f>VLOOKUP(C34&amp;N34,MATERIAS!A:G,7,FALSE)</f>
        <v>230</v>
      </c>
      <c r="P34">
        <f>VLOOKUP(I34,CALIFICACION!A:C,3,FALSE)</f>
        <v>2</v>
      </c>
      <c r="Q34">
        <f>VLOOKUP(A34,ALUMNOS!A:B,2,FALSE)</f>
        <v>275</v>
      </c>
      <c r="R34">
        <f>VLOOKUP(D34,CONDICION!A:B,2,FALSE)</f>
        <v>1</v>
      </c>
    </row>
    <row r="35" spans="1:18" x14ac:dyDescent="0.25">
      <c r="A35">
        <v>49324876</v>
      </c>
      <c r="B35" t="s">
        <v>167</v>
      </c>
      <c r="C35" t="s">
        <v>12</v>
      </c>
      <c r="D35" t="s">
        <v>43</v>
      </c>
      <c r="E35" t="s">
        <v>95</v>
      </c>
      <c r="F35" s="2">
        <v>45405</v>
      </c>
      <c r="G35" s="3">
        <v>0.33333333333333331</v>
      </c>
      <c r="H35">
        <v>2022</v>
      </c>
      <c r="I35" t="s">
        <v>50</v>
      </c>
      <c r="J35">
        <v>68</v>
      </c>
      <c r="K35">
        <v>30</v>
      </c>
      <c r="L35">
        <f>VLOOKUP(UPPER(TEXT(F35,"mmmm"))&amp;TEXT(F35,"yyyy"),TURNOS!A:F,6,FALSE)</f>
        <v>1</v>
      </c>
      <c r="M35">
        <f>VLOOKUP(VLOOKUP(A35&amp;C35&amp;E35,'PREVIOS (2)'!B:K,10,FALSE),PLAN!A:B,2,FALSE)</f>
        <v>5</v>
      </c>
      <c r="N35">
        <f>VLOOKUP(E35&amp;M35,CURSO!A:D,4,FALSE)</f>
        <v>18</v>
      </c>
      <c r="O35">
        <f>VLOOKUP(C35&amp;N35,MATERIAS!A:G,7,FALSE)</f>
        <v>230</v>
      </c>
      <c r="P35">
        <f>VLOOKUP(I35,CALIFICACION!A:C,3,FALSE)</f>
        <v>2</v>
      </c>
      <c r="Q35">
        <f>VLOOKUP(A35,ALUMNOS!A:B,2,FALSE)</f>
        <v>339</v>
      </c>
      <c r="R35">
        <f>VLOOKUP(D35,CONDICION!A:B,2,FALSE)</f>
        <v>1</v>
      </c>
    </row>
    <row r="36" spans="1:18" x14ac:dyDescent="0.25">
      <c r="A36">
        <v>49455858</v>
      </c>
      <c r="B36" t="s">
        <v>149</v>
      </c>
      <c r="C36" t="s">
        <v>12</v>
      </c>
      <c r="D36" t="s">
        <v>43</v>
      </c>
      <c r="E36" t="s">
        <v>95</v>
      </c>
      <c r="F36" s="2">
        <v>45405</v>
      </c>
      <c r="G36" s="3">
        <v>0.33333333333333331</v>
      </c>
      <c r="H36">
        <v>2023</v>
      </c>
      <c r="I36" t="s">
        <v>50</v>
      </c>
      <c r="J36">
        <v>68</v>
      </c>
      <c r="K36">
        <v>30</v>
      </c>
      <c r="L36">
        <f>VLOOKUP(UPPER(TEXT(F36,"mmmm"))&amp;TEXT(F36,"yyyy"),TURNOS!A:F,6,FALSE)</f>
        <v>1</v>
      </c>
      <c r="M36">
        <f>VLOOKUP(VLOOKUP(A36&amp;C36&amp;E36,'PREVIOS (2)'!B:K,10,FALSE),PLAN!A:B,2,FALSE)</f>
        <v>5</v>
      </c>
      <c r="N36">
        <f>VLOOKUP(E36&amp;M36,CURSO!A:D,4,FALSE)</f>
        <v>18</v>
      </c>
      <c r="O36">
        <f>VLOOKUP(C36&amp;N36,MATERIAS!A:G,7,FALSE)</f>
        <v>230</v>
      </c>
      <c r="P36">
        <f>VLOOKUP(I36,CALIFICACION!A:C,3,FALSE)</f>
        <v>2</v>
      </c>
      <c r="Q36">
        <f>VLOOKUP(A36,ALUMNOS!A:B,2,FALSE)</f>
        <v>553</v>
      </c>
      <c r="R36">
        <f>VLOOKUP(D36,CONDICION!A:B,2,FALSE)</f>
        <v>1</v>
      </c>
    </row>
    <row r="37" spans="1:18" x14ac:dyDescent="0.25">
      <c r="A37">
        <v>48905277</v>
      </c>
      <c r="B37" t="s">
        <v>214</v>
      </c>
      <c r="C37" t="s">
        <v>12</v>
      </c>
      <c r="D37" t="s">
        <v>43</v>
      </c>
      <c r="E37" t="s">
        <v>95</v>
      </c>
      <c r="F37" s="2">
        <v>45405</v>
      </c>
      <c r="G37" s="3">
        <v>0.33333333333333331</v>
      </c>
      <c r="H37">
        <v>2022</v>
      </c>
      <c r="I37">
        <v>2</v>
      </c>
      <c r="J37">
        <v>68</v>
      </c>
      <c r="K37">
        <v>30</v>
      </c>
      <c r="L37">
        <f>VLOOKUP(UPPER(TEXT(F37,"mmmm"))&amp;TEXT(F37,"yyyy"),TURNOS!A:F,6,FALSE)</f>
        <v>1</v>
      </c>
      <c r="M37">
        <f>VLOOKUP(VLOOKUP(A37&amp;C37&amp;E37,'PREVIOS (2)'!B:K,10,FALSE),PLAN!A:B,2,FALSE)</f>
        <v>5</v>
      </c>
      <c r="N37">
        <f>VLOOKUP(E37&amp;M37,CURSO!A:D,4,FALSE)</f>
        <v>18</v>
      </c>
      <c r="O37">
        <f>VLOOKUP(C37&amp;N37,MATERIAS!A:G,7,FALSE)</f>
        <v>230</v>
      </c>
      <c r="P37">
        <f>VLOOKUP(I37,CALIFICACION!A:C,3,FALSE)</f>
        <v>4</v>
      </c>
      <c r="Q37">
        <f>VLOOKUP(A37,ALUMNOS!A:B,2,FALSE)</f>
        <v>561</v>
      </c>
      <c r="R37">
        <f>VLOOKUP(D37,CONDICION!A:B,2,FALSE)</f>
        <v>1</v>
      </c>
    </row>
    <row r="38" spans="1:18" x14ac:dyDescent="0.25">
      <c r="A38">
        <v>49964540</v>
      </c>
      <c r="B38" t="s">
        <v>187</v>
      </c>
      <c r="C38" t="s">
        <v>12</v>
      </c>
      <c r="D38" t="s">
        <v>43</v>
      </c>
      <c r="E38" t="s">
        <v>95</v>
      </c>
      <c r="F38" s="2">
        <v>45405</v>
      </c>
      <c r="G38" s="3">
        <v>0.33333333333333331</v>
      </c>
      <c r="H38">
        <v>2023</v>
      </c>
      <c r="I38">
        <v>2</v>
      </c>
      <c r="J38">
        <v>68</v>
      </c>
      <c r="K38">
        <v>30</v>
      </c>
      <c r="L38">
        <f>VLOOKUP(UPPER(TEXT(F38,"mmmm"))&amp;TEXT(F38,"yyyy"),TURNOS!A:F,6,FALSE)</f>
        <v>1</v>
      </c>
      <c r="M38">
        <f>VLOOKUP(VLOOKUP(A38&amp;C38&amp;E38,'PREVIOS (2)'!B:K,10,FALSE),PLAN!A:B,2,FALSE)</f>
        <v>5</v>
      </c>
      <c r="N38">
        <f>VLOOKUP(E38&amp;M38,CURSO!A:D,4,FALSE)</f>
        <v>18</v>
      </c>
      <c r="O38">
        <f>VLOOKUP(C38&amp;N38,MATERIAS!A:G,7,FALSE)</f>
        <v>230</v>
      </c>
      <c r="P38">
        <f>VLOOKUP(I38,CALIFICACION!A:C,3,FALSE)</f>
        <v>4</v>
      </c>
      <c r="Q38">
        <f>VLOOKUP(A38,ALUMNOS!A:B,2,FALSE)</f>
        <v>610</v>
      </c>
      <c r="R38">
        <f>VLOOKUP(D38,CONDICION!A:B,2,FALSE)</f>
        <v>1</v>
      </c>
    </row>
    <row r="39" spans="1:18" x14ac:dyDescent="0.25">
      <c r="A39">
        <v>49455878</v>
      </c>
      <c r="B39" t="s">
        <v>155</v>
      </c>
      <c r="C39" t="s">
        <v>12</v>
      </c>
      <c r="D39" t="s">
        <v>43</v>
      </c>
      <c r="E39" t="s">
        <v>95</v>
      </c>
      <c r="F39" s="2">
        <v>45405</v>
      </c>
      <c r="G39" s="3">
        <v>0.33333333333333331</v>
      </c>
      <c r="H39">
        <v>2023</v>
      </c>
      <c r="I39" t="s">
        <v>50</v>
      </c>
      <c r="J39">
        <v>68</v>
      </c>
      <c r="K39">
        <v>30</v>
      </c>
      <c r="L39">
        <f>VLOOKUP(UPPER(TEXT(F39,"mmmm"))&amp;TEXT(F39,"yyyy"),TURNOS!A:F,6,FALSE)</f>
        <v>1</v>
      </c>
      <c r="M39">
        <f>VLOOKUP(VLOOKUP(A39&amp;C39&amp;E39,'PREVIOS (2)'!B:K,10,FALSE),PLAN!A:B,2,FALSE)</f>
        <v>5</v>
      </c>
      <c r="N39">
        <f>VLOOKUP(E39&amp;M39,CURSO!A:D,4,FALSE)</f>
        <v>18</v>
      </c>
      <c r="O39">
        <f>VLOOKUP(C39&amp;N39,MATERIAS!A:G,7,FALSE)</f>
        <v>230</v>
      </c>
      <c r="P39">
        <f>VLOOKUP(I39,CALIFICACION!A:C,3,FALSE)</f>
        <v>2</v>
      </c>
      <c r="Q39">
        <f>VLOOKUP(A39,ALUMNOS!A:B,2,FALSE)</f>
        <v>654</v>
      </c>
      <c r="R39">
        <f>VLOOKUP(D39,CONDICION!A:B,2,FALSE)</f>
        <v>1</v>
      </c>
    </row>
    <row r="40" spans="1:18" x14ac:dyDescent="0.25">
      <c r="A40">
        <v>49766174</v>
      </c>
      <c r="B40" t="s">
        <v>174</v>
      </c>
      <c r="C40" t="s">
        <v>12</v>
      </c>
      <c r="D40" t="s">
        <v>43</v>
      </c>
      <c r="E40" t="s">
        <v>95</v>
      </c>
      <c r="F40" s="2">
        <v>45405</v>
      </c>
      <c r="G40" s="3">
        <v>0.33333333333333331</v>
      </c>
      <c r="H40">
        <v>2023</v>
      </c>
      <c r="I40">
        <v>2</v>
      </c>
      <c r="J40">
        <v>68</v>
      </c>
      <c r="K40">
        <v>30</v>
      </c>
      <c r="L40">
        <f>VLOOKUP(UPPER(TEXT(F40,"mmmm"))&amp;TEXT(F40,"yyyy"),TURNOS!A:F,6,FALSE)</f>
        <v>1</v>
      </c>
      <c r="M40">
        <f>VLOOKUP(VLOOKUP(A40&amp;C40&amp;E40,'PREVIOS (2)'!B:K,10,FALSE),PLAN!A:B,2,FALSE)</f>
        <v>5</v>
      </c>
      <c r="N40">
        <f>VLOOKUP(E40&amp;M40,CURSO!A:D,4,FALSE)</f>
        <v>18</v>
      </c>
      <c r="O40">
        <f>VLOOKUP(C40&amp;N40,MATERIAS!A:G,7,FALSE)</f>
        <v>230</v>
      </c>
      <c r="P40">
        <f>VLOOKUP(I40,CALIFICACION!A:C,3,FALSE)</f>
        <v>4</v>
      </c>
      <c r="Q40">
        <f>VLOOKUP(A40,ALUMNOS!A:B,2,FALSE)</f>
        <v>665</v>
      </c>
      <c r="R40">
        <f>VLOOKUP(D40,CONDICION!A:B,2,FALSE)</f>
        <v>1</v>
      </c>
    </row>
    <row r="41" spans="1:18" x14ac:dyDescent="0.25">
      <c r="A41">
        <v>46035153</v>
      </c>
      <c r="B41" t="s">
        <v>403</v>
      </c>
      <c r="C41" t="s">
        <v>12</v>
      </c>
      <c r="D41" t="s">
        <v>43</v>
      </c>
      <c r="E41" t="s">
        <v>95</v>
      </c>
      <c r="F41" s="2">
        <v>45405</v>
      </c>
      <c r="G41" s="3">
        <v>0.33333333333333331</v>
      </c>
      <c r="H41">
        <v>2019</v>
      </c>
      <c r="I41" t="s">
        <v>50</v>
      </c>
      <c r="J41">
        <v>68</v>
      </c>
      <c r="K41">
        <v>30</v>
      </c>
      <c r="L41">
        <f>VLOOKUP(UPPER(TEXT(F41,"mmmm"))&amp;TEXT(F41,"yyyy"),TURNOS!A:F,6,FALSE)</f>
        <v>1</v>
      </c>
      <c r="M41">
        <f>VLOOKUP(VLOOKUP(A41&amp;C41&amp;E41,'PREVIOS (2)'!B:K,10,FALSE),PLAN!A:B,2,FALSE)</f>
        <v>5</v>
      </c>
      <c r="N41">
        <f>VLOOKUP(E41&amp;M41,CURSO!A:D,4,FALSE)</f>
        <v>18</v>
      </c>
      <c r="O41">
        <f>VLOOKUP(C41&amp;N41,MATERIAS!A:G,7,FALSE)</f>
        <v>230</v>
      </c>
      <c r="P41">
        <f>VLOOKUP(I41,CALIFICACION!A:C,3,FALSE)</f>
        <v>2</v>
      </c>
      <c r="Q41">
        <f>VLOOKUP(A41,ALUMNOS!A:B,2,FALSE)</f>
        <v>716</v>
      </c>
      <c r="R41">
        <f>VLOOKUP(D41,CONDICION!A:B,2,FALSE)</f>
        <v>1</v>
      </c>
    </row>
    <row r="42" spans="1:18" x14ac:dyDescent="0.25">
      <c r="A42">
        <v>47665543</v>
      </c>
      <c r="B42" t="s">
        <v>196</v>
      </c>
      <c r="C42" t="s">
        <v>12</v>
      </c>
      <c r="D42" t="s">
        <v>43</v>
      </c>
      <c r="E42" t="s">
        <v>143</v>
      </c>
      <c r="F42" s="2">
        <v>45405</v>
      </c>
      <c r="G42" s="3">
        <v>0.33333333333333331</v>
      </c>
      <c r="H42">
        <v>2021</v>
      </c>
      <c r="I42">
        <v>2</v>
      </c>
      <c r="J42">
        <v>68</v>
      </c>
      <c r="K42">
        <v>31</v>
      </c>
      <c r="L42">
        <f>VLOOKUP(UPPER(TEXT(F42,"mmmm"))&amp;TEXT(F42,"yyyy"),TURNOS!A:F,6,FALSE)</f>
        <v>1</v>
      </c>
      <c r="M42">
        <f>VLOOKUP(VLOOKUP(A42&amp;C42&amp;E42,'PREVIOS (2)'!B:K,10,FALSE),PLAN!A:B,2,FALSE)</f>
        <v>5</v>
      </c>
      <c r="N42">
        <f>VLOOKUP(E42&amp;M42,CURSO!A:D,4,FALSE)</f>
        <v>19</v>
      </c>
      <c r="O42">
        <f>VLOOKUP(C42&amp;N42,MATERIAS!A:G,7,FALSE)</f>
        <v>240</v>
      </c>
      <c r="P42">
        <f>VLOOKUP(I42,CALIFICACION!A:C,3,FALSE)</f>
        <v>4</v>
      </c>
      <c r="Q42">
        <f>VLOOKUP(A42,ALUMNOS!A:B,2,FALSE)</f>
        <v>143</v>
      </c>
      <c r="R42">
        <f>VLOOKUP(D42,CONDICION!A:B,2,FALSE)</f>
        <v>1</v>
      </c>
    </row>
    <row r="43" spans="1:18" x14ac:dyDescent="0.25">
      <c r="A43">
        <v>48496669</v>
      </c>
      <c r="B43" t="s">
        <v>212</v>
      </c>
      <c r="C43" t="s">
        <v>12</v>
      </c>
      <c r="D43" t="s">
        <v>43</v>
      </c>
      <c r="E43" t="s">
        <v>143</v>
      </c>
      <c r="F43" s="2">
        <v>45405</v>
      </c>
      <c r="G43" s="3">
        <v>0.33333333333333331</v>
      </c>
      <c r="H43">
        <v>2023</v>
      </c>
      <c r="I43">
        <v>7</v>
      </c>
      <c r="J43">
        <v>68</v>
      </c>
      <c r="K43">
        <v>31</v>
      </c>
      <c r="L43">
        <f>VLOOKUP(UPPER(TEXT(F43,"mmmm"))&amp;TEXT(F43,"yyyy"),TURNOS!A:F,6,FALSE)</f>
        <v>1</v>
      </c>
      <c r="M43">
        <f>VLOOKUP(VLOOKUP(A43&amp;C43&amp;E43,'PREVIOS (2)'!B:K,10,FALSE),PLAN!A:B,2,FALSE)</f>
        <v>5</v>
      </c>
      <c r="N43">
        <f>VLOOKUP(E43&amp;M43,CURSO!A:D,4,FALSE)</f>
        <v>19</v>
      </c>
      <c r="O43">
        <f>VLOOKUP(C43&amp;N43,MATERIAS!A:G,7,FALSE)</f>
        <v>240</v>
      </c>
      <c r="P43">
        <f>VLOOKUP(I43,CALIFICACION!A:C,3,FALSE)</f>
        <v>9</v>
      </c>
      <c r="Q43">
        <f>VLOOKUP(A43,ALUMNOS!A:B,2,FALSE)</f>
        <v>805</v>
      </c>
      <c r="R43">
        <f>VLOOKUP(D43,CONDICION!A:B,2,FALSE)</f>
        <v>1</v>
      </c>
    </row>
    <row r="44" spans="1:18" x14ac:dyDescent="0.25">
      <c r="A44">
        <v>47653252</v>
      </c>
      <c r="B44" t="s">
        <v>230</v>
      </c>
      <c r="C44" t="s">
        <v>12</v>
      </c>
      <c r="D44" t="s">
        <v>43</v>
      </c>
      <c r="E44" t="s">
        <v>143</v>
      </c>
      <c r="F44" s="2">
        <v>45405</v>
      </c>
      <c r="G44" s="3">
        <v>0.33333333333333331</v>
      </c>
      <c r="H44">
        <v>2021</v>
      </c>
      <c r="I44" t="s">
        <v>50</v>
      </c>
      <c r="J44">
        <v>68</v>
      </c>
      <c r="K44">
        <v>31</v>
      </c>
      <c r="L44">
        <f>VLOOKUP(UPPER(TEXT(F44,"mmmm"))&amp;TEXT(F44,"yyyy"),TURNOS!A:F,6,FALSE)</f>
        <v>1</v>
      </c>
      <c r="M44">
        <f>VLOOKUP(VLOOKUP(A44&amp;C44&amp;E44,'PREVIOS (2)'!B:K,10,FALSE),PLAN!A:B,2,FALSE)</f>
        <v>5</v>
      </c>
      <c r="N44">
        <f>VLOOKUP(E44&amp;M44,CURSO!A:D,4,FALSE)</f>
        <v>19</v>
      </c>
      <c r="O44">
        <f>VLOOKUP(C44&amp;N44,MATERIAS!A:G,7,FALSE)</f>
        <v>240</v>
      </c>
      <c r="P44">
        <f>VLOOKUP(I44,CALIFICACION!A:C,3,FALSE)</f>
        <v>2</v>
      </c>
      <c r="Q44">
        <f>VLOOKUP(A44,ALUMNOS!A:B,2,FALSE)</f>
        <v>341</v>
      </c>
      <c r="R44">
        <f>VLOOKUP(D44,CONDICION!A:B,2,FALSE)</f>
        <v>1</v>
      </c>
    </row>
    <row r="45" spans="1:18" x14ac:dyDescent="0.25">
      <c r="A45">
        <v>49458710</v>
      </c>
      <c r="B45" t="s">
        <v>213</v>
      </c>
      <c r="C45" t="s">
        <v>12</v>
      </c>
      <c r="D45" t="s">
        <v>43</v>
      </c>
      <c r="E45" t="s">
        <v>143</v>
      </c>
      <c r="F45" s="2">
        <v>45405</v>
      </c>
      <c r="G45" s="3">
        <v>0.33333333333333331</v>
      </c>
      <c r="H45">
        <v>2023</v>
      </c>
      <c r="I45">
        <v>7</v>
      </c>
      <c r="J45">
        <v>68</v>
      </c>
      <c r="K45">
        <v>31</v>
      </c>
      <c r="L45">
        <f>VLOOKUP(UPPER(TEXT(F45,"mmmm"))&amp;TEXT(F45,"yyyy"),TURNOS!A:F,6,FALSE)</f>
        <v>1</v>
      </c>
      <c r="M45">
        <f>VLOOKUP(VLOOKUP(A45&amp;C45&amp;E45,'PREVIOS (2)'!B:K,10,FALSE),PLAN!A:B,2,FALSE)</f>
        <v>5</v>
      </c>
      <c r="N45">
        <f>VLOOKUP(E45&amp;M45,CURSO!A:D,4,FALSE)</f>
        <v>19</v>
      </c>
      <c r="O45">
        <f>VLOOKUP(C45&amp;N45,MATERIAS!A:G,7,FALSE)</f>
        <v>240</v>
      </c>
      <c r="P45">
        <f>VLOOKUP(I45,CALIFICACION!A:C,3,FALSE)</f>
        <v>9</v>
      </c>
      <c r="Q45">
        <f>VLOOKUP(A45,ALUMNOS!A:B,2,FALSE)</f>
        <v>806</v>
      </c>
      <c r="R45">
        <f>VLOOKUP(D45,CONDICION!A:B,2,FALSE)</f>
        <v>1</v>
      </c>
    </row>
    <row r="46" spans="1:18" x14ac:dyDescent="0.25">
      <c r="A46">
        <v>48816237</v>
      </c>
      <c r="B46" t="s">
        <v>200</v>
      </c>
      <c r="C46" t="s">
        <v>12</v>
      </c>
      <c r="D46" t="s">
        <v>43</v>
      </c>
      <c r="E46" t="s">
        <v>143</v>
      </c>
      <c r="F46" s="2">
        <v>45405</v>
      </c>
      <c r="G46" s="3">
        <v>0.33333333333333331</v>
      </c>
      <c r="H46">
        <v>2023</v>
      </c>
      <c r="I46">
        <v>7</v>
      </c>
      <c r="J46">
        <v>68</v>
      </c>
      <c r="K46">
        <v>31</v>
      </c>
      <c r="L46">
        <f>VLOOKUP(UPPER(TEXT(F46,"mmmm"))&amp;TEXT(F46,"yyyy"),TURNOS!A:F,6,FALSE)</f>
        <v>1</v>
      </c>
      <c r="M46">
        <f>VLOOKUP(VLOOKUP(A46&amp;C46&amp;E46,'PREVIOS (2)'!B:K,10,FALSE),PLAN!A:B,2,FALSE)</f>
        <v>5</v>
      </c>
      <c r="N46">
        <f>VLOOKUP(E46&amp;M46,CURSO!A:D,4,FALSE)</f>
        <v>19</v>
      </c>
      <c r="O46">
        <f>VLOOKUP(C46&amp;N46,MATERIAS!A:G,7,FALSE)</f>
        <v>240</v>
      </c>
      <c r="P46">
        <f>VLOOKUP(I46,CALIFICACION!A:C,3,FALSE)</f>
        <v>9</v>
      </c>
      <c r="Q46">
        <f>VLOOKUP(A46,ALUMNOS!A:B,2,FALSE)</f>
        <v>475</v>
      </c>
      <c r="R46">
        <f>VLOOKUP(D46,CONDICION!A:B,2,FALSE)</f>
        <v>1</v>
      </c>
    </row>
    <row r="47" spans="1:18" x14ac:dyDescent="0.25">
      <c r="A47">
        <v>48269974</v>
      </c>
      <c r="B47" t="s">
        <v>209</v>
      </c>
      <c r="C47" t="s">
        <v>12</v>
      </c>
      <c r="D47" t="s">
        <v>43</v>
      </c>
      <c r="E47" t="s">
        <v>143</v>
      </c>
      <c r="F47" s="2">
        <v>45405</v>
      </c>
      <c r="G47" s="3">
        <v>0.33333333333333331</v>
      </c>
      <c r="H47">
        <v>2022</v>
      </c>
      <c r="I47">
        <v>7</v>
      </c>
      <c r="J47">
        <v>68</v>
      </c>
      <c r="K47">
        <v>31</v>
      </c>
      <c r="L47">
        <f>VLOOKUP(UPPER(TEXT(F47,"mmmm"))&amp;TEXT(F47,"yyyy"),TURNOS!A:F,6,FALSE)</f>
        <v>1</v>
      </c>
      <c r="M47">
        <f>VLOOKUP(VLOOKUP(A47&amp;C47&amp;E47,'PREVIOS (2)'!B:K,10,FALSE),PLAN!A:B,2,FALSE)</f>
        <v>5</v>
      </c>
      <c r="N47">
        <f>VLOOKUP(E47&amp;M47,CURSO!A:D,4,FALSE)</f>
        <v>19</v>
      </c>
      <c r="O47">
        <f>VLOOKUP(C47&amp;N47,MATERIAS!A:G,7,FALSE)</f>
        <v>240</v>
      </c>
      <c r="P47">
        <f>VLOOKUP(I47,CALIFICACION!A:C,3,FALSE)</f>
        <v>9</v>
      </c>
      <c r="Q47">
        <f>VLOOKUP(A47,ALUMNOS!A:B,2,FALSE)</f>
        <v>757</v>
      </c>
      <c r="R47">
        <f>VLOOKUP(D47,CONDICION!A:B,2,FALSE)</f>
        <v>1</v>
      </c>
    </row>
    <row r="48" spans="1:18" x14ac:dyDescent="0.25">
      <c r="A48">
        <v>45614539</v>
      </c>
      <c r="B48" t="s">
        <v>329</v>
      </c>
      <c r="C48" t="s">
        <v>12</v>
      </c>
      <c r="D48" t="s">
        <v>43</v>
      </c>
      <c r="E48" t="s">
        <v>220</v>
      </c>
      <c r="F48" s="2">
        <v>45405</v>
      </c>
      <c r="G48" s="3">
        <v>0.33333333333333331</v>
      </c>
      <c r="H48">
        <v>2020</v>
      </c>
      <c r="I48" t="s">
        <v>50</v>
      </c>
      <c r="J48">
        <v>68</v>
      </c>
      <c r="K48">
        <v>32</v>
      </c>
      <c r="L48">
        <f>VLOOKUP(UPPER(TEXT(F48,"mmmm"))&amp;TEXT(F48,"yyyy"),TURNOS!A:F,6,FALSE)</f>
        <v>1</v>
      </c>
      <c r="M48">
        <f>VLOOKUP(VLOOKUP(A48&amp;C48&amp;E48,'PREVIOS (2)'!B:K,10,FALSE),PLAN!A:B,2,FALSE)</f>
        <v>6</v>
      </c>
      <c r="N48">
        <f>VLOOKUP(E48&amp;M48,CURSO!A:D,4,FALSE)</f>
        <v>21</v>
      </c>
      <c r="O48">
        <f>VLOOKUP(C48&amp;N48,MATERIAS!A:G,7,FALSE)</f>
        <v>265</v>
      </c>
      <c r="P48">
        <f>VLOOKUP(I48,CALIFICACION!A:C,3,FALSE)</f>
        <v>2</v>
      </c>
      <c r="Q48">
        <f>VLOOKUP(A48,ALUMNOS!A:B,2,FALSE)</f>
        <v>58</v>
      </c>
      <c r="R48">
        <f>VLOOKUP(D48,CONDICION!A:B,2,FALSE)</f>
        <v>1</v>
      </c>
    </row>
    <row r="49" spans="1:18" x14ac:dyDescent="0.25">
      <c r="A49">
        <v>47665545</v>
      </c>
      <c r="B49" t="s">
        <v>248</v>
      </c>
      <c r="C49" t="s">
        <v>12</v>
      </c>
      <c r="D49" t="s">
        <v>43</v>
      </c>
      <c r="E49" t="s">
        <v>220</v>
      </c>
      <c r="F49" s="2">
        <v>45405</v>
      </c>
      <c r="G49" s="3">
        <v>0.33333333333333331</v>
      </c>
      <c r="H49">
        <v>2023</v>
      </c>
      <c r="I49">
        <v>7</v>
      </c>
      <c r="J49">
        <v>68</v>
      </c>
      <c r="K49">
        <v>32</v>
      </c>
      <c r="L49">
        <f>VLOOKUP(UPPER(TEXT(F49,"mmmm"))&amp;TEXT(F49,"yyyy"),TURNOS!A:F,6,FALSE)</f>
        <v>1</v>
      </c>
      <c r="M49">
        <f>VLOOKUP(VLOOKUP(A49&amp;C49&amp;E49,'PREVIOS (2)'!B:K,10,FALSE),PLAN!A:B,2,FALSE)</f>
        <v>6</v>
      </c>
      <c r="N49">
        <f>VLOOKUP(E49&amp;M49,CURSO!A:D,4,FALSE)</f>
        <v>21</v>
      </c>
      <c r="O49">
        <f>VLOOKUP(C49&amp;N49,MATERIAS!A:G,7,FALSE)</f>
        <v>265</v>
      </c>
      <c r="P49">
        <f>VLOOKUP(I49,CALIFICACION!A:C,3,FALSE)</f>
        <v>9</v>
      </c>
      <c r="Q49">
        <f>VLOOKUP(A49,ALUMNOS!A:B,2,FALSE)</f>
        <v>250</v>
      </c>
      <c r="R49">
        <f>VLOOKUP(D49,CONDICION!A:B,2,FALSE)</f>
        <v>1</v>
      </c>
    </row>
    <row r="50" spans="1:18" x14ac:dyDescent="0.25">
      <c r="A50">
        <v>45092236</v>
      </c>
      <c r="B50" t="s">
        <v>331</v>
      </c>
      <c r="C50" t="s">
        <v>12</v>
      </c>
      <c r="D50" t="s">
        <v>43</v>
      </c>
      <c r="E50" t="s">
        <v>220</v>
      </c>
      <c r="F50" s="2">
        <v>45405</v>
      </c>
      <c r="G50" s="3">
        <v>0.33333333333333331</v>
      </c>
      <c r="H50">
        <v>2020</v>
      </c>
      <c r="I50" t="s">
        <v>50</v>
      </c>
      <c r="J50">
        <v>68</v>
      </c>
      <c r="K50">
        <v>32</v>
      </c>
      <c r="L50">
        <f>VLOOKUP(UPPER(TEXT(F50,"mmmm"))&amp;TEXT(F50,"yyyy"),TURNOS!A:F,6,FALSE)</f>
        <v>1</v>
      </c>
      <c r="M50">
        <f>VLOOKUP(VLOOKUP(A50&amp;C50&amp;E50,'PREVIOS (2)'!B:K,10,FALSE),PLAN!A:B,2,FALSE)</f>
        <v>6</v>
      </c>
      <c r="N50">
        <f>VLOOKUP(E50&amp;M50,CURSO!A:D,4,FALSE)</f>
        <v>21</v>
      </c>
      <c r="O50">
        <f>VLOOKUP(C50&amp;N50,MATERIAS!A:G,7,FALSE)</f>
        <v>265</v>
      </c>
      <c r="P50">
        <f>VLOOKUP(I50,CALIFICACION!A:C,3,FALSE)</f>
        <v>2</v>
      </c>
      <c r="Q50">
        <f>VLOOKUP(A50,ALUMNOS!A:B,2,FALSE)</f>
        <v>255</v>
      </c>
      <c r="R50">
        <f>VLOOKUP(D50,CONDICION!A:B,2,FALSE)</f>
        <v>1</v>
      </c>
    </row>
    <row r="51" spans="1:18" x14ac:dyDescent="0.25">
      <c r="A51">
        <v>47900897</v>
      </c>
      <c r="B51" t="s">
        <v>250</v>
      </c>
      <c r="C51" t="s">
        <v>12</v>
      </c>
      <c r="D51" t="s">
        <v>43</v>
      </c>
      <c r="E51" t="s">
        <v>220</v>
      </c>
      <c r="F51" s="2">
        <v>45405</v>
      </c>
      <c r="G51" s="3">
        <v>0.33333333333333331</v>
      </c>
      <c r="H51">
        <v>2023</v>
      </c>
      <c r="I51">
        <v>7</v>
      </c>
      <c r="J51">
        <v>68</v>
      </c>
      <c r="K51">
        <v>32</v>
      </c>
      <c r="L51">
        <f>VLOOKUP(UPPER(TEXT(F51,"mmmm"))&amp;TEXT(F51,"yyyy"),TURNOS!A:F,6,FALSE)</f>
        <v>1</v>
      </c>
      <c r="M51">
        <f>VLOOKUP(VLOOKUP(A51&amp;C51&amp;E51,'PREVIOS (2)'!B:K,10,FALSE),PLAN!A:B,2,FALSE)</f>
        <v>6</v>
      </c>
      <c r="N51">
        <f>VLOOKUP(E51&amp;M51,CURSO!A:D,4,FALSE)</f>
        <v>21</v>
      </c>
      <c r="O51">
        <f>VLOOKUP(C51&amp;N51,MATERIAS!A:G,7,FALSE)</f>
        <v>265</v>
      </c>
      <c r="P51">
        <f>VLOOKUP(I51,CALIFICACION!A:C,3,FALSE)</f>
        <v>9</v>
      </c>
      <c r="Q51">
        <f>VLOOKUP(A51,ALUMNOS!A:B,2,FALSE)</f>
        <v>395</v>
      </c>
      <c r="R51">
        <f>VLOOKUP(D51,CONDICION!A:B,2,FALSE)</f>
        <v>1</v>
      </c>
    </row>
    <row r="52" spans="1:18" x14ac:dyDescent="0.25">
      <c r="A52">
        <v>48130212</v>
      </c>
      <c r="B52" t="s">
        <v>252</v>
      </c>
      <c r="C52" t="s">
        <v>12</v>
      </c>
      <c r="D52" t="s">
        <v>43</v>
      </c>
      <c r="E52" t="s">
        <v>220</v>
      </c>
      <c r="F52" s="2">
        <v>45405</v>
      </c>
      <c r="G52" s="3">
        <v>0.33333333333333331</v>
      </c>
      <c r="H52">
        <v>2023</v>
      </c>
      <c r="I52" t="s">
        <v>50</v>
      </c>
      <c r="J52">
        <v>68</v>
      </c>
      <c r="K52">
        <v>32</v>
      </c>
      <c r="L52">
        <f>VLOOKUP(UPPER(TEXT(F52,"mmmm"))&amp;TEXT(F52,"yyyy"),TURNOS!A:F,6,FALSE)</f>
        <v>1</v>
      </c>
      <c r="M52">
        <f>VLOOKUP(VLOOKUP(A52&amp;C52&amp;E52,'PREVIOS (2)'!B:K,10,FALSE),PLAN!A:B,2,FALSE)</f>
        <v>6</v>
      </c>
      <c r="N52">
        <f>VLOOKUP(E52&amp;M52,CURSO!A:D,4,FALSE)</f>
        <v>21</v>
      </c>
      <c r="O52">
        <f>VLOOKUP(C52&amp;N52,MATERIAS!A:G,7,FALSE)</f>
        <v>265</v>
      </c>
      <c r="P52">
        <f>VLOOKUP(I52,CALIFICACION!A:C,3,FALSE)</f>
        <v>2</v>
      </c>
      <c r="Q52">
        <f>VLOOKUP(A52,ALUMNOS!A:B,2,FALSE)</f>
        <v>585</v>
      </c>
      <c r="R52">
        <f>VLOOKUP(D52,CONDICION!A:B,2,FALSE)</f>
        <v>1</v>
      </c>
    </row>
    <row r="53" spans="1:18" x14ac:dyDescent="0.25">
      <c r="A53">
        <v>50598225</v>
      </c>
      <c r="B53" t="s">
        <v>102</v>
      </c>
      <c r="C53" t="s">
        <v>16</v>
      </c>
      <c r="D53" t="s">
        <v>43</v>
      </c>
      <c r="E53" t="s">
        <v>98</v>
      </c>
      <c r="F53" s="2">
        <v>45406</v>
      </c>
      <c r="G53" s="3">
        <v>0.54166666666666663</v>
      </c>
      <c r="H53">
        <v>2023</v>
      </c>
      <c r="I53">
        <v>2</v>
      </c>
      <c r="J53">
        <v>68</v>
      </c>
      <c r="K53">
        <v>33</v>
      </c>
      <c r="L53">
        <f>VLOOKUP(UPPER(TEXT(F53,"mmmm"))&amp;TEXT(F53,"yyyy"),TURNOS!A:F,6,FALSE)</f>
        <v>1</v>
      </c>
      <c r="M53">
        <f>VLOOKUP(VLOOKUP(A53&amp;C53&amp;E53,'PREVIOS (2)'!B:K,10,FALSE),PLAN!A:B,2,FALSE)</f>
        <v>5</v>
      </c>
      <c r="N53">
        <f>VLOOKUP(E53&amp;M53,CURSO!A:D,4,FALSE)</f>
        <v>17</v>
      </c>
      <c r="O53">
        <f>VLOOKUP(C53&amp;N53,MATERIAS!A:G,7,FALSE)</f>
        <v>224</v>
      </c>
      <c r="P53">
        <f>VLOOKUP(I53,CALIFICACION!A:C,3,FALSE)</f>
        <v>4</v>
      </c>
      <c r="Q53">
        <f>VLOOKUP(A53,ALUMNOS!A:B,2,FALSE)</f>
        <v>328</v>
      </c>
      <c r="R53">
        <f>VLOOKUP(D53,CONDICION!A:B,2,FALSE)</f>
        <v>1</v>
      </c>
    </row>
    <row r="54" spans="1:18" x14ac:dyDescent="0.25">
      <c r="A54">
        <v>50091999</v>
      </c>
      <c r="B54" t="s">
        <v>106</v>
      </c>
      <c r="C54" t="s">
        <v>16</v>
      </c>
      <c r="D54" t="s">
        <v>43</v>
      </c>
      <c r="E54" t="s">
        <v>98</v>
      </c>
      <c r="F54" s="2">
        <v>45406</v>
      </c>
      <c r="G54" s="3">
        <v>0.54166666666666663</v>
      </c>
      <c r="H54">
        <v>2023</v>
      </c>
      <c r="I54" t="s">
        <v>50</v>
      </c>
      <c r="J54">
        <v>68</v>
      </c>
      <c r="K54">
        <v>33</v>
      </c>
      <c r="L54">
        <f>VLOOKUP(UPPER(TEXT(F54,"mmmm"))&amp;TEXT(F54,"yyyy"),TURNOS!A:F,6,FALSE)</f>
        <v>1</v>
      </c>
      <c r="M54">
        <f>VLOOKUP(VLOOKUP(A54&amp;C54&amp;E54,'PREVIOS (2)'!B:K,10,FALSE),PLAN!A:B,2,FALSE)</f>
        <v>5</v>
      </c>
      <c r="N54">
        <f>VLOOKUP(E54&amp;M54,CURSO!A:D,4,FALSE)</f>
        <v>17</v>
      </c>
      <c r="O54">
        <f>VLOOKUP(C54&amp;N54,MATERIAS!A:G,7,FALSE)</f>
        <v>224</v>
      </c>
      <c r="P54">
        <f>VLOOKUP(I54,CALIFICACION!A:C,3,FALSE)</f>
        <v>2</v>
      </c>
      <c r="Q54">
        <f>VLOOKUP(A54,ALUMNOS!A:B,2,FALSE)</f>
        <v>425</v>
      </c>
      <c r="R54">
        <f>VLOOKUP(D54,CONDICION!A:B,2,FALSE)</f>
        <v>1</v>
      </c>
    </row>
    <row r="55" spans="1:18" x14ac:dyDescent="0.25">
      <c r="A55">
        <v>50553951</v>
      </c>
      <c r="B55" t="s">
        <v>123</v>
      </c>
      <c r="C55" t="s">
        <v>16</v>
      </c>
      <c r="D55" t="s">
        <v>43</v>
      </c>
      <c r="E55" t="s">
        <v>98</v>
      </c>
      <c r="F55" s="2">
        <v>45406</v>
      </c>
      <c r="G55" s="3">
        <v>0.54166666666666663</v>
      </c>
      <c r="H55">
        <v>2023</v>
      </c>
      <c r="I55" t="s">
        <v>50</v>
      </c>
      <c r="J55">
        <v>68</v>
      </c>
      <c r="K55">
        <v>33</v>
      </c>
      <c r="L55">
        <f>VLOOKUP(UPPER(TEXT(F55,"mmmm"))&amp;TEXT(F55,"yyyy"),TURNOS!A:F,6,FALSE)</f>
        <v>1</v>
      </c>
      <c r="M55">
        <f>VLOOKUP(VLOOKUP(A55&amp;C55&amp;E55,'PREVIOS (2)'!B:K,10,FALSE),PLAN!A:B,2,FALSE)</f>
        <v>5</v>
      </c>
      <c r="N55">
        <f>VLOOKUP(E55&amp;M55,CURSO!A:D,4,FALSE)</f>
        <v>17</v>
      </c>
      <c r="O55">
        <f>VLOOKUP(C55&amp;N55,MATERIAS!A:G,7,FALSE)</f>
        <v>224</v>
      </c>
      <c r="P55">
        <f>VLOOKUP(I55,CALIFICACION!A:C,3,FALSE)</f>
        <v>2</v>
      </c>
      <c r="Q55">
        <f>VLOOKUP(A55,ALUMNOS!A:B,2,FALSE)</f>
        <v>564</v>
      </c>
      <c r="R55">
        <f>VLOOKUP(D55,CONDICION!A:B,2,FALSE)</f>
        <v>1</v>
      </c>
    </row>
    <row r="56" spans="1:18" x14ac:dyDescent="0.25">
      <c r="A56">
        <v>50842190</v>
      </c>
      <c r="B56" t="s">
        <v>127</v>
      </c>
      <c r="C56" t="s">
        <v>16</v>
      </c>
      <c r="D56" t="s">
        <v>43</v>
      </c>
      <c r="E56" t="s">
        <v>98</v>
      </c>
      <c r="F56" s="2">
        <v>45406</v>
      </c>
      <c r="G56" s="3">
        <v>0.54166666666666663</v>
      </c>
      <c r="H56">
        <v>2023</v>
      </c>
      <c r="I56" t="s">
        <v>50</v>
      </c>
      <c r="J56">
        <v>68</v>
      </c>
      <c r="K56">
        <v>33</v>
      </c>
      <c r="L56">
        <f>VLOOKUP(UPPER(TEXT(F56,"mmmm"))&amp;TEXT(F56,"yyyy"),TURNOS!A:F,6,FALSE)</f>
        <v>1</v>
      </c>
      <c r="M56">
        <f>VLOOKUP(VLOOKUP(A56&amp;C56&amp;E56,'PREVIOS (2)'!B:K,10,FALSE),PLAN!A:B,2,FALSE)</f>
        <v>5</v>
      </c>
      <c r="N56">
        <f>VLOOKUP(E56&amp;M56,CURSO!A:D,4,FALSE)</f>
        <v>17</v>
      </c>
      <c r="O56">
        <f>VLOOKUP(C56&amp;N56,MATERIAS!A:G,7,FALSE)</f>
        <v>224</v>
      </c>
      <c r="P56">
        <f>VLOOKUP(I56,CALIFICACION!A:C,3,FALSE)</f>
        <v>2</v>
      </c>
      <c r="Q56">
        <f>VLOOKUP(A56,ALUMNOS!A:B,2,FALSE)</f>
        <v>756</v>
      </c>
      <c r="R56">
        <f>VLOOKUP(D56,CONDICION!A:B,2,FALSE)</f>
        <v>1</v>
      </c>
    </row>
    <row r="57" spans="1:18" x14ac:dyDescent="0.25">
      <c r="A57">
        <v>49455899</v>
      </c>
      <c r="B57" t="s">
        <v>156</v>
      </c>
      <c r="C57" t="s">
        <v>16</v>
      </c>
      <c r="D57" t="s">
        <v>43</v>
      </c>
      <c r="E57" t="s">
        <v>95</v>
      </c>
      <c r="F57" s="2">
        <v>45406</v>
      </c>
      <c r="G57" s="3">
        <v>0.54166666666666663</v>
      </c>
      <c r="H57">
        <v>2023</v>
      </c>
      <c r="I57">
        <v>4</v>
      </c>
      <c r="J57">
        <v>68</v>
      </c>
      <c r="K57">
        <v>34</v>
      </c>
      <c r="L57">
        <f>VLOOKUP(UPPER(TEXT(F57,"mmmm"))&amp;TEXT(F57,"yyyy"),TURNOS!A:F,6,FALSE)</f>
        <v>1</v>
      </c>
      <c r="M57">
        <f>VLOOKUP(VLOOKUP(A57&amp;C57&amp;E57,'PREVIOS (2)'!B:K,10,FALSE),PLAN!A:B,2,FALSE)</f>
        <v>5</v>
      </c>
      <c r="N57">
        <f>VLOOKUP(E57&amp;M57,CURSO!A:D,4,FALSE)</f>
        <v>18</v>
      </c>
      <c r="O57">
        <f>VLOOKUP(C57&amp;N57,MATERIAS!A:G,7,FALSE)</f>
        <v>234</v>
      </c>
      <c r="P57">
        <f>VLOOKUP(I57,CALIFICACION!A:C,3,FALSE)</f>
        <v>6</v>
      </c>
      <c r="Q57">
        <f>VLOOKUP(A57,ALUMNOS!A:B,2,FALSE)</f>
        <v>669</v>
      </c>
      <c r="R57">
        <f>VLOOKUP(D57,CONDICION!A:B,2,FALSE)</f>
        <v>1</v>
      </c>
    </row>
    <row r="58" spans="1:18" x14ac:dyDescent="0.25">
      <c r="A58">
        <v>47632747</v>
      </c>
      <c r="B58" t="s">
        <v>225</v>
      </c>
      <c r="C58" t="s">
        <v>16</v>
      </c>
      <c r="D58" t="s">
        <v>43</v>
      </c>
      <c r="E58" t="s">
        <v>190</v>
      </c>
      <c r="F58" s="2">
        <v>45406</v>
      </c>
      <c r="G58" s="3">
        <v>0.54166666666666663</v>
      </c>
      <c r="H58">
        <v>2023</v>
      </c>
      <c r="I58">
        <v>7</v>
      </c>
      <c r="J58">
        <v>68</v>
      </c>
      <c r="K58">
        <v>36</v>
      </c>
      <c r="L58">
        <f>VLOOKUP(UPPER(TEXT(F58,"mmmm"))&amp;TEXT(F58,"yyyy"),TURNOS!A:F,6,FALSE)</f>
        <v>1</v>
      </c>
      <c r="M58">
        <f>VLOOKUP(VLOOKUP(A58&amp;C58&amp;E58,'PREVIOS (2)'!B:K,10,FALSE),PLAN!A:B,2,FALSE)</f>
        <v>6</v>
      </c>
      <c r="N58">
        <f>VLOOKUP(E58&amp;M58,CURSO!A:D,4,FALSE)</f>
        <v>20</v>
      </c>
      <c r="O58">
        <f>VLOOKUP(C58&amp;N58,MATERIAS!A:G,7,FALSE)</f>
        <v>256</v>
      </c>
      <c r="P58">
        <f>VLOOKUP(I58,CALIFICACION!A:C,3,FALSE)</f>
        <v>9</v>
      </c>
      <c r="Q58">
        <f>VLOOKUP(A58,ALUMNOS!A:B,2,FALSE)</f>
        <v>694</v>
      </c>
      <c r="R58">
        <f>VLOOKUP(D58,CONDICION!A:B,2,FALSE)</f>
        <v>1</v>
      </c>
    </row>
    <row r="59" spans="1:18" x14ac:dyDescent="0.25">
      <c r="A59">
        <v>30779913</v>
      </c>
      <c r="B59" t="s">
        <v>498</v>
      </c>
      <c r="C59" t="s">
        <v>500</v>
      </c>
      <c r="D59" t="s">
        <v>43</v>
      </c>
      <c r="E59" t="s">
        <v>220</v>
      </c>
      <c r="F59" s="2">
        <v>45406</v>
      </c>
      <c r="G59" s="3">
        <v>0.54166666666666663</v>
      </c>
      <c r="H59">
        <v>2002</v>
      </c>
      <c r="I59">
        <v>7</v>
      </c>
      <c r="J59">
        <v>68</v>
      </c>
      <c r="K59">
        <v>35</v>
      </c>
      <c r="L59">
        <f>VLOOKUP(UPPER(TEXT(F59,"mmmm"))&amp;TEXT(F59,"yyyy"),TURNOS!A:F,6,FALSE)</f>
        <v>1</v>
      </c>
      <c r="M59">
        <f>VLOOKUP(VLOOKUP(A59&amp;C59&amp;E59,'PREVIOS (2)'!B:K,10,FALSE),PLAN!A:B,2,FALSE)</f>
        <v>4</v>
      </c>
      <c r="N59">
        <f>VLOOKUP(E59&amp;M59,CURSO!A:D,4,FALSE)</f>
        <v>15</v>
      </c>
      <c r="O59">
        <f>VLOOKUP(C59&amp;N59,MATERIAS!A:G,7,FALSE)</f>
        <v>187</v>
      </c>
      <c r="P59">
        <f>VLOOKUP(I59,CALIFICACION!A:C,3,FALSE)</f>
        <v>9</v>
      </c>
      <c r="Q59">
        <f>VLOOKUP(A59,ALUMNOS!A:B,2,FALSE)</f>
        <v>817</v>
      </c>
      <c r="R59">
        <f>VLOOKUP(D59,CONDICION!A:B,2,FALSE)</f>
        <v>1</v>
      </c>
    </row>
    <row r="60" spans="1:18" x14ac:dyDescent="0.25">
      <c r="A60">
        <v>51013768</v>
      </c>
      <c r="B60" t="s">
        <v>129</v>
      </c>
      <c r="C60" t="s">
        <v>11</v>
      </c>
      <c r="D60" t="s">
        <v>43</v>
      </c>
      <c r="E60" t="s">
        <v>98</v>
      </c>
      <c r="F60" s="2">
        <v>45411</v>
      </c>
      <c r="G60" s="3">
        <v>0.54166666666666663</v>
      </c>
      <c r="H60">
        <v>2023</v>
      </c>
      <c r="I60">
        <v>3</v>
      </c>
      <c r="J60">
        <v>68</v>
      </c>
      <c r="K60">
        <v>37</v>
      </c>
      <c r="L60">
        <f>VLOOKUP(UPPER(TEXT(F60,"mmmm"))&amp;TEXT(F60,"yyyy"),TURNOS!A:F,6,FALSE)</f>
        <v>1</v>
      </c>
      <c r="M60">
        <f>VLOOKUP(VLOOKUP(A60&amp;C60&amp;E60,'PREVIOS (2)'!B:K,10,FALSE),PLAN!A:B,2,FALSE)</f>
        <v>5</v>
      </c>
      <c r="N60">
        <f>VLOOKUP(E60&amp;M60,CURSO!A:D,4,FALSE)</f>
        <v>17</v>
      </c>
      <c r="O60">
        <f>VLOOKUP(C60&amp;N60,MATERIAS!A:G,7,FALSE)</f>
        <v>219</v>
      </c>
      <c r="P60">
        <f>VLOOKUP(I60,CALIFICACION!A:C,3,FALSE)</f>
        <v>5</v>
      </c>
      <c r="Q60">
        <f>VLOOKUP(A60,ALUMNOS!A:B,2,FALSE)</f>
        <v>209</v>
      </c>
      <c r="R60">
        <f>VLOOKUP(D60,CONDICION!A:B,2,FALSE)</f>
        <v>1</v>
      </c>
    </row>
    <row r="61" spans="1:18" x14ac:dyDescent="0.25">
      <c r="A61">
        <v>6509219</v>
      </c>
      <c r="B61" t="s">
        <v>133</v>
      </c>
      <c r="C61" t="s">
        <v>11</v>
      </c>
      <c r="D61" t="s">
        <v>43</v>
      </c>
      <c r="E61" t="s">
        <v>98</v>
      </c>
      <c r="F61" s="2">
        <v>45411</v>
      </c>
      <c r="G61" s="3">
        <v>0.54166666666666663</v>
      </c>
      <c r="H61">
        <v>2023</v>
      </c>
      <c r="I61">
        <v>3</v>
      </c>
      <c r="J61">
        <v>68</v>
      </c>
      <c r="K61">
        <v>37</v>
      </c>
      <c r="L61">
        <f>VLOOKUP(UPPER(TEXT(F61,"mmmm"))&amp;TEXT(F61,"yyyy"),TURNOS!A:F,6,FALSE)</f>
        <v>1</v>
      </c>
      <c r="M61">
        <f>VLOOKUP(VLOOKUP(A61&amp;C61&amp;E61,'PREVIOS (2)'!B:K,10,FALSE),PLAN!A:B,2,FALSE)</f>
        <v>5</v>
      </c>
      <c r="N61">
        <f>VLOOKUP(E61&amp;M61,CURSO!A:D,4,FALSE)</f>
        <v>17</v>
      </c>
      <c r="O61">
        <f>VLOOKUP(C61&amp;N61,MATERIAS!A:G,7,FALSE)</f>
        <v>219</v>
      </c>
      <c r="P61">
        <f>VLOOKUP(I61,CALIFICACION!A:C,3,FALSE)</f>
        <v>5</v>
      </c>
      <c r="Q61">
        <f>VLOOKUP(A61,ALUMNOS!A:B,2,FALSE)</f>
        <v>376</v>
      </c>
      <c r="R61">
        <f>VLOOKUP(D61,CONDICION!A:B,2,FALSE)</f>
        <v>1</v>
      </c>
    </row>
    <row r="62" spans="1:18" x14ac:dyDescent="0.25">
      <c r="A62">
        <v>50755633</v>
      </c>
      <c r="B62" t="s">
        <v>135</v>
      </c>
      <c r="C62" t="s">
        <v>11</v>
      </c>
      <c r="D62" t="s">
        <v>43</v>
      </c>
      <c r="E62" t="s">
        <v>98</v>
      </c>
      <c r="F62" s="2">
        <v>45411</v>
      </c>
      <c r="G62" s="3">
        <v>0.54166666666666663</v>
      </c>
      <c r="H62">
        <v>2023</v>
      </c>
      <c r="I62">
        <v>4</v>
      </c>
      <c r="J62">
        <v>68</v>
      </c>
      <c r="K62">
        <v>37</v>
      </c>
      <c r="L62">
        <f>VLOOKUP(UPPER(TEXT(F62,"mmmm"))&amp;TEXT(F62,"yyyy"),TURNOS!A:F,6,FALSE)</f>
        <v>1</v>
      </c>
      <c r="M62">
        <f>VLOOKUP(VLOOKUP(A62&amp;C62&amp;E62,'PREVIOS (2)'!B:K,10,FALSE),PLAN!A:B,2,FALSE)</f>
        <v>5</v>
      </c>
      <c r="N62">
        <f>VLOOKUP(E62&amp;M62,CURSO!A:D,4,FALSE)</f>
        <v>17</v>
      </c>
      <c r="O62">
        <f>VLOOKUP(C62&amp;N62,MATERIAS!A:G,7,FALSE)</f>
        <v>219</v>
      </c>
      <c r="P62">
        <f>VLOOKUP(I62,CALIFICACION!A:C,3,FALSE)</f>
        <v>6</v>
      </c>
      <c r="Q62">
        <f>VLOOKUP(A62,ALUMNOS!A:B,2,FALSE)</f>
        <v>462</v>
      </c>
      <c r="R62">
        <f>VLOOKUP(D62,CONDICION!A:B,2,FALSE)</f>
        <v>1</v>
      </c>
    </row>
    <row r="63" spans="1:18" x14ac:dyDescent="0.25">
      <c r="A63">
        <v>51033873</v>
      </c>
      <c r="B63" t="s">
        <v>142</v>
      </c>
      <c r="C63" t="s">
        <v>11</v>
      </c>
      <c r="D63" t="s">
        <v>43</v>
      </c>
      <c r="E63" t="s">
        <v>98</v>
      </c>
      <c r="F63" s="2">
        <v>45411</v>
      </c>
      <c r="G63" s="3">
        <v>0.54166666666666663</v>
      </c>
      <c r="H63">
        <v>2023</v>
      </c>
      <c r="I63">
        <v>2</v>
      </c>
      <c r="J63">
        <v>68</v>
      </c>
      <c r="K63">
        <v>37</v>
      </c>
      <c r="L63">
        <f>VLOOKUP(UPPER(TEXT(F63,"mmmm"))&amp;TEXT(F63,"yyyy"),TURNOS!A:F,6,FALSE)</f>
        <v>1</v>
      </c>
      <c r="M63">
        <f>VLOOKUP(VLOOKUP(A63&amp;C63&amp;E63,'PREVIOS (2)'!B:K,10,FALSE),PLAN!A:B,2,FALSE)</f>
        <v>5</v>
      </c>
      <c r="N63">
        <f>VLOOKUP(E63&amp;M63,CURSO!A:D,4,FALSE)</f>
        <v>17</v>
      </c>
      <c r="O63">
        <f>VLOOKUP(C63&amp;N63,MATERIAS!A:G,7,FALSE)</f>
        <v>219</v>
      </c>
      <c r="P63">
        <f>VLOOKUP(I63,CALIFICACION!A:C,3,FALSE)</f>
        <v>4</v>
      </c>
      <c r="Q63">
        <f>VLOOKUP(A63,ALUMNOS!A:B,2,FALSE)</f>
        <v>747</v>
      </c>
      <c r="R63">
        <f>VLOOKUP(D63,CONDICION!A:B,2,FALSE)</f>
        <v>1</v>
      </c>
    </row>
    <row r="64" spans="1:18" x14ac:dyDescent="0.25">
      <c r="A64">
        <v>49290959</v>
      </c>
      <c r="B64" t="s">
        <v>145</v>
      </c>
      <c r="C64" t="s">
        <v>11</v>
      </c>
      <c r="D64" t="s">
        <v>43</v>
      </c>
      <c r="E64" t="s">
        <v>95</v>
      </c>
      <c r="F64" s="2">
        <v>45411</v>
      </c>
      <c r="G64" s="3">
        <v>0.54166666666666663</v>
      </c>
      <c r="H64">
        <v>2023</v>
      </c>
      <c r="I64" t="s">
        <v>50</v>
      </c>
      <c r="J64">
        <v>68</v>
      </c>
      <c r="K64">
        <v>38</v>
      </c>
      <c r="L64">
        <f>VLOOKUP(UPPER(TEXT(F64,"mmmm"))&amp;TEXT(F64,"yyyy"),TURNOS!A:F,6,FALSE)</f>
        <v>1</v>
      </c>
      <c r="M64">
        <f>VLOOKUP(VLOOKUP(A64&amp;C64&amp;E64,'PREVIOS (2)'!B:K,10,FALSE),PLAN!A:B,2,FALSE)</f>
        <v>5</v>
      </c>
      <c r="N64">
        <f>VLOOKUP(E64&amp;M64,CURSO!A:D,4,FALSE)</f>
        <v>18</v>
      </c>
      <c r="O64">
        <f>VLOOKUP(C64&amp;N64,MATERIAS!A:G,7,FALSE)</f>
        <v>229</v>
      </c>
      <c r="P64">
        <f>VLOOKUP(I64,CALIFICACION!A:C,3,FALSE)</f>
        <v>2</v>
      </c>
      <c r="Q64">
        <f>VLOOKUP(A64,ALUMNOS!A:B,2,FALSE)</f>
        <v>60</v>
      </c>
      <c r="R64">
        <f>VLOOKUP(D64,CONDICION!A:B,2,FALSE)</f>
        <v>1</v>
      </c>
    </row>
    <row r="65" spans="1:18" x14ac:dyDescent="0.25">
      <c r="A65">
        <v>49768712</v>
      </c>
      <c r="B65" t="s">
        <v>162</v>
      </c>
      <c r="C65" t="s">
        <v>11</v>
      </c>
      <c r="D65" t="s">
        <v>43</v>
      </c>
      <c r="E65" t="s">
        <v>95</v>
      </c>
      <c r="F65" s="2">
        <v>45411</v>
      </c>
      <c r="G65" s="3">
        <v>0.54166666666666663</v>
      </c>
      <c r="H65">
        <v>2023</v>
      </c>
      <c r="I65">
        <v>3</v>
      </c>
      <c r="J65">
        <v>68</v>
      </c>
      <c r="K65">
        <v>38</v>
      </c>
      <c r="L65">
        <f>VLOOKUP(UPPER(TEXT(F65,"mmmm"))&amp;TEXT(F65,"yyyy"),TURNOS!A:F,6,FALSE)</f>
        <v>1</v>
      </c>
      <c r="M65">
        <f>VLOOKUP(VLOOKUP(A65&amp;C65&amp;E65,'PREVIOS (2)'!B:K,10,FALSE),PLAN!A:B,2,FALSE)</f>
        <v>5</v>
      </c>
      <c r="N65">
        <f>VLOOKUP(E65&amp;M65,CURSO!A:D,4,FALSE)</f>
        <v>18</v>
      </c>
      <c r="O65">
        <f>VLOOKUP(C65&amp;N65,MATERIAS!A:G,7,FALSE)</f>
        <v>229</v>
      </c>
      <c r="P65">
        <f>VLOOKUP(I65,CALIFICACION!A:C,3,FALSE)</f>
        <v>5</v>
      </c>
      <c r="Q65">
        <f>VLOOKUP(A65,ALUMNOS!A:B,2,FALSE)</f>
        <v>793</v>
      </c>
      <c r="R65">
        <f>VLOOKUP(D65,CONDICION!A:B,2,FALSE)</f>
        <v>1</v>
      </c>
    </row>
    <row r="66" spans="1:18" x14ac:dyDescent="0.25">
      <c r="A66">
        <v>49716973</v>
      </c>
      <c r="B66" t="s">
        <v>186</v>
      </c>
      <c r="C66" t="s">
        <v>11</v>
      </c>
      <c r="D66" t="s">
        <v>43</v>
      </c>
      <c r="E66" t="s">
        <v>95</v>
      </c>
      <c r="F66" s="2">
        <v>45411</v>
      </c>
      <c r="G66" s="3">
        <v>0.54166666666666663</v>
      </c>
      <c r="H66">
        <v>2023</v>
      </c>
      <c r="I66" t="s">
        <v>50</v>
      </c>
      <c r="J66">
        <v>68</v>
      </c>
      <c r="K66">
        <v>38</v>
      </c>
      <c r="L66">
        <f>VLOOKUP(UPPER(TEXT(F66,"mmmm"))&amp;TEXT(F66,"yyyy"),TURNOS!A:F,6,FALSE)</f>
        <v>1</v>
      </c>
      <c r="M66">
        <f>VLOOKUP(VLOOKUP(A66&amp;C66&amp;E66,'PREVIOS (2)'!B:K,10,FALSE),PLAN!A:B,2,FALSE)</f>
        <v>5</v>
      </c>
      <c r="N66">
        <f>VLOOKUP(E66&amp;M66,CURSO!A:D,4,FALSE)</f>
        <v>18</v>
      </c>
      <c r="O66">
        <f>VLOOKUP(C66&amp;N66,MATERIAS!A:G,7,FALSE)</f>
        <v>229</v>
      </c>
      <c r="P66">
        <f>VLOOKUP(I66,CALIFICACION!A:C,3,FALSE)</f>
        <v>2</v>
      </c>
      <c r="Q66">
        <f>VLOOKUP(A66,ALUMNOS!A:B,2,FALSE)</f>
        <v>563</v>
      </c>
      <c r="R66">
        <f>VLOOKUP(D66,CONDICION!A:B,2,FALSE)</f>
        <v>1</v>
      </c>
    </row>
    <row r="67" spans="1:18" x14ac:dyDescent="0.25">
      <c r="A67">
        <v>49319118</v>
      </c>
      <c r="B67" t="s">
        <v>201</v>
      </c>
      <c r="C67" t="s">
        <v>11</v>
      </c>
      <c r="D67" t="s">
        <v>43</v>
      </c>
      <c r="E67" t="s">
        <v>95</v>
      </c>
      <c r="F67" s="2">
        <v>45411</v>
      </c>
      <c r="G67" s="3">
        <v>0.54166666666666663</v>
      </c>
      <c r="H67">
        <v>2022</v>
      </c>
      <c r="I67">
        <v>4</v>
      </c>
      <c r="J67">
        <v>68</v>
      </c>
      <c r="K67">
        <v>38</v>
      </c>
      <c r="L67">
        <f>VLOOKUP(UPPER(TEXT(F67,"mmmm"))&amp;TEXT(F67,"yyyy"),TURNOS!A:F,6,FALSE)</f>
        <v>1</v>
      </c>
      <c r="M67">
        <f>VLOOKUP(VLOOKUP(A67&amp;C67&amp;E67,'PREVIOS (2)'!B:K,10,FALSE),PLAN!A:B,2,FALSE)</f>
        <v>5</v>
      </c>
      <c r="N67">
        <f>VLOOKUP(E67&amp;M67,CURSO!A:D,4,FALSE)</f>
        <v>18</v>
      </c>
      <c r="O67">
        <f>VLOOKUP(C67&amp;N67,MATERIAS!A:G,7,FALSE)</f>
        <v>229</v>
      </c>
      <c r="P67">
        <f>VLOOKUP(I67,CALIFICACION!A:C,3,FALSE)</f>
        <v>6</v>
      </c>
      <c r="Q67">
        <f>VLOOKUP(A67,ALUMNOS!A:B,2,FALSE)</f>
        <v>643</v>
      </c>
      <c r="R67">
        <f>VLOOKUP(D67,CONDICION!A:B,2,FALSE)</f>
        <v>1</v>
      </c>
    </row>
    <row r="68" spans="1:18" x14ac:dyDescent="0.25">
      <c r="A68">
        <v>49455843</v>
      </c>
      <c r="B68" t="s">
        <v>219</v>
      </c>
      <c r="C68" t="s">
        <v>11</v>
      </c>
      <c r="D68" t="s">
        <v>43</v>
      </c>
      <c r="E68" t="s">
        <v>95</v>
      </c>
      <c r="F68" s="2">
        <v>45411</v>
      </c>
      <c r="G68" s="3">
        <v>0.54166666666666663</v>
      </c>
      <c r="H68">
        <v>2022</v>
      </c>
      <c r="I68" t="s">
        <v>50</v>
      </c>
      <c r="J68">
        <v>68</v>
      </c>
      <c r="K68">
        <v>38</v>
      </c>
      <c r="L68">
        <f>VLOOKUP(UPPER(TEXT(F68,"mmmm"))&amp;TEXT(F68,"yyyy"),TURNOS!A:F,6,FALSE)</f>
        <v>1</v>
      </c>
      <c r="M68">
        <f>VLOOKUP(VLOOKUP(A68&amp;C68&amp;E68,'PREVIOS (2)'!B:K,10,FALSE),PLAN!A:B,2,FALSE)</f>
        <v>5</v>
      </c>
      <c r="N68">
        <f>VLOOKUP(E68&amp;M68,CURSO!A:D,4,FALSE)</f>
        <v>18</v>
      </c>
      <c r="O68">
        <f>VLOOKUP(C68&amp;N68,MATERIAS!A:G,7,FALSE)</f>
        <v>229</v>
      </c>
      <c r="P68">
        <f>VLOOKUP(I68,CALIFICACION!A:C,3,FALSE)</f>
        <v>2</v>
      </c>
      <c r="Q68">
        <f>VLOOKUP(A68,ALUMNOS!A:B,2,FALSE)</f>
        <v>780</v>
      </c>
      <c r="R68">
        <f>VLOOKUP(D68,CONDICION!A:B,2,FALSE)</f>
        <v>1</v>
      </c>
    </row>
    <row r="69" spans="1:18" x14ac:dyDescent="0.25">
      <c r="A69">
        <v>30779913</v>
      </c>
      <c r="B69" t="s">
        <v>498</v>
      </c>
      <c r="C69" t="s">
        <v>499</v>
      </c>
      <c r="D69" t="s">
        <v>43</v>
      </c>
      <c r="E69" t="s">
        <v>143</v>
      </c>
      <c r="F69" s="2">
        <v>45411</v>
      </c>
      <c r="G69" s="3">
        <v>0.54166666666666663</v>
      </c>
      <c r="H69">
        <v>2000</v>
      </c>
      <c r="I69">
        <v>8</v>
      </c>
      <c r="J69">
        <v>68</v>
      </c>
      <c r="K69">
        <v>40</v>
      </c>
      <c r="L69">
        <f>VLOOKUP(UPPER(TEXT(F69,"mmmm"))&amp;TEXT(F69,"yyyy"),TURNOS!A:F,6,FALSE)</f>
        <v>1</v>
      </c>
      <c r="M69">
        <f>VLOOKUP(VLOOKUP(A69&amp;C69&amp;E69,'PREVIOS (2)'!B:K,10,FALSE),PLAN!A:B,2,FALSE)</f>
        <v>3</v>
      </c>
      <c r="N69">
        <f>VLOOKUP(E69&amp;M69,CURSO!A:D,4,FALSE)</f>
        <v>13</v>
      </c>
      <c r="O69">
        <f>VLOOKUP(C69&amp;N69,MATERIAS!A:G,7,FALSE)</f>
        <v>155</v>
      </c>
      <c r="P69">
        <f>VLOOKUP(I69,CALIFICACION!A:C,3,FALSE)</f>
        <v>10</v>
      </c>
      <c r="Q69">
        <f>VLOOKUP(A69,ALUMNOS!A:B,2,FALSE)</f>
        <v>817</v>
      </c>
      <c r="R69">
        <f>VLOOKUP(D69,CONDICION!A:B,2,FALSE)</f>
        <v>1</v>
      </c>
    </row>
    <row r="70" spans="1:18" x14ac:dyDescent="0.25">
      <c r="A70">
        <v>46509028</v>
      </c>
      <c r="B70" t="s">
        <v>387</v>
      </c>
      <c r="C70" t="s">
        <v>11</v>
      </c>
      <c r="D70" t="s">
        <v>43</v>
      </c>
      <c r="E70" t="s">
        <v>143</v>
      </c>
      <c r="F70" s="2">
        <v>45411</v>
      </c>
      <c r="G70" s="3">
        <v>0.54166666666666663</v>
      </c>
      <c r="H70">
        <v>2020</v>
      </c>
      <c r="I70" t="s">
        <v>50</v>
      </c>
      <c r="J70">
        <v>68</v>
      </c>
      <c r="K70">
        <v>39</v>
      </c>
      <c r="L70">
        <f>VLOOKUP(UPPER(TEXT(F70,"mmmm"))&amp;TEXT(F70,"yyyy"),TURNOS!A:F,6,FALSE)</f>
        <v>1</v>
      </c>
      <c r="M70">
        <f>VLOOKUP(VLOOKUP(A70&amp;C70&amp;E70,'PREVIOS (2)'!B:K,10,FALSE),PLAN!A:B,2,FALSE)</f>
        <v>5</v>
      </c>
      <c r="N70">
        <f>VLOOKUP(E70&amp;M70,CURSO!A:D,4,FALSE)</f>
        <v>19</v>
      </c>
      <c r="O70">
        <f>VLOOKUP(C70&amp;N70,MATERIAS!A:G,7,FALSE)</f>
        <v>239</v>
      </c>
      <c r="P70">
        <f>VLOOKUP(I70,CALIFICACION!A:C,3,FALSE)</f>
        <v>2</v>
      </c>
      <c r="Q70">
        <f>VLOOKUP(A70,ALUMNOS!A:B,2,FALSE)</f>
        <v>66</v>
      </c>
      <c r="R70">
        <f>VLOOKUP(D70,CONDICION!A:B,2,FALSE)</f>
        <v>1</v>
      </c>
    </row>
    <row r="71" spans="1:18" x14ac:dyDescent="0.25">
      <c r="A71">
        <v>49319118</v>
      </c>
      <c r="B71" t="s">
        <v>201</v>
      </c>
      <c r="C71" t="s">
        <v>11</v>
      </c>
      <c r="D71" t="s">
        <v>43</v>
      </c>
      <c r="E71" t="s">
        <v>143</v>
      </c>
      <c r="F71" s="2">
        <v>45411</v>
      </c>
      <c r="G71" s="3">
        <v>0.54166666666666663</v>
      </c>
      <c r="H71">
        <v>2023</v>
      </c>
      <c r="I71" t="s">
        <v>50</v>
      </c>
      <c r="J71">
        <v>68</v>
      </c>
      <c r="K71">
        <v>39</v>
      </c>
      <c r="L71">
        <f>VLOOKUP(UPPER(TEXT(F71,"mmmm"))&amp;TEXT(F71,"yyyy"),TURNOS!A:F,6,FALSE)</f>
        <v>1</v>
      </c>
      <c r="M71">
        <f>VLOOKUP(VLOOKUP(A71&amp;C71&amp;E71,'PREVIOS (2)'!B:K,10,FALSE),PLAN!A:B,2,FALSE)</f>
        <v>5</v>
      </c>
      <c r="N71">
        <f>VLOOKUP(E71&amp;M71,CURSO!A:D,4,FALSE)</f>
        <v>19</v>
      </c>
      <c r="O71">
        <f>VLOOKUP(C71&amp;N71,MATERIAS!A:G,7,FALSE)</f>
        <v>239</v>
      </c>
      <c r="P71">
        <f>VLOOKUP(I71,CALIFICACION!A:C,3,FALSE)</f>
        <v>2</v>
      </c>
      <c r="Q71">
        <f>VLOOKUP(A71,ALUMNOS!A:B,2,FALSE)</f>
        <v>643</v>
      </c>
      <c r="R71">
        <f>VLOOKUP(D71,CONDICION!A:B,2,FALSE)</f>
        <v>1</v>
      </c>
    </row>
    <row r="72" spans="1:18" x14ac:dyDescent="0.25">
      <c r="A72">
        <v>45403864</v>
      </c>
      <c r="B72" t="s">
        <v>348</v>
      </c>
      <c r="C72" t="s">
        <v>11</v>
      </c>
      <c r="D72" t="s">
        <v>43</v>
      </c>
      <c r="E72" t="s">
        <v>245</v>
      </c>
      <c r="F72" s="2">
        <v>45411</v>
      </c>
      <c r="G72" s="3">
        <v>0.54166666666666663</v>
      </c>
      <c r="H72">
        <v>2021</v>
      </c>
      <c r="I72" t="s">
        <v>50</v>
      </c>
      <c r="J72">
        <v>68</v>
      </c>
      <c r="K72">
        <v>41</v>
      </c>
      <c r="L72">
        <f>VLOOKUP(UPPER(TEXT(F72,"mmmm"))&amp;TEXT(F72,"yyyy"),TURNOS!A:F,6,FALSE)</f>
        <v>1</v>
      </c>
      <c r="M72">
        <f>VLOOKUP(VLOOKUP(A72&amp;C72&amp;E72,'PREVIOS (2)'!B:K,10,FALSE),PLAN!A:B,2,FALSE)</f>
        <v>6</v>
      </c>
      <c r="N72">
        <f>VLOOKUP(E72&amp;M72,CURSO!A:D,4,FALSE)</f>
        <v>22</v>
      </c>
      <c r="O72">
        <f>VLOOKUP(C72&amp;N72,MATERIAS!A:G,7,FALSE)</f>
        <v>279</v>
      </c>
      <c r="P72">
        <f>VLOOKUP(I72,CALIFICACION!A:C,3,FALSE)</f>
        <v>2</v>
      </c>
      <c r="Q72">
        <f>VLOOKUP(A72,ALUMNOS!A:B,2,FALSE)</f>
        <v>142</v>
      </c>
      <c r="R72">
        <f>VLOOKUP(D72,CONDICION!A:B,2,FALSE)</f>
        <v>1</v>
      </c>
    </row>
    <row r="73" spans="1:18" x14ac:dyDescent="0.25">
      <c r="A73">
        <v>46890410</v>
      </c>
      <c r="B73" t="s">
        <v>389</v>
      </c>
      <c r="C73" t="s">
        <v>11</v>
      </c>
      <c r="D73" t="s">
        <v>43</v>
      </c>
      <c r="E73" t="s">
        <v>245</v>
      </c>
      <c r="F73" s="2">
        <v>45411</v>
      </c>
      <c r="G73" s="3">
        <v>0.54166666666666663</v>
      </c>
      <c r="H73">
        <v>2023</v>
      </c>
      <c r="I73">
        <v>7</v>
      </c>
      <c r="J73">
        <v>68</v>
      </c>
      <c r="K73">
        <v>41</v>
      </c>
      <c r="L73">
        <f>VLOOKUP(UPPER(TEXT(F73,"mmmm"))&amp;TEXT(F73,"yyyy"),TURNOS!A:F,6,FALSE)</f>
        <v>1</v>
      </c>
      <c r="M73">
        <f>VLOOKUP(VLOOKUP(A73&amp;C73&amp;E73,'PREVIOS (2)'!B:K,10,FALSE),PLAN!A:B,2,FALSE)</f>
        <v>6</v>
      </c>
      <c r="N73">
        <f>VLOOKUP(E73&amp;M73,CURSO!A:D,4,FALSE)</f>
        <v>22</v>
      </c>
      <c r="O73">
        <f>VLOOKUP(C73&amp;N73,MATERIAS!A:G,7,FALSE)</f>
        <v>279</v>
      </c>
      <c r="P73">
        <f>VLOOKUP(I73,CALIFICACION!A:C,3,FALSE)</f>
        <v>9</v>
      </c>
      <c r="Q73">
        <f>VLOOKUP(A73,ALUMNOS!A:B,2,FALSE)</f>
        <v>368</v>
      </c>
      <c r="R73">
        <f>VLOOKUP(D73,CONDICION!A:B,2,FALSE)</f>
        <v>1</v>
      </c>
    </row>
    <row r="74" spans="1:18" x14ac:dyDescent="0.25">
      <c r="A74">
        <v>46509032</v>
      </c>
      <c r="B74" t="s">
        <v>390</v>
      </c>
      <c r="C74" t="s">
        <v>11</v>
      </c>
      <c r="D74" t="s">
        <v>43</v>
      </c>
      <c r="E74" t="s">
        <v>245</v>
      </c>
      <c r="F74" s="2">
        <v>45411</v>
      </c>
      <c r="G74" s="3">
        <v>0.54166666666666663</v>
      </c>
      <c r="H74">
        <v>2023</v>
      </c>
      <c r="I74" t="s">
        <v>50</v>
      </c>
      <c r="J74">
        <v>68</v>
      </c>
      <c r="K74">
        <v>41</v>
      </c>
      <c r="L74">
        <f>VLOOKUP(UPPER(TEXT(F74,"mmmm"))&amp;TEXT(F74,"yyyy"),TURNOS!A:F,6,FALSE)</f>
        <v>1</v>
      </c>
      <c r="M74">
        <f>VLOOKUP(VLOOKUP(A74&amp;C74&amp;E74,'PREVIOS (2)'!B:K,10,FALSE),PLAN!A:B,2,FALSE)</f>
        <v>6</v>
      </c>
      <c r="N74">
        <f>VLOOKUP(E74&amp;M74,CURSO!A:D,4,FALSE)</f>
        <v>22</v>
      </c>
      <c r="O74">
        <f>VLOOKUP(C74&amp;N74,MATERIAS!A:G,7,FALSE)</f>
        <v>279</v>
      </c>
      <c r="P74">
        <f>VLOOKUP(I74,CALIFICACION!A:C,3,FALSE)</f>
        <v>2</v>
      </c>
      <c r="Q74">
        <f>VLOOKUP(A74,ALUMNOS!A:B,2,FALSE)</f>
        <v>427</v>
      </c>
      <c r="R74">
        <f>VLOOKUP(D74,CONDICION!A:B,2,FALSE)</f>
        <v>1</v>
      </c>
    </row>
    <row r="75" spans="1:18" x14ac:dyDescent="0.25">
      <c r="A75">
        <v>46584794</v>
      </c>
      <c r="B75" t="s">
        <v>392</v>
      </c>
      <c r="C75" t="s">
        <v>11</v>
      </c>
      <c r="D75" t="s">
        <v>43</v>
      </c>
      <c r="E75" t="s">
        <v>245</v>
      </c>
      <c r="F75" s="2">
        <v>45411</v>
      </c>
      <c r="G75" s="3">
        <v>0.54166666666666663</v>
      </c>
      <c r="H75">
        <v>2023</v>
      </c>
      <c r="I75">
        <v>3</v>
      </c>
      <c r="J75">
        <v>68</v>
      </c>
      <c r="K75">
        <v>41</v>
      </c>
      <c r="L75">
        <f>VLOOKUP(UPPER(TEXT(F75,"mmmm"))&amp;TEXT(F75,"yyyy"),TURNOS!A:F,6,FALSE)</f>
        <v>1</v>
      </c>
      <c r="M75">
        <f>VLOOKUP(VLOOKUP(A75&amp;C75&amp;E75,'PREVIOS (2)'!B:K,10,FALSE),PLAN!A:B,2,FALSE)</f>
        <v>6</v>
      </c>
      <c r="N75">
        <f>VLOOKUP(E75&amp;M75,CURSO!A:D,4,FALSE)</f>
        <v>22</v>
      </c>
      <c r="O75">
        <f>VLOOKUP(C75&amp;N75,MATERIAS!A:G,7,FALSE)</f>
        <v>279</v>
      </c>
      <c r="P75">
        <f>VLOOKUP(I75,CALIFICACION!A:C,3,FALSE)</f>
        <v>5</v>
      </c>
      <c r="Q75">
        <f>VLOOKUP(A75,ALUMNOS!A:B,2,FALSE)</f>
        <v>509</v>
      </c>
      <c r="R75">
        <f>VLOOKUP(D75,CONDICION!A:B,2,FALSE)</f>
        <v>1</v>
      </c>
    </row>
    <row r="76" spans="1:18" x14ac:dyDescent="0.25">
      <c r="A76">
        <v>47469192</v>
      </c>
      <c r="B76" t="s">
        <v>234</v>
      </c>
      <c r="C76" t="s">
        <v>30</v>
      </c>
      <c r="D76" t="s">
        <v>44</v>
      </c>
      <c r="E76" t="s">
        <v>190</v>
      </c>
      <c r="F76" s="2">
        <v>45411</v>
      </c>
      <c r="G76" s="3">
        <v>0.54166666666666663</v>
      </c>
      <c r="H76">
        <v>2024</v>
      </c>
      <c r="I76" t="s">
        <v>50</v>
      </c>
      <c r="J76">
        <v>58</v>
      </c>
      <c r="K76">
        <v>197</v>
      </c>
      <c r="L76">
        <f>VLOOKUP(UPPER(TEXT(F76,"mmmm"))&amp;TEXT(F76,"yyyy"),TURNOS!A:F,6,FALSE)</f>
        <v>1</v>
      </c>
      <c r="M76">
        <f>VLOOKUP(VLOOKUP(A76&amp;C76&amp;E76,'PREVIOS (2)'!B:K,10,FALSE),PLAN!A:B,2,FALSE)</f>
        <v>6</v>
      </c>
      <c r="N76">
        <f>VLOOKUP(E76&amp;M76,CURSO!A:D,4,FALSE)</f>
        <v>20</v>
      </c>
      <c r="O76">
        <f>VLOOKUP(C76&amp;N76,MATERIAS!A:G,7,FALSE)</f>
        <v>260</v>
      </c>
      <c r="P76">
        <f>VLOOKUP(I76,CALIFICACION!A:C,3,FALSE)</f>
        <v>2</v>
      </c>
      <c r="Q76">
        <f>VLOOKUP(A76,ALUMNOS!A:B,2,FALSE)</f>
        <v>813</v>
      </c>
      <c r="R76">
        <f>VLOOKUP(D76,CONDICION!A:B,2,FALSE)</f>
        <v>2</v>
      </c>
    </row>
    <row r="77" spans="1:18" x14ac:dyDescent="0.25">
      <c r="A77">
        <v>46035190</v>
      </c>
      <c r="B77" t="s">
        <v>369</v>
      </c>
      <c r="C77" t="s">
        <v>30</v>
      </c>
      <c r="D77" t="s">
        <v>44</v>
      </c>
      <c r="E77" t="s">
        <v>190</v>
      </c>
      <c r="F77" s="2">
        <v>45411</v>
      </c>
      <c r="G77" s="3">
        <v>0.54166666666666663</v>
      </c>
      <c r="H77">
        <v>2021</v>
      </c>
      <c r="I77">
        <v>7</v>
      </c>
      <c r="J77">
        <v>58</v>
      </c>
      <c r="K77">
        <v>197</v>
      </c>
      <c r="L77">
        <f>VLOOKUP(UPPER(TEXT(F77,"mmmm"))&amp;TEXT(F77,"yyyy"),TURNOS!A:F,6,FALSE)</f>
        <v>1</v>
      </c>
      <c r="M77">
        <f>VLOOKUP(VLOOKUP(A77&amp;C77&amp;E77,'PREVIOS (2)'!B:K,10,FALSE),PLAN!A:B,2,FALSE)</f>
        <v>6</v>
      </c>
      <c r="N77">
        <f>VLOOKUP(E77&amp;M77,CURSO!A:D,4,FALSE)</f>
        <v>20</v>
      </c>
      <c r="O77">
        <f>VLOOKUP(C77&amp;N77,MATERIAS!A:G,7,FALSE)</f>
        <v>260</v>
      </c>
      <c r="P77">
        <f>VLOOKUP(I77,CALIFICACION!A:C,3,FALSE)</f>
        <v>9</v>
      </c>
      <c r="Q77">
        <f>VLOOKUP(A77,ALUMNOS!A:B,2,FALSE)</f>
        <v>495</v>
      </c>
      <c r="R77">
        <f>VLOOKUP(D77,CONDICION!A:B,2,FALSE)</f>
        <v>2</v>
      </c>
    </row>
    <row r="78" spans="1:18" x14ac:dyDescent="0.25">
      <c r="A78">
        <v>47907085</v>
      </c>
      <c r="B78" t="s">
        <v>253</v>
      </c>
      <c r="C78" t="s">
        <v>30</v>
      </c>
      <c r="D78" t="s">
        <v>44</v>
      </c>
      <c r="E78" t="s">
        <v>190</v>
      </c>
      <c r="F78" s="2">
        <v>45411</v>
      </c>
      <c r="G78" s="3">
        <v>0.54166666666666663</v>
      </c>
      <c r="H78">
        <v>2024</v>
      </c>
      <c r="I78">
        <v>7</v>
      </c>
      <c r="J78">
        <v>58</v>
      </c>
      <c r="K78">
        <v>197</v>
      </c>
      <c r="L78">
        <f>VLOOKUP(UPPER(TEXT(F78,"mmmm"))&amp;TEXT(F78,"yyyy"),TURNOS!A:F,6,FALSE)</f>
        <v>1</v>
      </c>
      <c r="M78">
        <f>VLOOKUP(VLOOKUP(A78&amp;C78&amp;E78,'PREVIOS (2)'!B:K,10,FALSE),PLAN!A:B,2,FALSE)</f>
        <v>6</v>
      </c>
      <c r="N78">
        <f>VLOOKUP(E78&amp;M78,CURSO!A:D,4,FALSE)</f>
        <v>20</v>
      </c>
      <c r="O78">
        <f>VLOOKUP(C78&amp;N78,MATERIAS!A:G,7,FALSE)</f>
        <v>260</v>
      </c>
      <c r="P78">
        <f>VLOOKUP(I78,CALIFICACION!A:C,3,FALSE)</f>
        <v>9</v>
      </c>
      <c r="Q78">
        <f>VLOOKUP(A78,ALUMNOS!A:B,2,FALSE)</f>
        <v>727</v>
      </c>
      <c r="R78">
        <f>VLOOKUP(D78,CONDICION!A:B,2,FALSE)</f>
        <v>2</v>
      </c>
    </row>
    <row r="79" spans="1:18" x14ac:dyDescent="0.25">
      <c r="A79">
        <v>48607958</v>
      </c>
      <c r="B79" t="s">
        <v>233</v>
      </c>
      <c r="C79" t="s">
        <v>30</v>
      </c>
      <c r="D79" t="s">
        <v>44</v>
      </c>
      <c r="E79" t="s">
        <v>190</v>
      </c>
      <c r="F79" s="2">
        <v>45411</v>
      </c>
      <c r="G79" s="3">
        <v>0.54166666666666663</v>
      </c>
      <c r="H79">
        <v>2024</v>
      </c>
      <c r="I79">
        <v>9</v>
      </c>
      <c r="J79">
        <v>58</v>
      </c>
      <c r="K79">
        <v>197</v>
      </c>
      <c r="L79">
        <f>VLOOKUP(UPPER(TEXT(F79,"mmmm"))&amp;TEXT(F79,"yyyy"),TURNOS!A:F,6,FALSE)</f>
        <v>1</v>
      </c>
      <c r="M79">
        <f>VLOOKUP(VLOOKUP(A79&amp;C79&amp;E79,'PREVIOS (2)'!B:K,10,FALSE),PLAN!A:B,2,FALSE)</f>
        <v>6</v>
      </c>
      <c r="N79">
        <f>VLOOKUP(E79&amp;M79,CURSO!A:D,4,FALSE)</f>
        <v>20</v>
      </c>
      <c r="O79">
        <f>VLOOKUP(C79&amp;N79,MATERIAS!A:G,7,FALSE)</f>
        <v>260</v>
      </c>
      <c r="P79">
        <f>VLOOKUP(I79,CALIFICACION!A:C,3,FALSE)</f>
        <v>11</v>
      </c>
      <c r="Q79">
        <f>VLOOKUP(A79,ALUMNOS!A:B,2,FALSE)</f>
        <v>815</v>
      </c>
      <c r="R79">
        <f>VLOOKUP(D79,CONDICION!A:B,2,FALSE)</f>
        <v>2</v>
      </c>
    </row>
    <row r="80" spans="1:18" x14ac:dyDescent="0.25">
      <c r="A80">
        <v>47907085</v>
      </c>
      <c r="B80" t="s">
        <v>253</v>
      </c>
      <c r="C80" t="s">
        <v>29</v>
      </c>
      <c r="D80" t="s">
        <v>44</v>
      </c>
      <c r="E80" t="s">
        <v>190</v>
      </c>
      <c r="F80" s="2">
        <v>45411</v>
      </c>
      <c r="G80" s="3">
        <v>0.54166666666666663</v>
      </c>
      <c r="H80">
        <v>2024</v>
      </c>
      <c r="I80">
        <v>2</v>
      </c>
      <c r="J80">
        <v>58</v>
      </c>
      <c r="K80">
        <v>198</v>
      </c>
      <c r="L80">
        <f>VLOOKUP(UPPER(TEXT(F80,"mmmm"))&amp;TEXT(F80,"yyyy"),TURNOS!A:F,6,FALSE)</f>
        <v>1</v>
      </c>
      <c r="M80">
        <f>VLOOKUP(VLOOKUP(A80&amp;C80&amp;E80,'PREVIOS (2)'!B:K,10,FALSE),PLAN!A:B,2,FALSE)</f>
        <v>6</v>
      </c>
      <c r="N80">
        <f>VLOOKUP(E80&amp;M80,CURSO!A:D,4,FALSE)</f>
        <v>20</v>
      </c>
      <c r="O80">
        <f>VLOOKUP(C80&amp;N80,MATERIAS!A:G,7,FALSE)</f>
        <v>259</v>
      </c>
      <c r="P80">
        <f>VLOOKUP(I80,CALIFICACION!A:C,3,FALSE)</f>
        <v>4</v>
      </c>
      <c r="Q80">
        <f>VLOOKUP(A80,ALUMNOS!A:B,2,FALSE)</f>
        <v>727</v>
      </c>
      <c r="R80">
        <f>VLOOKUP(D80,CONDICION!A:B,2,FALSE)</f>
        <v>2</v>
      </c>
    </row>
    <row r="81" spans="1:18" x14ac:dyDescent="0.25">
      <c r="A81">
        <v>48607958</v>
      </c>
      <c r="B81" t="s">
        <v>233</v>
      </c>
      <c r="C81" t="s">
        <v>29</v>
      </c>
      <c r="D81" t="s">
        <v>44</v>
      </c>
      <c r="E81" t="s">
        <v>190</v>
      </c>
      <c r="F81" s="2">
        <v>45411</v>
      </c>
      <c r="G81" s="3">
        <v>0.54166666666666663</v>
      </c>
      <c r="H81">
        <v>2024</v>
      </c>
      <c r="I81">
        <v>9</v>
      </c>
      <c r="J81">
        <v>58</v>
      </c>
      <c r="K81">
        <v>198</v>
      </c>
      <c r="L81">
        <f>VLOOKUP(UPPER(TEXT(F81,"mmmm"))&amp;TEXT(F81,"yyyy"),TURNOS!A:F,6,FALSE)</f>
        <v>1</v>
      </c>
      <c r="M81">
        <f>VLOOKUP(VLOOKUP(A81&amp;C81&amp;E81,'PREVIOS (2)'!B:K,10,FALSE),PLAN!A:B,2,FALSE)</f>
        <v>6</v>
      </c>
      <c r="N81">
        <f>VLOOKUP(E81&amp;M81,CURSO!A:D,4,FALSE)</f>
        <v>20</v>
      </c>
      <c r="O81">
        <f>VLOOKUP(C81&amp;N81,MATERIAS!A:G,7,FALSE)</f>
        <v>259</v>
      </c>
      <c r="P81">
        <f>VLOOKUP(I81,CALIFICACION!A:C,3,FALSE)</f>
        <v>11</v>
      </c>
      <c r="Q81">
        <f>VLOOKUP(A81,ALUMNOS!A:B,2,FALSE)</f>
        <v>815</v>
      </c>
      <c r="R81">
        <f>VLOOKUP(D81,CONDICION!A:B,2,FALSE)</f>
        <v>2</v>
      </c>
    </row>
    <row r="82" spans="1:18" x14ac:dyDescent="0.25">
      <c r="A82">
        <v>47670177</v>
      </c>
      <c r="B82" t="s">
        <v>254</v>
      </c>
      <c r="C82" t="s">
        <v>29</v>
      </c>
      <c r="D82" t="s">
        <v>43</v>
      </c>
      <c r="E82" t="s">
        <v>190</v>
      </c>
      <c r="F82" s="2">
        <v>45411</v>
      </c>
      <c r="G82" s="3">
        <v>0.54166666666666663</v>
      </c>
      <c r="H82">
        <v>2022</v>
      </c>
      <c r="I82" t="s">
        <v>50</v>
      </c>
      <c r="J82">
        <v>68</v>
      </c>
      <c r="K82">
        <v>44</v>
      </c>
      <c r="L82">
        <f>VLOOKUP(UPPER(TEXT(F82,"mmmm"))&amp;TEXT(F82,"yyyy"),TURNOS!A:F,6,FALSE)</f>
        <v>1</v>
      </c>
      <c r="M82">
        <f>VLOOKUP(VLOOKUP(A82&amp;C82&amp;E82,'PREVIOS (2)'!B:K,10,FALSE),PLAN!A:B,2,FALSE)</f>
        <v>6</v>
      </c>
      <c r="N82">
        <f>VLOOKUP(E82&amp;M82,CURSO!A:D,4,FALSE)</f>
        <v>20</v>
      </c>
      <c r="O82">
        <f>VLOOKUP(C82&amp;N82,MATERIAS!A:G,7,FALSE)</f>
        <v>259</v>
      </c>
      <c r="P82">
        <f>VLOOKUP(I82,CALIFICACION!A:C,3,FALSE)</f>
        <v>2</v>
      </c>
      <c r="Q82">
        <f>VLOOKUP(A82,ALUMNOS!A:B,2,FALSE)</f>
        <v>487</v>
      </c>
      <c r="R82">
        <f>VLOOKUP(D82,CONDICION!A:B,2,FALSE)</f>
        <v>1</v>
      </c>
    </row>
    <row r="83" spans="1:18" x14ac:dyDescent="0.25">
      <c r="A83">
        <v>46571754</v>
      </c>
      <c r="B83" t="s">
        <v>399</v>
      </c>
      <c r="C83" t="s">
        <v>29</v>
      </c>
      <c r="D83" t="s">
        <v>44</v>
      </c>
      <c r="E83" t="s">
        <v>220</v>
      </c>
      <c r="F83" s="2">
        <v>45411</v>
      </c>
      <c r="G83" s="3">
        <v>0.54166666666666663</v>
      </c>
      <c r="H83">
        <v>2023</v>
      </c>
      <c r="I83">
        <v>7</v>
      </c>
      <c r="J83">
        <v>58</v>
      </c>
      <c r="K83">
        <v>199</v>
      </c>
      <c r="L83">
        <f>VLOOKUP(UPPER(TEXT(F83,"mmmm"))&amp;TEXT(F83,"yyyy"),TURNOS!A:F,6,FALSE)</f>
        <v>1</v>
      </c>
      <c r="M83">
        <f>VLOOKUP(VLOOKUP(A83&amp;C83&amp;E83,'PREVIOS (2)'!B:K,10,FALSE),PLAN!A:B,2,FALSE)</f>
        <v>6</v>
      </c>
      <c r="N83">
        <f>VLOOKUP(E83&amp;M83,CURSO!A:D,4,FALSE)</f>
        <v>21</v>
      </c>
      <c r="O83">
        <f>VLOOKUP(C83&amp;N83,MATERIAS!A:G,7,FALSE)</f>
        <v>273</v>
      </c>
      <c r="P83">
        <f>VLOOKUP(I83,CALIFICACION!A:C,3,FALSE)</f>
        <v>9</v>
      </c>
      <c r="Q83">
        <f>VLOOKUP(A83,ALUMNOS!A:B,2,FALSE)</f>
        <v>235</v>
      </c>
      <c r="R83">
        <f>VLOOKUP(D83,CONDICION!A:B,2,FALSE)</f>
        <v>2</v>
      </c>
    </row>
    <row r="84" spans="1:18" x14ac:dyDescent="0.25">
      <c r="A84">
        <v>46037023</v>
      </c>
      <c r="B84" t="s">
        <v>251</v>
      </c>
      <c r="C84" t="s">
        <v>29</v>
      </c>
      <c r="D84" t="s">
        <v>43</v>
      </c>
      <c r="E84" t="s">
        <v>220</v>
      </c>
      <c r="F84" s="2">
        <v>45411</v>
      </c>
      <c r="G84" s="3">
        <v>0.54166666666666663</v>
      </c>
      <c r="H84">
        <v>2023</v>
      </c>
      <c r="I84" t="s">
        <v>50</v>
      </c>
      <c r="J84">
        <v>68</v>
      </c>
      <c r="K84">
        <v>45</v>
      </c>
      <c r="L84">
        <f>VLOOKUP(UPPER(TEXT(F84,"mmmm"))&amp;TEXT(F84,"yyyy"),TURNOS!A:F,6,FALSE)</f>
        <v>1</v>
      </c>
      <c r="M84">
        <f>VLOOKUP(VLOOKUP(A84&amp;C84&amp;E84,'PREVIOS (2)'!B:K,10,FALSE),PLAN!A:B,2,FALSE)</f>
        <v>6</v>
      </c>
      <c r="N84">
        <f>VLOOKUP(E84&amp;M84,CURSO!A:D,4,FALSE)</f>
        <v>21</v>
      </c>
      <c r="O84">
        <f>VLOOKUP(C84&amp;N84,MATERIAS!A:G,7,FALSE)</f>
        <v>273</v>
      </c>
      <c r="P84">
        <f>VLOOKUP(I84,CALIFICACION!A:C,3,FALSE)</f>
        <v>2</v>
      </c>
      <c r="Q84">
        <f>VLOOKUP(A84,ALUMNOS!A:B,2,FALSE)</f>
        <v>532</v>
      </c>
      <c r="R84">
        <f>VLOOKUP(D84,CONDICION!A:B,2,FALSE)</f>
        <v>1</v>
      </c>
    </row>
    <row r="85" spans="1:18" x14ac:dyDescent="0.25">
      <c r="A85">
        <v>45403864</v>
      </c>
      <c r="B85" t="s">
        <v>348</v>
      </c>
      <c r="C85" t="s">
        <v>30</v>
      </c>
      <c r="D85" t="s">
        <v>43</v>
      </c>
      <c r="E85" t="s">
        <v>245</v>
      </c>
      <c r="F85" s="2">
        <v>45411</v>
      </c>
      <c r="G85" s="3">
        <v>0.54166666666666663</v>
      </c>
      <c r="H85">
        <v>2021</v>
      </c>
      <c r="I85" t="s">
        <v>50</v>
      </c>
      <c r="J85">
        <v>68</v>
      </c>
      <c r="K85">
        <v>49</v>
      </c>
      <c r="L85">
        <f>VLOOKUP(UPPER(TEXT(F85,"mmmm"))&amp;TEXT(F85,"yyyy"),TURNOS!A:F,6,FALSE)</f>
        <v>1</v>
      </c>
      <c r="M85">
        <f>VLOOKUP(VLOOKUP(A85&amp;C85&amp;E85,'PREVIOS (2)'!B:K,10,FALSE),PLAN!A:B,2,FALSE)</f>
        <v>6</v>
      </c>
      <c r="N85">
        <f>VLOOKUP(E85&amp;M85,CURSO!A:D,4,FALSE)</f>
        <v>22</v>
      </c>
      <c r="O85">
        <f>VLOOKUP(C85&amp;N85,MATERIAS!A:G,7,FALSE)</f>
        <v>285</v>
      </c>
      <c r="P85">
        <f>VLOOKUP(I85,CALIFICACION!A:C,3,FALSE)</f>
        <v>2</v>
      </c>
      <c r="Q85">
        <f>VLOOKUP(A85,ALUMNOS!A:B,2,FALSE)</f>
        <v>142</v>
      </c>
      <c r="R85">
        <f>VLOOKUP(D85,CONDICION!A:B,2,FALSE)</f>
        <v>1</v>
      </c>
    </row>
    <row r="86" spans="1:18" x14ac:dyDescent="0.25">
      <c r="A86">
        <v>45403864</v>
      </c>
      <c r="B86" t="s">
        <v>348</v>
      </c>
      <c r="C86" t="s">
        <v>40</v>
      </c>
      <c r="D86" t="s">
        <v>43</v>
      </c>
      <c r="E86" t="s">
        <v>245</v>
      </c>
      <c r="F86" s="2">
        <v>45411</v>
      </c>
      <c r="G86" s="3">
        <v>0.54166666666666663</v>
      </c>
      <c r="H86">
        <v>2021</v>
      </c>
      <c r="I86" t="s">
        <v>50</v>
      </c>
      <c r="J86">
        <v>68</v>
      </c>
      <c r="K86">
        <v>50</v>
      </c>
      <c r="L86">
        <f>VLOOKUP(UPPER(TEXT(F86,"mmmm"))&amp;TEXT(F86,"yyyy"),TURNOS!A:F,6,FALSE)</f>
        <v>1</v>
      </c>
      <c r="M86">
        <f>VLOOKUP(VLOOKUP(A86&amp;C86&amp;E86,'PREVIOS (2)'!B:K,10,FALSE),PLAN!A:B,2,FALSE)</f>
        <v>6</v>
      </c>
      <c r="N86">
        <f>VLOOKUP(E86&amp;M86,CURSO!A:D,4,FALSE)</f>
        <v>22</v>
      </c>
      <c r="O86">
        <f>VLOOKUP(C86&amp;N86,MATERIAS!A:G,7,FALSE)</f>
        <v>289</v>
      </c>
      <c r="P86">
        <f>VLOOKUP(I86,CALIFICACION!A:C,3,FALSE)</f>
        <v>2</v>
      </c>
      <c r="Q86">
        <f>VLOOKUP(A86,ALUMNOS!A:B,2,FALSE)</f>
        <v>142</v>
      </c>
      <c r="R86">
        <f>VLOOKUP(D86,CONDICION!A:B,2,FALSE)</f>
        <v>1</v>
      </c>
    </row>
    <row r="87" spans="1:18" x14ac:dyDescent="0.25">
      <c r="A87">
        <v>45403864</v>
      </c>
      <c r="B87" t="s">
        <v>348</v>
      </c>
      <c r="C87" t="s">
        <v>38</v>
      </c>
      <c r="D87" t="s">
        <v>43</v>
      </c>
      <c r="E87" t="s">
        <v>245</v>
      </c>
      <c r="F87" s="2">
        <v>45411</v>
      </c>
      <c r="G87" s="3">
        <v>0.54166666666666663</v>
      </c>
      <c r="H87">
        <v>2021</v>
      </c>
      <c r="I87" t="s">
        <v>50</v>
      </c>
      <c r="J87">
        <v>68</v>
      </c>
      <c r="K87">
        <v>46</v>
      </c>
      <c r="L87">
        <f>VLOOKUP(UPPER(TEXT(F87,"mmmm"))&amp;TEXT(F87,"yyyy"),TURNOS!A:F,6,FALSE)</f>
        <v>1</v>
      </c>
      <c r="M87">
        <f>VLOOKUP(VLOOKUP(A87&amp;C87&amp;E87,'PREVIOS (2)'!B:K,10,FALSE),PLAN!A:B,2,FALSE)</f>
        <v>6</v>
      </c>
      <c r="N87">
        <f>VLOOKUP(E87&amp;M87,CURSO!A:D,4,FALSE)</f>
        <v>22</v>
      </c>
      <c r="O87">
        <f>VLOOKUP(C87&amp;N87,MATERIAS!A:G,7,FALSE)</f>
        <v>287</v>
      </c>
      <c r="P87">
        <f>VLOOKUP(I87,CALIFICACION!A:C,3,FALSE)</f>
        <v>2</v>
      </c>
      <c r="Q87">
        <f>VLOOKUP(A87,ALUMNOS!A:B,2,FALSE)</f>
        <v>142</v>
      </c>
      <c r="R87">
        <f>VLOOKUP(D87,CONDICION!A:B,2,FALSE)</f>
        <v>1</v>
      </c>
    </row>
    <row r="88" spans="1:18" x14ac:dyDescent="0.25">
      <c r="A88">
        <v>45403864</v>
      </c>
      <c r="B88" t="s">
        <v>348</v>
      </c>
      <c r="C88" t="s">
        <v>34</v>
      </c>
      <c r="D88" t="s">
        <v>43</v>
      </c>
      <c r="E88" t="s">
        <v>245</v>
      </c>
      <c r="F88" s="2">
        <v>45411</v>
      </c>
      <c r="G88" s="3">
        <v>0.54166666666666663</v>
      </c>
      <c r="H88">
        <v>2021</v>
      </c>
      <c r="I88" t="s">
        <v>50</v>
      </c>
      <c r="J88">
        <v>68</v>
      </c>
      <c r="K88">
        <v>48</v>
      </c>
      <c r="L88">
        <f>VLOOKUP(UPPER(TEXT(F88,"mmmm"))&amp;TEXT(F88,"yyyy"),TURNOS!A:F,6,FALSE)</f>
        <v>1</v>
      </c>
      <c r="M88">
        <f>VLOOKUP(VLOOKUP(A88&amp;C88&amp;E88,'PREVIOS (2)'!B:K,10,FALSE),PLAN!A:B,2,FALSE)</f>
        <v>6</v>
      </c>
      <c r="N88">
        <f>VLOOKUP(E88&amp;M88,CURSO!A:D,4,FALSE)</f>
        <v>22</v>
      </c>
      <c r="O88">
        <f>VLOOKUP(C88&amp;N88,MATERIAS!A:G,7,FALSE)</f>
        <v>286</v>
      </c>
      <c r="P88">
        <f>VLOOKUP(I88,CALIFICACION!A:C,3,FALSE)</f>
        <v>2</v>
      </c>
      <c r="Q88">
        <f>VLOOKUP(A88,ALUMNOS!A:B,2,FALSE)</f>
        <v>142</v>
      </c>
      <c r="R88">
        <f>VLOOKUP(D88,CONDICION!A:B,2,FALSE)</f>
        <v>1</v>
      </c>
    </row>
    <row r="89" spans="1:18" x14ac:dyDescent="0.25">
      <c r="A89">
        <v>45403864</v>
      </c>
      <c r="B89" t="s">
        <v>348</v>
      </c>
      <c r="C89" t="s">
        <v>39</v>
      </c>
      <c r="D89" t="s">
        <v>43</v>
      </c>
      <c r="E89" t="s">
        <v>245</v>
      </c>
      <c r="F89" s="2">
        <v>45411</v>
      </c>
      <c r="G89" s="3">
        <v>0.54166666666666663</v>
      </c>
      <c r="H89">
        <v>2021</v>
      </c>
      <c r="I89" t="s">
        <v>50</v>
      </c>
      <c r="J89">
        <v>68</v>
      </c>
      <c r="K89">
        <v>47</v>
      </c>
      <c r="L89">
        <f>VLOOKUP(UPPER(TEXT(F89,"mmmm"))&amp;TEXT(F89,"yyyy"),TURNOS!A:F,6,FALSE)</f>
        <v>1</v>
      </c>
      <c r="M89">
        <f>VLOOKUP(VLOOKUP(A89&amp;C89&amp;E89,'PREVIOS (2)'!B:K,10,FALSE),PLAN!A:B,2,FALSE)</f>
        <v>6</v>
      </c>
      <c r="N89">
        <f>VLOOKUP(E89&amp;M89,CURSO!A:D,4,FALSE)</f>
        <v>22</v>
      </c>
      <c r="O89">
        <f>VLOOKUP(C89&amp;N89,MATERIAS!A:G,7,FALSE)</f>
        <v>288</v>
      </c>
      <c r="P89">
        <f>VLOOKUP(I89,CALIFICACION!A:C,3,FALSE)</f>
        <v>2</v>
      </c>
      <c r="Q89">
        <f>VLOOKUP(A89,ALUMNOS!A:B,2,FALSE)</f>
        <v>142</v>
      </c>
      <c r="R89">
        <f>VLOOKUP(D89,CONDICION!A:B,2,FALSE)</f>
        <v>1</v>
      </c>
    </row>
    <row r="90" spans="1:18" x14ac:dyDescent="0.25">
      <c r="A90">
        <v>46584794</v>
      </c>
      <c r="B90" t="s">
        <v>392</v>
      </c>
      <c r="C90" t="s">
        <v>39</v>
      </c>
      <c r="D90" t="s">
        <v>43</v>
      </c>
      <c r="E90" t="s">
        <v>245</v>
      </c>
      <c r="F90" s="2">
        <v>45411</v>
      </c>
      <c r="G90" s="3">
        <v>0.54166666666666663</v>
      </c>
      <c r="H90">
        <v>2023</v>
      </c>
      <c r="I90">
        <v>7</v>
      </c>
      <c r="J90">
        <v>68</v>
      </c>
      <c r="K90">
        <v>47</v>
      </c>
      <c r="L90">
        <f>VLOOKUP(UPPER(TEXT(F90,"mmmm"))&amp;TEXT(F90,"yyyy"),TURNOS!A:F,6,FALSE)</f>
        <v>1</v>
      </c>
      <c r="M90">
        <f>VLOOKUP(VLOOKUP(A90&amp;C90&amp;E90,'PREVIOS (2)'!B:K,10,FALSE),PLAN!A:B,2,FALSE)</f>
        <v>6</v>
      </c>
      <c r="N90">
        <f>VLOOKUP(E90&amp;M90,CURSO!A:D,4,FALSE)</f>
        <v>22</v>
      </c>
      <c r="O90">
        <f>VLOOKUP(C90&amp;N90,MATERIAS!A:G,7,FALSE)</f>
        <v>288</v>
      </c>
      <c r="P90">
        <f>VLOOKUP(I90,CALIFICACION!A:C,3,FALSE)</f>
        <v>9</v>
      </c>
      <c r="Q90">
        <f>VLOOKUP(A90,ALUMNOS!A:B,2,FALSE)</f>
        <v>509</v>
      </c>
      <c r="R90">
        <f>VLOOKUP(D90,CONDICION!A:B,2,FALSE)</f>
        <v>1</v>
      </c>
    </row>
    <row r="91" spans="1:18" x14ac:dyDescent="0.25">
      <c r="A91">
        <v>46035153</v>
      </c>
      <c r="B91" t="s">
        <v>403</v>
      </c>
      <c r="C91" t="s">
        <v>39</v>
      </c>
      <c r="D91" t="s">
        <v>43</v>
      </c>
      <c r="E91" t="s">
        <v>245</v>
      </c>
      <c r="F91" s="2">
        <v>45411</v>
      </c>
      <c r="G91" s="3">
        <v>0.54166666666666663</v>
      </c>
      <c r="H91">
        <v>2023</v>
      </c>
      <c r="I91" t="s">
        <v>50</v>
      </c>
      <c r="J91">
        <v>68</v>
      </c>
      <c r="K91">
        <v>47</v>
      </c>
      <c r="L91">
        <f>VLOOKUP(UPPER(TEXT(F91,"mmmm"))&amp;TEXT(F91,"yyyy"),TURNOS!A:F,6,FALSE)</f>
        <v>1</v>
      </c>
      <c r="M91">
        <f>VLOOKUP(VLOOKUP(A91&amp;C91&amp;E91,'PREVIOS (2)'!B:K,10,FALSE),PLAN!A:B,2,FALSE)</f>
        <v>6</v>
      </c>
      <c r="N91">
        <f>VLOOKUP(E91&amp;M91,CURSO!A:D,4,FALSE)</f>
        <v>22</v>
      </c>
      <c r="O91">
        <f>VLOOKUP(C91&amp;N91,MATERIAS!A:G,7,FALSE)</f>
        <v>288</v>
      </c>
      <c r="P91">
        <f>VLOOKUP(I91,CALIFICACION!A:C,3,FALSE)</f>
        <v>2</v>
      </c>
      <c r="Q91">
        <f>VLOOKUP(A91,ALUMNOS!A:B,2,FALSE)</f>
        <v>716</v>
      </c>
      <c r="R91">
        <f>VLOOKUP(D91,CONDICION!A:B,2,FALSE)</f>
        <v>1</v>
      </c>
    </row>
    <row r="92" spans="1:18" x14ac:dyDescent="0.25">
      <c r="A92">
        <v>45698167</v>
      </c>
      <c r="B92" t="s">
        <v>404</v>
      </c>
      <c r="C92" t="s">
        <v>39</v>
      </c>
      <c r="D92" t="s">
        <v>43</v>
      </c>
      <c r="E92" t="s">
        <v>245</v>
      </c>
      <c r="F92" s="2">
        <v>45411</v>
      </c>
      <c r="G92" s="3">
        <v>0.54166666666666663</v>
      </c>
      <c r="H92">
        <v>2023</v>
      </c>
      <c r="I92">
        <v>7</v>
      </c>
      <c r="J92">
        <v>68</v>
      </c>
      <c r="K92">
        <v>47</v>
      </c>
      <c r="L92">
        <f>VLOOKUP(UPPER(TEXT(F92,"mmmm"))&amp;TEXT(F92,"yyyy"),TURNOS!A:F,6,FALSE)</f>
        <v>1</v>
      </c>
      <c r="M92">
        <f>VLOOKUP(VLOOKUP(A92&amp;C92&amp;E92,'PREVIOS (2)'!B:K,10,FALSE),PLAN!A:B,2,FALSE)</f>
        <v>6</v>
      </c>
      <c r="N92">
        <f>VLOOKUP(E92&amp;M92,CURSO!A:D,4,FALSE)</f>
        <v>22</v>
      </c>
      <c r="O92">
        <f>VLOOKUP(C92&amp;N92,MATERIAS!A:G,7,FALSE)</f>
        <v>288</v>
      </c>
      <c r="P92">
        <f>VLOOKUP(I92,CALIFICACION!A:C,3,FALSE)</f>
        <v>9</v>
      </c>
      <c r="Q92">
        <f>VLOOKUP(A92,ALUMNOS!A:B,2,FALSE)</f>
        <v>786</v>
      </c>
      <c r="R92">
        <f>VLOOKUP(D92,CONDICION!A:B,2,FALSE)</f>
        <v>1</v>
      </c>
    </row>
    <row r="93" spans="1:18" x14ac:dyDescent="0.25">
      <c r="A93">
        <v>45403864</v>
      </c>
      <c r="B93" t="s">
        <v>348</v>
      </c>
      <c r="C93" t="s">
        <v>29</v>
      </c>
      <c r="D93" t="s">
        <v>43</v>
      </c>
      <c r="E93" t="s">
        <v>245</v>
      </c>
      <c r="F93" s="2">
        <v>45411</v>
      </c>
      <c r="G93" s="3">
        <v>0.54166666666666663</v>
      </c>
      <c r="H93">
        <v>2021</v>
      </c>
      <c r="I93" t="s">
        <v>50</v>
      </c>
      <c r="J93">
        <v>68</v>
      </c>
      <c r="K93">
        <v>51</v>
      </c>
      <c r="L93">
        <f>VLOOKUP(UPPER(TEXT(F93,"mmmm"))&amp;TEXT(F93,"yyyy"),TURNOS!A:F,6,FALSE)</f>
        <v>1</v>
      </c>
      <c r="M93">
        <f>VLOOKUP(VLOOKUP(A93&amp;C93&amp;E93,'PREVIOS (2)'!B:K,10,FALSE),PLAN!A:B,2,FALSE)</f>
        <v>6</v>
      </c>
      <c r="N93">
        <f>VLOOKUP(E93&amp;M93,CURSO!A:D,4,FALSE)</f>
        <v>22</v>
      </c>
      <c r="O93">
        <f>VLOOKUP(C93&amp;N93,MATERIAS!A:G,7,FALSE)</f>
        <v>290</v>
      </c>
      <c r="P93">
        <f>VLOOKUP(I93,CALIFICACION!A:C,3,FALSE)</f>
        <v>2</v>
      </c>
      <c r="Q93">
        <f>VLOOKUP(A93,ALUMNOS!A:B,2,FALSE)</f>
        <v>142</v>
      </c>
      <c r="R93">
        <f>VLOOKUP(D93,CONDICION!A:B,2,FALSE)</f>
        <v>1</v>
      </c>
    </row>
    <row r="94" spans="1:18" x14ac:dyDescent="0.25">
      <c r="A94">
        <v>46571754</v>
      </c>
      <c r="B94" t="s">
        <v>399</v>
      </c>
      <c r="C94" t="s">
        <v>29</v>
      </c>
      <c r="D94" t="s">
        <v>43</v>
      </c>
      <c r="E94" t="s">
        <v>245</v>
      </c>
      <c r="F94" s="2">
        <v>45411</v>
      </c>
      <c r="G94" s="3">
        <v>0.54166666666666663</v>
      </c>
      <c r="H94">
        <v>2023</v>
      </c>
      <c r="I94">
        <v>7</v>
      </c>
      <c r="J94">
        <v>68</v>
      </c>
      <c r="K94">
        <v>51</v>
      </c>
      <c r="L94">
        <f>VLOOKUP(UPPER(TEXT(F94,"mmmm"))&amp;TEXT(F94,"yyyy"),TURNOS!A:F,6,FALSE)</f>
        <v>1</v>
      </c>
      <c r="M94">
        <f>VLOOKUP(VLOOKUP(A94&amp;C94&amp;E94,'PREVIOS (2)'!B:K,10,FALSE),PLAN!A:B,2,FALSE)</f>
        <v>6</v>
      </c>
      <c r="N94">
        <f>VLOOKUP(E94&amp;M94,CURSO!A:D,4,FALSE)</f>
        <v>22</v>
      </c>
      <c r="O94">
        <f>VLOOKUP(C94&amp;N94,MATERIAS!A:G,7,FALSE)</f>
        <v>290</v>
      </c>
      <c r="P94">
        <f>VLOOKUP(I94,CALIFICACION!A:C,3,FALSE)</f>
        <v>9</v>
      </c>
      <c r="Q94">
        <f>VLOOKUP(A94,ALUMNOS!A:B,2,FALSE)</f>
        <v>235</v>
      </c>
      <c r="R94">
        <f>VLOOKUP(D94,CONDICION!A:B,2,FALSE)</f>
        <v>1</v>
      </c>
    </row>
    <row r="95" spans="1:18" x14ac:dyDescent="0.25">
      <c r="A95">
        <v>47175016</v>
      </c>
      <c r="B95" t="s">
        <v>409</v>
      </c>
      <c r="C95" t="s">
        <v>29</v>
      </c>
      <c r="D95" t="s">
        <v>43</v>
      </c>
      <c r="E95" t="s">
        <v>245</v>
      </c>
      <c r="F95" s="2">
        <v>45411</v>
      </c>
      <c r="G95" s="3">
        <v>0.54166666666666663</v>
      </c>
      <c r="H95">
        <v>2023</v>
      </c>
      <c r="I95">
        <v>7</v>
      </c>
      <c r="J95">
        <v>68</v>
      </c>
      <c r="K95">
        <v>51</v>
      </c>
      <c r="L95">
        <f>VLOOKUP(UPPER(TEXT(F95,"mmmm"))&amp;TEXT(F95,"yyyy"),TURNOS!A:F,6,FALSE)</f>
        <v>1</v>
      </c>
      <c r="M95">
        <f>VLOOKUP(VLOOKUP(A95&amp;C95&amp;E95,'PREVIOS (2)'!B:K,10,FALSE),PLAN!A:B,2,FALSE)</f>
        <v>6</v>
      </c>
      <c r="N95">
        <f>VLOOKUP(E95&amp;M95,CURSO!A:D,4,FALSE)</f>
        <v>22</v>
      </c>
      <c r="O95">
        <f>VLOOKUP(C95&amp;N95,MATERIAS!A:G,7,FALSE)</f>
        <v>290</v>
      </c>
      <c r="P95">
        <f>VLOOKUP(I95,CALIFICACION!A:C,3,FALSE)</f>
        <v>9</v>
      </c>
      <c r="Q95">
        <f>VLOOKUP(A95,ALUMNOS!A:B,2,FALSE)</f>
        <v>325</v>
      </c>
      <c r="R95">
        <f>VLOOKUP(D95,CONDICION!A:B,2,FALSE)</f>
        <v>1</v>
      </c>
    </row>
    <row r="96" spans="1:18" x14ac:dyDescent="0.25">
      <c r="A96">
        <v>47094443</v>
      </c>
      <c r="B96" t="s">
        <v>407</v>
      </c>
      <c r="C96" t="s">
        <v>29</v>
      </c>
      <c r="D96" t="s">
        <v>43</v>
      </c>
      <c r="E96" t="s">
        <v>220</v>
      </c>
      <c r="F96" s="2">
        <v>45411</v>
      </c>
      <c r="G96" s="3">
        <v>0.54166666666666663</v>
      </c>
      <c r="H96">
        <v>2022</v>
      </c>
      <c r="I96">
        <v>7</v>
      </c>
      <c r="J96">
        <v>68</v>
      </c>
      <c r="K96">
        <v>45</v>
      </c>
      <c r="L96">
        <f>VLOOKUP(UPPER(TEXT(F96,"mmmm"))&amp;TEXT(F96,"yyyy"),TURNOS!A:F,6,FALSE)</f>
        <v>1</v>
      </c>
      <c r="M96">
        <f>VLOOKUP(VLOOKUP(A96&amp;C96&amp;E96,'PREVIOS (2)'!B:K,10,FALSE),PLAN!A:B,2,FALSE)</f>
        <v>6</v>
      </c>
      <c r="N96">
        <f>VLOOKUP(E96&amp;M96,CURSO!A:D,4,FALSE)</f>
        <v>21</v>
      </c>
      <c r="O96">
        <f>VLOOKUP(C96&amp;N96,MATERIAS!A:G,7,FALSE)</f>
        <v>273</v>
      </c>
      <c r="P96">
        <f>VLOOKUP(I96,CALIFICACION!A:C,3,FALSE)</f>
        <v>9</v>
      </c>
      <c r="Q96">
        <f>VLOOKUP(A96,ALUMNOS!A:B,2,FALSE)</f>
        <v>196</v>
      </c>
      <c r="R96">
        <f>VLOOKUP(D96,CONDICION!A:B,2,FALSE)</f>
        <v>1</v>
      </c>
    </row>
    <row r="97" spans="1:18" x14ac:dyDescent="0.25">
      <c r="A97">
        <v>49661848</v>
      </c>
      <c r="B97" t="s">
        <v>139</v>
      </c>
      <c r="C97" t="s">
        <v>13</v>
      </c>
      <c r="D97" t="s">
        <v>43</v>
      </c>
      <c r="E97" t="s">
        <v>98</v>
      </c>
      <c r="F97" s="2">
        <v>45474</v>
      </c>
      <c r="G97" s="3">
        <v>0.33333333333333331</v>
      </c>
      <c r="H97">
        <v>2023</v>
      </c>
      <c r="I97" t="s">
        <v>50</v>
      </c>
      <c r="J97">
        <v>68</v>
      </c>
      <c r="K97">
        <v>56</v>
      </c>
      <c r="L97">
        <f>VLOOKUP(UPPER(TEXT(F97,"mmmm"))&amp;TEXT(F97,"yyyy"),TURNOS!A:F,6,FALSE)</f>
        <v>2</v>
      </c>
      <c r="M97">
        <f>VLOOKUP(VLOOKUP(A97&amp;C97&amp;E97,'PREVIOS (2)'!B:K,10,FALSE),PLAN!A:B,2,FALSE)</f>
        <v>5</v>
      </c>
      <c r="N97">
        <f>VLOOKUP(E97&amp;M97,CURSO!A:D,4,FALSE)</f>
        <v>17</v>
      </c>
      <c r="O97">
        <f>VLOOKUP(C97&amp;N97,MATERIAS!A:G,7,FALSE)</f>
        <v>221</v>
      </c>
      <c r="P97">
        <f>VLOOKUP(I97,CALIFICACION!A:C,3,FALSE)</f>
        <v>2</v>
      </c>
      <c r="Q97">
        <f>VLOOKUP(A97,ALUMNOS!A:B,2,FALSE)</f>
        <v>647</v>
      </c>
      <c r="R97">
        <f>VLOOKUP(D97,CONDICION!A:B,2,FALSE)</f>
        <v>1</v>
      </c>
    </row>
    <row r="98" spans="1:18" x14ac:dyDescent="0.25">
      <c r="A98">
        <v>50741969</v>
      </c>
      <c r="B98" t="s">
        <v>141</v>
      </c>
      <c r="C98" t="s">
        <v>13</v>
      </c>
      <c r="D98" t="s">
        <v>43</v>
      </c>
      <c r="E98" t="s">
        <v>98</v>
      </c>
      <c r="F98" s="2">
        <v>45474</v>
      </c>
      <c r="G98" s="3">
        <v>0.33333333333333331</v>
      </c>
      <c r="H98">
        <v>2023</v>
      </c>
      <c r="I98" t="s">
        <v>50</v>
      </c>
      <c r="J98">
        <v>68</v>
      </c>
      <c r="K98">
        <v>56</v>
      </c>
      <c r="L98">
        <f>VLOOKUP(UPPER(TEXT(F98,"mmmm"))&amp;TEXT(F98,"yyyy"),TURNOS!A:F,6,FALSE)</f>
        <v>2</v>
      </c>
      <c r="M98">
        <f>VLOOKUP(VLOOKUP(A98&amp;C98&amp;E98,'PREVIOS (2)'!B:K,10,FALSE),PLAN!A:B,2,FALSE)</f>
        <v>5</v>
      </c>
      <c r="N98">
        <f>VLOOKUP(E98&amp;M98,CURSO!A:D,4,FALSE)</f>
        <v>17</v>
      </c>
      <c r="O98">
        <f>VLOOKUP(C98&amp;N98,MATERIAS!A:G,7,FALSE)</f>
        <v>221</v>
      </c>
      <c r="P98">
        <f>VLOOKUP(I98,CALIFICACION!A:C,3,FALSE)</f>
        <v>2</v>
      </c>
      <c r="Q98">
        <f>VLOOKUP(A98,ALUMNOS!A:B,2,FALSE)</f>
        <v>681</v>
      </c>
      <c r="R98">
        <f>VLOOKUP(D98,CONDICION!A:B,2,FALSE)</f>
        <v>1</v>
      </c>
    </row>
    <row r="99" spans="1:18" x14ac:dyDescent="0.25">
      <c r="A99">
        <v>50683284</v>
      </c>
      <c r="B99" t="s">
        <v>100</v>
      </c>
      <c r="C99" t="s">
        <v>12</v>
      </c>
      <c r="D99" t="s">
        <v>43</v>
      </c>
      <c r="E99" t="s">
        <v>98</v>
      </c>
      <c r="F99" s="2">
        <v>45474</v>
      </c>
      <c r="G99" s="3">
        <v>0.33333333333333331</v>
      </c>
      <c r="H99">
        <v>2023</v>
      </c>
      <c r="I99">
        <v>2</v>
      </c>
      <c r="J99">
        <v>68</v>
      </c>
      <c r="K99">
        <v>60</v>
      </c>
      <c r="L99">
        <f>VLOOKUP(UPPER(TEXT(F99,"mmmm"))&amp;TEXT(F99,"yyyy"),TURNOS!A:F,6,FALSE)</f>
        <v>2</v>
      </c>
      <c r="M99">
        <f>VLOOKUP(VLOOKUP(A99&amp;C99&amp;E99,'PREVIOS (2)'!B:K,10,FALSE),PLAN!A:B,2,FALSE)</f>
        <v>5</v>
      </c>
      <c r="N99">
        <f>VLOOKUP(E99&amp;M99,CURSO!A:D,4,FALSE)</f>
        <v>17</v>
      </c>
      <c r="O99">
        <f>VLOOKUP(C99&amp;N99,MATERIAS!A:G,7,FALSE)</f>
        <v>220</v>
      </c>
      <c r="P99">
        <f>VLOOKUP(I99,CALIFICACION!A:C,3,FALSE)</f>
        <v>4</v>
      </c>
      <c r="Q99">
        <f>VLOOKUP(A99,ALUMNOS!A:B,2,FALSE)</f>
        <v>266</v>
      </c>
      <c r="R99">
        <f>VLOOKUP(D99,CONDICION!A:B,2,FALSE)</f>
        <v>1</v>
      </c>
    </row>
    <row r="100" spans="1:18" x14ac:dyDescent="0.25">
      <c r="A100">
        <v>6509219</v>
      </c>
      <c r="B100" t="s">
        <v>133</v>
      </c>
      <c r="C100" t="s">
        <v>12</v>
      </c>
      <c r="D100" t="s">
        <v>43</v>
      </c>
      <c r="E100" t="s">
        <v>98</v>
      </c>
      <c r="F100" s="2">
        <v>45474</v>
      </c>
      <c r="G100" s="3">
        <v>0.33333333333333331</v>
      </c>
      <c r="H100">
        <v>2023</v>
      </c>
      <c r="I100" t="s">
        <v>50</v>
      </c>
      <c r="J100">
        <v>68</v>
      </c>
      <c r="K100">
        <v>60</v>
      </c>
      <c r="L100">
        <f>VLOOKUP(UPPER(TEXT(F100,"mmmm"))&amp;TEXT(F100,"yyyy"),TURNOS!A:F,6,FALSE)</f>
        <v>2</v>
      </c>
      <c r="M100">
        <f>VLOOKUP(VLOOKUP(A100&amp;C100&amp;E100,'PREVIOS (2)'!B:K,10,FALSE),PLAN!A:B,2,FALSE)</f>
        <v>5</v>
      </c>
      <c r="N100">
        <f>VLOOKUP(E100&amp;M100,CURSO!A:D,4,FALSE)</f>
        <v>17</v>
      </c>
      <c r="O100">
        <f>VLOOKUP(C100&amp;N100,MATERIAS!A:G,7,FALSE)</f>
        <v>220</v>
      </c>
      <c r="P100">
        <f>VLOOKUP(I100,CALIFICACION!A:C,3,FALSE)</f>
        <v>2</v>
      </c>
      <c r="Q100">
        <f>VLOOKUP(A100,ALUMNOS!A:B,2,FALSE)</f>
        <v>376</v>
      </c>
      <c r="R100">
        <f>VLOOKUP(D100,CONDICION!A:B,2,FALSE)</f>
        <v>1</v>
      </c>
    </row>
    <row r="101" spans="1:18" x14ac:dyDescent="0.25">
      <c r="A101">
        <v>50634841</v>
      </c>
      <c r="B101" t="s">
        <v>119</v>
      </c>
      <c r="C101" t="s">
        <v>12</v>
      </c>
      <c r="D101" t="s">
        <v>43</v>
      </c>
      <c r="E101" t="s">
        <v>98</v>
      </c>
      <c r="F101" s="2">
        <v>45474</v>
      </c>
      <c r="G101" s="3">
        <v>0.33333333333333331</v>
      </c>
      <c r="H101">
        <v>2023</v>
      </c>
      <c r="I101">
        <v>2</v>
      </c>
      <c r="J101">
        <v>68</v>
      </c>
      <c r="K101">
        <v>60</v>
      </c>
      <c r="L101">
        <f>VLOOKUP(UPPER(TEXT(F101,"mmmm"))&amp;TEXT(F101,"yyyy"),TURNOS!A:F,6,FALSE)</f>
        <v>2</v>
      </c>
      <c r="M101">
        <f>VLOOKUP(VLOOKUP(A101&amp;C101&amp;E101,'PREVIOS (2)'!B:K,10,FALSE),PLAN!A:B,2,FALSE)</f>
        <v>5</v>
      </c>
      <c r="N101">
        <f>VLOOKUP(E101&amp;M101,CURSO!A:D,4,FALSE)</f>
        <v>17</v>
      </c>
      <c r="O101">
        <f>VLOOKUP(C101&amp;N101,MATERIAS!A:G,7,FALSE)</f>
        <v>220</v>
      </c>
      <c r="P101">
        <f>VLOOKUP(I101,CALIFICACION!A:C,3,FALSE)</f>
        <v>4</v>
      </c>
      <c r="Q101">
        <f>VLOOKUP(A101,ALUMNOS!A:B,2,FALSE)</f>
        <v>455</v>
      </c>
      <c r="R101">
        <f>VLOOKUP(D101,CONDICION!A:B,2,FALSE)</f>
        <v>1</v>
      </c>
    </row>
    <row r="102" spans="1:18" x14ac:dyDescent="0.25">
      <c r="A102">
        <v>49455889</v>
      </c>
      <c r="B102" t="s">
        <v>136</v>
      </c>
      <c r="C102" t="s">
        <v>12</v>
      </c>
      <c r="D102" t="s">
        <v>43</v>
      </c>
      <c r="E102" t="s">
        <v>98</v>
      </c>
      <c r="F102" s="2">
        <v>45474</v>
      </c>
      <c r="G102" s="3">
        <v>0.33333333333333331</v>
      </c>
      <c r="H102">
        <v>2022</v>
      </c>
      <c r="I102">
        <v>2</v>
      </c>
      <c r="J102">
        <v>68</v>
      </c>
      <c r="K102">
        <v>60</v>
      </c>
      <c r="L102">
        <f>VLOOKUP(UPPER(TEXT(F102,"mmmm"))&amp;TEXT(F102,"yyyy"),TURNOS!A:F,6,FALSE)</f>
        <v>2</v>
      </c>
      <c r="M102">
        <f>VLOOKUP(VLOOKUP(A102&amp;C102&amp;E102,'PREVIOS (2)'!B:K,10,FALSE),PLAN!A:B,2,FALSE)</f>
        <v>5</v>
      </c>
      <c r="N102">
        <f>VLOOKUP(E102&amp;M102,CURSO!A:D,4,FALSE)</f>
        <v>17</v>
      </c>
      <c r="O102">
        <f>VLOOKUP(C102&amp;N102,MATERIAS!A:G,7,FALSE)</f>
        <v>220</v>
      </c>
      <c r="P102">
        <f>VLOOKUP(I102,CALIFICACION!A:C,3,FALSE)</f>
        <v>4</v>
      </c>
      <c r="Q102">
        <f>VLOOKUP(A102,ALUMNOS!A:B,2,FALSE)</f>
        <v>494</v>
      </c>
      <c r="R102">
        <f>VLOOKUP(D102,CONDICION!A:B,2,FALSE)</f>
        <v>1</v>
      </c>
    </row>
    <row r="103" spans="1:18" x14ac:dyDescent="0.25">
      <c r="A103">
        <v>50091934</v>
      </c>
      <c r="B103" t="s">
        <v>122</v>
      </c>
      <c r="C103" t="s">
        <v>12</v>
      </c>
      <c r="D103" t="s">
        <v>43</v>
      </c>
      <c r="E103" t="s">
        <v>98</v>
      </c>
      <c r="F103" s="2">
        <v>45474</v>
      </c>
      <c r="G103" s="3">
        <v>0.33333333333333331</v>
      </c>
      <c r="H103">
        <v>2023</v>
      </c>
      <c r="I103">
        <v>7</v>
      </c>
      <c r="J103">
        <v>68</v>
      </c>
      <c r="K103">
        <v>60</v>
      </c>
      <c r="L103">
        <f>VLOOKUP(UPPER(TEXT(F103,"mmmm"))&amp;TEXT(F103,"yyyy"),TURNOS!A:F,6,FALSE)</f>
        <v>2</v>
      </c>
      <c r="M103">
        <f>VLOOKUP(VLOOKUP(A103&amp;C103&amp;E103,'PREVIOS (2)'!B:K,10,FALSE),PLAN!A:B,2,FALSE)</f>
        <v>5</v>
      </c>
      <c r="N103">
        <f>VLOOKUP(E103&amp;M103,CURSO!A:D,4,FALSE)</f>
        <v>17</v>
      </c>
      <c r="O103">
        <f>VLOOKUP(C103&amp;N103,MATERIAS!A:G,7,FALSE)</f>
        <v>220</v>
      </c>
      <c r="P103">
        <f>VLOOKUP(I103,CALIFICACION!A:C,3,FALSE)</f>
        <v>9</v>
      </c>
      <c r="Q103">
        <f>VLOOKUP(A103,ALUMNOS!A:B,2,FALSE)</f>
        <v>518</v>
      </c>
      <c r="R103">
        <f>VLOOKUP(D103,CONDICION!A:B,2,FALSE)</f>
        <v>1</v>
      </c>
    </row>
    <row r="104" spans="1:18" x14ac:dyDescent="0.25">
      <c r="A104">
        <v>50091959</v>
      </c>
      <c r="B104" t="s">
        <v>137</v>
      </c>
      <c r="C104" t="s">
        <v>12</v>
      </c>
      <c r="D104" t="s">
        <v>43</v>
      </c>
      <c r="E104" t="s">
        <v>98</v>
      </c>
      <c r="F104" s="2">
        <v>45474</v>
      </c>
      <c r="G104" s="3">
        <v>0.33333333333333331</v>
      </c>
      <c r="H104">
        <v>2023</v>
      </c>
      <c r="I104" t="s">
        <v>50</v>
      </c>
      <c r="J104">
        <v>68</v>
      </c>
      <c r="K104">
        <v>60</v>
      </c>
      <c r="L104">
        <f>VLOOKUP(UPPER(TEXT(F104,"mmmm"))&amp;TEXT(F104,"yyyy"),TURNOS!A:F,6,FALSE)</f>
        <v>2</v>
      </c>
      <c r="M104">
        <f>VLOOKUP(VLOOKUP(A104&amp;C104&amp;E104,'PREVIOS (2)'!B:K,10,FALSE),PLAN!A:B,2,FALSE)</f>
        <v>5</v>
      </c>
      <c r="N104">
        <f>VLOOKUP(E104&amp;M104,CURSO!A:D,4,FALSE)</f>
        <v>17</v>
      </c>
      <c r="O104">
        <f>VLOOKUP(C104&amp;N104,MATERIAS!A:G,7,FALSE)</f>
        <v>220</v>
      </c>
      <c r="P104">
        <f>VLOOKUP(I104,CALIFICACION!A:C,3,FALSE)</f>
        <v>2</v>
      </c>
      <c r="Q104">
        <f>VLOOKUP(A104,ALUMNOS!A:B,2,FALSE)</f>
        <v>570</v>
      </c>
      <c r="R104">
        <f>VLOOKUP(D104,CONDICION!A:B,2,FALSE)</f>
        <v>1</v>
      </c>
    </row>
    <row r="105" spans="1:18" x14ac:dyDescent="0.25">
      <c r="A105">
        <v>50334173</v>
      </c>
      <c r="B105" t="s">
        <v>138</v>
      </c>
      <c r="C105" t="s">
        <v>12</v>
      </c>
      <c r="D105" t="s">
        <v>43</v>
      </c>
      <c r="E105" t="s">
        <v>98</v>
      </c>
      <c r="F105" s="2">
        <v>45474</v>
      </c>
      <c r="G105" s="3">
        <v>0.33333333333333331</v>
      </c>
      <c r="H105">
        <v>2023</v>
      </c>
      <c r="I105" t="s">
        <v>50</v>
      </c>
      <c r="J105">
        <v>68</v>
      </c>
      <c r="K105">
        <v>60</v>
      </c>
      <c r="L105">
        <f>VLOOKUP(UPPER(TEXT(F105,"mmmm"))&amp;TEXT(F105,"yyyy"),TURNOS!A:F,6,FALSE)</f>
        <v>2</v>
      </c>
      <c r="M105">
        <f>VLOOKUP(VLOOKUP(A105&amp;C105&amp;E105,'PREVIOS (2)'!B:K,10,FALSE),PLAN!A:B,2,FALSE)</f>
        <v>5</v>
      </c>
      <c r="N105">
        <f>VLOOKUP(E105&amp;M105,CURSO!A:D,4,FALSE)</f>
        <v>17</v>
      </c>
      <c r="O105">
        <f>VLOOKUP(C105&amp;N105,MATERIAS!A:G,7,FALSE)</f>
        <v>220</v>
      </c>
      <c r="P105">
        <f>VLOOKUP(I105,CALIFICACION!A:C,3,FALSE)</f>
        <v>2</v>
      </c>
      <c r="Q105">
        <f>VLOOKUP(A105,ALUMNOS!A:B,2,FALSE)</f>
        <v>600</v>
      </c>
      <c r="R105">
        <f>VLOOKUP(D105,CONDICION!A:B,2,FALSE)</f>
        <v>1</v>
      </c>
    </row>
    <row r="106" spans="1:18" x14ac:dyDescent="0.25">
      <c r="A106">
        <v>49455882</v>
      </c>
      <c r="B106" t="s">
        <v>161</v>
      </c>
      <c r="C106" t="s">
        <v>21</v>
      </c>
      <c r="D106" t="s">
        <v>43</v>
      </c>
      <c r="E106" t="s">
        <v>95</v>
      </c>
      <c r="F106" s="2">
        <v>45474</v>
      </c>
      <c r="G106" s="3">
        <v>0.33333333333333331</v>
      </c>
      <c r="H106">
        <v>2023</v>
      </c>
      <c r="I106">
        <v>7</v>
      </c>
      <c r="J106">
        <v>68</v>
      </c>
      <c r="K106">
        <v>57</v>
      </c>
      <c r="L106">
        <f>VLOOKUP(UPPER(TEXT(F106,"mmmm"))&amp;TEXT(F106,"yyyy"),TURNOS!A:F,6,FALSE)</f>
        <v>2</v>
      </c>
      <c r="M106">
        <f>VLOOKUP(VLOOKUP(A106&amp;C106&amp;E106,'PREVIOS (2)'!B:K,10,FALSE),PLAN!A:B,2,FALSE)</f>
        <v>5</v>
      </c>
      <c r="N106">
        <f>VLOOKUP(E106&amp;M106,CURSO!A:D,4,FALSE)</f>
        <v>18</v>
      </c>
      <c r="O106">
        <f>VLOOKUP(C106&amp;N106,MATERIAS!A:G,7,FALSE)</f>
        <v>232</v>
      </c>
      <c r="P106">
        <f>VLOOKUP(I106,CALIFICACION!A:C,3,FALSE)</f>
        <v>9</v>
      </c>
      <c r="Q106">
        <f>VLOOKUP(A106,ALUMNOS!A:B,2,FALSE)</f>
        <v>816</v>
      </c>
      <c r="R106">
        <f>VLOOKUP(D106,CONDICION!A:B,2,FALSE)</f>
        <v>1</v>
      </c>
    </row>
    <row r="107" spans="1:18" x14ac:dyDescent="0.25">
      <c r="A107">
        <v>49716956</v>
      </c>
      <c r="B107" t="s">
        <v>179</v>
      </c>
      <c r="C107" t="s">
        <v>12</v>
      </c>
      <c r="D107" t="s">
        <v>43</v>
      </c>
      <c r="E107" t="s">
        <v>95</v>
      </c>
      <c r="F107" s="2">
        <v>45474</v>
      </c>
      <c r="G107" s="3">
        <v>0.33333333333333331</v>
      </c>
      <c r="H107">
        <v>2023</v>
      </c>
      <c r="I107">
        <v>7</v>
      </c>
      <c r="J107">
        <v>68</v>
      </c>
      <c r="K107">
        <v>61</v>
      </c>
      <c r="L107">
        <f>VLOOKUP(UPPER(TEXT(F107,"mmmm"))&amp;TEXT(F107,"yyyy"),TURNOS!A:F,6,FALSE)</f>
        <v>2</v>
      </c>
      <c r="M107">
        <f>VLOOKUP(VLOOKUP(A107&amp;C107&amp;E107,'PREVIOS (2)'!B:K,10,FALSE),PLAN!A:B,2,FALSE)</f>
        <v>5</v>
      </c>
      <c r="N107">
        <f>VLOOKUP(E107&amp;M107,CURSO!A:D,4,FALSE)</f>
        <v>18</v>
      </c>
      <c r="O107">
        <f>VLOOKUP(C107&amp;N107,MATERIAS!A:G,7,FALSE)</f>
        <v>230</v>
      </c>
      <c r="P107">
        <f>VLOOKUP(I107,CALIFICACION!A:C,3,FALSE)</f>
        <v>9</v>
      </c>
      <c r="Q107">
        <f>VLOOKUP(A107,ALUMNOS!A:B,2,FALSE)</f>
        <v>97</v>
      </c>
      <c r="R107">
        <f>VLOOKUP(D107,CONDICION!A:B,2,FALSE)</f>
        <v>1</v>
      </c>
    </row>
    <row r="108" spans="1:18" x14ac:dyDescent="0.25">
      <c r="A108">
        <v>49716986</v>
      </c>
      <c r="B108" t="s">
        <v>164</v>
      </c>
      <c r="C108" t="s">
        <v>12</v>
      </c>
      <c r="D108" t="s">
        <v>43</v>
      </c>
      <c r="E108" t="s">
        <v>95</v>
      </c>
      <c r="F108" s="2">
        <v>45474</v>
      </c>
      <c r="G108" s="3">
        <v>0.33333333333333331</v>
      </c>
      <c r="H108">
        <v>2023</v>
      </c>
      <c r="I108">
        <v>4</v>
      </c>
      <c r="J108">
        <v>68</v>
      </c>
      <c r="K108">
        <v>61</v>
      </c>
      <c r="L108">
        <f>VLOOKUP(UPPER(TEXT(F108,"mmmm"))&amp;TEXT(F108,"yyyy"),TURNOS!A:F,6,FALSE)</f>
        <v>2</v>
      </c>
      <c r="M108">
        <f>VLOOKUP(VLOOKUP(A108&amp;C108&amp;E108,'PREVIOS (2)'!B:K,10,FALSE),PLAN!A:B,2,FALSE)</f>
        <v>5</v>
      </c>
      <c r="N108">
        <f>VLOOKUP(E108&amp;M108,CURSO!A:D,4,FALSE)</f>
        <v>18</v>
      </c>
      <c r="O108">
        <f>VLOOKUP(C108&amp;N108,MATERIAS!A:G,7,FALSE)</f>
        <v>230</v>
      </c>
      <c r="P108">
        <f>VLOOKUP(I108,CALIFICACION!A:C,3,FALSE)</f>
        <v>6</v>
      </c>
      <c r="Q108">
        <f>VLOOKUP(A108,ALUMNOS!A:B,2,FALSE)</f>
        <v>248</v>
      </c>
      <c r="R108">
        <f>VLOOKUP(D108,CONDICION!A:B,2,FALSE)</f>
        <v>1</v>
      </c>
    </row>
    <row r="109" spans="1:18" x14ac:dyDescent="0.25">
      <c r="A109">
        <v>49324876</v>
      </c>
      <c r="B109" t="s">
        <v>167</v>
      </c>
      <c r="C109" t="s">
        <v>12</v>
      </c>
      <c r="D109" t="s">
        <v>43</v>
      </c>
      <c r="E109" t="s">
        <v>95</v>
      </c>
      <c r="F109" s="2">
        <v>45474</v>
      </c>
      <c r="G109" s="3">
        <v>0.33333333333333331</v>
      </c>
      <c r="H109">
        <v>2022</v>
      </c>
      <c r="I109">
        <v>7</v>
      </c>
      <c r="J109">
        <v>68</v>
      </c>
      <c r="K109">
        <v>61</v>
      </c>
      <c r="L109">
        <f>VLOOKUP(UPPER(TEXT(F109,"mmmm"))&amp;TEXT(F109,"yyyy"),TURNOS!A:F,6,FALSE)</f>
        <v>2</v>
      </c>
      <c r="M109">
        <f>VLOOKUP(VLOOKUP(A109&amp;C109&amp;E109,'PREVIOS (2)'!B:K,10,FALSE),PLAN!A:B,2,FALSE)</f>
        <v>5</v>
      </c>
      <c r="N109">
        <f>VLOOKUP(E109&amp;M109,CURSO!A:D,4,FALSE)</f>
        <v>18</v>
      </c>
      <c r="O109">
        <f>VLOOKUP(C109&amp;N109,MATERIAS!A:G,7,FALSE)</f>
        <v>230</v>
      </c>
      <c r="P109">
        <f>VLOOKUP(I109,CALIFICACION!A:C,3,FALSE)</f>
        <v>9</v>
      </c>
      <c r="Q109">
        <f>VLOOKUP(A109,ALUMNOS!A:B,2,FALSE)</f>
        <v>339</v>
      </c>
      <c r="R109">
        <f>VLOOKUP(D109,CONDICION!A:B,2,FALSE)</f>
        <v>1</v>
      </c>
    </row>
    <row r="110" spans="1:18" x14ac:dyDescent="0.25">
      <c r="A110">
        <v>48816281</v>
      </c>
      <c r="B110" t="s">
        <v>184</v>
      </c>
      <c r="C110" t="s">
        <v>12</v>
      </c>
      <c r="D110" t="s">
        <v>43</v>
      </c>
      <c r="E110" t="s">
        <v>95</v>
      </c>
      <c r="F110" s="2">
        <v>45474</v>
      </c>
      <c r="G110" s="3">
        <v>0.33333333333333331</v>
      </c>
      <c r="H110">
        <v>2023</v>
      </c>
      <c r="I110">
        <v>2</v>
      </c>
      <c r="J110">
        <v>68</v>
      </c>
      <c r="K110">
        <v>61</v>
      </c>
      <c r="L110">
        <f>VLOOKUP(UPPER(TEXT(F110,"mmmm"))&amp;TEXT(F110,"yyyy"),TURNOS!A:F,6,FALSE)</f>
        <v>2</v>
      </c>
      <c r="M110">
        <f>VLOOKUP(VLOOKUP(A110&amp;C110&amp;E110,'PREVIOS (2)'!B:K,10,FALSE),PLAN!A:B,2,FALSE)</f>
        <v>5</v>
      </c>
      <c r="N110">
        <f>VLOOKUP(E110&amp;M110,CURSO!A:D,4,FALSE)</f>
        <v>18</v>
      </c>
      <c r="O110">
        <f>VLOOKUP(C110&amp;N110,MATERIAS!A:G,7,FALSE)</f>
        <v>230</v>
      </c>
      <c r="P110">
        <f>VLOOKUP(I110,CALIFICACION!A:C,3,FALSE)</f>
        <v>4</v>
      </c>
      <c r="Q110">
        <f>VLOOKUP(A110,ALUMNOS!A:B,2,FALSE)</f>
        <v>490</v>
      </c>
      <c r="R110">
        <f>VLOOKUP(D110,CONDICION!A:B,2,FALSE)</f>
        <v>1</v>
      </c>
    </row>
    <row r="111" spans="1:18" x14ac:dyDescent="0.25">
      <c r="A111">
        <v>48592905</v>
      </c>
      <c r="B111" t="s">
        <v>168</v>
      </c>
      <c r="C111" t="s">
        <v>12</v>
      </c>
      <c r="D111" t="s">
        <v>43</v>
      </c>
      <c r="E111" t="s">
        <v>95</v>
      </c>
      <c r="F111" s="2">
        <v>45474</v>
      </c>
      <c r="G111" s="3">
        <v>0.33333333333333331</v>
      </c>
      <c r="H111">
        <v>2022</v>
      </c>
      <c r="I111" t="s">
        <v>50</v>
      </c>
      <c r="J111">
        <v>68</v>
      </c>
      <c r="K111">
        <v>61</v>
      </c>
      <c r="L111">
        <f>VLOOKUP(UPPER(TEXT(F111,"mmmm"))&amp;TEXT(F111,"yyyy"),TURNOS!A:F,6,FALSE)</f>
        <v>2</v>
      </c>
      <c r="M111">
        <f>VLOOKUP(VLOOKUP(A111&amp;C111&amp;E111,'PREVIOS (2)'!B:K,10,FALSE),PLAN!A:B,2,FALSE)</f>
        <v>5</v>
      </c>
      <c r="N111">
        <f>VLOOKUP(E111&amp;M111,CURSO!A:D,4,FALSE)</f>
        <v>18</v>
      </c>
      <c r="O111">
        <f>VLOOKUP(C111&amp;N111,MATERIAS!A:G,7,FALSE)</f>
        <v>230</v>
      </c>
      <c r="P111">
        <f>VLOOKUP(I111,CALIFICACION!A:C,3,FALSE)</f>
        <v>2</v>
      </c>
      <c r="Q111">
        <f>VLOOKUP(A111,ALUMNOS!A:B,2,FALSE)</f>
        <v>520</v>
      </c>
      <c r="R111">
        <f>VLOOKUP(D111,CONDICION!A:B,2,FALSE)</f>
        <v>1</v>
      </c>
    </row>
    <row r="112" spans="1:18" x14ac:dyDescent="0.25">
      <c r="A112">
        <v>49455809</v>
      </c>
      <c r="B112" t="s">
        <v>169</v>
      </c>
      <c r="C112" t="s">
        <v>12</v>
      </c>
      <c r="D112" t="s">
        <v>43</v>
      </c>
      <c r="E112" t="s">
        <v>95</v>
      </c>
      <c r="F112" s="2">
        <v>45474</v>
      </c>
      <c r="G112" s="3">
        <v>0.33333333333333331</v>
      </c>
      <c r="H112">
        <v>2022</v>
      </c>
      <c r="I112" t="s">
        <v>50</v>
      </c>
      <c r="J112">
        <v>68</v>
      </c>
      <c r="K112">
        <v>61</v>
      </c>
      <c r="L112">
        <f>VLOOKUP(UPPER(TEXT(F112,"mmmm"))&amp;TEXT(F112,"yyyy"),TURNOS!A:F,6,FALSE)</f>
        <v>2</v>
      </c>
      <c r="M112">
        <f>VLOOKUP(VLOOKUP(A112&amp;C112&amp;E112,'PREVIOS (2)'!B:K,10,FALSE),PLAN!A:B,2,FALSE)</f>
        <v>5</v>
      </c>
      <c r="N112">
        <f>VLOOKUP(E112&amp;M112,CURSO!A:D,4,FALSE)</f>
        <v>18</v>
      </c>
      <c r="O112">
        <f>VLOOKUP(C112&amp;N112,MATERIAS!A:G,7,FALSE)</f>
        <v>230</v>
      </c>
      <c r="P112">
        <f>VLOOKUP(I112,CALIFICACION!A:C,3,FALSE)</f>
        <v>2</v>
      </c>
      <c r="Q112">
        <f>VLOOKUP(A112,ALUMNOS!A:B,2,FALSE)</f>
        <v>534</v>
      </c>
      <c r="R112">
        <f>VLOOKUP(D112,CONDICION!A:B,2,FALSE)</f>
        <v>1</v>
      </c>
    </row>
    <row r="113" spans="1:18" x14ac:dyDescent="0.25">
      <c r="A113">
        <v>49964540</v>
      </c>
      <c r="B113" t="s">
        <v>187</v>
      </c>
      <c r="C113" t="s">
        <v>12</v>
      </c>
      <c r="D113" t="s">
        <v>43</v>
      </c>
      <c r="E113" t="s">
        <v>95</v>
      </c>
      <c r="F113" s="2">
        <v>45474</v>
      </c>
      <c r="G113" s="3">
        <v>0.33333333333333331</v>
      </c>
      <c r="H113">
        <v>2023</v>
      </c>
      <c r="I113">
        <v>7</v>
      </c>
      <c r="J113">
        <v>68</v>
      </c>
      <c r="K113">
        <v>61</v>
      </c>
      <c r="L113">
        <f>VLOOKUP(UPPER(TEXT(F113,"mmmm"))&amp;TEXT(F113,"yyyy"),TURNOS!A:F,6,FALSE)</f>
        <v>2</v>
      </c>
      <c r="M113">
        <f>VLOOKUP(VLOOKUP(A113&amp;C113&amp;E113,'PREVIOS (2)'!B:K,10,FALSE),PLAN!A:B,2,FALSE)</f>
        <v>5</v>
      </c>
      <c r="N113">
        <f>VLOOKUP(E113&amp;M113,CURSO!A:D,4,FALSE)</f>
        <v>18</v>
      </c>
      <c r="O113">
        <f>VLOOKUP(C113&amp;N113,MATERIAS!A:G,7,FALSE)</f>
        <v>230</v>
      </c>
      <c r="P113">
        <f>VLOOKUP(I113,CALIFICACION!A:C,3,FALSE)</f>
        <v>9</v>
      </c>
      <c r="Q113">
        <f>VLOOKUP(A113,ALUMNOS!A:B,2,FALSE)</f>
        <v>610</v>
      </c>
      <c r="R113">
        <f>VLOOKUP(D113,CONDICION!A:B,2,FALSE)</f>
        <v>1</v>
      </c>
    </row>
    <row r="114" spans="1:18" x14ac:dyDescent="0.25">
      <c r="A114">
        <v>46035153</v>
      </c>
      <c r="B114" t="s">
        <v>403</v>
      </c>
      <c r="C114" t="s">
        <v>12</v>
      </c>
      <c r="D114" t="s">
        <v>43</v>
      </c>
      <c r="E114" t="s">
        <v>95</v>
      </c>
      <c r="F114" s="2">
        <v>45474</v>
      </c>
      <c r="G114" s="3">
        <v>0.33333333333333331</v>
      </c>
      <c r="H114">
        <v>2019</v>
      </c>
      <c r="I114">
        <v>7</v>
      </c>
      <c r="J114">
        <v>68</v>
      </c>
      <c r="K114">
        <v>61</v>
      </c>
      <c r="L114">
        <f>VLOOKUP(UPPER(TEXT(F114,"mmmm"))&amp;TEXT(F114,"yyyy"),TURNOS!A:F,6,FALSE)</f>
        <v>2</v>
      </c>
      <c r="M114">
        <f>VLOOKUP(VLOOKUP(A114&amp;C114&amp;E114,'PREVIOS (2)'!B:K,10,FALSE),PLAN!A:B,2,FALSE)</f>
        <v>5</v>
      </c>
      <c r="N114">
        <f>VLOOKUP(E114&amp;M114,CURSO!A:D,4,FALSE)</f>
        <v>18</v>
      </c>
      <c r="O114">
        <f>VLOOKUP(C114&amp;N114,MATERIAS!A:G,7,FALSE)</f>
        <v>230</v>
      </c>
      <c r="P114">
        <f>VLOOKUP(I114,CALIFICACION!A:C,3,FALSE)</f>
        <v>9</v>
      </c>
      <c r="Q114">
        <f>VLOOKUP(A114,ALUMNOS!A:B,2,FALSE)</f>
        <v>716</v>
      </c>
      <c r="R114">
        <f>VLOOKUP(D114,CONDICION!A:B,2,FALSE)</f>
        <v>1</v>
      </c>
    </row>
    <row r="115" spans="1:18" x14ac:dyDescent="0.25">
      <c r="A115">
        <v>49455838</v>
      </c>
      <c r="B115" t="s">
        <v>203</v>
      </c>
      <c r="C115" t="s">
        <v>12</v>
      </c>
      <c r="D115" t="s">
        <v>43</v>
      </c>
      <c r="E115" t="s">
        <v>95</v>
      </c>
      <c r="F115" s="2">
        <v>45474</v>
      </c>
      <c r="G115" s="3">
        <v>0.33333333333333331</v>
      </c>
      <c r="H115">
        <v>2022</v>
      </c>
      <c r="I115" t="s">
        <v>50</v>
      </c>
      <c r="J115">
        <v>68</v>
      </c>
      <c r="K115">
        <v>61</v>
      </c>
      <c r="L115">
        <f>VLOOKUP(UPPER(TEXT(F115,"mmmm"))&amp;TEXT(F115,"yyyy"),TURNOS!A:F,6,FALSE)</f>
        <v>2</v>
      </c>
      <c r="M115">
        <f>VLOOKUP(VLOOKUP(A115&amp;C115&amp;E115,'PREVIOS (2)'!B:K,10,FALSE),PLAN!A:B,2,FALSE)</f>
        <v>5</v>
      </c>
      <c r="N115">
        <f>VLOOKUP(E115&amp;M115,CURSO!A:D,4,FALSE)</f>
        <v>18</v>
      </c>
      <c r="O115">
        <f>VLOOKUP(C115&amp;N115,MATERIAS!A:G,7,FALSE)</f>
        <v>230</v>
      </c>
      <c r="P115">
        <f>VLOOKUP(I115,CALIFICACION!A:C,3,FALSE)</f>
        <v>2</v>
      </c>
      <c r="Q115">
        <f>VLOOKUP(A115,ALUMNOS!A:B,2,FALSE)</f>
        <v>766</v>
      </c>
      <c r="R115">
        <f>VLOOKUP(D115,CONDICION!A:B,2,FALSE)</f>
        <v>1</v>
      </c>
    </row>
    <row r="116" spans="1:18" x14ac:dyDescent="0.25">
      <c r="A116">
        <v>49497126</v>
      </c>
      <c r="B116" t="s">
        <v>217</v>
      </c>
      <c r="C116" t="s">
        <v>28</v>
      </c>
      <c r="D116" t="s">
        <v>43</v>
      </c>
      <c r="E116" t="s">
        <v>143</v>
      </c>
      <c r="F116" s="2">
        <v>45474</v>
      </c>
      <c r="G116" s="3">
        <v>0.33333333333333331</v>
      </c>
      <c r="H116">
        <v>2023</v>
      </c>
      <c r="I116">
        <v>7</v>
      </c>
      <c r="J116">
        <v>68</v>
      </c>
      <c r="K116">
        <v>53</v>
      </c>
      <c r="L116">
        <f>VLOOKUP(UPPER(TEXT(F116,"mmmm"))&amp;TEXT(F116,"yyyy"),TURNOS!A:F,6,FALSE)</f>
        <v>2</v>
      </c>
      <c r="M116">
        <f>VLOOKUP(VLOOKUP(A116&amp;C116&amp;E116,'PREVIOS (2)'!B:K,10,FALSE),PLAN!A:B,2,FALSE)</f>
        <v>5</v>
      </c>
      <c r="N116">
        <f>VLOOKUP(E116&amp;M116,CURSO!A:D,4,FALSE)</f>
        <v>19</v>
      </c>
      <c r="O116">
        <f>VLOOKUP(C116&amp;N116,MATERIAS!A:G,7,FALSE)</f>
        <v>249</v>
      </c>
      <c r="P116">
        <f>VLOOKUP(I116,CALIFICACION!A:C,3,FALSE)</f>
        <v>9</v>
      </c>
      <c r="Q116">
        <f>VLOOKUP(A116,ALUMNOS!A:B,2,FALSE)</f>
        <v>723</v>
      </c>
      <c r="R116">
        <f>VLOOKUP(D116,CONDICION!A:B,2,FALSE)</f>
        <v>1</v>
      </c>
    </row>
    <row r="117" spans="1:18" x14ac:dyDescent="0.25">
      <c r="A117">
        <v>47665543</v>
      </c>
      <c r="B117" t="s">
        <v>196</v>
      </c>
      <c r="C117" t="s">
        <v>12</v>
      </c>
      <c r="D117" t="s">
        <v>43</v>
      </c>
      <c r="E117" t="s">
        <v>143</v>
      </c>
      <c r="F117" s="2">
        <v>45474</v>
      </c>
      <c r="G117" s="3">
        <v>0.33333333333333331</v>
      </c>
      <c r="H117">
        <v>2021</v>
      </c>
      <c r="I117">
        <v>2</v>
      </c>
      <c r="J117">
        <v>68</v>
      </c>
      <c r="K117">
        <v>62</v>
      </c>
      <c r="L117">
        <f>VLOOKUP(UPPER(TEXT(F117,"mmmm"))&amp;TEXT(F117,"yyyy"),TURNOS!A:F,6,FALSE)</f>
        <v>2</v>
      </c>
      <c r="M117">
        <f>VLOOKUP(VLOOKUP(A117&amp;C117&amp;E117,'PREVIOS (2)'!B:K,10,FALSE),PLAN!A:B,2,FALSE)</f>
        <v>5</v>
      </c>
      <c r="N117">
        <f>VLOOKUP(E117&amp;M117,CURSO!A:D,4,FALSE)</f>
        <v>19</v>
      </c>
      <c r="O117">
        <f>VLOOKUP(C117&amp;N117,MATERIAS!A:G,7,FALSE)</f>
        <v>240</v>
      </c>
      <c r="P117">
        <f>VLOOKUP(I117,CALIFICACION!A:C,3,FALSE)</f>
        <v>4</v>
      </c>
      <c r="Q117">
        <f>VLOOKUP(A117,ALUMNOS!A:B,2,FALSE)</f>
        <v>143</v>
      </c>
      <c r="R117">
        <f>VLOOKUP(D117,CONDICION!A:B,2,FALSE)</f>
        <v>1</v>
      </c>
    </row>
    <row r="118" spans="1:18" x14ac:dyDescent="0.25">
      <c r="A118">
        <v>49318740</v>
      </c>
      <c r="B118" t="s">
        <v>197</v>
      </c>
      <c r="C118" t="s">
        <v>12</v>
      </c>
      <c r="D118" t="s">
        <v>43</v>
      </c>
      <c r="E118" t="s">
        <v>143</v>
      </c>
      <c r="F118" s="2">
        <v>45474</v>
      </c>
      <c r="G118" s="3">
        <v>0.33333333333333331</v>
      </c>
      <c r="H118">
        <v>2023</v>
      </c>
      <c r="I118">
        <v>2</v>
      </c>
      <c r="J118">
        <v>68</v>
      </c>
      <c r="K118">
        <v>62</v>
      </c>
      <c r="L118">
        <f>VLOOKUP(UPPER(TEXT(F118,"mmmm"))&amp;TEXT(F118,"yyyy"),TURNOS!A:F,6,FALSE)</f>
        <v>2</v>
      </c>
      <c r="M118">
        <f>VLOOKUP(VLOOKUP(A118&amp;C118&amp;E118,'PREVIOS (2)'!B:K,10,FALSE),PLAN!A:B,2,FALSE)</f>
        <v>5</v>
      </c>
      <c r="N118">
        <f>VLOOKUP(E118&amp;M118,CURSO!A:D,4,FALSE)</f>
        <v>19</v>
      </c>
      <c r="O118">
        <f>VLOOKUP(C118&amp;N118,MATERIAS!A:G,7,FALSE)</f>
        <v>240</v>
      </c>
      <c r="P118">
        <f>VLOOKUP(I118,CALIFICACION!A:C,3,FALSE)</f>
        <v>4</v>
      </c>
      <c r="Q118">
        <f>VLOOKUP(A118,ALUMNOS!A:B,2,FALSE)</f>
        <v>285</v>
      </c>
      <c r="R118">
        <f>VLOOKUP(D118,CONDICION!A:B,2,FALSE)</f>
        <v>1</v>
      </c>
    </row>
    <row r="119" spans="1:18" x14ac:dyDescent="0.25">
      <c r="A119">
        <v>47653252</v>
      </c>
      <c r="B119" t="s">
        <v>230</v>
      </c>
      <c r="C119" t="s">
        <v>12</v>
      </c>
      <c r="D119" t="s">
        <v>43</v>
      </c>
      <c r="E119" t="s">
        <v>143</v>
      </c>
      <c r="F119" s="2">
        <v>45474</v>
      </c>
      <c r="G119" s="3">
        <v>0.33333333333333331</v>
      </c>
      <c r="H119">
        <v>2021</v>
      </c>
      <c r="I119">
        <v>7</v>
      </c>
      <c r="J119">
        <v>68</v>
      </c>
      <c r="K119">
        <v>62</v>
      </c>
      <c r="L119">
        <f>VLOOKUP(UPPER(TEXT(F119,"mmmm"))&amp;TEXT(F119,"yyyy"),TURNOS!A:F,6,FALSE)</f>
        <v>2</v>
      </c>
      <c r="M119">
        <f>VLOOKUP(VLOOKUP(A119&amp;C119&amp;E119,'PREVIOS (2)'!B:K,10,FALSE),PLAN!A:B,2,FALSE)</f>
        <v>5</v>
      </c>
      <c r="N119">
        <f>VLOOKUP(E119&amp;M119,CURSO!A:D,4,FALSE)</f>
        <v>19</v>
      </c>
      <c r="O119">
        <f>VLOOKUP(C119&amp;N119,MATERIAS!A:G,7,FALSE)</f>
        <v>240</v>
      </c>
      <c r="P119">
        <f>VLOOKUP(I119,CALIFICACION!A:C,3,FALSE)</f>
        <v>9</v>
      </c>
      <c r="Q119">
        <f>VLOOKUP(A119,ALUMNOS!A:B,2,FALSE)</f>
        <v>341</v>
      </c>
      <c r="R119">
        <f>VLOOKUP(D119,CONDICION!A:B,2,FALSE)</f>
        <v>1</v>
      </c>
    </row>
    <row r="120" spans="1:18" x14ac:dyDescent="0.25">
      <c r="A120">
        <v>45887410</v>
      </c>
      <c r="B120" t="s">
        <v>400</v>
      </c>
      <c r="C120" t="s">
        <v>21</v>
      </c>
      <c r="D120" t="s">
        <v>43</v>
      </c>
      <c r="E120" t="s">
        <v>190</v>
      </c>
      <c r="F120" s="2">
        <v>45474</v>
      </c>
      <c r="G120" s="3">
        <v>0.33333333333333331</v>
      </c>
      <c r="H120">
        <v>2021</v>
      </c>
      <c r="I120">
        <v>7</v>
      </c>
      <c r="J120">
        <v>68</v>
      </c>
      <c r="K120">
        <v>58</v>
      </c>
      <c r="L120">
        <f>VLOOKUP(UPPER(TEXT(F120,"mmmm"))&amp;TEXT(F120,"yyyy"),TURNOS!A:F,6,FALSE)</f>
        <v>2</v>
      </c>
      <c r="M120">
        <f>VLOOKUP(VLOOKUP(A120&amp;C120&amp;E120,'PREVIOS (2)'!B:K,10,FALSE),PLAN!A:B,2,FALSE)</f>
        <v>6</v>
      </c>
      <c r="N120">
        <f>VLOOKUP(E120&amp;M120,CURSO!A:D,4,FALSE)</f>
        <v>20</v>
      </c>
      <c r="O120">
        <f>VLOOKUP(C120&amp;N120,MATERIAS!A:G,7,FALSE)</f>
        <v>253</v>
      </c>
      <c r="P120">
        <f>VLOOKUP(I120,CALIFICACION!A:C,3,FALSE)</f>
        <v>9</v>
      </c>
      <c r="Q120">
        <f>VLOOKUP(A120,ALUMNOS!A:B,2,FALSE)</f>
        <v>338</v>
      </c>
      <c r="R120">
        <f>VLOOKUP(D120,CONDICION!A:B,2,FALSE)</f>
        <v>1</v>
      </c>
    </row>
    <row r="121" spans="1:18" x14ac:dyDescent="0.25">
      <c r="A121">
        <v>46226738</v>
      </c>
      <c r="B121" t="s">
        <v>401</v>
      </c>
      <c r="C121" t="s">
        <v>12</v>
      </c>
      <c r="D121" t="s">
        <v>43</v>
      </c>
      <c r="E121" t="s">
        <v>190</v>
      </c>
      <c r="F121" s="2">
        <v>45474</v>
      </c>
      <c r="G121" s="3">
        <v>0.33333333333333331</v>
      </c>
      <c r="H121">
        <v>2022</v>
      </c>
      <c r="I121" t="s">
        <v>50</v>
      </c>
      <c r="J121">
        <v>68</v>
      </c>
      <c r="K121">
        <v>63</v>
      </c>
      <c r="L121">
        <f>VLOOKUP(UPPER(TEXT(F121,"mmmm"))&amp;TEXT(F121,"yyyy"),TURNOS!A:F,6,FALSE)</f>
        <v>2</v>
      </c>
      <c r="M121">
        <f>VLOOKUP(VLOOKUP(A121&amp;C121&amp;E121,'PREVIOS (2)'!B:K,10,FALSE),PLAN!A:B,2,FALSE)</f>
        <v>6</v>
      </c>
      <c r="N121">
        <f>VLOOKUP(E121&amp;M121,CURSO!A:D,4,FALSE)</f>
        <v>20</v>
      </c>
      <c r="O121">
        <f>VLOOKUP(C121&amp;N121,MATERIAS!A:G,7,FALSE)</f>
        <v>252</v>
      </c>
      <c r="P121">
        <f>VLOOKUP(I121,CALIFICACION!A:C,3,FALSE)</f>
        <v>2</v>
      </c>
      <c r="Q121">
        <f>VLOOKUP(A121,ALUMNOS!A:B,2,FALSE)</f>
        <v>536</v>
      </c>
      <c r="R121">
        <f>VLOOKUP(D121,CONDICION!A:B,2,FALSE)</f>
        <v>1</v>
      </c>
    </row>
    <row r="122" spans="1:18" x14ac:dyDescent="0.25">
      <c r="A122">
        <v>46584794</v>
      </c>
      <c r="B122" t="s">
        <v>392</v>
      </c>
      <c r="C122" t="s">
        <v>28</v>
      </c>
      <c r="D122" t="s">
        <v>43</v>
      </c>
      <c r="E122" t="s">
        <v>220</v>
      </c>
      <c r="F122" s="2">
        <v>45474</v>
      </c>
      <c r="G122" s="3">
        <v>0.33333333333333331</v>
      </c>
      <c r="H122">
        <v>2022</v>
      </c>
      <c r="I122">
        <v>7</v>
      </c>
      <c r="J122">
        <v>68</v>
      </c>
      <c r="K122">
        <v>54</v>
      </c>
      <c r="L122">
        <f>VLOOKUP(UPPER(TEXT(F122,"mmmm"))&amp;TEXT(F122,"yyyy"),TURNOS!A:F,6,FALSE)</f>
        <v>2</v>
      </c>
      <c r="M122">
        <f>VLOOKUP(VLOOKUP(A122&amp;C122&amp;E122,'PREVIOS (2)'!B:K,10,FALSE),PLAN!A:B,2,FALSE)</f>
        <v>6</v>
      </c>
      <c r="N122">
        <f>VLOOKUP(E122&amp;M122,CURSO!A:D,4,FALSE)</f>
        <v>21</v>
      </c>
      <c r="O122">
        <f>VLOOKUP(C122&amp;N122,MATERIAS!A:G,7,FALSE)</f>
        <v>272</v>
      </c>
      <c r="P122">
        <f>VLOOKUP(I122,CALIFICACION!A:C,3,FALSE)</f>
        <v>9</v>
      </c>
      <c r="Q122">
        <f>VLOOKUP(A122,ALUMNOS!A:B,2,FALSE)</f>
        <v>509</v>
      </c>
      <c r="R122">
        <f>VLOOKUP(D122,CONDICION!A:B,2,FALSE)</f>
        <v>1</v>
      </c>
    </row>
    <row r="123" spans="1:18" x14ac:dyDescent="0.25">
      <c r="A123">
        <v>48130212</v>
      </c>
      <c r="B123" t="s">
        <v>252</v>
      </c>
      <c r="C123" t="s">
        <v>12</v>
      </c>
      <c r="D123" t="s">
        <v>43</v>
      </c>
      <c r="E123" t="s">
        <v>220</v>
      </c>
      <c r="F123" s="2">
        <v>45474</v>
      </c>
      <c r="G123" s="3">
        <v>0.33333333333333331</v>
      </c>
      <c r="H123">
        <v>2023</v>
      </c>
      <c r="I123">
        <v>4</v>
      </c>
      <c r="J123">
        <v>68</v>
      </c>
      <c r="K123">
        <v>64</v>
      </c>
      <c r="L123">
        <f>VLOOKUP(UPPER(TEXT(F123,"mmmm"))&amp;TEXT(F123,"yyyy"),TURNOS!A:F,6,FALSE)</f>
        <v>2</v>
      </c>
      <c r="M123">
        <f>VLOOKUP(VLOOKUP(A123&amp;C123&amp;E123,'PREVIOS (2)'!B:K,10,FALSE),PLAN!A:B,2,FALSE)</f>
        <v>6</v>
      </c>
      <c r="N123">
        <f>VLOOKUP(E123&amp;M123,CURSO!A:D,4,FALSE)</f>
        <v>21</v>
      </c>
      <c r="O123">
        <f>VLOOKUP(C123&amp;N123,MATERIAS!A:G,7,FALSE)</f>
        <v>265</v>
      </c>
      <c r="P123">
        <f>VLOOKUP(I123,CALIFICACION!A:C,3,FALSE)</f>
        <v>6</v>
      </c>
      <c r="Q123">
        <f>VLOOKUP(A123,ALUMNOS!A:B,2,FALSE)</f>
        <v>585</v>
      </c>
      <c r="R123">
        <f>VLOOKUP(D123,CONDICION!A:B,2,FALSE)</f>
        <v>1</v>
      </c>
    </row>
    <row r="124" spans="1:18" x14ac:dyDescent="0.25">
      <c r="A124">
        <v>46037429</v>
      </c>
      <c r="B124" t="s">
        <v>377</v>
      </c>
      <c r="C124" t="s">
        <v>28</v>
      </c>
      <c r="D124" t="s">
        <v>43</v>
      </c>
      <c r="E124" t="s">
        <v>245</v>
      </c>
      <c r="F124" s="2">
        <v>45474</v>
      </c>
      <c r="G124" s="3">
        <v>0.33333333333333331</v>
      </c>
      <c r="H124">
        <v>2022</v>
      </c>
      <c r="I124">
        <v>7</v>
      </c>
      <c r="J124">
        <v>68</v>
      </c>
      <c r="K124">
        <v>55</v>
      </c>
      <c r="L124">
        <f>VLOOKUP(UPPER(TEXT(F124,"mmmm"))&amp;TEXT(F124,"yyyy"),TURNOS!A:F,6,FALSE)</f>
        <v>2</v>
      </c>
      <c r="M124">
        <f>VLOOKUP(VLOOKUP(A124&amp;C124&amp;E124,'PREVIOS (2)'!B:K,10,FALSE),PLAN!A:B,2,FALSE)</f>
        <v>6</v>
      </c>
      <c r="N124">
        <f>VLOOKUP(E124&amp;M124,CURSO!A:D,4,FALSE)</f>
        <v>22</v>
      </c>
      <c r="O124">
        <f>VLOOKUP(C124&amp;N124,MATERIAS!A:G,7,FALSE)</f>
        <v>291</v>
      </c>
      <c r="P124">
        <f>VLOOKUP(I124,CALIFICACION!A:C,3,FALSE)</f>
        <v>9</v>
      </c>
      <c r="Q124">
        <f>VLOOKUP(A124,ALUMNOS!A:B,2,FALSE)</f>
        <v>580</v>
      </c>
      <c r="R124">
        <f>VLOOKUP(D124,CONDICION!A:B,2,FALSE)</f>
        <v>1</v>
      </c>
    </row>
    <row r="125" spans="1:18" x14ac:dyDescent="0.25">
      <c r="A125">
        <v>46524776</v>
      </c>
      <c r="B125" t="s">
        <v>385</v>
      </c>
      <c r="C125" t="s">
        <v>12</v>
      </c>
      <c r="D125" t="s">
        <v>43</v>
      </c>
      <c r="E125" t="s">
        <v>245</v>
      </c>
      <c r="F125" s="2">
        <v>45474</v>
      </c>
      <c r="G125" s="3">
        <v>0.33333333333333331</v>
      </c>
      <c r="H125">
        <v>2022</v>
      </c>
      <c r="I125">
        <v>7</v>
      </c>
      <c r="J125">
        <v>68</v>
      </c>
      <c r="K125">
        <v>65</v>
      </c>
      <c r="L125">
        <f>VLOOKUP(UPPER(TEXT(F125,"mmmm"))&amp;TEXT(F125,"yyyy"),TURNOS!A:F,6,FALSE)</f>
        <v>2</v>
      </c>
      <c r="M125">
        <f>VLOOKUP(VLOOKUP(A125&amp;C125&amp;E125,'PREVIOS (2)'!B:K,10,FALSE),PLAN!A:B,2,FALSE)</f>
        <v>6</v>
      </c>
      <c r="N125">
        <f>VLOOKUP(E125&amp;M125,CURSO!A:D,4,FALSE)</f>
        <v>22</v>
      </c>
      <c r="O125">
        <f>VLOOKUP(C125&amp;N125,MATERIAS!A:G,7,FALSE)</f>
        <v>280</v>
      </c>
      <c r="P125">
        <f>VLOOKUP(I125,CALIFICACION!A:C,3,FALSE)</f>
        <v>9</v>
      </c>
      <c r="Q125">
        <f>VLOOKUP(A125,ALUMNOS!A:B,2,FALSE)</f>
        <v>768</v>
      </c>
      <c r="R125">
        <f>VLOOKUP(D125,CONDICION!A:B,2,FALSE)</f>
        <v>1</v>
      </c>
    </row>
    <row r="126" spans="1:18" x14ac:dyDescent="0.25">
      <c r="A126">
        <v>46226738</v>
      </c>
      <c r="B126" t="s">
        <v>401</v>
      </c>
      <c r="C126" t="s">
        <v>25</v>
      </c>
      <c r="D126" t="s">
        <v>43</v>
      </c>
      <c r="E126" t="s">
        <v>245</v>
      </c>
      <c r="F126" s="2">
        <v>45474</v>
      </c>
      <c r="G126" s="3">
        <v>0.33333333333333331</v>
      </c>
      <c r="H126">
        <v>2023</v>
      </c>
      <c r="I126" t="s">
        <v>50</v>
      </c>
      <c r="J126">
        <v>68</v>
      </c>
      <c r="K126">
        <v>59</v>
      </c>
      <c r="L126">
        <f>VLOOKUP(UPPER(TEXT(F126,"mmmm"))&amp;TEXT(F126,"yyyy"),TURNOS!A:F,6,FALSE)</f>
        <v>2</v>
      </c>
      <c r="M126">
        <f>VLOOKUP(VLOOKUP(A126&amp;C126&amp;E126,'PREVIOS (2)'!B:K,10,FALSE),PLAN!A:B,2,FALSE)</f>
        <v>6</v>
      </c>
      <c r="N126">
        <f>VLOOKUP(E126&amp;M126,CURSO!A:D,4,FALSE)</f>
        <v>22</v>
      </c>
      <c r="O126">
        <f>VLOOKUP(C126&amp;N126,MATERIAS!A:G,7,FALSE)</f>
        <v>281</v>
      </c>
      <c r="P126">
        <f>VLOOKUP(I126,CALIFICACION!A:C,3,FALSE)</f>
        <v>2</v>
      </c>
      <c r="Q126">
        <f>VLOOKUP(A126,ALUMNOS!A:B,2,FALSE)</f>
        <v>536</v>
      </c>
      <c r="R126">
        <f>VLOOKUP(D126,CONDICION!A:B,2,FALSE)</f>
        <v>1</v>
      </c>
    </row>
    <row r="127" spans="1:18" x14ac:dyDescent="0.25">
      <c r="A127">
        <v>47250822</v>
      </c>
      <c r="B127" t="s">
        <v>402</v>
      </c>
      <c r="C127" t="s">
        <v>25</v>
      </c>
      <c r="D127" t="s">
        <v>43</v>
      </c>
      <c r="E127" t="s">
        <v>245</v>
      </c>
      <c r="F127" s="2">
        <v>45474</v>
      </c>
      <c r="G127" s="3">
        <v>0.33333333333333331</v>
      </c>
      <c r="H127">
        <v>2023</v>
      </c>
      <c r="I127">
        <v>7</v>
      </c>
      <c r="J127">
        <v>68</v>
      </c>
      <c r="K127">
        <v>59</v>
      </c>
      <c r="L127">
        <f>VLOOKUP(UPPER(TEXT(F127,"mmmm"))&amp;TEXT(F127,"yyyy"),TURNOS!A:F,6,FALSE)</f>
        <v>2</v>
      </c>
      <c r="M127">
        <f>VLOOKUP(VLOOKUP(A127&amp;C127&amp;E127,'PREVIOS (2)'!B:K,10,FALSE),PLAN!A:B,2,FALSE)</f>
        <v>6</v>
      </c>
      <c r="N127">
        <f>VLOOKUP(E127&amp;M127,CURSO!A:D,4,FALSE)</f>
        <v>22</v>
      </c>
      <c r="O127">
        <f>VLOOKUP(C127&amp;N127,MATERIAS!A:G,7,FALSE)</f>
        <v>281</v>
      </c>
      <c r="P127">
        <f>VLOOKUP(I127,CALIFICACION!A:C,3,FALSE)</f>
        <v>9</v>
      </c>
      <c r="Q127">
        <f>VLOOKUP(A127,ALUMNOS!A:B,2,FALSE)</f>
        <v>581</v>
      </c>
      <c r="R127">
        <f>VLOOKUP(D127,CONDICION!A:B,2,FALSE)</f>
        <v>1</v>
      </c>
    </row>
    <row r="128" spans="1:18" x14ac:dyDescent="0.25">
      <c r="A128">
        <v>47989251</v>
      </c>
      <c r="B128" t="s">
        <v>160</v>
      </c>
      <c r="C128" t="s">
        <v>19</v>
      </c>
      <c r="D128" t="s">
        <v>43</v>
      </c>
      <c r="E128" t="s">
        <v>95</v>
      </c>
      <c r="F128" s="2">
        <v>45474</v>
      </c>
      <c r="G128" s="3">
        <v>0.54166666666666663</v>
      </c>
      <c r="H128">
        <v>2023</v>
      </c>
      <c r="I128" t="s">
        <v>50</v>
      </c>
      <c r="J128">
        <v>68</v>
      </c>
      <c r="K128">
        <v>52</v>
      </c>
      <c r="L128">
        <f>VLOOKUP(UPPER(TEXT(F128,"mmmm"))&amp;TEXT(F128,"yyyy"),TURNOS!A:F,6,FALSE)</f>
        <v>2</v>
      </c>
      <c r="M128">
        <f>VLOOKUP(VLOOKUP(A128&amp;C128&amp;E128,'PREVIOS (2)'!B:K,10,FALSE),PLAN!A:B,2,FALSE)</f>
        <v>5</v>
      </c>
      <c r="N128">
        <f>VLOOKUP(E128&amp;M128,CURSO!A:D,4,FALSE)</f>
        <v>18</v>
      </c>
      <c r="O128">
        <f>VLOOKUP(C128&amp;N128,MATERIAS!A:G,7,FALSE)</f>
        <v>237</v>
      </c>
      <c r="P128">
        <f>VLOOKUP(I128,CALIFICACION!A:C,3,FALSE)</f>
        <v>2</v>
      </c>
      <c r="Q128">
        <f>VLOOKUP(A128,ALUMNOS!A:B,2,FALSE)</f>
        <v>16</v>
      </c>
      <c r="R128">
        <f>VLOOKUP(D128,CONDICION!A:B,2,FALSE)</f>
        <v>1</v>
      </c>
    </row>
    <row r="129" spans="1:18" x14ac:dyDescent="0.25">
      <c r="A129">
        <v>49458710</v>
      </c>
      <c r="B129" t="s">
        <v>213</v>
      </c>
      <c r="C129" t="s">
        <v>27</v>
      </c>
      <c r="D129" t="s">
        <v>43</v>
      </c>
      <c r="E129" t="s">
        <v>143</v>
      </c>
      <c r="F129" s="2">
        <v>45474</v>
      </c>
      <c r="G129" s="3">
        <v>0.54166666666666663</v>
      </c>
      <c r="H129">
        <v>2023</v>
      </c>
      <c r="I129">
        <v>2</v>
      </c>
      <c r="J129">
        <v>68</v>
      </c>
      <c r="K129">
        <v>67</v>
      </c>
      <c r="L129">
        <f>VLOOKUP(UPPER(TEXT(F129,"mmmm"))&amp;TEXT(F129,"yyyy"),TURNOS!A:F,6,FALSE)</f>
        <v>2</v>
      </c>
      <c r="M129">
        <f>VLOOKUP(VLOOKUP(A129&amp;C129&amp;E129,'PREVIOS (2)'!B:K,10,FALSE),PLAN!A:B,2,FALSE)</f>
        <v>5</v>
      </c>
      <c r="N129">
        <f>VLOOKUP(E129&amp;M129,CURSO!A:D,4,FALSE)</f>
        <v>19</v>
      </c>
      <c r="O129">
        <f>VLOOKUP(C129&amp;N129,MATERIAS!A:G,7,FALSE)</f>
        <v>244</v>
      </c>
      <c r="P129">
        <f>VLOOKUP(I129,CALIFICACION!A:C,3,FALSE)</f>
        <v>4</v>
      </c>
      <c r="Q129">
        <f>VLOOKUP(A129,ALUMNOS!A:B,2,FALSE)</f>
        <v>806</v>
      </c>
      <c r="R129">
        <f>VLOOKUP(D129,CONDICION!A:B,2,FALSE)</f>
        <v>1</v>
      </c>
    </row>
    <row r="130" spans="1:18" x14ac:dyDescent="0.25">
      <c r="A130">
        <v>46571754</v>
      </c>
      <c r="B130" t="s">
        <v>399</v>
      </c>
      <c r="C130" t="s">
        <v>30</v>
      </c>
      <c r="D130" t="s">
        <v>44</v>
      </c>
      <c r="E130" t="s">
        <v>220</v>
      </c>
      <c r="F130" s="2">
        <v>45475</v>
      </c>
      <c r="G130" s="3">
        <v>0.54166666666666663</v>
      </c>
      <c r="H130">
        <v>2023</v>
      </c>
      <c r="I130">
        <v>8</v>
      </c>
      <c r="J130">
        <v>70</v>
      </c>
      <c r="K130">
        <v>1</v>
      </c>
      <c r="L130">
        <f>VLOOKUP(UPPER(TEXT(F130,"mmmm"))&amp;TEXT(F130,"yyyy"),TURNOS!A:F,6,FALSE)</f>
        <v>2</v>
      </c>
      <c r="M130">
        <f>VLOOKUP(VLOOKUP(A130&amp;C130&amp;E130,'PREVIOS (2)'!B:K,10,FALSE),PLAN!A:B,2,FALSE)</f>
        <v>6</v>
      </c>
      <c r="N130">
        <f>VLOOKUP(E130&amp;M130,CURSO!A:D,4,FALSE)</f>
        <v>21</v>
      </c>
      <c r="O130">
        <f>VLOOKUP(C130&amp;N130,MATERIAS!A:G,7,FALSE)</f>
        <v>274</v>
      </c>
      <c r="P130">
        <f>VLOOKUP(I130,CALIFICACION!A:C,3,FALSE)</f>
        <v>10</v>
      </c>
      <c r="Q130">
        <f>VLOOKUP(A130,ALUMNOS!A:B,2,FALSE)</f>
        <v>235</v>
      </c>
      <c r="R130">
        <f>VLOOKUP(D130,CONDICION!A:B,2,FALSE)</f>
        <v>2</v>
      </c>
    </row>
    <row r="131" spans="1:18" x14ac:dyDescent="0.25">
      <c r="A131">
        <v>46571754</v>
      </c>
      <c r="B131" t="s">
        <v>399</v>
      </c>
      <c r="C131" t="s">
        <v>34</v>
      </c>
      <c r="D131" t="s">
        <v>44</v>
      </c>
      <c r="E131" t="s">
        <v>220</v>
      </c>
      <c r="F131" s="2">
        <v>45475</v>
      </c>
      <c r="G131" s="3">
        <v>0.54166666666666663</v>
      </c>
      <c r="H131">
        <v>2023</v>
      </c>
      <c r="I131">
        <v>8</v>
      </c>
      <c r="J131">
        <v>70</v>
      </c>
      <c r="K131">
        <v>3</v>
      </c>
      <c r="L131">
        <f>VLOOKUP(UPPER(TEXT(F131,"mmmm"))&amp;TEXT(F131,"yyyy"),TURNOS!A:F,6,FALSE)</f>
        <v>2</v>
      </c>
      <c r="M131">
        <f>VLOOKUP(VLOOKUP(A131&amp;C131&amp;E131,'PREVIOS (2)'!B:K,10,FALSE),PLAN!A:B,2,FALSE)</f>
        <v>6</v>
      </c>
      <c r="N131">
        <f>VLOOKUP(E131&amp;M131,CURSO!A:D,4,FALSE)</f>
        <v>21</v>
      </c>
      <c r="O131">
        <f>VLOOKUP(C131&amp;N131,MATERIAS!A:G,7,FALSE)</f>
        <v>275</v>
      </c>
      <c r="P131">
        <f>VLOOKUP(I131,CALIFICACION!A:C,3,FALSE)</f>
        <v>10</v>
      </c>
      <c r="Q131">
        <f>VLOOKUP(A131,ALUMNOS!A:B,2,FALSE)</f>
        <v>235</v>
      </c>
      <c r="R131">
        <f>VLOOKUP(D131,CONDICION!A:B,2,FALSE)</f>
        <v>2</v>
      </c>
    </row>
    <row r="132" spans="1:18" x14ac:dyDescent="0.25">
      <c r="A132">
        <v>46226738</v>
      </c>
      <c r="B132" t="s">
        <v>401</v>
      </c>
      <c r="C132" t="s">
        <v>41</v>
      </c>
      <c r="D132" t="s">
        <v>43</v>
      </c>
      <c r="E132" t="s">
        <v>245</v>
      </c>
      <c r="F132" s="2">
        <v>45474</v>
      </c>
      <c r="G132" s="3">
        <v>0.54166666666666663</v>
      </c>
      <c r="H132">
        <v>2023</v>
      </c>
      <c r="I132" t="s">
        <v>50</v>
      </c>
      <c r="J132">
        <v>68</v>
      </c>
      <c r="K132">
        <v>66</v>
      </c>
      <c r="L132">
        <f>VLOOKUP(UPPER(TEXT(F132,"mmmm"))&amp;TEXT(F132,"yyyy"),TURNOS!A:F,6,FALSE)</f>
        <v>2</v>
      </c>
      <c r="M132">
        <f>VLOOKUP(VLOOKUP(A132&amp;C132&amp;E132,'PREVIOS (2)'!B:K,10,FALSE),PLAN!A:B,2,FALSE)</f>
        <v>6</v>
      </c>
      <c r="N132">
        <f>VLOOKUP(E132&amp;M132,CURSO!A:D,4,FALSE)</f>
        <v>22</v>
      </c>
      <c r="O132">
        <f>VLOOKUP(C132&amp;N132,MATERIAS!A:G,7,FALSE)</f>
        <v>292</v>
      </c>
      <c r="P132">
        <f>VLOOKUP(I132,CALIFICACION!A:C,3,FALSE)</f>
        <v>2</v>
      </c>
      <c r="Q132">
        <f>VLOOKUP(A132,ALUMNOS!A:B,2,FALSE)</f>
        <v>536</v>
      </c>
      <c r="R132">
        <f>VLOOKUP(D132,CONDICION!A:B,2,FALSE)</f>
        <v>1</v>
      </c>
    </row>
    <row r="133" spans="1:18" x14ac:dyDescent="0.25">
      <c r="A133">
        <v>46037429</v>
      </c>
      <c r="B133" t="s">
        <v>377</v>
      </c>
      <c r="C133" t="s">
        <v>41</v>
      </c>
      <c r="D133" t="s">
        <v>43</v>
      </c>
      <c r="E133" t="s">
        <v>245</v>
      </c>
      <c r="F133" s="2">
        <v>45474</v>
      </c>
      <c r="G133" s="3">
        <v>0.54166666666666663</v>
      </c>
      <c r="H133">
        <v>2022</v>
      </c>
      <c r="I133" t="s">
        <v>50</v>
      </c>
      <c r="J133">
        <v>68</v>
      </c>
      <c r="K133">
        <v>66</v>
      </c>
      <c r="L133">
        <f>VLOOKUP(UPPER(TEXT(F133,"mmmm"))&amp;TEXT(F133,"yyyy"),TURNOS!A:F,6,FALSE)</f>
        <v>2</v>
      </c>
      <c r="M133">
        <f>VLOOKUP(VLOOKUP(A133&amp;C133&amp;E133,'PREVIOS (2)'!B:K,10,FALSE),PLAN!A:B,2,FALSE)</f>
        <v>6</v>
      </c>
      <c r="N133">
        <f>VLOOKUP(E133&amp;M133,CURSO!A:D,4,FALSE)</f>
        <v>22</v>
      </c>
      <c r="O133">
        <f>VLOOKUP(C133&amp;N133,MATERIAS!A:G,7,FALSE)</f>
        <v>292</v>
      </c>
      <c r="P133">
        <f>VLOOKUP(I133,CALIFICACION!A:C,3,FALSE)</f>
        <v>2</v>
      </c>
      <c r="Q133">
        <f>VLOOKUP(A133,ALUMNOS!A:B,2,FALSE)</f>
        <v>580</v>
      </c>
      <c r="R133">
        <f>VLOOKUP(D133,CONDICION!A:B,2,FALSE)</f>
        <v>1</v>
      </c>
    </row>
    <row r="134" spans="1:18" x14ac:dyDescent="0.25">
      <c r="A134">
        <v>49716919</v>
      </c>
      <c r="B134" t="s">
        <v>140</v>
      </c>
      <c r="C134" t="s">
        <v>17</v>
      </c>
      <c r="D134" t="s">
        <v>43</v>
      </c>
      <c r="E134" t="s">
        <v>98</v>
      </c>
      <c r="F134" s="2">
        <v>45475</v>
      </c>
      <c r="G134" s="3">
        <v>0.33333333333333331</v>
      </c>
      <c r="H134">
        <v>2022</v>
      </c>
      <c r="I134" t="s">
        <v>50</v>
      </c>
      <c r="J134">
        <v>68</v>
      </c>
      <c r="K134">
        <v>69</v>
      </c>
      <c r="L134">
        <f>VLOOKUP(UPPER(TEXT(F134,"mmmm"))&amp;TEXT(F134,"yyyy"),TURNOS!A:F,6,FALSE)</f>
        <v>2</v>
      </c>
      <c r="M134">
        <f>VLOOKUP(VLOOKUP(A134&amp;C134&amp;E134,'PREVIOS (2)'!B:K,10,FALSE),PLAN!A:B,2,FALSE)</f>
        <v>5</v>
      </c>
      <c r="N134">
        <f>VLOOKUP(E134&amp;M134,CURSO!A:D,4,FALSE)</f>
        <v>17</v>
      </c>
      <c r="O134">
        <f>VLOOKUP(C134&amp;N134,MATERIAS!A:G,7,FALSE)</f>
        <v>225</v>
      </c>
      <c r="P134">
        <f>VLOOKUP(I134,CALIFICACION!A:C,3,FALSE)</f>
        <v>2</v>
      </c>
      <c r="Q134">
        <f>VLOOKUP(A134,ALUMNOS!A:B,2,FALSE)</f>
        <v>655</v>
      </c>
      <c r="R134">
        <f>VLOOKUP(D134,CONDICION!A:B,2,FALSE)</f>
        <v>1</v>
      </c>
    </row>
    <row r="135" spans="1:18" x14ac:dyDescent="0.25">
      <c r="A135">
        <v>50262337</v>
      </c>
      <c r="B135" t="s">
        <v>163</v>
      </c>
      <c r="C135" t="s">
        <v>11</v>
      </c>
      <c r="D135" t="s">
        <v>43</v>
      </c>
      <c r="E135" t="s">
        <v>98</v>
      </c>
      <c r="F135" s="2">
        <v>45475</v>
      </c>
      <c r="G135" s="3">
        <v>0.33333333333333331</v>
      </c>
      <c r="H135">
        <v>2022</v>
      </c>
      <c r="I135">
        <v>2</v>
      </c>
      <c r="J135">
        <v>68</v>
      </c>
      <c r="K135">
        <v>73</v>
      </c>
      <c r="L135">
        <f>VLOOKUP(UPPER(TEXT(F135,"mmmm"))&amp;TEXT(F135,"yyyy"),TURNOS!A:F,6,FALSE)</f>
        <v>2</v>
      </c>
      <c r="M135">
        <f>VLOOKUP(VLOOKUP(A135&amp;C135&amp;E135,'PREVIOS (2)'!B:K,10,FALSE),PLAN!A:B,2,FALSE)</f>
        <v>5</v>
      </c>
      <c r="N135">
        <f>VLOOKUP(E135&amp;M135,CURSO!A:D,4,FALSE)</f>
        <v>17</v>
      </c>
      <c r="O135">
        <f>VLOOKUP(C135&amp;N135,MATERIAS!A:G,7,FALSE)</f>
        <v>219</v>
      </c>
      <c r="P135">
        <f>VLOOKUP(I135,CALIFICACION!A:C,3,FALSE)</f>
        <v>4</v>
      </c>
      <c r="Q135">
        <f>VLOOKUP(A135,ALUMNOS!A:B,2,FALSE)</f>
        <v>75</v>
      </c>
      <c r="R135">
        <f>VLOOKUP(D135,CONDICION!A:B,2,FALSE)</f>
        <v>1</v>
      </c>
    </row>
    <row r="136" spans="1:18" x14ac:dyDescent="0.25">
      <c r="A136">
        <v>51013768</v>
      </c>
      <c r="B136" t="s">
        <v>129</v>
      </c>
      <c r="C136" t="s">
        <v>11</v>
      </c>
      <c r="D136" t="s">
        <v>43</v>
      </c>
      <c r="E136" t="s">
        <v>98</v>
      </c>
      <c r="F136" s="2">
        <v>45475</v>
      </c>
      <c r="G136" s="3">
        <v>0.33333333333333331</v>
      </c>
      <c r="H136">
        <v>2023</v>
      </c>
      <c r="I136">
        <v>4</v>
      </c>
      <c r="J136">
        <v>68</v>
      </c>
      <c r="K136">
        <v>73</v>
      </c>
      <c r="L136">
        <f>VLOOKUP(UPPER(TEXT(F136,"mmmm"))&amp;TEXT(F136,"yyyy"),TURNOS!A:F,6,FALSE)</f>
        <v>2</v>
      </c>
      <c r="M136">
        <f>VLOOKUP(VLOOKUP(A136&amp;C136&amp;E136,'PREVIOS (2)'!B:K,10,FALSE),PLAN!A:B,2,FALSE)</f>
        <v>5</v>
      </c>
      <c r="N136">
        <f>VLOOKUP(E136&amp;M136,CURSO!A:D,4,FALSE)</f>
        <v>17</v>
      </c>
      <c r="O136">
        <f>VLOOKUP(C136&amp;N136,MATERIAS!A:G,7,FALSE)</f>
        <v>219</v>
      </c>
      <c r="P136">
        <f>VLOOKUP(I136,CALIFICACION!A:C,3,FALSE)</f>
        <v>6</v>
      </c>
      <c r="Q136">
        <f>VLOOKUP(A136,ALUMNOS!A:B,2,FALSE)</f>
        <v>209</v>
      </c>
      <c r="R136">
        <f>VLOOKUP(D136,CONDICION!A:B,2,FALSE)</f>
        <v>1</v>
      </c>
    </row>
    <row r="137" spans="1:18" x14ac:dyDescent="0.25">
      <c r="A137">
        <v>6509219</v>
      </c>
      <c r="B137" t="s">
        <v>133</v>
      </c>
      <c r="C137" t="s">
        <v>11</v>
      </c>
      <c r="D137" t="s">
        <v>43</v>
      </c>
      <c r="E137" t="s">
        <v>98</v>
      </c>
      <c r="F137" s="2">
        <v>45475</v>
      </c>
      <c r="G137" s="3">
        <v>0.33333333333333331</v>
      </c>
      <c r="H137">
        <v>2023</v>
      </c>
      <c r="I137">
        <v>2</v>
      </c>
      <c r="J137">
        <v>68</v>
      </c>
      <c r="K137">
        <v>73</v>
      </c>
      <c r="L137">
        <f>VLOOKUP(UPPER(TEXT(F137,"mmmm"))&amp;TEXT(F137,"yyyy"),TURNOS!A:F,6,FALSE)</f>
        <v>2</v>
      </c>
      <c r="M137">
        <f>VLOOKUP(VLOOKUP(A137&amp;C137&amp;E137,'PREVIOS (2)'!B:K,10,FALSE),PLAN!A:B,2,FALSE)</f>
        <v>5</v>
      </c>
      <c r="N137">
        <f>VLOOKUP(E137&amp;M137,CURSO!A:D,4,FALSE)</f>
        <v>17</v>
      </c>
      <c r="O137">
        <f>VLOOKUP(C137&amp;N137,MATERIAS!A:G,7,FALSE)</f>
        <v>219</v>
      </c>
      <c r="P137">
        <f>VLOOKUP(I137,CALIFICACION!A:C,3,FALSE)</f>
        <v>4</v>
      </c>
      <c r="Q137">
        <f>VLOOKUP(A137,ALUMNOS!A:B,2,FALSE)</f>
        <v>376</v>
      </c>
      <c r="R137">
        <f>VLOOKUP(D137,CONDICION!A:B,2,FALSE)</f>
        <v>1</v>
      </c>
    </row>
    <row r="138" spans="1:18" x14ac:dyDescent="0.25">
      <c r="A138">
        <v>50755633</v>
      </c>
      <c r="B138" t="s">
        <v>135</v>
      </c>
      <c r="C138" t="s">
        <v>11</v>
      </c>
      <c r="D138" t="s">
        <v>43</v>
      </c>
      <c r="E138" t="s">
        <v>98</v>
      </c>
      <c r="F138" s="2">
        <v>45475</v>
      </c>
      <c r="G138" s="3">
        <v>0.33333333333333331</v>
      </c>
      <c r="H138">
        <v>2023</v>
      </c>
      <c r="I138">
        <v>7</v>
      </c>
      <c r="J138">
        <v>68</v>
      </c>
      <c r="K138">
        <v>73</v>
      </c>
      <c r="L138">
        <f>VLOOKUP(UPPER(TEXT(F138,"mmmm"))&amp;TEXT(F138,"yyyy"),TURNOS!A:F,6,FALSE)</f>
        <v>2</v>
      </c>
      <c r="M138">
        <f>VLOOKUP(VLOOKUP(A138&amp;C138&amp;E138,'PREVIOS (2)'!B:K,10,FALSE),PLAN!A:B,2,FALSE)</f>
        <v>5</v>
      </c>
      <c r="N138">
        <f>VLOOKUP(E138&amp;M138,CURSO!A:D,4,FALSE)</f>
        <v>17</v>
      </c>
      <c r="O138">
        <f>VLOOKUP(C138&amp;N138,MATERIAS!A:G,7,FALSE)</f>
        <v>219</v>
      </c>
      <c r="P138">
        <f>VLOOKUP(I138,CALIFICACION!A:C,3,FALSE)</f>
        <v>9</v>
      </c>
      <c r="Q138">
        <f>VLOOKUP(A138,ALUMNOS!A:B,2,FALSE)</f>
        <v>462</v>
      </c>
      <c r="R138">
        <f>VLOOKUP(D138,CONDICION!A:B,2,FALSE)</f>
        <v>1</v>
      </c>
    </row>
    <row r="139" spans="1:18" x14ac:dyDescent="0.25">
      <c r="A139">
        <v>51033873</v>
      </c>
      <c r="B139" t="s">
        <v>142</v>
      </c>
      <c r="C139" t="s">
        <v>11</v>
      </c>
      <c r="D139" t="s">
        <v>43</v>
      </c>
      <c r="E139" t="s">
        <v>98</v>
      </c>
      <c r="F139" s="2">
        <v>45475</v>
      </c>
      <c r="G139" s="3">
        <v>0.33333333333333331</v>
      </c>
      <c r="H139">
        <v>2023</v>
      </c>
      <c r="I139">
        <v>1</v>
      </c>
      <c r="J139">
        <v>68</v>
      </c>
      <c r="K139">
        <v>73</v>
      </c>
      <c r="L139">
        <f>VLOOKUP(UPPER(TEXT(F139,"mmmm"))&amp;TEXT(F139,"yyyy"),TURNOS!A:F,6,FALSE)</f>
        <v>2</v>
      </c>
      <c r="M139">
        <f>VLOOKUP(VLOOKUP(A139&amp;C139&amp;E139,'PREVIOS (2)'!B:K,10,FALSE),PLAN!A:B,2,FALSE)</f>
        <v>5</v>
      </c>
      <c r="N139">
        <f>VLOOKUP(E139&amp;M139,CURSO!A:D,4,FALSE)</f>
        <v>17</v>
      </c>
      <c r="O139">
        <f>VLOOKUP(C139&amp;N139,MATERIAS!A:G,7,FALSE)</f>
        <v>219</v>
      </c>
      <c r="P139">
        <f>VLOOKUP(I139,CALIFICACION!A:C,3,FALSE)</f>
        <v>3</v>
      </c>
      <c r="Q139">
        <f>VLOOKUP(A139,ALUMNOS!A:B,2,FALSE)</f>
        <v>747</v>
      </c>
      <c r="R139">
        <f>VLOOKUP(D139,CONDICION!A:B,2,FALSE)</f>
        <v>1</v>
      </c>
    </row>
    <row r="140" spans="1:18" x14ac:dyDescent="0.25">
      <c r="A140">
        <v>50091901</v>
      </c>
      <c r="B140" t="s">
        <v>158</v>
      </c>
      <c r="C140" t="s">
        <v>23</v>
      </c>
      <c r="D140" t="s">
        <v>43</v>
      </c>
      <c r="E140" t="s">
        <v>95</v>
      </c>
      <c r="F140" s="2">
        <v>45475</v>
      </c>
      <c r="G140" s="3">
        <v>0.33333333333333331</v>
      </c>
      <c r="H140">
        <v>2023</v>
      </c>
      <c r="I140">
        <v>7</v>
      </c>
      <c r="J140">
        <v>68</v>
      </c>
      <c r="K140">
        <v>68</v>
      </c>
      <c r="L140">
        <f>VLOOKUP(UPPER(TEXT(F140,"mmmm"))&amp;TEXT(F140,"yyyy"),TURNOS!A:F,6,FALSE)</f>
        <v>2</v>
      </c>
      <c r="M140">
        <f>VLOOKUP(VLOOKUP(A140&amp;C140&amp;E140,'PREVIOS (2)'!B:K,10,FALSE),PLAN!A:B,2,FALSE)</f>
        <v>5</v>
      </c>
      <c r="N140">
        <f>VLOOKUP(E140&amp;M140,CURSO!A:D,4,FALSE)</f>
        <v>18</v>
      </c>
      <c r="O140">
        <f>VLOOKUP(C140&amp;N140,MATERIAS!A:G,7,FALSE)</f>
        <v>235</v>
      </c>
      <c r="P140">
        <f>VLOOKUP(I140,CALIFICACION!A:C,3,FALSE)</f>
        <v>9</v>
      </c>
      <c r="Q140">
        <f>VLOOKUP(A140,ALUMNOS!A:B,2,FALSE)</f>
        <v>725</v>
      </c>
      <c r="R140">
        <f>VLOOKUP(D140,CONDICION!A:B,2,FALSE)</f>
        <v>1</v>
      </c>
    </row>
    <row r="141" spans="1:18" x14ac:dyDescent="0.25">
      <c r="A141">
        <v>49455899</v>
      </c>
      <c r="B141" t="s">
        <v>156</v>
      </c>
      <c r="C141" t="s">
        <v>16</v>
      </c>
      <c r="D141" t="s">
        <v>43</v>
      </c>
      <c r="E141" t="s">
        <v>95</v>
      </c>
      <c r="F141" s="2">
        <v>45475</v>
      </c>
      <c r="G141" s="3">
        <v>0.33333333333333331</v>
      </c>
      <c r="H141">
        <v>2023</v>
      </c>
      <c r="I141" t="s">
        <v>50</v>
      </c>
      <c r="J141">
        <v>68</v>
      </c>
      <c r="K141">
        <v>70</v>
      </c>
      <c r="L141">
        <f>VLOOKUP(UPPER(TEXT(F141,"mmmm"))&amp;TEXT(F141,"yyyy"),TURNOS!A:F,6,FALSE)</f>
        <v>2</v>
      </c>
      <c r="M141">
        <f>VLOOKUP(VLOOKUP(A141&amp;C141&amp;E141,'PREVIOS (2)'!B:K,10,FALSE),PLAN!A:B,2,FALSE)</f>
        <v>5</v>
      </c>
      <c r="N141">
        <f>VLOOKUP(E141&amp;M141,CURSO!A:D,4,FALSE)</f>
        <v>18</v>
      </c>
      <c r="O141">
        <f>VLOOKUP(C141&amp;N141,MATERIAS!A:G,7,FALSE)</f>
        <v>234</v>
      </c>
      <c r="P141">
        <f>VLOOKUP(I141,CALIFICACION!A:C,3,FALSE)</f>
        <v>2</v>
      </c>
      <c r="Q141">
        <f>VLOOKUP(A141,ALUMNOS!A:B,2,FALSE)</f>
        <v>669</v>
      </c>
      <c r="R141">
        <f>VLOOKUP(D141,CONDICION!A:B,2,FALSE)</f>
        <v>1</v>
      </c>
    </row>
    <row r="142" spans="1:18" x14ac:dyDescent="0.25">
      <c r="A142">
        <v>47665564</v>
      </c>
      <c r="B142" t="s">
        <v>175</v>
      </c>
      <c r="C142" t="s">
        <v>16</v>
      </c>
      <c r="D142" t="s">
        <v>43</v>
      </c>
      <c r="E142" t="s">
        <v>95</v>
      </c>
      <c r="F142" s="2">
        <v>45475</v>
      </c>
      <c r="G142" s="3">
        <v>0.33333333333333331</v>
      </c>
      <c r="H142">
        <v>2021</v>
      </c>
      <c r="I142" t="s">
        <v>50</v>
      </c>
      <c r="J142">
        <v>68</v>
      </c>
      <c r="K142">
        <v>70</v>
      </c>
      <c r="L142">
        <f>VLOOKUP(UPPER(TEXT(F142,"mmmm"))&amp;TEXT(F142,"yyyy"),TURNOS!A:F,6,FALSE)</f>
        <v>2</v>
      </c>
      <c r="M142">
        <f>VLOOKUP(VLOOKUP(A142&amp;C142&amp;E142,'PREVIOS (2)'!B:K,10,FALSE),PLAN!A:B,2,FALSE)</f>
        <v>5</v>
      </c>
      <c r="N142">
        <f>VLOOKUP(E142&amp;M142,CURSO!A:D,4,FALSE)</f>
        <v>18</v>
      </c>
      <c r="O142">
        <f>VLOOKUP(C142&amp;N142,MATERIAS!A:G,7,FALSE)</f>
        <v>234</v>
      </c>
      <c r="P142">
        <f>VLOOKUP(I142,CALIFICACION!A:C,3,FALSE)</f>
        <v>2</v>
      </c>
      <c r="Q142">
        <f>VLOOKUP(A142,ALUMNOS!A:B,2,FALSE)</f>
        <v>736</v>
      </c>
      <c r="R142">
        <f>VLOOKUP(D142,CONDICION!A:B,2,FALSE)</f>
        <v>1</v>
      </c>
    </row>
    <row r="143" spans="1:18" x14ac:dyDescent="0.25">
      <c r="A143">
        <v>49716956</v>
      </c>
      <c r="B143" t="s">
        <v>179</v>
      </c>
      <c r="C143" t="s">
        <v>11</v>
      </c>
      <c r="D143" t="s">
        <v>43</v>
      </c>
      <c r="E143" t="s">
        <v>95</v>
      </c>
      <c r="F143" s="2">
        <v>45475</v>
      </c>
      <c r="G143" s="3">
        <v>0.33333333333333331</v>
      </c>
      <c r="H143">
        <v>2023</v>
      </c>
      <c r="I143">
        <v>2</v>
      </c>
      <c r="J143">
        <v>68</v>
      </c>
      <c r="K143">
        <v>74</v>
      </c>
      <c r="L143">
        <f>VLOOKUP(UPPER(TEXT(F143,"mmmm"))&amp;TEXT(F143,"yyyy"),TURNOS!A:F,6,FALSE)</f>
        <v>2</v>
      </c>
      <c r="M143">
        <f>VLOOKUP(VLOOKUP(A143&amp;C143&amp;E143,'PREVIOS (2)'!B:K,10,FALSE),PLAN!A:B,2,FALSE)</f>
        <v>5</v>
      </c>
      <c r="N143">
        <f>VLOOKUP(E143&amp;M143,CURSO!A:D,4,FALSE)</f>
        <v>18</v>
      </c>
      <c r="O143">
        <f>VLOOKUP(C143&amp;N143,MATERIAS!A:G,7,FALSE)</f>
        <v>229</v>
      </c>
      <c r="P143">
        <f>VLOOKUP(I143,CALIFICACION!A:C,3,FALSE)</f>
        <v>4</v>
      </c>
      <c r="Q143">
        <f>VLOOKUP(A143,ALUMNOS!A:B,2,FALSE)</f>
        <v>97</v>
      </c>
      <c r="R143">
        <f>VLOOKUP(D143,CONDICION!A:B,2,FALSE)</f>
        <v>1</v>
      </c>
    </row>
    <row r="144" spans="1:18" x14ac:dyDescent="0.25">
      <c r="A144">
        <v>47802365</v>
      </c>
      <c r="B144" t="s">
        <v>195</v>
      </c>
      <c r="C144" t="s">
        <v>11</v>
      </c>
      <c r="D144" t="s">
        <v>43</v>
      </c>
      <c r="E144" t="s">
        <v>95</v>
      </c>
      <c r="F144" s="2">
        <v>45475</v>
      </c>
      <c r="G144" s="3">
        <v>0.33333333333333331</v>
      </c>
      <c r="H144">
        <v>2020</v>
      </c>
      <c r="I144">
        <v>1</v>
      </c>
      <c r="J144">
        <v>68</v>
      </c>
      <c r="K144">
        <v>74</v>
      </c>
      <c r="L144">
        <f>VLOOKUP(UPPER(TEXT(F144,"mmmm"))&amp;TEXT(F144,"yyyy"),TURNOS!A:F,6,FALSE)</f>
        <v>2</v>
      </c>
      <c r="M144">
        <f>VLOOKUP(VLOOKUP(A144&amp;C144&amp;E144,'PREVIOS (2)'!B:K,10,FALSE),PLAN!A:B,2,FALSE)</f>
        <v>5</v>
      </c>
      <c r="N144">
        <f>VLOOKUP(E144&amp;M144,CURSO!A:D,4,FALSE)</f>
        <v>18</v>
      </c>
      <c r="O144">
        <f>VLOOKUP(C144&amp;N144,MATERIAS!A:G,7,FALSE)</f>
        <v>229</v>
      </c>
      <c r="P144">
        <f>VLOOKUP(I144,CALIFICACION!A:C,3,FALSE)</f>
        <v>3</v>
      </c>
      <c r="Q144">
        <f>VLOOKUP(A144,ALUMNOS!A:B,2,FALSE)</f>
        <v>133</v>
      </c>
      <c r="R144">
        <f>VLOOKUP(D144,CONDICION!A:B,2,FALSE)</f>
        <v>1</v>
      </c>
    </row>
    <row r="145" spans="1:18" x14ac:dyDescent="0.25">
      <c r="A145">
        <v>49319118</v>
      </c>
      <c r="B145" t="s">
        <v>201</v>
      </c>
      <c r="C145" t="s">
        <v>11</v>
      </c>
      <c r="D145" t="s">
        <v>43</v>
      </c>
      <c r="E145" t="s">
        <v>95</v>
      </c>
      <c r="F145" s="2">
        <v>45475</v>
      </c>
      <c r="G145" s="3">
        <v>0.33333333333333331</v>
      </c>
      <c r="H145">
        <v>2022</v>
      </c>
      <c r="I145">
        <v>3</v>
      </c>
      <c r="J145">
        <v>68</v>
      </c>
      <c r="K145">
        <v>74</v>
      </c>
      <c r="L145">
        <f>VLOOKUP(UPPER(TEXT(F145,"mmmm"))&amp;TEXT(F145,"yyyy"),TURNOS!A:F,6,FALSE)</f>
        <v>2</v>
      </c>
      <c r="M145">
        <f>VLOOKUP(VLOOKUP(A145&amp;C145&amp;E145,'PREVIOS (2)'!B:K,10,FALSE),PLAN!A:B,2,FALSE)</f>
        <v>5</v>
      </c>
      <c r="N145">
        <f>VLOOKUP(E145&amp;M145,CURSO!A:D,4,FALSE)</f>
        <v>18</v>
      </c>
      <c r="O145">
        <f>VLOOKUP(C145&amp;N145,MATERIAS!A:G,7,FALSE)</f>
        <v>229</v>
      </c>
      <c r="P145">
        <f>VLOOKUP(I145,CALIFICACION!A:C,3,FALSE)</f>
        <v>5</v>
      </c>
      <c r="Q145">
        <f>VLOOKUP(A145,ALUMNOS!A:B,2,FALSE)</f>
        <v>643</v>
      </c>
      <c r="R145">
        <f>VLOOKUP(D145,CONDICION!A:B,2,FALSE)</f>
        <v>1</v>
      </c>
    </row>
    <row r="146" spans="1:18" x14ac:dyDescent="0.25">
      <c r="A146">
        <v>48816237</v>
      </c>
      <c r="B146" t="s">
        <v>200</v>
      </c>
      <c r="C146" t="s">
        <v>16</v>
      </c>
      <c r="D146" t="s">
        <v>43</v>
      </c>
      <c r="E146" t="s">
        <v>143</v>
      </c>
      <c r="F146" s="2">
        <v>45475</v>
      </c>
      <c r="G146" s="3">
        <v>0.33333333333333331</v>
      </c>
      <c r="H146">
        <v>2023</v>
      </c>
      <c r="I146">
        <v>7</v>
      </c>
      <c r="J146">
        <v>68</v>
      </c>
      <c r="K146">
        <v>71</v>
      </c>
      <c r="L146">
        <f>VLOOKUP(UPPER(TEXT(F146,"mmmm"))&amp;TEXT(F146,"yyyy"),TURNOS!A:F,6,FALSE)</f>
        <v>2</v>
      </c>
      <c r="M146">
        <f>VLOOKUP(VLOOKUP(A146&amp;C146&amp;E146,'PREVIOS (2)'!B:K,10,FALSE),PLAN!A:B,2,FALSE)</f>
        <v>5</v>
      </c>
      <c r="N146">
        <f>VLOOKUP(E146&amp;M146,CURSO!A:D,4,FALSE)</f>
        <v>19</v>
      </c>
      <c r="O146">
        <f>VLOOKUP(C146&amp;N146,MATERIAS!A:G,7,FALSE)</f>
        <v>245</v>
      </c>
      <c r="P146">
        <f>VLOOKUP(I146,CALIFICACION!A:C,3,FALSE)</f>
        <v>9</v>
      </c>
      <c r="Q146">
        <f>VLOOKUP(A146,ALUMNOS!A:B,2,FALSE)</f>
        <v>475</v>
      </c>
      <c r="R146">
        <f>VLOOKUP(D146,CONDICION!A:B,2,FALSE)</f>
        <v>1</v>
      </c>
    </row>
    <row r="147" spans="1:18" x14ac:dyDescent="0.25">
      <c r="A147">
        <v>46509028</v>
      </c>
      <c r="B147" t="s">
        <v>387</v>
      </c>
      <c r="C147" t="s">
        <v>11</v>
      </c>
      <c r="D147" t="s">
        <v>43</v>
      </c>
      <c r="E147" t="s">
        <v>143</v>
      </c>
      <c r="F147" s="2">
        <v>45475</v>
      </c>
      <c r="G147" s="3">
        <v>0.33333333333333331</v>
      </c>
      <c r="H147">
        <v>2020</v>
      </c>
      <c r="I147">
        <v>4</v>
      </c>
      <c r="J147">
        <v>68</v>
      </c>
      <c r="K147">
        <v>75</v>
      </c>
      <c r="L147">
        <f>VLOOKUP(UPPER(TEXT(F147,"mmmm"))&amp;TEXT(F147,"yyyy"),TURNOS!A:F,6,FALSE)</f>
        <v>2</v>
      </c>
      <c r="M147">
        <f>VLOOKUP(VLOOKUP(A147&amp;C147&amp;E147,'PREVIOS (2)'!B:K,10,FALSE),PLAN!A:B,2,FALSE)</f>
        <v>5</v>
      </c>
      <c r="N147">
        <f>VLOOKUP(E147&amp;M147,CURSO!A:D,4,FALSE)</f>
        <v>19</v>
      </c>
      <c r="O147">
        <f>VLOOKUP(C147&amp;N147,MATERIAS!A:G,7,FALSE)</f>
        <v>239</v>
      </c>
      <c r="P147">
        <f>VLOOKUP(I147,CALIFICACION!A:C,3,FALSE)</f>
        <v>6</v>
      </c>
      <c r="Q147">
        <f>VLOOKUP(A147,ALUMNOS!A:B,2,FALSE)</f>
        <v>66</v>
      </c>
      <c r="R147">
        <f>VLOOKUP(D147,CONDICION!A:B,2,FALSE)</f>
        <v>1</v>
      </c>
    </row>
    <row r="148" spans="1:18" x14ac:dyDescent="0.25">
      <c r="A148">
        <v>45887410</v>
      </c>
      <c r="B148" t="s">
        <v>400</v>
      </c>
      <c r="C148" t="s">
        <v>11</v>
      </c>
      <c r="D148" t="s">
        <v>43</v>
      </c>
      <c r="E148" t="s">
        <v>190</v>
      </c>
      <c r="F148" s="2">
        <v>45475</v>
      </c>
      <c r="G148" s="3">
        <v>0.33333333333333331</v>
      </c>
      <c r="H148">
        <v>2021</v>
      </c>
      <c r="I148">
        <v>4</v>
      </c>
      <c r="J148">
        <v>68</v>
      </c>
      <c r="K148">
        <v>76</v>
      </c>
      <c r="L148">
        <f>VLOOKUP(UPPER(TEXT(F148,"mmmm"))&amp;TEXT(F148,"yyyy"),TURNOS!A:F,6,FALSE)</f>
        <v>2</v>
      </c>
      <c r="M148">
        <f>VLOOKUP(VLOOKUP(A148&amp;C148&amp;E148,'PREVIOS (2)'!B:K,10,FALSE),PLAN!A:B,2,FALSE)</f>
        <v>6</v>
      </c>
      <c r="N148">
        <f>VLOOKUP(E148&amp;M148,CURSO!A:D,4,FALSE)</f>
        <v>20</v>
      </c>
      <c r="O148">
        <f>VLOOKUP(C148&amp;N148,MATERIAS!A:G,7,FALSE)</f>
        <v>251</v>
      </c>
      <c r="P148">
        <f>VLOOKUP(I148,CALIFICACION!A:C,3,FALSE)</f>
        <v>6</v>
      </c>
      <c r="Q148">
        <f>VLOOKUP(A148,ALUMNOS!A:B,2,FALSE)</f>
        <v>338</v>
      </c>
      <c r="R148">
        <f>VLOOKUP(D148,CONDICION!A:B,2,FALSE)</f>
        <v>1</v>
      </c>
    </row>
    <row r="149" spans="1:18" x14ac:dyDescent="0.25">
      <c r="A149">
        <v>46035153</v>
      </c>
      <c r="B149" t="s">
        <v>403</v>
      </c>
      <c r="C149" t="s">
        <v>10</v>
      </c>
      <c r="D149" t="s">
        <v>43</v>
      </c>
      <c r="E149" t="s">
        <v>220</v>
      </c>
      <c r="F149" s="2">
        <v>45475</v>
      </c>
      <c r="G149" s="3">
        <v>0.33333333333333331</v>
      </c>
      <c r="H149">
        <v>2022</v>
      </c>
      <c r="I149">
        <v>9</v>
      </c>
      <c r="J149">
        <v>68</v>
      </c>
      <c r="K149">
        <v>72</v>
      </c>
      <c r="L149">
        <f>VLOOKUP(UPPER(TEXT(F149,"mmmm"))&amp;TEXT(F149,"yyyy"),TURNOS!A:F,6,FALSE)</f>
        <v>2</v>
      </c>
      <c r="M149">
        <f>VLOOKUP(VLOOKUP(A149&amp;C149&amp;E149,'PREVIOS (2)'!B:K,10,FALSE),PLAN!A:B,2,FALSE)</f>
        <v>6</v>
      </c>
      <c r="N149">
        <f>VLOOKUP(E149&amp;M149,CURSO!A:D,4,FALSE)</f>
        <v>21</v>
      </c>
      <c r="O149">
        <f>VLOOKUP(C149&amp;N149,MATERIAS!A:G,7,FALSE)</f>
        <v>263</v>
      </c>
      <c r="P149">
        <f>VLOOKUP(I149,CALIFICACION!A:C,3,FALSE)</f>
        <v>11</v>
      </c>
      <c r="Q149">
        <f>VLOOKUP(A149,ALUMNOS!A:B,2,FALSE)</f>
        <v>716</v>
      </c>
      <c r="R149">
        <f>VLOOKUP(D149,CONDICION!A:B,2,FALSE)</f>
        <v>1</v>
      </c>
    </row>
    <row r="150" spans="1:18" x14ac:dyDescent="0.25">
      <c r="A150">
        <v>46584794</v>
      </c>
      <c r="B150" t="s">
        <v>392</v>
      </c>
      <c r="C150" t="s">
        <v>11</v>
      </c>
      <c r="D150" t="s">
        <v>43</v>
      </c>
      <c r="E150" t="s">
        <v>245</v>
      </c>
      <c r="F150" s="2">
        <v>45475</v>
      </c>
      <c r="G150" s="3">
        <v>0.33333333333333331</v>
      </c>
      <c r="H150">
        <v>2023</v>
      </c>
      <c r="I150" t="s">
        <v>50</v>
      </c>
      <c r="J150">
        <v>68</v>
      </c>
      <c r="K150">
        <v>77</v>
      </c>
      <c r="L150">
        <f>VLOOKUP(UPPER(TEXT(F150,"mmmm"))&amp;TEXT(F150,"yyyy"),TURNOS!A:F,6,FALSE)</f>
        <v>2</v>
      </c>
      <c r="M150">
        <f>VLOOKUP(VLOOKUP(A150&amp;C150&amp;E150,'PREVIOS (2)'!B:K,10,FALSE),PLAN!A:B,2,FALSE)</f>
        <v>6</v>
      </c>
      <c r="N150">
        <f>VLOOKUP(E150&amp;M150,CURSO!A:D,4,FALSE)</f>
        <v>22</v>
      </c>
      <c r="O150">
        <f>VLOOKUP(C150&amp;N150,MATERIAS!A:G,7,FALSE)</f>
        <v>279</v>
      </c>
      <c r="P150">
        <f>VLOOKUP(I150,CALIFICACION!A:C,3,FALSE)</f>
        <v>2</v>
      </c>
      <c r="Q150">
        <f>VLOOKUP(A150,ALUMNOS!A:B,2,FALSE)</f>
        <v>509</v>
      </c>
      <c r="R150">
        <f>VLOOKUP(D150,CONDICION!A:B,2,FALSE)</f>
        <v>1</v>
      </c>
    </row>
    <row r="151" spans="1:18" x14ac:dyDescent="0.25">
      <c r="A151">
        <v>46509100</v>
      </c>
      <c r="B151" t="s">
        <v>393</v>
      </c>
      <c r="C151" t="s">
        <v>11</v>
      </c>
      <c r="D151" t="s">
        <v>43</v>
      </c>
      <c r="E151" t="s">
        <v>245</v>
      </c>
      <c r="F151" s="2">
        <v>45475</v>
      </c>
      <c r="G151" s="3">
        <v>0.33333333333333331</v>
      </c>
      <c r="H151">
        <v>2023</v>
      </c>
      <c r="I151" t="s">
        <v>50</v>
      </c>
      <c r="J151">
        <v>68</v>
      </c>
      <c r="K151">
        <v>77</v>
      </c>
      <c r="L151">
        <f>VLOOKUP(UPPER(TEXT(F151,"mmmm"))&amp;TEXT(F151,"yyyy"),TURNOS!A:F,6,FALSE)</f>
        <v>2</v>
      </c>
      <c r="M151">
        <f>VLOOKUP(VLOOKUP(A151&amp;C151&amp;E151,'PREVIOS (2)'!B:K,10,FALSE),PLAN!A:B,2,FALSE)</f>
        <v>6</v>
      </c>
      <c r="N151">
        <f>VLOOKUP(E151&amp;M151,CURSO!A:D,4,FALSE)</f>
        <v>22</v>
      </c>
      <c r="O151">
        <f>VLOOKUP(C151&amp;N151,MATERIAS!A:G,7,FALSE)</f>
        <v>279</v>
      </c>
      <c r="P151">
        <f>VLOOKUP(I151,CALIFICACION!A:C,3,FALSE)</f>
        <v>2</v>
      </c>
      <c r="Q151">
        <f>VLOOKUP(A151,ALUMNOS!A:B,2,FALSE)</f>
        <v>686</v>
      </c>
      <c r="R151">
        <f>VLOOKUP(D151,CONDICION!A:B,2,FALSE)</f>
        <v>1</v>
      </c>
    </row>
    <row r="152" spans="1:18" x14ac:dyDescent="0.25">
      <c r="A152">
        <v>47727928</v>
      </c>
      <c r="B152" t="s">
        <v>261</v>
      </c>
      <c r="C152" t="s">
        <v>30</v>
      </c>
      <c r="D152" t="s">
        <v>44</v>
      </c>
      <c r="E152" t="s">
        <v>190</v>
      </c>
      <c r="F152" s="2">
        <v>45475</v>
      </c>
      <c r="G152" s="3">
        <v>0.54166666666666663</v>
      </c>
      <c r="H152">
        <v>2023</v>
      </c>
      <c r="I152">
        <v>7</v>
      </c>
      <c r="J152">
        <v>58</v>
      </c>
      <c r="K152">
        <v>200</v>
      </c>
      <c r="L152">
        <f>VLOOKUP(UPPER(TEXT(F152,"mmmm"))&amp;TEXT(F152,"yyyy"),TURNOS!A:F,6,FALSE)</f>
        <v>2</v>
      </c>
      <c r="M152">
        <f>VLOOKUP(VLOOKUP(A152&amp;C152&amp;E152,'PREVIOS (2)'!B:K,10,FALSE),PLAN!A:B,2,FALSE)</f>
        <v>6</v>
      </c>
      <c r="N152">
        <f>VLOOKUP(E152&amp;M152,CURSO!A:D,4,FALSE)</f>
        <v>20</v>
      </c>
      <c r="O152">
        <f>VLOOKUP(C152&amp;N152,MATERIAS!A:G,7,FALSE)</f>
        <v>260</v>
      </c>
      <c r="P152">
        <f>VLOOKUP(I152,CALIFICACION!A:C,3,FALSE)</f>
        <v>9</v>
      </c>
      <c r="Q152">
        <f>VLOOKUP(A152,ALUMNOS!A:B,2,FALSE)</f>
        <v>443</v>
      </c>
      <c r="R152">
        <f>VLOOKUP(D152,CONDICION!A:B,2,FALSE)</f>
        <v>2</v>
      </c>
    </row>
    <row r="153" spans="1:18" x14ac:dyDescent="0.25">
      <c r="A153">
        <v>47907085</v>
      </c>
      <c r="B153" t="s">
        <v>253</v>
      </c>
      <c r="C153" t="s">
        <v>29</v>
      </c>
      <c r="D153" t="s">
        <v>44</v>
      </c>
      <c r="E153" t="s">
        <v>190</v>
      </c>
      <c r="F153" s="2">
        <v>45475</v>
      </c>
      <c r="G153" s="3">
        <v>0.54166666666666663</v>
      </c>
      <c r="H153">
        <v>2024</v>
      </c>
      <c r="I153">
        <v>7</v>
      </c>
      <c r="J153">
        <v>70</v>
      </c>
      <c r="K153">
        <v>2</v>
      </c>
      <c r="L153">
        <f>VLOOKUP(UPPER(TEXT(F153,"mmmm"))&amp;TEXT(F153,"yyyy"),TURNOS!A:F,6,FALSE)</f>
        <v>2</v>
      </c>
      <c r="M153">
        <f>VLOOKUP(VLOOKUP(A153&amp;C153&amp;E153,'PREVIOS (2)'!B:K,10,FALSE),PLAN!A:B,2,FALSE)</f>
        <v>6</v>
      </c>
      <c r="N153">
        <f>VLOOKUP(E153&amp;M153,CURSO!A:D,4,FALSE)</f>
        <v>20</v>
      </c>
      <c r="O153">
        <f>VLOOKUP(C153&amp;N153,MATERIAS!A:G,7,FALSE)</f>
        <v>259</v>
      </c>
      <c r="P153">
        <f>VLOOKUP(I153,CALIFICACION!A:C,3,FALSE)</f>
        <v>9</v>
      </c>
      <c r="Q153">
        <f>VLOOKUP(A153,ALUMNOS!A:B,2,FALSE)</f>
        <v>727</v>
      </c>
      <c r="R153">
        <f>VLOOKUP(D153,CONDICION!A:B,2,FALSE)</f>
        <v>2</v>
      </c>
    </row>
    <row r="154" spans="1:18" x14ac:dyDescent="0.25">
      <c r="A154">
        <v>47907085</v>
      </c>
      <c r="B154" t="s">
        <v>253</v>
      </c>
      <c r="C154" t="s">
        <v>30</v>
      </c>
      <c r="D154" t="s">
        <v>44</v>
      </c>
      <c r="E154" t="s">
        <v>220</v>
      </c>
      <c r="F154" s="2">
        <v>45475</v>
      </c>
      <c r="G154" s="3">
        <v>0.54166666666666663</v>
      </c>
      <c r="H154">
        <v>2024</v>
      </c>
      <c r="I154">
        <v>7</v>
      </c>
      <c r="J154">
        <v>70</v>
      </c>
      <c r="K154">
        <v>1</v>
      </c>
      <c r="L154">
        <f>VLOOKUP(UPPER(TEXT(F154,"mmmm"))&amp;TEXT(F154,"yyyy"),TURNOS!A:F,6,FALSE)</f>
        <v>2</v>
      </c>
      <c r="M154">
        <f>VLOOKUP(VLOOKUP(A154&amp;C154&amp;E154,'PREVIOS (2)'!B:K,10,FALSE),PLAN!A:B,2,FALSE)</f>
        <v>6</v>
      </c>
      <c r="N154">
        <f>VLOOKUP(E154&amp;M154,CURSO!A:D,4,FALSE)</f>
        <v>21</v>
      </c>
      <c r="O154">
        <f>VLOOKUP(C154&amp;N154,MATERIAS!A:G,7,FALSE)</f>
        <v>274</v>
      </c>
      <c r="P154">
        <f>VLOOKUP(I154,CALIFICACION!A:C,3,FALSE)</f>
        <v>9</v>
      </c>
      <c r="Q154">
        <f>VLOOKUP(A154,ALUMNOS!A:B,2,FALSE)</f>
        <v>727</v>
      </c>
      <c r="R154">
        <f>VLOOKUP(D154,CONDICION!A:B,2,FALSE)</f>
        <v>2</v>
      </c>
    </row>
    <row r="155" spans="1:18" x14ac:dyDescent="0.25">
      <c r="A155">
        <v>44768513</v>
      </c>
      <c r="B155" t="s">
        <v>294</v>
      </c>
      <c r="C155" t="s">
        <v>30</v>
      </c>
      <c r="D155" t="s">
        <v>43</v>
      </c>
      <c r="E155" t="s">
        <v>220</v>
      </c>
      <c r="F155" s="2">
        <v>45475</v>
      </c>
      <c r="G155" s="3">
        <v>0.54166666666666663</v>
      </c>
      <c r="H155">
        <v>2019</v>
      </c>
      <c r="I155" t="s">
        <v>50</v>
      </c>
      <c r="J155">
        <v>68</v>
      </c>
      <c r="K155">
        <v>82</v>
      </c>
      <c r="L155">
        <f>VLOOKUP(UPPER(TEXT(F155,"mmmm"))&amp;TEXT(F155,"yyyy"),TURNOS!A:F,6,FALSE)</f>
        <v>2</v>
      </c>
      <c r="M155">
        <f>VLOOKUP(VLOOKUP(A155&amp;C155&amp;E155,'PREVIOS (2)'!B:K,10,FALSE),PLAN!A:B,2,FALSE)</f>
        <v>6</v>
      </c>
      <c r="N155">
        <f>VLOOKUP(E155&amp;M155,CURSO!A:D,4,FALSE)</f>
        <v>21</v>
      </c>
      <c r="O155">
        <f>VLOOKUP(C155&amp;N155,MATERIAS!A:G,7,FALSE)</f>
        <v>274</v>
      </c>
      <c r="P155">
        <f>VLOOKUP(I155,CALIFICACION!A:C,3,FALSE)</f>
        <v>2</v>
      </c>
      <c r="Q155">
        <f>VLOOKUP(A155,ALUMNOS!A:B,2,FALSE)</f>
        <v>450</v>
      </c>
      <c r="R155">
        <f>VLOOKUP(D155,CONDICION!A:B,2,FALSE)</f>
        <v>1</v>
      </c>
    </row>
    <row r="156" spans="1:18" x14ac:dyDescent="0.25">
      <c r="A156">
        <v>44578281</v>
      </c>
      <c r="B156" t="s">
        <v>299</v>
      </c>
      <c r="C156" t="s">
        <v>30</v>
      </c>
      <c r="D156" t="s">
        <v>43</v>
      </c>
      <c r="E156" t="s">
        <v>220</v>
      </c>
      <c r="F156" s="2">
        <v>45475</v>
      </c>
      <c r="G156" s="3">
        <v>0.54166666666666663</v>
      </c>
      <c r="H156">
        <v>2019</v>
      </c>
      <c r="I156" t="s">
        <v>50</v>
      </c>
      <c r="J156">
        <v>68</v>
      </c>
      <c r="K156">
        <v>82</v>
      </c>
      <c r="L156">
        <f>VLOOKUP(UPPER(TEXT(F156,"mmmm"))&amp;TEXT(F156,"yyyy"),TURNOS!A:F,6,FALSE)</f>
        <v>2</v>
      </c>
      <c r="M156">
        <f>VLOOKUP(VLOOKUP(A156&amp;C156&amp;E156,'PREVIOS (2)'!B:K,10,FALSE),PLAN!A:B,2,FALSE)</f>
        <v>6</v>
      </c>
      <c r="N156">
        <f>VLOOKUP(E156&amp;M156,CURSO!A:D,4,FALSE)</f>
        <v>21</v>
      </c>
      <c r="O156">
        <f>VLOOKUP(C156&amp;N156,MATERIAS!A:G,7,FALSE)</f>
        <v>274</v>
      </c>
      <c r="P156">
        <f>VLOOKUP(I156,CALIFICACION!A:C,3,FALSE)</f>
        <v>2</v>
      </c>
      <c r="Q156">
        <f>VLOOKUP(A156,ALUMNOS!A:B,2,FALSE)</f>
        <v>663</v>
      </c>
      <c r="R156">
        <f>VLOOKUP(D156,CONDICION!A:B,2,FALSE)</f>
        <v>1</v>
      </c>
    </row>
    <row r="157" spans="1:18" x14ac:dyDescent="0.25">
      <c r="A157">
        <v>47670177</v>
      </c>
      <c r="B157" t="s">
        <v>254</v>
      </c>
      <c r="C157" t="s">
        <v>32</v>
      </c>
      <c r="D157" t="s">
        <v>43</v>
      </c>
      <c r="E157" t="s">
        <v>220</v>
      </c>
      <c r="F157" s="2">
        <v>45475</v>
      </c>
      <c r="G157" s="3">
        <v>0.54166666666666663</v>
      </c>
      <c r="H157">
        <v>2023</v>
      </c>
      <c r="I157">
        <v>3</v>
      </c>
      <c r="J157">
        <v>68</v>
      </c>
      <c r="K157">
        <v>78</v>
      </c>
      <c r="L157">
        <f>VLOOKUP(UPPER(TEXT(F157,"mmmm"))&amp;TEXT(F157,"yyyy"),TURNOS!A:F,6,FALSE)</f>
        <v>2</v>
      </c>
      <c r="M157">
        <f>VLOOKUP(VLOOKUP(A157&amp;C157&amp;E157,'PREVIOS (2)'!B:K,10,FALSE),PLAN!A:B,2,FALSE)</f>
        <v>6</v>
      </c>
      <c r="N157">
        <f>VLOOKUP(E157&amp;M157,CURSO!A:D,4,FALSE)</f>
        <v>21</v>
      </c>
      <c r="O157">
        <f>VLOOKUP(C157&amp;N157,MATERIAS!A:G,7,FALSE)</f>
        <v>277</v>
      </c>
      <c r="P157">
        <f>VLOOKUP(I157,CALIFICACION!A:C,3,FALSE)</f>
        <v>5</v>
      </c>
      <c r="Q157">
        <f>VLOOKUP(A157,ALUMNOS!A:B,2,FALSE)</f>
        <v>487</v>
      </c>
      <c r="R157">
        <f>VLOOKUP(D157,CONDICION!A:B,2,FALSE)</f>
        <v>1</v>
      </c>
    </row>
    <row r="158" spans="1:18" x14ac:dyDescent="0.25">
      <c r="A158">
        <v>47907085</v>
      </c>
      <c r="B158" t="s">
        <v>253</v>
      </c>
      <c r="C158" t="s">
        <v>34</v>
      </c>
      <c r="D158" t="s">
        <v>44</v>
      </c>
      <c r="E158" t="s">
        <v>220</v>
      </c>
      <c r="F158" s="2">
        <v>45475</v>
      </c>
      <c r="G158" s="3">
        <v>0.54166666666666663</v>
      </c>
      <c r="H158">
        <v>2024</v>
      </c>
      <c r="I158">
        <v>2</v>
      </c>
      <c r="J158">
        <v>70</v>
      </c>
      <c r="K158">
        <v>3</v>
      </c>
      <c r="L158">
        <f>VLOOKUP(UPPER(TEXT(F158,"mmmm"))&amp;TEXT(F158,"yyyy"),TURNOS!A:F,6,FALSE)</f>
        <v>2</v>
      </c>
      <c r="M158">
        <f>VLOOKUP(VLOOKUP(A158&amp;C158&amp;E158,'PREVIOS (2)'!B:K,10,FALSE),PLAN!A:B,2,FALSE)</f>
        <v>6</v>
      </c>
      <c r="N158">
        <f>VLOOKUP(E158&amp;M158,CURSO!A:D,4,FALSE)</f>
        <v>21</v>
      </c>
      <c r="O158">
        <f>VLOOKUP(C158&amp;N158,MATERIAS!A:G,7,FALSE)</f>
        <v>275</v>
      </c>
      <c r="P158">
        <f>VLOOKUP(I158,CALIFICACION!A:C,3,FALSE)</f>
        <v>4</v>
      </c>
      <c r="Q158">
        <f>VLOOKUP(A158,ALUMNOS!A:B,2,FALSE)</f>
        <v>727</v>
      </c>
      <c r="R158">
        <f>VLOOKUP(D158,CONDICION!A:B,2,FALSE)</f>
        <v>2</v>
      </c>
    </row>
    <row r="159" spans="1:18" x14ac:dyDescent="0.25">
      <c r="A159">
        <v>46226738</v>
      </c>
      <c r="B159" t="s">
        <v>401</v>
      </c>
      <c r="C159" t="s">
        <v>29</v>
      </c>
      <c r="D159" t="s">
        <v>43</v>
      </c>
      <c r="E159" t="s">
        <v>220</v>
      </c>
      <c r="F159" s="2">
        <v>45475</v>
      </c>
      <c r="G159" s="3">
        <v>0.54166666666666663</v>
      </c>
      <c r="H159">
        <v>2022</v>
      </c>
      <c r="I159" t="s">
        <v>50</v>
      </c>
      <c r="J159">
        <v>68</v>
      </c>
      <c r="K159">
        <v>79</v>
      </c>
      <c r="L159">
        <f>VLOOKUP(UPPER(TEXT(F159,"mmmm"))&amp;TEXT(F159,"yyyy"),TURNOS!A:F,6,FALSE)</f>
        <v>2</v>
      </c>
      <c r="M159">
        <f>VLOOKUP(VLOOKUP(A159&amp;C159&amp;E159,'PREVIOS (2)'!B:K,10,FALSE),PLAN!A:B,2,FALSE)</f>
        <v>6</v>
      </c>
      <c r="N159">
        <f>VLOOKUP(E159&amp;M159,CURSO!A:D,4,FALSE)</f>
        <v>21</v>
      </c>
      <c r="O159">
        <f>VLOOKUP(C159&amp;N159,MATERIAS!A:G,7,FALSE)</f>
        <v>273</v>
      </c>
      <c r="P159">
        <f>VLOOKUP(I159,CALIFICACION!A:C,3,FALSE)</f>
        <v>2</v>
      </c>
      <c r="Q159">
        <f>VLOOKUP(A159,ALUMNOS!A:B,2,FALSE)</f>
        <v>536</v>
      </c>
      <c r="R159">
        <f>VLOOKUP(D159,CONDICION!A:B,2,FALSE)</f>
        <v>1</v>
      </c>
    </row>
    <row r="160" spans="1:18" x14ac:dyDescent="0.25">
      <c r="A160">
        <v>47570651</v>
      </c>
      <c r="B160" t="s">
        <v>266</v>
      </c>
      <c r="C160" t="s">
        <v>29</v>
      </c>
      <c r="D160" t="s">
        <v>43</v>
      </c>
      <c r="E160" t="s">
        <v>220</v>
      </c>
      <c r="F160" s="2">
        <v>45475</v>
      </c>
      <c r="G160" s="3">
        <v>0.54166666666666663</v>
      </c>
      <c r="H160">
        <v>2023</v>
      </c>
      <c r="I160" t="s">
        <v>50</v>
      </c>
      <c r="J160">
        <v>68</v>
      </c>
      <c r="K160">
        <v>79</v>
      </c>
      <c r="L160">
        <f>VLOOKUP(UPPER(TEXT(F160,"mmmm"))&amp;TEXT(F160,"yyyy"),TURNOS!A:F,6,FALSE)</f>
        <v>2</v>
      </c>
      <c r="M160">
        <f>VLOOKUP(VLOOKUP(A160&amp;C160&amp;E160,'PREVIOS (2)'!B:K,10,FALSE),PLAN!A:B,2,FALSE)</f>
        <v>6</v>
      </c>
      <c r="N160">
        <f>VLOOKUP(E160&amp;M160,CURSO!A:D,4,FALSE)</f>
        <v>21</v>
      </c>
      <c r="O160">
        <f>VLOOKUP(C160&amp;N160,MATERIAS!A:G,7,FALSE)</f>
        <v>273</v>
      </c>
      <c r="P160">
        <f>VLOOKUP(I160,CALIFICACION!A:C,3,FALSE)</f>
        <v>2</v>
      </c>
      <c r="Q160">
        <f>VLOOKUP(A160,ALUMNOS!A:B,2,FALSE)</f>
        <v>642</v>
      </c>
      <c r="R160">
        <f>VLOOKUP(D160,CONDICION!A:B,2,FALSE)</f>
        <v>1</v>
      </c>
    </row>
    <row r="161" spans="1:18" x14ac:dyDescent="0.25">
      <c r="A161">
        <v>46509100</v>
      </c>
      <c r="B161" t="s">
        <v>393</v>
      </c>
      <c r="C161" t="s">
        <v>29</v>
      </c>
      <c r="D161" t="s">
        <v>43</v>
      </c>
      <c r="E161" t="s">
        <v>220</v>
      </c>
      <c r="F161" s="2">
        <v>45475</v>
      </c>
      <c r="G161" s="3">
        <v>0.54166666666666663</v>
      </c>
      <c r="H161">
        <v>2022</v>
      </c>
      <c r="I161">
        <v>7</v>
      </c>
      <c r="J161">
        <v>68</v>
      </c>
      <c r="K161">
        <v>79</v>
      </c>
      <c r="L161">
        <f>VLOOKUP(UPPER(TEXT(F161,"mmmm"))&amp;TEXT(F161,"yyyy"),TURNOS!A:F,6,FALSE)</f>
        <v>2</v>
      </c>
      <c r="M161">
        <f>VLOOKUP(VLOOKUP(A161&amp;C161&amp;E161,'PREVIOS (2)'!B:K,10,FALSE),PLAN!A:B,2,FALSE)</f>
        <v>6</v>
      </c>
      <c r="N161">
        <f>VLOOKUP(E161&amp;M161,CURSO!A:D,4,FALSE)</f>
        <v>21</v>
      </c>
      <c r="O161">
        <f>VLOOKUP(C161&amp;N161,MATERIAS!A:G,7,FALSE)</f>
        <v>273</v>
      </c>
      <c r="P161">
        <f>VLOOKUP(I161,CALIFICACION!A:C,3,FALSE)</f>
        <v>9</v>
      </c>
      <c r="Q161">
        <f>VLOOKUP(A161,ALUMNOS!A:B,2,FALSE)</f>
        <v>686</v>
      </c>
      <c r="R161">
        <f>VLOOKUP(D161,CONDICION!A:B,2,FALSE)</f>
        <v>1</v>
      </c>
    </row>
    <row r="162" spans="1:18" x14ac:dyDescent="0.25">
      <c r="A162">
        <v>44768513</v>
      </c>
      <c r="B162" t="s">
        <v>294</v>
      </c>
      <c r="C162" t="s">
        <v>30</v>
      </c>
      <c r="D162" t="s">
        <v>43</v>
      </c>
      <c r="E162" t="s">
        <v>245</v>
      </c>
      <c r="F162" s="2">
        <v>45475</v>
      </c>
      <c r="G162" s="3">
        <v>0.54166666666666663</v>
      </c>
      <c r="H162">
        <v>2020</v>
      </c>
      <c r="I162" t="s">
        <v>50</v>
      </c>
      <c r="J162">
        <v>68</v>
      </c>
      <c r="K162">
        <v>84</v>
      </c>
      <c r="L162">
        <f>VLOOKUP(UPPER(TEXT(F162,"mmmm"))&amp;TEXT(F162,"yyyy"),TURNOS!A:F,6,FALSE)</f>
        <v>2</v>
      </c>
      <c r="M162">
        <f>VLOOKUP(VLOOKUP(A162&amp;C162&amp;E162,'PREVIOS (2)'!B:K,10,FALSE),PLAN!A:B,2,FALSE)</f>
        <v>6</v>
      </c>
      <c r="N162">
        <f>VLOOKUP(E162&amp;M162,CURSO!A:D,4,FALSE)</f>
        <v>22</v>
      </c>
      <c r="O162">
        <f>VLOOKUP(C162&amp;N162,MATERIAS!A:G,7,FALSE)</f>
        <v>285</v>
      </c>
      <c r="P162">
        <f>VLOOKUP(I162,CALIFICACION!A:C,3,FALSE)</f>
        <v>2</v>
      </c>
      <c r="Q162">
        <f>VLOOKUP(A162,ALUMNOS!A:B,2,FALSE)</f>
        <v>450</v>
      </c>
      <c r="R162">
        <f>VLOOKUP(D162,CONDICION!A:B,2,FALSE)</f>
        <v>1</v>
      </c>
    </row>
    <row r="163" spans="1:18" x14ac:dyDescent="0.25">
      <c r="A163">
        <v>44578281</v>
      </c>
      <c r="B163" t="s">
        <v>299</v>
      </c>
      <c r="C163" t="s">
        <v>30</v>
      </c>
      <c r="D163" t="s">
        <v>43</v>
      </c>
      <c r="E163" t="s">
        <v>245</v>
      </c>
      <c r="F163" s="2">
        <v>45475</v>
      </c>
      <c r="G163" s="3">
        <v>0.54166666666666663</v>
      </c>
      <c r="H163">
        <v>2020</v>
      </c>
      <c r="I163" t="s">
        <v>50</v>
      </c>
      <c r="J163">
        <v>68</v>
      </c>
      <c r="K163">
        <v>84</v>
      </c>
      <c r="L163">
        <f>VLOOKUP(UPPER(TEXT(F163,"mmmm"))&amp;TEXT(F163,"yyyy"),TURNOS!A:F,6,FALSE)</f>
        <v>2</v>
      </c>
      <c r="M163">
        <f>VLOOKUP(VLOOKUP(A163&amp;C163&amp;E163,'PREVIOS (2)'!B:K,10,FALSE),PLAN!A:B,2,FALSE)</f>
        <v>6</v>
      </c>
      <c r="N163">
        <f>VLOOKUP(E163&amp;M163,CURSO!A:D,4,FALSE)</f>
        <v>22</v>
      </c>
      <c r="O163">
        <f>VLOOKUP(C163&amp;N163,MATERIAS!A:G,7,FALSE)</f>
        <v>285</v>
      </c>
      <c r="P163">
        <f>VLOOKUP(I163,CALIFICACION!A:C,3,FALSE)</f>
        <v>2</v>
      </c>
      <c r="Q163">
        <f>VLOOKUP(A163,ALUMNOS!A:B,2,FALSE)</f>
        <v>663</v>
      </c>
      <c r="R163">
        <f>VLOOKUP(D163,CONDICION!A:B,2,FALSE)</f>
        <v>1</v>
      </c>
    </row>
    <row r="164" spans="1:18" x14ac:dyDescent="0.25">
      <c r="A164">
        <v>46037429</v>
      </c>
      <c r="B164" t="s">
        <v>377</v>
      </c>
      <c r="C164" t="s">
        <v>34</v>
      </c>
      <c r="D164" t="s">
        <v>43</v>
      </c>
      <c r="E164" t="s">
        <v>245</v>
      </c>
      <c r="F164" s="2">
        <v>45475</v>
      </c>
      <c r="G164" s="3">
        <v>0.54166666666666663</v>
      </c>
      <c r="H164">
        <v>2022</v>
      </c>
      <c r="I164">
        <v>3</v>
      </c>
      <c r="J164">
        <v>68</v>
      </c>
      <c r="K164">
        <v>83</v>
      </c>
      <c r="L164">
        <f>VLOOKUP(UPPER(TEXT(F164,"mmmm"))&amp;TEXT(F164,"yyyy"),TURNOS!A:F,6,FALSE)</f>
        <v>2</v>
      </c>
      <c r="M164">
        <f>VLOOKUP(VLOOKUP(A164&amp;C164&amp;E164,'PREVIOS (2)'!B:K,10,FALSE),PLAN!A:B,2,FALSE)</f>
        <v>6</v>
      </c>
      <c r="N164">
        <f>VLOOKUP(E164&amp;M164,CURSO!A:D,4,FALSE)</f>
        <v>22</v>
      </c>
      <c r="O164">
        <f>VLOOKUP(C164&amp;N164,MATERIAS!A:G,7,FALSE)</f>
        <v>286</v>
      </c>
      <c r="P164">
        <f>VLOOKUP(I164,CALIFICACION!A:C,3,FALSE)</f>
        <v>5</v>
      </c>
      <c r="Q164">
        <f>VLOOKUP(A164,ALUMNOS!A:B,2,FALSE)</f>
        <v>580</v>
      </c>
      <c r="R164">
        <f>VLOOKUP(D164,CONDICION!A:B,2,FALSE)</f>
        <v>1</v>
      </c>
    </row>
    <row r="165" spans="1:18" x14ac:dyDescent="0.25">
      <c r="A165">
        <v>45887410</v>
      </c>
      <c r="B165" t="s">
        <v>400</v>
      </c>
      <c r="C165" t="s">
        <v>39</v>
      </c>
      <c r="D165" t="s">
        <v>43</v>
      </c>
      <c r="E165" t="s">
        <v>245</v>
      </c>
      <c r="F165" s="2">
        <v>45475</v>
      </c>
      <c r="G165" s="3">
        <v>0.54166666666666663</v>
      </c>
      <c r="H165">
        <v>2023</v>
      </c>
      <c r="I165">
        <v>4</v>
      </c>
      <c r="J165">
        <v>68</v>
      </c>
      <c r="K165">
        <v>81</v>
      </c>
      <c r="L165">
        <f>VLOOKUP(UPPER(TEXT(F165,"mmmm"))&amp;TEXT(F165,"yyyy"),TURNOS!A:F,6,FALSE)</f>
        <v>2</v>
      </c>
      <c r="M165">
        <f>VLOOKUP(VLOOKUP(A165&amp;C165&amp;E165,'PREVIOS (2)'!B:K,10,FALSE),PLAN!A:B,2,FALSE)</f>
        <v>6</v>
      </c>
      <c r="N165">
        <f>VLOOKUP(E165&amp;M165,CURSO!A:D,4,FALSE)</f>
        <v>22</v>
      </c>
      <c r="O165">
        <f>VLOOKUP(C165&amp;N165,MATERIAS!A:G,7,FALSE)</f>
        <v>288</v>
      </c>
      <c r="P165">
        <f>VLOOKUP(I165,CALIFICACION!A:C,3,FALSE)</f>
        <v>6</v>
      </c>
      <c r="Q165">
        <f>VLOOKUP(A165,ALUMNOS!A:B,2,FALSE)</f>
        <v>338</v>
      </c>
      <c r="R165">
        <f>VLOOKUP(D165,CONDICION!A:B,2,FALSE)</f>
        <v>1</v>
      </c>
    </row>
    <row r="166" spans="1:18" x14ac:dyDescent="0.25">
      <c r="A166">
        <v>46226738</v>
      </c>
      <c r="B166" t="s">
        <v>401</v>
      </c>
      <c r="C166" t="s">
        <v>39</v>
      </c>
      <c r="D166" t="s">
        <v>43</v>
      </c>
      <c r="E166" t="s">
        <v>245</v>
      </c>
      <c r="F166" s="2">
        <v>45475</v>
      </c>
      <c r="G166" s="3">
        <v>0.54166666666666663</v>
      </c>
      <c r="H166">
        <v>2023</v>
      </c>
      <c r="I166" t="s">
        <v>50</v>
      </c>
      <c r="J166">
        <v>68</v>
      </c>
      <c r="K166">
        <v>81</v>
      </c>
      <c r="L166">
        <f>VLOOKUP(UPPER(TEXT(F166,"mmmm"))&amp;TEXT(F166,"yyyy"),TURNOS!A:F,6,FALSE)</f>
        <v>2</v>
      </c>
      <c r="M166">
        <f>VLOOKUP(VLOOKUP(A166&amp;C166&amp;E166,'PREVIOS (2)'!B:K,10,FALSE),PLAN!A:B,2,FALSE)</f>
        <v>6</v>
      </c>
      <c r="N166">
        <f>VLOOKUP(E166&amp;M166,CURSO!A:D,4,FALSE)</f>
        <v>22</v>
      </c>
      <c r="O166">
        <f>VLOOKUP(C166&amp;N166,MATERIAS!A:G,7,FALSE)</f>
        <v>288</v>
      </c>
      <c r="P166">
        <f>VLOOKUP(I166,CALIFICACION!A:C,3,FALSE)</f>
        <v>2</v>
      </c>
      <c r="Q166">
        <f>VLOOKUP(A166,ALUMNOS!A:B,2,FALSE)</f>
        <v>536</v>
      </c>
      <c r="R166">
        <f>VLOOKUP(D166,CONDICION!A:B,2,FALSE)</f>
        <v>1</v>
      </c>
    </row>
    <row r="167" spans="1:18" x14ac:dyDescent="0.25">
      <c r="A167">
        <v>46035153</v>
      </c>
      <c r="B167" t="s">
        <v>403</v>
      </c>
      <c r="C167" t="s">
        <v>39</v>
      </c>
      <c r="D167" t="s">
        <v>43</v>
      </c>
      <c r="E167" t="s">
        <v>245</v>
      </c>
      <c r="F167" s="2">
        <v>45475</v>
      </c>
      <c r="G167" s="3">
        <v>0.54166666666666663</v>
      </c>
      <c r="H167">
        <v>2023</v>
      </c>
      <c r="I167" t="s">
        <v>50</v>
      </c>
      <c r="J167">
        <v>68</v>
      </c>
      <c r="K167">
        <v>81</v>
      </c>
      <c r="L167">
        <f>VLOOKUP(UPPER(TEXT(F167,"mmmm"))&amp;TEXT(F167,"yyyy"),TURNOS!A:F,6,FALSE)</f>
        <v>2</v>
      </c>
      <c r="M167">
        <f>VLOOKUP(VLOOKUP(A167&amp;C167&amp;E167,'PREVIOS (2)'!B:K,10,FALSE),PLAN!A:B,2,FALSE)</f>
        <v>6</v>
      </c>
      <c r="N167">
        <f>VLOOKUP(E167&amp;M167,CURSO!A:D,4,FALSE)</f>
        <v>22</v>
      </c>
      <c r="O167">
        <f>VLOOKUP(C167&amp;N167,MATERIAS!A:G,7,FALSE)</f>
        <v>288</v>
      </c>
      <c r="P167">
        <f>VLOOKUP(I167,CALIFICACION!A:C,3,FALSE)</f>
        <v>2</v>
      </c>
      <c r="Q167">
        <f>VLOOKUP(A167,ALUMNOS!A:B,2,FALSE)</f>
        <v>716</v>
      </c>
      <c r="R167">
        <f>VLOOKUP(D167,CONDICION!A:B,2,FALSE)</f>
        <v>1</v>
      </c>
    </row>
    <row r="168" spans="1:18" x14ac:dyDescent="0.25">
      <c r="A168">
        <v>45887410</v>
      </c>
      <c r="B168" t="s">
        <v>400</v>
      </c>
      <c r="C168" t="s">
        <v>29</v>
      </c>
      <c r="D168" t="s">
        <v>43</v>
      </c>
      <c r="E168" t="s">
        <v>245</v>
      </c>
      <c r="F168" s="2">
        <v>45475</v>
      </c>
      <c r="G168" s="3">
        <v>0.54166666666666663</v>
      </c>
      <c r="H168">
        <v>2023</v>
      </c>
      <c r="I168">
        <v>1</v>
      </c>
      <c r="J168">
        <v>68</v>
      </c>
      <c r="K168">
        <v>80</v>
      </c>
      <c r="L168">
        <f>VLOOKUP(UPPER(TEXT(F168,"mmmm"))&amp;TEXT(F168,"yyyy"),TURNOS!A:F,6,FALSE)</f>
        <v>2</v>
      </c>
      <c r="M168">
        <f>VLOOKUP(VLOOKUP(A168&amp;C168&amp;E168,'PREVIOS (2)'!B:K,10,FALSE),PLAN!A:B,2,FALSE)</f>
        <v>6</v>
      </c>
      <c r="N168">
        <f>VLOOKUP(E168&amp;M168,CURSO!A:D,4,FALSE)</f>
        <v>22</v>
      </c>
      <c r="O168">
        <f>VLOOKUP(C168&amp;N168,MATERIAS!A:G,7,FALSE)</f>
        <v>290</v>
      </c>
      <c r="P168">
        <f>VLOOKUP(I168,CALIFICACION!A:C,3,FALSE)</f>
        <v>3</v>
      </c>
      <c r="Q168">
        <f>VLOOKUP(A168,ALUMNOS!A:B,2,FALSE)</f>
        <v>338</v>
      </c>
      <c r="R168">
        <f>VLOOKUP(D168,CONDICION!A:B,2,FALSE)</f>
        <v>1</v>
      </c>
    </row>
    <row r="169" spans="1:18" x14ac:dyDescent="0.25">
      <c r="A169">
        <v>46509100</v>
      </c>
      <c r="B169" t="s">
        <v>393</v>
      </c>
      <c r="C169" t="s">
        <v>29</v>
      </c>
      <c r="D169" t="s">
        <v>43</v>
      </c>
      <c r="E169" t="s">
        <v>245</v>
      </c>
      <c r="F169" s="2">
        <v>45475</v>
      </c>
      <c r="G169" s="3">
        <v>0.54166666666666663</v>
      </c>
      <c r="H169">
        <v>2023</v>
      </c>
      <c r="I169">
        <v>7</v>
      </c>
      <c r="J169">
        <v>68</v>
      </c>
      <c r="K169">
        <v>80</v>
      </c>
      <c r="L169">
        <f>VLOOKUP(UPPER(TEXT(F169,"mmmm"))&amp;TEXT(F169,"yyyy"),TURNOS!A:F,6,FALSE)</f>
        <v>2</v>
      </c>
      <c r="M169">
        <f>VLOOKUP(VLOOKUP(A169&amp;C169&amp;E169,'PREVIOS (2)'!B:K,10,FALSE),PLAN!A:B,2,FALSE)</f>
        <v>6</v>
      </c>
      <c r="N169">
        <f>VLOOKUP(E169&amp;M169,CURSO!A:D,4,FALSE)</f>
        <v>22</v>
      </c>
      <c r="O169">
        <f>VLOOKUP(C169&amp;N169,MATERIAS!A:G,7,FALSE)</f>
        <v>290</v>
      </c>
      <c r="P169">
        <f>VLOOKUP(I169,CALIFICACION!A:C,3,FALSE)</f>
        <v>9</v>
      </c>
      <c r="Q169">
        <f>VLOOKUP(A169,ALUMNOS!A:B,2,FALSE)</f>
        <v>686</v>
      </c>
      <c r="R169">
        <f>VLOOKUP(D169,CONDICION!A:B,2,FALSE)</f>
        <v>1</v>
      </c>
    </row>
  </sheetData>
  <autoFilter ref="A1:Q169" xr:uid="{2D97E112-8239-4F17-9BF9-A2829CFC1158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9B491-F727-4A9B-9243-7247DAD0BDB6}">
  <sheetPr codeName="Hoja3"/>
  <dimension ref="A1:C819"/>
  <sheetViews>
    <sheetView workbookViewId="0">
      <selection activeCell="E21" sqref="E21"/>
    </sheetView>
  </sheetViews>
  <sheetFormatPr baseColWidth="10" defaultRowHeight="15" x14ac:dyDescent="0.25"/>
  <cols>
    <col min="1" max="1" width="10.140625" bestFit="1" customWidth="1"/>
    <col min="2" max="2" width="4" bestFit="1" customWidth="1"/>
    <col min="3" max="3" width="10.140625" bestFit="1" customWidth="1"/>
  </cols>
  <sheetData>
    <row r="1" spans="1:3" x14ac:dyDescent="0.25">
      <c r="A1" t="s">
        <v>1</v>
      </c>
      <c r="B1" t="s">
        <v>0</v>
      </c>
      <c r="C1" t="s">
        <v>1</v>
      </c>
    </row>
    <row r="2" spans="1:3" x14ac:dyDescent="0.25">
      <c r="A2">
        <v>49963883</v>
      </c>
      <c r="B2">
        <v>1</v>
      </c>
      <c r="C2">
        <v>49963883</v>
      </c>
    </row>
    <row r="3" spans="1:3" x14ac:dyDescent="0.25">
      <c r="A3">
        <v>48816210</v>
      </c>
      <c r="B3">
        <v>2</v>
      </c>
      <c r="C3">
        <v>48816210</v>
      </c>
    </row>
    <row r="4" spans="1:3" x14ac:dyDescent="0.25">
      <c r="A4">
        <v>43808675</v>
      </c>
      <c r="B4">
        <v>3</v>
      </c>
      <c r="C4">
        <v>43808675</v>
      </c>
    </row>
    <row r="5" spans="1:3" x14ac:dyDescent="0.25">
      <c r="A5">
        <v>48755691</v>
      </c>
      <c r="B5">
        <v>4</v>
      </c>
      <c r="C5">
        <v>48755691</v>
      </c>
    </row>
    <row r="6" spans="1:3" x14ac:dyDescent="0.25">
      <c r="A6">
        <v>49455812</v>
      </c>
      <c r="B6">
        <v>5</v>
      </c>
      <c r="C6">
        <v>49455812</v>
      </c>
    </row>
    <row r="7" spans="1:3" x14ac:dyDescent="0.25">
      <c r="A7">
        <v>43367449</v>
      </c>
      <c r="B7">
        <v>6</v>
      </c>
      <c r="C7">
        <v>43367449</v>
      </c>
    </row>
    <row r="8" spans="1:3" x14ac:dyDescent="0.25">
      <c r="A8">
        <v>48755104</v>
      </c>
      <c r="B8">
        <v>7</v>
      </c>
      <c r="C8">
        <v>48755104</v>
      </c>
    </row>
    <row r="9" spans="1:3" x14ac:dyDescent="0.25">
      <c r="A9">
        <v>46037022</v>
      </c>
      <c r="B9">
        <v>8</v>
      </c>
      <c r="C9">
        <v>46037022</v>
      </c>
    </row>
    <row r="10" spans="1:3" x14ac:dyDescent="0.25">
      <c r="A10">
        <v>46035122</v>
      </c>
      <c r="B10">
        <v>9</v>
      </c>
      <c r="C10">
        <v>46035122</v>
      </c>
    </row>
    <row r="11" spans="1:3" x14ac:dyDescent="0.25">
      <c r="A11">
        <v>46035151</v>
      </c>
      <c r="B11">
        <v>10</v>
      </c>
      <c r="C11">
        <v>46035151</v>
      </c>
    </row>
    <row r="12" spans="1:3" x14ac:dyDescent="0.25">
      <c r="A12">
        <v>43609639</v>
      </c>
      <c r="B12">
        <v>11</v>
      </c>
      <c r="C12">
        <v>43609639</v>
      </c>
    </row>
    <row r="13" spans="1:3" x14ac:dyDescent="0.25">
      <c r="A13">
        <v>45698169</v>
      </c>
      <c r="B13">
        <v>12</v>
      </c>
      <c r="C13">
        <v>45698169</v>
      </c>
    </row>
    <row r="14" spans="1:3" x14ac:dyDescent="0.25">
      <c r="A14">
        <v>44938174</v>
      </c>
      <c r="B14">
        <v>13</v>
      </c>
      <c r="C14">
        <v>44938174</v>
      </c>
    </row>
    <row r="15" spans="1:3" x14ac:dyDescent="0.25">
      <c r="A15">
        <v>45593326</v>
      </c>
      <c r="B15">
        <v>14</v>
      </c>
      <c r="C15">
        <v>45593326</v>
      </c>
    </row>
    <row r="16" spans="1:3" x14ac:dyDescent="0.25">
      <c r="A16">
        <v>47989261</v>
      </c>
      <c r="B16">
        <v>15</v>
      </c>
      <c r="C16">
        <v>47989261</v>
      </c>
    </row>
    <row r="17" spans="1:3" x14ac:dyDescent="0.25">
      <c r="A17">
        <v>47989251</v>
      </c>
      <c r="B17">
        <v>16</v>
      </c>
      <c r="C17">
        <v>47989251</v>
      </c>
    </row>
    <row r="18" spans="1:3" x14ac:dyDescent="0.25">
      <c r="A18">
        <v>49716541</v>
      </c>
      <c r="B18">
        <v>17</v>
      </c>
      <c r="C18">
        <v>49716541</v>
      </c>
    </row>
    <row r="19" spans="1:3" x14ac:dyDescent="0.25">
      <c r="A19">
        <v>48326453</v>
      </c>
      <c r="B19">
        <v>18</v>
      </c>
      <c r="C19">
        <v>48326453</v>
      </c>
    </row>
    <row r="20" spans="1:3" x14ac:dyDescent="0.25">
      <c r="A20">
        <v>46886742</v>
      </c>
      <c r="B20">
        <v>19</v>
      </c>
      <c r="C20">
        <v>46886742</v>
      </c>
    </row>
    <row r="21" spans="1:3" x14ac:dyDescent="0.25">
      <c r="A21">
        <v>44642031</v>
      </c>
      <c r="B21">
        <v>20</v>
      </c>
      <c r="C21">
        <v>44642031</v>
      </c>
    </row>
    <row r="22" spans="1:3" x14ac:dyDescent="0.25">
      <c r="A22">
        <v>46461432</v>
      </c>
      <c r="B22">
        <v>21</v>
      </c>
      <c r="C22">
        <v>46461432</v>
      </c>
    </row>
    <row r="23" spans="1:3" x14ac:dyDescent="0.25">
      <c r="A23">
        <v>44372151</v>
      </c>
      <c r="B23">
        <v>22</v>
      </c>
      <c r="C23">
        <v>44372151</v>
      </c>
    </row>
    <row r="24" spans="1:3" x14ac:dyDescent="0.25">
      <c r="A24">
        <v>47053448</v>
      </c>
      <c r="B24">
        <v>23</v>
      </c>
      <c r="C24">
        <v>47053448</v>
      </c>
    </row>
    <row r="25" spans="1:3" x14ac:dyDescent="0.25">
      <c r="A25">
        <v>29373910</v>
      </c>
      <c r="B25">
        <v>24</v>
      </c>
      <c r="C25">
        <v>29373910</v>
      </c>
    </row>
    <row r="26" spans="1:3" x14ac:dyDescent="0.25">
      <c r="A26">
        <v>44936781</v>
      </c>
      <c r="B26">
        <v>25</v>
      </c>
      <c r="C26">
        <v>44936781</v>
      </c>
    </row>
    <row r="27" spans="1:3" x14ac:dyDescent="0.25">
      <c r="A27">
        <v>49716962</v>
      </c>
      <c r="B27">
        <v>26</v>
      </c>
      <c r="C27">
        <v>49716962</v>
      </c>
    </row>
    <row r="28" spans="1:3" x14ac:dyDescent="0.25">
      <c r="A28">
        <v>49720155</v>
      </c>
      <c r="B28">
        <v>27</v>
      </c>
      <c r="C28">
        <v>49720155</v>
      </c>
    </row>
    <row r="29" spans="1:3" x14ac:dyDescent="0.25">
      <c r="A29">
        <v>45349593</v>
      </c>
      <c r="B29">
        <v>28</v>
      </c>
      <c r="C29">
        <v>45349593</v>
      </c>
    </row>
    <row r="30" spans="1:3" x14ac:dyDescent="0.25">
      <c r="A30">
        <v>49502266</v>
      </c>
      <c r="B30">
        <v>29</v>
      </c>
      <c r="C30">
        <v>49502266</v>
      </c>
    </row>
    <row r="31" spans="1:3" x14ac:dyDescent="0.25">
      <c r="A31">
        <v>48533899</v>
      </c>
      <c r="B31">
        <v>30</v>
      </c>
      <c r="C31">
        <v>48533899</v>
      </c>
    </row>
    <row r="32" spans="1:3" x14ac:dyDescent="0.25">
      <c r="A32">
        <v>48815453</v>
      </c>
      <c r="B32">
        <v>31</v>
      </c>
      <c r="C32">
        <v>48815453</v>
      </c>
    </row>
    <row r="33" spans="1:3" x14ac:dyDescent="0.25">
      <c r="A33">
        <v>49719273</v>
      </c>
      <c r="B33">
        <v>32</v>
      </c>
      <c r="C33">
        <v>49719273</v>
      </c>
    </row>
    <row r="34" spans="1:3" x14ac:dyDescent="0.25">
      <c r="A34">
        <v>49169794</v>
      </c>
      <c r="B34">
        <v>33</v>
      </c>
      <c r="C34">
        <v>49169794</v>
      </c>
    </row>
    <row r="35" spans="1:3" x14ac:dyDescent="0.25">
      <c r="A35">
        <v>50033122</v>
      </c>
      <c r="B35">
        <v>34</v>
      </c>
      <c r="C35">
        <v>50033122</v>
      </c>
    </row>
    <row r="36" spans="1:3" x14ac:dyDescent="0.25">
      <c r="A36">
        <v>48816208</v>
      </c>
      <c r="B36">
        <v>35</v>
      </c>
      <c r="C36">
        <v>48816208</v>
      </c>
    </row>
    <row r="37" spans="1:3" x14ac:dyDescent="0.25">
      <c r="A37">
        <v>46934378</v>
      </c>
      <c r="B37">
        <v>36</v>
      </c>
      <c r="C37">
        <v>46934378</v>
      </c>
    </row>
    <row r="38" spans="1:3" x14ac:dyDescent="0.25">
      <c r="A38">
        <v>46037365</v>
      </c>
      <c r="B38">
        <v>37</v>
      </c>
      <c r="C38">
        <v>46037365</v>
      </c>
    </row>
    <row r="39" spans="1:3" x14ac:dyDescent="0.25">
      <c r="A39">
        <v>50106695</v>
      </c>
      <c r="B39">
        <v>38</v>
      </c>
      <c r="C39">
        <v>50106695</v>
      </c>
    </row>
    <row r="40" spans="1:3" x14ac:dyDescent="0.25">
      <c r="A40">
        <v>46722168</v>
      </c>
      <c r="B40">
        <v>811</v>
      </c>
      <c r="C40">
        <v>46722168</v>
      </c>
    </row>
    <row r="41" spans="1:3" x14ac:dyDescent="0.25">
      <c r="A41">
        <v>44274429</v>
      </c>
      <c r="B41">
        <v>39</v>
      </c>
      <c r="C41">
        <v>44274429</v>
      </c>
    </row>
    <row r="42" spans="1:3" x14ac:dyDescent="0.25">
      <c r="A42">
        <v>47305406</v>
      </c>
      <c r="B42">
        <v>40</v>
      </c>
      <c r="C42">
        <v>47305406</v>
      </c>
    </row>
    <row r="43" spans="1:3" x14ac:dyDescent="0.25">
      <c r="A43">
        <v>47734199</v>
      </c>
      <c r="B43">
        <v>41</v>
      </c>
      <c r="C43">
        <v>47734199</v>
      </c>
    </row>
    <row r="44" spans="1:3" x14ac:dyDescent="0.25">
      <c r="A44">
        <v>47320783</v>
      </c>
      <c r="B44">
        <v>42</v>
      </c>
      <c r="C44">
        <v>47320783</v>
      </c>
    </row>
    <row r="45" spans="1:3" x14ac:dyDescent="0.25">
      <c r="A45">
        <v>49435614</v>
      </c>
      <c r="B45">
        <v>43</v>
      </c>
      <c r="C45">
        <v>49435614</v>
      </c>
    </row>
    <row r="46" spans="1:3" x14ac:dyDescent="0.25">
      <c r="A46">
        <v>46722052</v>
      </c>
      <c r="B46">
        <v>44</v>
      </c>
      <c r="C46">
        <v>46722052</v>
      </c>
    </row>
    <row r="47" spans="1:3" x14ac:dyDescent="0.25">
      <c r="A47">
        <v>50179725</v>
      </c>
      <c r="B47">
        <v>45</v>
      </c>
      <c r="C47">
        <v>50179725</v>
      </c>
    </row>
    <row r="48" spans="1:3" x14ac:dyDescent="0.25">
      <c r="A48">
        <v>44372170</v>
      </c>
      <c r="B48">
        <v>46</v>
      </c>
      <c r="C48">
        <v>44372170</v>
      </c>
    </row>
    <row r="49" spans="1:3" x14ac:dyDescent="0.25">
      <c r="A49">
        <v>48754192</v>
      </c>
      <c r="B49">
        <v>47</v>
      </c>
      <c r="C49">
        <v>48754192</v>
      </c>
    </row>
    <row r="50" spans="1:3" x14ac:dyDescent="0.25">
      <c r="A50">
        <v>47046798</v>
      </c>
      <c r="B50">
        <v>48</v>
      </c>
      <c r="C50">
        <v>47046798</v>
      </c>
    </row>
    <row r="51" spans="1:3" x14ac:dyDescent="0.25">
      <c r="A51">
        <v>47891707</v>
      </c>
      <c r="B51">
        <v>49</v>
      </c>
      <c r="C51">
        <v>47891707</v>
      </c>
    </row>
    <row r="52" spans="1:3" x14ac:dyDescent="0.25">
      <c r="A52">
        <v>49697620</v>
      </c>
      <c r="B52">
        <v>50</v>
      </c>
      <c r="C52">
        <v>49697620</v>
      </c>
    </row>
    <row r="53" spans="1:3" x14ac:dyDescent="0.25">
      <c r="A53">
        <v>49996879</v>
      </c>
      <c r="B53">
        <v>51</v>
      </c>
      <c r="C53">
        <v>49996879</v>
      </c>
    </row>
    <row r="54" spans="1:3" x14ac:dyDescent="0.25">
      <c r="A54">
        <v>47190163</v>
      </c>
      <c r="B54">
        <v>52</v>
      </c>
      <c r="C54">
        <v>47190163</v>
      </c>
    </row>
    <row r="55" spans="1:3" x14ac:dyDescent="0.25">
      <c r="A55">
        <v>45835390</v>
      </c>
      <c r="B55">
        <v>53</v>
      </c>
      <c r="C55">
        <v>45835390</v>
      </c>
    </row>
    <row r="56" spans="1:3" x14ac:dyDescent="0.25">
      <c r="A56">
        <v>49144687</v>
      </c>
      <c r="B56">
        <v>54</v>
      </c>
      <c r="C56">
        <v>49144687</v>
      </c>
    </row>
    <row r="57" spans="1:3" x14ac:dyDescent="0.25">
      <c r="A57">
        <v>50775519</v>
      </c>
      <c r="B57">
        <v>55</v>
      </c>
      <c r="C57">
        <v>50775519</v>
      </c>
    </row>
    <row r="58" spans="1:3" x14ac:dyDescent="0.25">
      <c r="A58">
        <v>49716994</v>
      </c>
      <c r="B58">
        <v>56</v>
      </c>
      <c r="C58">
        <v>49716994</v>
      </c>
    </row>
    <row r="59" spans="1:3" x14ac:dyDescent="0.25">
      <c r="A59">
        <v>47975092</v>
      </c>
      <c r="B59">
        <v>57</v>
      </c>
      <c r="C59">
        <v>47975092</v>
      </c>
    </row>
    <row r="60" spans="1:3" x14ac:dyDescent="0.25">
      <c r="A60">
        <v>45614539</v>
      </c>
      <c r="B60">
        <v>58</v>
      </c>
      <c r="C60">
        <v>45614539</v>
      </c>
    </row>
    <row r="61" spans="1:3" x14ac:dyDescent="0.25">
      <c r="A61">
        <v>48997199</v>
      </c>
      <c r="B61">
        <v>59</v>
      </c>
      <c r="C61">
        <v>48997199</v>
      </c>
    </row>
    <row r="62" spans="1:3" x14ac:dyDescent="0.25">
      <c r="A62">
        <v>49290959</v>
      </c>
      <c r="B62">
        <v>60</v>
      </c>
      <c r="C62">
        <v>49290959</v>
      </c>
    </row>
    <row r="63" spans="1:3" x14ac:dyDescent="0.25">
      <c r="A63">
        <v>45698166</v>
      </c>
      <c r="B63">
        <v>61</v>
      </c>
      <c r="C63">
        <v>45698166</v>
      </c>
    </row>
    <row r="64" spans="1:3" x14ac:dyDescent="0.25">
      <c r="A64">
        <v>48538134</v>
      </c>
      <c r="B64">
        <v>62</v>
      </c>
      <c r="C64">
        <v>48538134</v>
      </c>
    </row>
    <row r="65" spans="1:3" x14ac:dyDescent="0.25">
      <c r="A65">
        <v>44264057</v>
      </c>
      <c r="B65">
        <v>63</v>
      </c>
      <c r="C65">
        <v>44264057</v>
      </c>
    </row>
    <row r="66" spans="1:3" x14ac:dyDescent="0.25">
      <c r="A66">
        <v>49550097</v>
      </c>
      <c r="B66">
        <v>64</v>
      </c>
      <c r="C66">
        <v>49550097</v>
      </c>
    </row>
    <row r="67" spans="1:3" x14ac:dyDescent="0.25">
      <c r="A67">
        <v>43230018</v>
      </c>
      <c r="B67">
        <v>65</v>
      </c>
      <c r="C67">
        <v>43230018</v>
      </c>
    </row>
    <row r="68" spans="1:3" x14ac:dyDescent="0.25">
      <c r="A68">
        <v>46509028</v>
      </c>
      <c r="B68">
        <v>66</v>
      </c>
      <c r="C68">
        <v>46509028</v>
      </c>
    </row>
    <row r="69" spans="1:3" x14ac:dyDescent="0.25">
      <c r="A69">
        <v>44204987</v>
      </c>
      <c r="B69">
        <v>67</v>
      </c>
      <c r="C69">
        <v>44204987</v>
      </c>
    </row>
    <row r="70" spans="1:3" x14ac:dyDescent="0.25">
      <c r="A70">
        <v>50698667</v>
      </c>
      <c r="B70">
        <v>68</v>
      </c>
      <c r="C70">
        <v>50698667</v>
      </c>
    </row>
    <row r="71" spans="1:3" x14ac:dyDescent="0.25">
      <c r="A71">
        <v>44657992</v>
      </c>
      <c r="B71">
        <v>69</v>
      </c>
      <c r="C71">
        <v>44657992</v>
      </c>
    </row>
    <row r="72" spans="1:3" x14ac:dyDescent="0.25">
      <c r="A72">
        <v>49455882</v>
      </c>
      <c r="B72">
        <v>816</v>
      </c>
      <c r="C72">
        <v>49455882</v>
      </c>
    </row>
    <row r="73" spans="1:3" x14ac:dyDescent="0.25">
      <c r="A73">
        <v>51033867</v>
      </c>
      <c r="B73">
        <v>70</v>
      </c>
      <c r="C73">
        <v>51033867</v>
      </c>
    </row>
    <row r="74" spans="1:3" x14ac:dyDescent="0.25">
      <c r="A74">
        <v>50081310</v>
      </c>
      <c r="B74">
        <v>71</v>
      </c>
      <c r="C74">
        <v>50081310</v>
      </c>
    </row>
    <row r="75" spans="1:3" x14ac:dyDescent="0.25">
      <c r="A75">
        <v>48868447</v>
      </c>
      <c r="B75">
        <v>72</v>
      </c>
      <c r="C75">
        <v>48868447</v>
      </c>
    </row>
    <row r="76" spans="1:3" x14ac:dyDescent="0.25">
      <c r="A76">
        <v>46509026</v>
      </c>
      <c r="B76">
        <v>73</v>
      </c>
      <c r="C76">
        <v>46509026</v>
      </c>
    </row>
    <row r="77" spans="1:3" x14ac:dyDescent="0.25">
      <c r="A77">
        <v>48538150</v>
      </c>
      <c r="B77">
        <v>74</v>
      </c>
      <c r="C77">
        <v>48538150</v>
      </c>
    </row>
    <row r="78" spans="1:3" x14ac:dyDescent="0.25">
      <c r="A78">
        <v>49768712</v>
      </c>
      <c r="B78">
        <v>793</v>
      </c>
      <c r="C78">
        <v>49768712</v>
      </c>
    </row>
    <row r="79" spans="1:3" x14ac:dyDescent="0.25">
      <c r="A79">
        <v>50262337</v>
      </c>
      <c r="B79">
        <v>75</v>
      </c>
      <c r="C79">
        <v>50262337</v>
      </c>
    </row>
    <row r="80" spans="1:3" x14ac:dyDescent="0.25">
      <c r="A80">
        <v>45134563</v>
      </c>
      <c r="B80">
        <v>76</v>
      </c>
      <c r="C80">
        <v>45134563</v>
      </c>
    </row>
    <row r="81" spans="1:3" x14ac:dyDescent="0.25">
      <c r="A81">
        <v>95525571</v>
      </c>
      <c r="B81">
        <v>77</v>
      </c>
      <c r="C81">
        <v>95525571</v>
      </c>
    </row>
    <row r="82" spans="1:3" x14ac:dyDescent="0.25">
      <c r="A82">
        <v>44107356</v>
      </c>
      <c r="B82">
        <v>78</v>
      </c>
      <c r="C82">
        <v>44107356</v>
      </c>
    </row>
    <row r="83" spans="1:3" x14ac:dyDescent="0.25">
      <c r="A83">
        <v>48538101</v>
      </c>
      <c r="B83">
        <v>79</v>
      </c>
      <c r="C83">
        <v>48538101</v>
      </c>
    </row>
    <row r="84" spans="1:3" x14ac:dyDescent="0.25">
      <c r="A84">
        <v>46509009</v>
      </c>
      <c r="B84">
        <v>80</v>
      </c>
      <c r="C84">
        <v>46509009</v>
      </c>
    </row>
    <row r="85" spans="1:3" x14ac:dyDescent="0.25">
      <c r="A85">
        <v>48816239</v>
      </c>
      <c r="B85">
        <v>81</v>
      </c>
      <c r="C85">
        <v>48816239</v>
      </c>
    </row>
    <row r="86" spans="1:3" x14ac:dyDescent="0.25">
      <c r="A86">
        <v>45698136</v>
      </c>
      <c r="B86">
        <v>82</v>
      </c>
      <c r="C86">
        <v>45698136</v>
      </c>
    </row>
    <row r="87" spans="1:3" x14ac:dyDescent="0.25">
      <c r="A87">
        <v>45114903</v>
      </c>
      <c r="B87">
        <v>83</v>
      </c>
      <c r="C87">
        <v>45114903</v>
      </c>
    </row>
    <row r="88" spans="1:3" x14ac:dyDescent="0.25">
      <c r="A88">
        <v>46509079</v>
      </c>
      <c r="B88">
        <v>84</v>
      </c>
      <c r="C88">
        <v>46509079</v>
      </c>
    </row>
    <row r="89" spans="1:3" x14ac:dyDescent="0.25">
      <c r="A89">
        <v>47213851</v>
      </c>
      <c r="B89">
        <v>85</v>
      </c>
      <c r="C89">
        <v>47213851</v>
      </c>
    </row>
    <row r="90" spans="1:3" x14ac:dyDescent="0.25">
      <c r="A90">
        <v>46942761</v>
      </c>
      <c r="B90">
        <v>86</v>
      </c>
      <c r="C90">
        <v>46942761</v>
      </c>
    </row>
    <row r="91" spans="1:3" x14ac:dyDescent="0.25">
      <c r="A91">
        <v>47989211</v>
      </c>
      <c r="B91">
        <v>87</v>
      </c>
      <c r="C91">
        <v>47989211</v>
      </c>
    </row>
    <row r="92" spans="1:3" x14ac:dyDescent="0.25">
      <c r="A92">
        <v>50634630</v>
      </c>
      <c r="B92">
        <v>88</v>
      </c>
      <c r="C92">
        <v>50634630</v>
      </c>
    </row>
    <row r="93" spans="1:3" x14ac:dyDescent="0.25">
      <c r="A93">
        <v>43929972</v>
      </c>
      <c r="B93">
        <v>89</v>
      </c>
      <c r="C93">
        <v>43929972</v>
      </c>
    </row>
    <row r="94" spans="1:3" x14ac:dyDescent="0.25">
      <c r="A94">
        <v>46035103</v>
      </c>
      <c r="B94">
        <v>90</v>
      </c>
      <c r="C94">
        <v>46035103</v>
      </c>
    </row>
    <row r="95" spans="1:3" x14ac:dyDescent="0.25">
      <c r="A95">
        <v>46768242</v>
      </c>
      <c r="B95">
        <v>91</v>
      </c>
      <c r="C95">
        <v>46768242</v>
      </c>
    </row>
    <row r="96" spans="1:3" x14ac:dyDescent="0.25">
      <c r="A96">
        <v>46768264</v>
      </c>
      <c r="B96">
        <v>92</v>
      </c>
      <c r="C96">
        <v>46768264</v>
      </c>
    </row>
    <row r="97" spans="1:3" x14ac:dyDescent="0.25">
      <c r="A97">
        <v>47567431</v>
      </c>
      <c r="B97">
        <v>93</v>
      </c>
      <c r="C97">
        <v>47567431</v>
      </c>
    </row>
    <row r="98" spans="1:3" x14ac:dyDescent="0.25">
      <c r="A98">
        <v>48755113</v>
      </c>
      <c r="B98">
        <v>94</v>
      </c>
      <c r="C98">
        <v>48755113</v>
      </c>
    </row>
    <row r="99" spans="1:3" x14ac:dyDescent="0.25">
      <c r="A99">
        <v>43367460</v>
      </c>
      <c r="B99">
        <v>95</v>
      </c>
      <c r="C99">
        <v>43367460</v>
      </c>
    </row>
    <row r="100" spans="1:3" x14ac:dyDescent="0.25">
      <c r="A100">
        <v>49221556</v>
      </c>
      <c r="B100">
        <v>96</v>
      </c>
      <c r="C100">
        <v>49221556</v>
      </c>
    </row>
    <row r="101" spans="1:3" x14ac:dyDescent="0.25">
      <c r="A101">
        <v>49716956</v>
      </c>
      <c r="B101">
        <v>97</v>
      </c>
      <c r="C101">
        <v>49716956</v>
      </c>
    </row>
    <row r="102" spans="1:3" x14ac:dyDescent="0.25">
      <c r="A102">
        <v>47250888</v>
      </c>
      <c r="B102">
        <v>98</v>
      </c>
      <c r="C102">
        <v>47250888</v>
      </c>
    </row>
    <row r="103" spans="1:3" x14ac:dyDescent="0.25">
      <c r="A103">
        <v>44296637</v>
      </c>
      <c r="B103">
        <v>99</v>
      </c>
      <c r="C103">
        <v>44296637</v>
      </c>
    </row>
    <row r="104" spans="1:3" x14ac:dyDescent="0.25">
      <c r="A104">
        <v>50634816</v>
      </c>
      <c r="B104">
        <v>100</v>
      </c>
      <c r="C104">
        <v>50634816</v>
      </c>
    </row>
    <row r="105" spans="1:3" x14ac:dyDescent="0.25">
      <c r="A105">
        <v>47250831</v>
      </c>
      <c r="B105">
        <v>101</v>
      </c>
      <c r="C105">
        <v>47250831</v>
      </c>
    </row>
    <row r="106" spans="1:3" x14ac:dyDescent="0.25">
      <c r="A106">
        <v>45591905</v>
      </c>
      <c r="B106">
        <v>102</v>
      </c>
      <c r="C106">
        <v>45591905</v>
      </c>
    </row>
    <row r="107" spans="1:3" x14ac:dyDescent="0.25">
      <c r="A107">
        <v>46509090</v>
      </c>
      <c r="B107">
        <v>103</v>
      </c>
      <c r="C107">
        <v>46509090</v>
      </c>
    </row>
    <row r="108" spans="1:3" x14ac:dyDescent="0.25">
      <c r="A108">
        <v>45485875</v>
      </c>
      <c r="B108">
        <v>104</v>
      </c>
      <c r="C108">
        <v>45485875</v>
      </c>
    </row>
    <row r="109" spans="1:3" x14ac:dyDescent="0.25">
      <c r="A109">
        <v>46721918</v>
      </c>
      <c r="B109">
        <v>105</v>
      </c>
      <c r="C109">
        <v>46721918</v>
      </c>
    </row>
    <row r="110" spans="1:3" x14ac:dyDescent="0.25">
      <c r="A110">
        <v>45092237</v>
      </c>
      <c r="B110">
        <v>106</v>
      </c>
      <c r="C110">
        <v>45092237</v>
      </c>
    </row>
    <row r="111" spans="1:3" x14ac:dyDescent="0.25">
      <c r="A111">
        <v>47250827</v>
      </c>
      <c r="B111">
        <v>107</v>
      </c>
      <c r="C111">
        <v>47250827</v>
      </c>
    </row>
    <row r="112" spans="1:3" x14ac:dyDescent="0.25">
      <c r="A112">
        <v>48130230</v>
      </c>
      <c r="B112">
        <v>108</v>
      </c>
      <c r="C112">
        <v>48130230</v>
      </c>
    </row>
    <row r="113" spans="1:3" x14ac:dyDescent="0.25">
      <c r="A113">
        <v>46958444</v>
      </c>
      <c r="B113">
        <v>109</v>
      </c>
      <c r="C113">
        <v>46958444</v>
      </c>
    </row>
    <row r="114" spans="1:3" x14ac:dyDescent="0.25">
      <c r="A114">
        <v>48653201</v>
      </c>
      <c r="B114">
        <v>110</v>
      </c>
      <c r="C114">
        <v>48653201</v>
      </c>
    </row>
    <row r="115" spans="1:3" x14ac:dyDescent="0.25">
      <c r="A115">
        <v>46889210</v>
      </c>
      <c r="B115">
        <v>111</v>
      </c>
      <c r="C115">
        <v>46889210</v>
      </c>
    </row>
    <row r="116" spans="1:3" x14ac:dyDescent="0.25">
      <c r="A116">
        <v>46035169</v>
      </c>
      <c r="B116">
        <v>112</v>
      </c>
      <c r="C116">
        <v>46035169</v>
      </c>
    </row>
    <row r="117" spans="1:3" x14ac:dyDescent="0.25">
      <c r="A117">
        <v>46721807</v>
      </c>
      <c r="B117">
        <v>113</v>
      </c>
      <c r="C117">
        <v>46721807</v>
      </c>
    </row>
    <row r="118" spans="1:3" x14ac:dyDescent="0.25">
      <c r="A118">
        <v>45933490</v>
      </c>
      <c r="B118">
        <v>114</v>
      </c>
      <c r="C118">
        <v>45933490</v>
      </c>
    </row>
    <row r="119" spans="1:3" x14ac:dyDescent="0.25">
      <c r="A119">
        <v>48130296</v>
      </c>
      <c r="B119">
        <v>115</v>
      </c>
      <c r="C119">
        <v>48130296</v>
      </c>
    </row>
    <row r="120" spans="1:3" x14ac:dyDescent="0.25">
      <c r="A120">
        <v>50830132</v>
      </c>
      <c r="B120">
        <v>116</v>
      </c>
      <c r="C120">
        <v>50830132</v>
      </c>
    </row>
    <row r="121" spans="1:3" x14ac:dyDescent="0.25">
      <c r="A121">
        <v>47964660</v>
      </c>
      <c r="B121">
        <v>117</v>
      </c>
      <c r="C121">
        <v>47964660</v>
      </c>
    </row>
    <row r="122" spans="1:3" x14ac:dyDescent="0.25">
      <c r="A122">
        <v>46035136</v>
      </c>
      <c r="B122">
        <v>118</v>
      </c>
      <c r="C122">
        <v>46035136</v>
      </c>
    </row>
    <row r="123" spans="1:3" x14ac:dyDescent="0.25">
      <c r="A123">
        <v>46768255</v>
      </c>
      <c r="B123">
        <v>119</v>
      </c>
      <c r="C123">
        <v>46768255</v>
      </c>
    </row>
    <row r="124" spans="1:3" x14ac:dyDescent="0.25">
      <c r="A124">
        <v>41158008</v>
      </c>
      <c r="B124">
        <v>120</v>
      </c>
      <c r="C124">
        <v>41158008</v>
      </c>
    </row>
    <row r="125" spans="1:3" x14ac:dyDescent="0.25">
      <c r="A125">
        <v>36148256</v>
      </c>
      <c r="B125">
        <v>121</v>
      </c>
      <c r="C125">
        <v>36148256</v>
      </c>
    </row>
    <row r="126" spans="1:3" x14ac:dyDescent="0.25">
      <c r="A126">
        <v>46035160</v>
      </c>
      <c r="B126">
        <v>122</v>
      </c>
      <c r="C126">
        <v>46035160</v>
      </c>
    </row>
    <row r="127" spans="1:3" x14ac:dyDescent="0.25">
      <c r="A127">
        <v>45753781</v>
      </c>
      <c r="B127">
        <v>123</v>
      </c>
      <c r="C127">
        <v>45753781</v>
      </c>
    </row>
    <row r="128" spans="1:3" x14ac:dyDescent="0.25">
      <c r="A128">
        <v>95048224</v>
      </c>
      <c r="B128">
        <v>124</v>
      </c>
      <c r="C128">
        <v>95048224</v>
      </c>
    </row>
    <row r="129" spans="1:3" x14ac:dyDescent="0.25">
      <c r="A129">
        <v>47469192</v>
      </c>
      <c r="B129">
        <v>813</v>
      </c>
      <c r="C129">
        <v>47469192</v>
      </c>
    </row>
    <row r="130" spans="1:3" x14ac:dyDescent="0.25">
      <c r="A130">
        <v>50523340</v>
      </c>
      <c r="B130">
        <v>125</v>
      </c>
      <c r="C130">
        <v>50523340</v>
      </c>
    </row>
    <row r="131" spans="1:3" x14ac:dyDescent="0.25">
      <c r="A131">
        <v>95308967</v>
      </c>
      <c r="B131">
        <v>126</v>
      </c>
      <c r="C131">
        <v>95308967</v>
      </c>
    </row>
    <row r="132" spans="1:3" x14ac:dyDescent="0.25">
      <c r="A132">
        <v>95308963</v>
      </c>
      <c r="B132">
        <v>127</v>
      </c>
      <c r="C132">
        <v>95308963</v>
      </c>
    </row>
    <row r="133" spans="1:3" x14ac:dyDescent="0.25">
      <c r="A133">
        <v>45868257</v>
      </c>
      <c r="B133">
        <v>128</v>
      </c>
      <c r="C133">
        <v>45868257</v>
      </c>
    </row>
    <row r="134" spans="1:3" x14ac:dyDescent="0.25">
      <c r="A134">
        <v>48433404</v>
      </c>
      <c r="B134">
        <v>129</v>
      </c>
      <c r="C134">
        <v>48433404</v>
      </c>
    </row>
    <row r="135" spans="1:3" x14ac:dyDescent="0.25">
      <c r="A135">
        <v>45722960</v>
      </c>
      <c r="B135">
        <v>130</v>
      </c>
      <c r="C135">
        <v>45722960</v>
      </c>
    </row>
    <row r="136" spans="1:3" x14ac:dyDescent="0.25">
      <c r="A136">
        <v>47304107</v>
      </c>
      <c r="B136">
        <v>131</v>
      </c>
      <c r="C136">
        <v>47304107</v>
      </c>
    </row>
    <row r="137" spans="1:3" x14ac:dyDescent="0.25">
      <c r="A137">
        <v>12773227</v>
      </c>
      <c r="B137">
        <v>132</v>
      </c>
      <c r="C137">
        <v>12773227</v>
      </c>
    </row>
    <row r="138" spans="1:3" x14ac:dyDescent="0.25">
      <c r="A138">
        <v>47802365</v>
      </c>
      <c r="B138">
        <v>133</v>
      </c>
      <c r="C138">
        <v>47802365</v>
      </c>
    </row>
    <row r="139" spans="1:3" x14ac:dyDescent="0.25">
      <c r="A139">
        <v>49087762</v>
      </c>
      <c r="B139">
        <v>134</v>
      </c>
      <c r="C139">
        <v>49087762</v>
      </c>
    </row>
    <row r="140" spans="1:3" x14ac:dyDescent="0.25">
      <c r="A140">
        <v>49716938</v>
      </c>
      <c r="B140">
        <v>135</v>
      </c>
      <c r="C140">
        <v>49716938</v>
      </c>
    </row>
    <row r="141" spans="1:3" x14ac:dyDescent="0.25">
      <c r="A141">
        <v>46511833</v>
      </c>
      <c r="B141">
        <v>136</v>
      </c>
      <c r="C141">
        <v>46511833</v>
      </c>
    </row>
    <row r="142" spans="1:3" x14ac:dyDescent="0.25">
      <c r="A142">
        <v>47823196</v>
      </c>
      <c r="B142">
        <v>137</v>
      </c>
      <c r="C142">
        <v>47823196</v>
      </c>
    </row>
    <row r="143" spans="1:3" x14ac:dyDescent="0.25">
      <c r="A143">
        <v>50632411</v>
      </c>
      <c r="B143">
        <v>138</v>
      </c>
      <c r="C143">
        <v>50632411</v>
      </c>
    </row>
    <row r="144" spans="1:3" x14ac:dyDescent="0.25">
      <c r="A144">
        <v>46035174</v>
      </c>
      <c r="B144">
        <v>139</v>
      </c>
      <c r="C144">
        <v>46035174</v>
      </c>
    </row>
    <row r="145" spans="1:3" x14ac:dyDescent="0.25">
      <c r="A145">
        <v>50603335</v>
      </c>
      <c r="B145">
        <v>794</v>
      </c>
      <c r="C145">
        <v>50603335</v>
      </c>
    </row>
    <row r="146" spans="1:3" x14ac:dyDescent="0.25">
      <c r="A146">
        <v>46972561</v>
      </c>
      <c r="B146">
        <v>140</v>
      </c>
      <c r="C146">
        <v>46972561</v>
      </c>
    </row>
    <row r="147" spans="1:3" x14ac:dyDescent="0.25">
      <c r="A147">
        <v>47989281</v>
      </c>
      <c r="B147">
        <v>141</v>
      </c>
      <c r="C147">
        <v>47989281</v>
      </c>
    </row>
    <row r="148" spans="1:3" x14ac:dyDescent="0.25">
      <c r="A148">
        <v>49415440</v>
      </c>
      <c r="B148">
        <v>802</v>
      </c>
      <c r="C148">
        <v>49415440</v>
      </c>
    </row>
    <row r="149" spans="1:3" x14ac:dyDescent="0.25">
      <c r="A149">
        <v>45403864</v>
      </c>
      <c r="B149">
        <v>142</v>
      </c>
      <c r="C149">
        <v>45403864</v>
      </c>
    </row>
    <row r="150" spans="1:3" x14ac:dyDescent="0.25">
      <c r="A150">
        <v>47665543</v>
      </c>
      <c r="B150">
        <v>143</v>
      </c>
      <c r="C150">
        <v>47665543</v>
      </c>
    </row>
    <row r="151" spans="1:3" x14ac:dyDescent="0.25">
      <c r="A151">
        <v>46035178</v>
      </c>
      <c r="B151">
        <v>144</v>
      </c>
      <c r="C151">
        <v>46035178</v>
      </c>
    </row>
    <row r="152" spans="1:3" x14ac:dyDescent="0.25">
      <c r="A152">
        <v>44213841</v>
      </c>
      <c r="B152">
        <v>145</v>
      </c>
      <c r="C152">
        <v>44213841</v>
      </c>
    </row>
    <row r="153" spans="1:3" x14ac:dyDescent="0.25">
      <c r="A153">
        <v>50634679</v>
      </c>
      <c r="B153">
        <v>146</v>
      </c>
      <c r="C153">
        <v>50634679</v>
      </c>
    </row>
    <row r="154" spans="1:3" x14ac:dyDescent="0.25">
      <c r="A154">
        <v>50931260</v>
      </c>
      <c r="B154">
        <v>147</v>
      </c>
      <c r="C154">
        <v>50931260</v>
      </c>
    </row>
    <row r="155" spans="1:3" x14ac:dyDescent="0.25">
      <c r="A155">
        <v>50634632</v>
      </c>
      <c r="B155">
        <v>148</v>
      </c>
      <c r="C155">
        <v>50634632</v>
      </c>
    </row>
    <row r="156" spans="1:3" x14ac:dyDescent="0.25">
      <c r="A156">
        <v>49952088</v>
      </c>
      <c r="B156">
        <v>149</v>
      </c>
      <c r="C156">
        <v>49952088</v>
      </c>
    </row>
    <row r="157" spans="1:3" x14ac:dyDescent="0.25">
      <c r="A157">
        <v>46539504</v>
      </c>
      <c r="B157">
        <v>150</v>
      </c>
      <c r="C157">
        <v>46539504</v>
      </c>
    </row>
    <row r="158" spans="1:3" x14ac:dyDescent="0.25">
      <c r="A158">
        <v>49952087</v>
      </c>
      <c r="B158">
        <v>151</v>
      </c>
      <c r="C158">
        <v>49952087</v>
      </c>
    </row>
    <row r="159" spans="1:3" x14ac:dyDescent="0.25">
      <c r="A159">
        <v>44791403</v>
      </c>
      <c r="B159">
        <v>152</v>
      </c>
      <c r="C159">
        <v>44791403</v>
      </c>
    </row>
    <row r="160" spans="1:3" x14ac:dyDescent="0.25">
      <c r="A160">
        <v>49718562</v>
      </c>
      <c r="B160">
        <v>153</v>
      </c>
      <c r="C160">
        <v>49718562</v>
      </c>
    </row>
    <row r="161" spans="1:3" x14ac:dyDescent="0.25">
      <c r="A161">
        <v>50091909</v>
      </c>
      <c r="B161">
        <v>154</v>
      </c>
      <c r="C161">
        <v>50091909</v>
      </c>
    </row>
    <row r="162" spans="1:3" x14ac:dyDescent="0.25">
      <c r="A162">
        <v>48601540</v>
      </c>
      <c r="B162">
        <v>155</v>
      </c>
      <c r="C162">
        <v>48601540</v>
      </c>
    </row>
    <row r="163" spans="1:3" x14ac:dyDescent="0.25">
      <c r="A163">
        <v>45092238</v>
      </c>
      <c r="B163">
        <v>156</v>
      </c>
      <c r="C163">
        <v>45092238</v>
      </c>
    </row>
    <row r="164" spans="1:3" x14ac:dyDescent="0.25">
      <c r="A164">
        <v>47143652</v>
      </c>
      <c r="B164">
        <v>157</v>
      </c>
      <c r="C164">
        <v>47143652</v>
      </c>
    </row>
    <row r="165" spans="1:3" x14ac:dyDescent="0.25">
      <c r="A165">
        <v>46194239</v>
      </c>
      <c r="B165">
        <v>158</v>
      </c>
      <c r="C165">
        <v>46194239</v>
      </c>
    </row>
    <row r="166" spans="1:3" x14ac:dyDescent="0.25">
      <c r="A166">
        <v>46035150</v>
      </c>
      <c r="B166">
        <v>159</v>
      </c>
      <c r="C166">
        <v>46035150</v>
      </c>
    </row>
    <row r="167" spans="1:3" x14ac:dyDescent="0.25">
      <c r="A167">
        <v>46035983</v>
      </c>
      <c r="B167">
        <v>160</v>
      </c>
      <c r="C167">
        <v>46035983</v>
      </c>
    </row>
    <row r="168" spans="1:3" x14ac:dyDescent="0.25">
      <c r="A168">
        <v>50836436</v>
      </c>
      <c r="B168">
        <v>161</v>
      </c>
      <c r="C168">
        <v>50836436</v>
      </c>
    </row>
    <row r="169" spans="1:3" x14ac:dyDescent="0.25">
      <c r="A169">
        <v>45154816</v>
      </c>
      <c r="B169">
        <v>162</v>
      </c>
      <c r="C169">
        <v>45154816</v>
      </c>
    </row>
    <row r="170" spans="1:3" x14ac:dyDescent="0.25">
      <c r="A170">
        <v>48533838</v>
      </c>
      <c r="B170">
        <v>163</v>
      </c>
      <c r="C170">
        <v>48533838</v>
      </c>
    </row>
    <row r="171" spans="1:3" x14ac:dyDescent="0.25">
      <c r="A171">
        <v>46035115</v>
      </c>
      <c r="B171">
        <v>164</v>
      </c>
      <c r="C171">
        <v>46035115</v>
      </c>
    </row>
    <row r="172" spans="1:3" x14ac:dyDescent="0.25">
      <c r="A172">
        <v>45484411</v>
      </c>
      <c r="B172">
        <v>165</v>
      </c>
      <c r="C172">
        <v>45484411</v>
      </c>
    </row>
    <row r="173" spans="1:3" x14ac:dyDescent="0.25">
      <c r="A173" t="s">
        <v>5</v>
      </c>
      <c r="B173">
        <v>166</v>
      </c>
      <c r="C173" t="s">
        <v>5</v>
      </c>
    </row>
    <row r="174" spans="1:3" x14ac:dyDescent="0.25">
      <c r="A174">
        <v>46917655</v>
      </c>
      <c r="B174">
        <v>167</v>
      </c>
      <c r="C174">
        <v>46917655</v>
      </c>
    </row>
    <row r="175" spans="1:3" x14ac:dyDescent="0.25">
      <c r="A175">
        <v>47665556</v>
      </c>
      <c r="B175">
        <v>168</v>
      </c>
      <c r="C175">
        <v>47665556</v>
      </c>
    </row>
    <row r="176" spans="1:3" x14ac:dyDescent="0.25">
      <c r="A176">
        <v>45698126</v>
      </c>
      <c r="B176">
        <v>169</v>
      </c>
      <c r="C176">
        <v>45698126</v>
      </c>
    </row>
    <row r="177" spans="1:3" x14ac:dyDescent="0.25">
      <c r="A177">
        <v>49837116</v>
      </c>
      <c r="B177">
        <v>170</v>
      </c>
      <c r="C177">
        <v>49837116</v>
      </c>
    </row>
    <row r="178" spans="1:3" x14ac:dyDescent="0.25">
      <c r="A178">
        <v>49559295</v>
      </c>
      <c r="B178">
        <v>171</v>
      </c>
      <c r="C178">
        <v>49559295</v>
      </c>
    </row>
    <row r="179" spans="1:3" x14ac:dyDescent="0.25">
      <c r="A179">
        <v>50634626</v>
      </c>
      <c r="B179">
        <v>172</v>
      </c>
      <c r="C179">
        <v>50634626</v>
      </c>
    </row>
    <row r="180" spans="1:3" x14ac:dyDescent="0.25">
      <c r="A180">
        <v>44599629</v>
      </c>
      <c r="B180">
        <v>173</v>
      </c>
      <c r="C180">
        <v>44599629</v>
      </c>
    </row>
    <row r="181" spans="1:3" x14ac:dyDescent="0.25">
      <c r="A181">
        <v>48041306</v>
      </c>
      <c r="B181">
        <v>174</v>
      </c>
      <c r="C181">
        <v>48041306</v>
      </c>
    </row>
    <row r="182" spans="1:3" x14ac:dyDescent="0.25">
      <c r="A182">
        <v>46707032</v>
      </c>
      <c r="B182">
        <v>175</v>
      </c>
      <c r="C182">
        <v>46707032</v>
      </c>
    </row>
    <row r="183" spans="1:3" x14ac:dyDescent="0.25">
      <c r="A183">
        <v>47987537</v>
      </c>
      <c r="B183">
        <v>176</v>
      </c>
      <c r="C183">
        <v>47987537</v>
      </c>
    </row>
    <row r="184" spans="1:3" x14ac:dyDescent="0.25">
      <c r="A184">
        <v>44521239</v>
      </c>
      <c r="B184">
        <v>177</v>
      </c>
      <c r="C184">
        <v>44521239</v>
      </c>
    </row>
    <row r="185" spans="1:3" x14ac:dyDescent="0.25">
      <c r="A185">
        <v>46740301</v>
      </c>
      <c r="B185">
        <v>178</v>
      </c>
      <c r="C185">
        <v>46740301</v>
      </c>
    </row>
    <row r="186" spans="1:3" x14ac:dyDescent="0.25">
      <c r="A186">
        <v>45674069</v>
      </c>
      <c r="B186">
        <v>179</v>
      </c>
      <c r="C186">
        <v>45674069</v>
      </c>
    </row>
    <row r="187" spans="1:3" x14ac:dyDescent="0.25">
      <c r="A187">
        <v>47250869</v>
      </c>
      <c r="B187">
        <v>180</v>
      </c>
      <c r="C187">
        <v>47250869</v>
      </c>
    </row>
    <row r="188" spans="1:3" x14ac:dyDescent="0.25">
      <c r="A188">
        <v>50739288</v>
      </c>
      <c r="B188">
        <v>181</v>
      </c>
      <c r="C188">
        <v>50739288</v>
      </c>
    </row>
    <row r="189" spans="1:3" x14ac:dyDescent="0.25">
      <c r="A189">
        <v>49166987</v>
      </c>
      <c r="B189">
        <v>182</v>
      </c>
      <c r="C189">
        <v>49166987</v>
      </c>
    </row>
    <row r="190" spans="1:3" x14ac:dyDescent="0.25">
      <c r="A190">
        <v>46888421</v>
      </c>
      <c r="B190">
        <v>183</v>
      </c>
      <c r="C190">
        <v>46888421</v>
      </c>
    </row>
    <row r="191" spans="1:3" x14ac:dyDescent="0.25">
      <c r="A191">
        <v>44296627</v>
      </c>
      <c r="B191">
        <v>184</v>
      </c>
      <c r="C191">
        <v>44296627</v>
      </c>
    </row>
    <row r="192" spans="1:3" x14ac:dyDescent="0.25">
      <c r="A192">
        <v>47665560</v>
      </c>
      <c r="B192">
        <v>185</v>
      </c>
      <c r="C192">
        <v>47665560</v>
      </c>
    </row>
    <row r="193" spans="1:3" x14ac:dyDescent="0.25">
      <c r="A193">
        <v>50634624</v>
      </c>
      <c r="B193">
        <v>186</v>
      </c>
      <c r="C193">
        <v>50634624</v>
      </c>
    </row>
    <row r="194" spans="1:3" x14ac:dyDescent="0.25">
      <c r="A194">
        <v>45836228</v>
      </c>
      <c r="B194">
        <v>187</v>
      </c>
      <c r="C194">
        <v>45836228</v>
      </c>
    </row>
    <row r="195" spans="1:3" x14ac:dyDescent="0.25">
      <c r="A195">
        <v>49455866</v>
      </c>
      <c r="B195">
        <v>795</v>
      </c>
      <c r="C195">
        <v>49455866</v>
      </c>
    </row>
    <row r="196" spans="1:3" x14ac:dyDescent="0.25">
      <c r="A196">
        <v>50091994</v>
      </c>
      <c r="B196">
        <v>188</v>
      </c>
      <c r="C196">
        <v>50091994</v>
      </c>
    </row>
    <row r="197" spans="1:3" x14ac:dyDescent="0.25">
      <c r="A197">
        <v>95843395</v>
      </c>
      <c r="B197">
        <v>189</v>
      </c>
      <c r="C197">
        <v>95843395</v>
      </c>
    </row>
    <row r="198" spans="1:3" x14ac:dyDescent="0.25">
      <c r="A198">
        <v>50425096</v>
      </c>
      <c r="B198">
        <v>190</v>
      </c>
      <c r="C198">
        <v>50425096</v>
      </c>
    </row>
    <row r="199" spans="1:3" x14ac:dyDescent="0.25">
      <c r="A199">
        <v>50971147</v>
      </c>
      <c r="B199">
        <v>191</v>
      </c>
      <c r="C199">
        <v>50971147</v>
      </c>
    </row>
    <row r="200" spans="1:3" x14ac:dyDescent="0.25">
      <c r="A200">
        <v>48903897</v>
      </c>
      <c r="B200">
        <v>192</v>
      </c>
      <c r="C200">
        <v>48903897</v>
      </c>
    </row>
    <row r="201" spans="1:3" x14ac:dyDescent="0.25">
      <c r="A201">
        <v>50931316</v>
      </c>
      <c r="B201">
        <v>193</v>
      </c>
      <c r="C201">
        <v>50931316</v>
      </c>
    </row>
    <row r="202" spans="1:3" x14ac:dyDescent="0.25">
      <c r="A202">
        <v>54947293</v>
      </c>
      <c r="B202">
        <v>194</v>
      </c>
      <c r="C202">
        <v>54947293</v>
      </c>
    </row>
    <row r="203" spans="1:3" x14ac:dyDescent="0.25">
      <c r="A203">
        <v>50261997</v>
      </c>
      <c r="B203">
        <v>195</v>
      </c>
      <c r="C203">
        <v>50261997</v>
      </c>
    </row>
    <row r="204" spans="1:3" x14ac:dyDescent="0.25">
      <c r="A204">
        <v>41674034</v>
      </c>
      <c r="B204">
        <v>818</v>
      </c>
      <c r="C204">
        <v>41674034</v>
      </c>
    </row>
    <row r="205" spans="1:3" x14ac:dyDescent="0.25">
      <c r="A205">
        <v>47094443</v>
      </c>
      <c r="B205">
        <v>196</v>
      </c>
      <c r="C205">
        <v>47094443</v>
      </c>
    </row>
    <row r="206" spans="1:3" x14ac:dyDescent="0.25">
      <c r="A206">
        <v>48367455</v>
      </c>
      <c r="B206">
        <v>197</v>
      </c>
      <c r="C206">
        <v>48367455</v>
      </c>
    </row>
    <row r="207" spans="1:3" x14ac:dyDescent="0.25">
      <c r="A207">
        <v>44789560</v>
      </c>
      <c r="B207">
        <v>198</v>
      </c>
      <c r="C207">
        <v>44789560</v>
      </c>
    </row>
    <row r="208" spans="1:3" x14ac:dyDescent="0.25">
      <c r="A208">
        <v>46017549</v>
      </c>
      <c r="B208">
        <v>199</v>
      </c>
      <c r="C208">
        <v>46017549</v>
      </c>
    </row>
    <row r="209" spans="1:3" x14ac:dyDescent="0.25">
      <c r="A209">
        <v>47870851</v>
      </c>
      <c r="B209">
        <v>200</v>
      </c>
      <c r="C209">
        <v>47870851</v>
      </c>
    </row>
    <row r="210" spans="1:3" x14ac:dyDescent="0.25">
      <c r="A210">
        <v>46375127</v>
      </c>
      <c r="B210">
        <v>201</v>
      </c>
      <c r="C210">
        <v>46375127</v>
      </c>
    </row>
    <row r="211" spans="1:3" x14ac:dyDescent="0.25">
      <c r="A211">
        <v>47578494</v>
      </c>
      <c r="B211">
        <v>202</v>
      </c>
      <c r="C211">
        <v>47578494</v>
      </c>
    </row>
    <row r="212" spans="1:3" x14ac:dyDescent="0.25">
      <c r="A212">
        <v>47364868</v>
      </c>
      <c r="B212">
        <v>203</v>
      </c>
      <c r="C212">
        <v>47364868</v>
      </c>
    </row>
    <row r="213" spans="1:3" x14ac:dyDescent="0.25">
      <c r="A213">
        <v>48370926</v>
      </c>
      <c r="B213">
        <v>204</v>
      </c>
      <c r="C213">
        <v>48370926</v>
      </c>
    </row>
    <row r="214" spans="1:3" x14ac:dyDescent="0.25">
      <c r="A214">
        <v>48671848</v>
      </c>
      <c r="B214">
        <v>205</v>
      </c>
      <c r="C214">
        <v>48671848</v>
      </c>
    </row>
    <row r="215" spans="1:3" x14ac:dyDescent="0.25">
      <c r="A215">
        <v>46875626</v>
      </c>
      <c r="B215">
        <v>206</v>
      </c>
      <c r="C215">
        <v>46875626</v>
      </c>
    </row>
    <row r="216" spans="1:3" x14ac:dyDescent="0.25">
      <c r="A216">
        <v>44205545</v>
      </c>
      <c r="B216">
        <v>207</v>
      </c>
      <c r="C216">
        <v>44205545</v>
      </c>
    </row>
    <row r="217" spans="1:3" x14ac:dyDescent="0.25">
      <c r="A217">
        <v>94707469</v>
      </c>
      <c r="B217">
        <v>208</v>
      </c>
      <c r="C217">
        <v>94707469</v>
      </c>
    </row>
    <row r="218" spans="1:3" x14ac:dyDescent="0.25">
      <c r="A218">
        <v>51013768</v>
      </c>
      <c r="B218">
        <v>209</v>
      </c>
      <c r="C218">
        <v>51013768</v>
      </c>
    </row>
    <row r="219" spans="1:3" x14ac:dyDescent="0.25">
      <c r="A219">
        <v>49455836</v>
      </c>
      <c r="B219">
        <v>210</v>
      </c>
      <c r="C219">
        <v>49455836</v>
      </c>
    </row>
    <row r="220" spans="1:3" x14ac:dyDescent="0.25">
      <c r="A220">
        <v>47989248</v>
      </c>
      <c r="B220">
        <v>211</v>
      </c>
      <c r="C220">
        <v>47989248</v>
      </c>
    </row>
    <row r="221" spans="1:3" x14ac:dyDescent="0.25">
      <c r="A221">
        <v>45349569</v>
      </c>
      <c r="B221">
        <v>212</v>
      </c>
      <c r="C221">
        <v>45349569</v>
      </c>
    </row>
    <row r="222" spans="1:3" x14ac:dyDescent="0.25">
      <c r="A222">
        <v>44372164</v>
      </c>
      <c r="B222">
        <v>213</v>
      </c>
      <c r="C222">
        <v>44372164</v>
      </c>
    </row>
    <row r="223" spans="1:3" x14ac:dyDescent="0.25">
      <c r="A223">
        <v>47989216</v>
      </c>
      <c r="B223">
        <v>214</v>
      </c>
      <c r="C223">
        <v>47989216</v>
      </c>
    </row>
    <row r="224" spans="1:3" x14ac:dyDescent="0.25">
      <c r="A224">
        <v>45484414</v>
      </c>
      <c r="B224">
        <v>215</v>
      </c>
      <c r="C224">
        <v>45484414</v>
      </c>
    </row>
    <row r="225" spans="1:3" x14ac:dyDescent="0.25">
      <c r="A225">
        <v>52096969</v>
      </c>
      <c r="B225">
        <v>216</v>
      </c>
      <c r="C225">
        <v>52096969</v>
      </c>
    </row>
    <row r="226" spans="1:3" x14ac:dyDescent="0.25">
      <c r="A226">
        <v>49455863</v>
      </c>
      <c r="B226">
        <v>217</v>
      </c>
      <c r="C226">
        <v>49455863</v>
      </c>
    </row>
    <row r="227" spans="1:3" x14ac:dyDescent="0.25">
      <c r="A227">
        <v>47251377</v>
      </c>
      <c r="B227">
        <v>218</v>
      </c>
      <c r="C227">
        <v>47251377</v>
      </c>
    </row>
    <row r="228" spans="1:3" x14ac:dyDescent="0.25">
      <c r="A228">
        <v>44762201</v>
      </c>
      <c r="B228">
        <v>219</v>
      </c>
      <c r="C228">
        <v>44762201</v>
      </c>
    </row>
    <row r="229" spans="1:3" x14ac:dyDescent="0.25">
      <c r="A229">
        <v>50931274</v>
      </c>
      <c r="B229">
        <v>220</v>
      </c>
      <c r="C229">
        <v>50931274</v>
      </c>
    </row>
    <row r="230" spans="1:3" x14ac:dyDescent="0.25">
      <c r="A230">
        <v>44657998</v>
      </c>
      <c r="B230">
        <v>221</v>
      </c>
      <c r="C230">
        <v>44657998</v>
      </c>
    </row>
    <row r="231" spans="1:3" x14ac:dyDescent="0.25">
      <c r="A231">
        <v>42156664</v>
      </c>
      <c r="B231">
        <v>222</v>
      </c>
      <c r="C231">
        <v>42156664</v>
      </c>
    </row>
    <row r="232" spans="1:3" x14ac:dyDescent="0.25">
      <c r="A232">
        <v>46112635</v>
      </c>
      <c r="B232">
        <v>223</v>
      </c>
      <c r="C232">
        <v>46112635</v>
      </c>
    </row>
    <row r="233" spans="1:3" x14ac:dyDescent="0.25">
      <c r="A233">
        <v>49487135</v>
      </c>
      <c r="B233">
        <v>804</v>
      </c>
      <c r="C233">
        <v>49487135</v>
      </c>
    </row>
    <row r="234" spans="1:3" x14ac:dyDescent="0.25">
      <c r="A234">
        <v>47250825</v>
      </c>
      <c r="B234">
        <v>224</v>
      </c>
      <c r="C234">
        <v>47250825</v>
      </c>
    </row>
    <row r="235" spans="1:3" x14ac:dyDescent="0.25">
      <c r="A235">
        <v>44975703</v>
      </c>
      <c r="B235">
        <v>225</v>
      </c>
      <c r="C235">
        <v>44975703</v>
      </c>
    </row>
    <row r="236" spans="1:3" x14ac:dyDescent="0.25">
      <c r="A236">
        <v>47665548</v>
      </c>
      <c r="B236">
        <v>226</v>
      </c>
      <c r="C236">
        <v>47665548</v>
      </c>
    </row>
    <row r="237" spans="1:3" x14ac:dyDescent="0.25">
      <c r="A237">
        <v>48754197</v>
      </c>
      <c r="B237">
        <v>227</v>
      </c>
      <c r="C237">
        <v>48754197</v>
      </c>
    </row>
    <row r="238" spans="1:3" x14ac:dyDescent="0.25">
      <c r="A238">
        <v>45349587</v>
      </c>
      <c r="B238">
        <v>228</v>
      </c>
      <c r="C238">
        <v>45349587</v>
      </c>
    </row>
    <row r="239" spans="1:3" x14ac:dyDescent="0.25">
      <c r="A239">
        <v>46342180</v>
      </c>
      <c r="B239">
        <v>229</v>
      </c>
      <c r="C239">
        <v>46342180</v>
      </c>
    </row>
    <row r="240" spans="1:3" x14ac:dyDescent="0.25">
      <c r="A240">
        <v>50903394</v>
      </c>
      <c r="B240">
        <v>230</v>
      </c>
      <c r="C240">
        <v>50903394</v>
      </c>
    </row>
    <row r="241" spans="1:3" x14ac:dyDescent="0.25">
      <c r="A241">
        <v>49496964</v>
      </c>
      <c r="B241">
        <v>231</v>
      </c>
      <c r="C241">
        <v>49496964</v>
      </c>
    </row>
    <row r="242" spans="1:3" x14ac:dyDescent="0.25">
      <c r="A242">
        <v>46155454</v>
      </c>
      <c r="B242">
        <v>232</v>
      </c>
      <c r="C242">
        <v>46155454</v>
      </c>
    </row>
    <row r="243" spans="1:3" x14ac:dyDescent="0.25">
      <c r="A243">
        <v>48180657</v>
      </c>
      <c r="B243">
        <v>233</v>
      </c>
      <c r="C243">
        <v>48180657</v>
      </c>
    </row>
    <row r="244" spans="1:3" x14ac:dyDescent="0.25">
      <c r="A244">
        <v>48755699</v>
      </c>
      <c r="B244">
        <v>234</v>
      </c>
      <c r="C244">
        <v>48755699</v>
      </c>
    </row>
    <row r="245" spans="1:3" x14ac:dyDescent="0.25">
      <c r="A245">
        <v>46571754</v>
      </c>
      <c r="B245">
        <v>235</v>
      </c>
      <c r="C245">
        <v>46571754</v>
      </c>
    </row>
    <row r="246" spans="1:3" x14ac:dyDescent="0.25">
      <c r="A246">
        <v>48723222</v>
      </c>
      <c r="B246">
        <v>236</v>
      </c>
      <c r="C246">
        <v>48723222</v>
      </c>
    </row>
    <row r="247" spans="1:3" x14ac:dyDescent="0.25">
      <c r="A247">
        <v>48496669</v>
      </c>
      <c r="B247">
        <v>805</v>
      </c>
      <c r="C247">
        <v>48496669</v>
      </c>
    </row>
    <row r="248" spans="1:3" x14ac:dyDescent="0.25">
      <c r="A248">
        <v>49404202</v>
      </c>
      <c r="B248">
        <v>237</v>
      </c>
      <c r="C248">
        <v>49404202</v>
      </c>
    </row>
    <row r="249" spans="1:3" x14ac:dyDescent="0.25">
      <c r="A249">
        <v>46509014</v>
      </c>
      <c r="B249">
        <v>238</v>
      </c>
      <c r="C249">
        <v>46509014</v>
      </c>
    </row>
    <row r="250" spans="1:3" x14ac:dyDescent="0.25">
      <c r="A250">
        <v>44674195</v>
      </c>
      <c r="B250">
        <v>239</v>
      </c>
      <c r="C250">
        <v>44674195</v>
      </c>
    </row>
    <row r="251" spans="1:3" x14ac:dyDescent="0.25">
      <c r="A251">
        <v>44372159</v>
      </c>
      <c r="B251">
        <v>240</v>
      </c>
      <c r="C251">
        <v>44372159</v>
      </c>
    </row>
    <row r="252" spans="1:3" x14ac:dyDescent="0.25">
      <c r="A252">
        <v>48538145</v>
      </c>
      <c r="B252">
        <v>241</v>
      </c>
      <c r="C252">
        <v>48538145</v>
      </c>
    </row>
    <row r="253" spans="1:3" x14ac:dyDescent="0.25">
      <c r="A253">
        <v>48755683</v>
      </c>
      <c r="B253">
        <v>242</v>
      </c>
      <c r="C253">
        <v>48755683</v>
      </c>
    </row>
    <row r="254" spans="1:3" x14ac:dyDescent="0.25">
      <c r="A254">
        <v>46509017</v>
      </c>
      <c r="B254">
        <v>243</v>
      </c>
      <c r="C254">
        <v>46509017</v>
      </c>
    </row>
    <row r="255" spans="1:3" x14ac:dyDescent="0.25">
      <c r="A255">
        <v>42956808</v>
      </c>
      <c r="B255">
        <v>244</v>
      </c>
      <c r="C255">
        <v>42956808</v>
      </c>
    </row>
    <row r="256" spans="1:3" x14ac:dyDescent="0.25">
      <c r="A256">
        <v>50506058</v>
      </c>
      <c r="B256">
        <v>245</v>
      </c>
      <c r="C256">
        <v>50506058</v>
      </c>
    </row>
    <row r="257" spans="1:3" x14ac:dyDescent="0.25">
      <c r="A257">
        <v>44842685</v>
      </c>
      <c r="B257">
        <v>246</v>
      </c>
      <c r="C257">
        <v>44842685</v>
      </c>
    </row>
    <row r="258" spans="1:3" x14ac:dyDescent="0.25">
      <c r="A258">
        <v>50091965</v>
      </c>
      <c r="B258">
        <v>247</v>
      </c>
      <c r="C258">
        <v>50091965</v>
      </c>
    </row>
    <row r="259" spans="1:3" x14ac:dyDescent="0.25">
      <c r="A259">
        <v>49716986</v>
      </c>
      <c r="B259">
        <v>248</v>
      </c>
      <c r="C259">
        <v>49716986</v>
      </c>
    </row>
    <row r="260" spans="1:3" x14ac:dyDescent="0.25">
      <c r="A260">
        <v>45349556</v>
      </c>
      <c r="B260">
        <v>249</v>
      </c>
      <c r="C260">
        <v>45349556</v>
      </c>
    </row>
    <row r="261" spans="1:3" x14ac:dyDescent="0.25">
      <c r="A261">
        <v>47665545</v>
      </c>
      <c r="B261">
        <v>250</v>
      </c>
      <c r="C261">
        <v>47665545</v>
      </c>
    </row>
    <row r="262" spans="1:3" x14ac:dyDescent="0.25">
      <c r="A262">
        <v>47665565</v>
      </c>
      <c r="B262">
        <v>251</v>
      </c>
      <c r="C262">
        <v>47665565</v>
      </c>
    </row>
    <row r="263" spans="1:3" x14ac:dyDescent="0.25">
      <c r="A263">
        <v>44195305</v>
      </c>
      <c r="B263">
        <v>252</v>
      </c>
      <c r="C263">
        <v>44195305</v>
      </c>
    </row>
    <row r="264" spans="1:3" x14ac:dyDescent="0.25">
      <c r="A264">
        <v>44204976</v>
      </c>
      <c r="B264">
        <v>253</v>
      </c>
      <c r="C264">
        <v>44204976</v>
      </c>
    </row>
    <row r="265" spans="1:3" x14ac:dyDescent="0.25">
      <c r="A265">
        <v>47665541</v>
      </c>
      <c r="B265">
        <v>254</v>
      </c>
      <c r="C265">
        <v>47665541</v>
      </c>
    </row>
    <row r="266" spans="1:3" x14ac:dyDescent="0.25">
      <c r="A266">
        <v>45092236</v>
      </c>
      <c r="B266">
        <v>255</v>
      </c>
      <c r="C266">
        <v>45092236</v>
      </c>
    </row>
    <row r="267" spans="1:3" x14ac:dyDescent="0.25">
      <c r="A267">
        <v>44372156</v>
      </c>
      <c r="B267">
        <v>256</v>
      </c>
      <c r="C267">
        <v>44372156</v>
      </c>
    </row>
    <row r="268" spans="1:3" x14ac:dyDescent="0.25">
      <c r="A268">
        <v>48755665</v>
      </c>
      <c r="B268">
        <v>257</v>
      </c>
      <c r="C268">
        <v>48755665</v>
      </c>
    </row>
    <row r="269" spans="1:3" x14ac:dyDescent="0.25">
      <c r="A269">
        <v>45484422</v>
      </c>
      <c r="B269">
        <v>258</v>
      </c>
      <c r="C269">
        <v>45484422</v>
      </c>
    </row>
    <row r="270" spans="1:3" x14ac:dyDescent="0.25">
      <c r="A270">
        <v>44791401</v>
      </c>
      <c r="B270">
        <v>259</v>
      </c>
      <c r="C270">
        <v>44791401</v>
      </c>
    </row>
    <row r="271" spans="1:3" x14ac:dyDescent="0.25">
      <c r="A271">
        <v>48128120</v>
      </c>
      <c r="B271">
        <v>260</v>
      </c>
      <c r="C271">
        <v>48128120</v>
      </c>
    </row>
    <row r="272" spans="1:3" x14ac:dyDescent="0.25">
      <c r="A272">
        <v>45272090</v>
      </c>
      <c r="B272">
        <v>261</v>
      </c>
      <c r="C272">
        <v>45272090</v>
      </c>
    </row>
    <row r="273" spans="1:3" x14ac:dyDescent="0.25">
      <c r="A273">
        <v>45483169</v>
      </c>
      <c r="B273">
        <v>262</v>
      </c>
      <c r="C273">
        <v>45483169</v>
      </c>
    </row>
    <row r="274" spans="1:3" x14ac:dyDescent="0.25">
      <c r="A274">
        <v>44071029</v>
      </c>
      <c r="B274">
        <v>263</v>
      </c>
      <c r="C274">
        <v>44071029</v>
      </c>
    </row>
    <row r="275" spans="1:3" x14ac:dyDescent="0.25">
      <c r="A275">
        <v>49716981</v>
      </c>
      <c r="B275">
        <v>264</v>
      </c>
      <c r="C275">
        <v>49716981</v>
      </c>
    </row>
    <row r="276" spans="1:3" x14ac:dyDescent="0.25">
      <c r="A276">
        <v>43881850</v>
      </c>
      <c r="B276">
        <v>265</v>
      </c>
      <c r="C276">
        <v>43881850</v>
      </c>
    </row>
    <row r="277" spans="1:3" x14ac:dyDescent="0.25">
      <c r="A277">
        <v>50683284</v>
      </c>
      <c r="B277">
        <v>266</v>
      </c>
      <c r="C277">
        <v>50683284</v>
      </c>
    </row>
    <row r="278" spans="1:3" x14ac:dyDescent="0.25">
      <c r="A278">
        <v>45593081</v>
      </c>
      <c r="B278">
        <v>267</v>
      </c>
      <c r="C278">
        <v>45593081</v>
      </c>
    </row>
    <row r="279" spans="1:3" x14ac:dyDescent="0.25">
      <c r="A279">
        <v>44194962</v>
      </c>
      <c r="B279">
        <v>268</v>
      </c>
      <c r="C279">
        <v>44194962</v>
      </c>
    </row>
    <row r="280" spans="1:3" x14ac:dyDescent="0.25">
      <c r="A280">
        <v>47352446</v>
      </c>
      <c r="B280">
        <v>269</v>
      </c>
      <c r="C280">
        <v>47352446</v>
      </c>
    </row>
    <row r="281" spans="1:3" x14ac:dyDescent="0.25">
      <c r="A281">
        <v>46450716</v>
      </c>
      <c r="B281">
        <v>270</v>
      </c>
      <c r="C281">
        <v>46450716</v>
      </c>
    </row>
    <row r="282" spans="1:3" x14ac:dyDescent="0.25">
      <c r="A282">
        <v>48600258</v>
      </c>
      <c r="B282">
        <v>271</v>
      </c>
      <c r="C282">
        <v>48600258</v>
      </c>
    </row>
    <row r="283" spans="1:3" x14ac:dyDescent="0.25">
      <c r="A283">
        <v>44791409</v>
      </c>
      <c r="B283">
        <v>272</v>
      </c>
      <c r="C283">
        <v>44791409</v>
      </c>
    </row>
    <row r="284" spans="1:3" x14ac:dyDescent="0.25">
      <c r="A284">
        <v>45074201</v>
      </c>
      <c r="B284">
        <v>273</v>
      </c>
      <c r="C284">
        <v>45074201</v>
      </c>
    </row>
    <row r="285" spans="1:3" x14ac:dyDescent="0.25">
      <c r="A285">
        <v>46035118</v>
      </c>
      <c r="B285">
        <v>274</v>
      </c>
      <c r="C285">
        <v>46035118</v>
      </c>
    </row>
    <row r="286" spans="1:3" x14ac:dyDescent="0.25">
      <c r="A286">
        <v>48264989</v>
      </c>
      <c r="B286">
        <v>275</v>
      </c>
      <c r="C286">
        <v>48264989</v>
      </c>
    </row>
    <row r="287" spans="1:3" x14ac:dyDescent="0.25">
      <c r="A287">
        <v>48538123</v>
      </c>
      <c r="B287">
        <v>276</v>
      </c>
      <c r="C287">
        <v>48538123</v>
      </c>
    </row>
    <row r="288" spans="1:3" x14ac:dyDescent="0.25">
      <c r="A288">
        <v>49716911</v>
      </c>
      <c r="B288">
        <v>277</v>
      </c>
      <c r="C288">
        <v>49716911</v>
      </c>
    </row>
    <row r="289" spans="1:3" x14ac:dyDescent="0.25">
      <c r="A289">
        <v>48538128</v>
      </c>
      <c r="B289">
        <v>278</v>
      </c>
      <c r="C289">
        <v>48538128</v>
      </c>
    </row>
    <row r="290" spans="1:3" x14ac:dyDescent="0.25">
      <c r="A290">
        <v>45092234</v>
      </c>
      <c r="B290">
        <v>279</v>
      </c>
      <c r="C290">
        <v>45092234</v>
      </c>
    </row>
    <row r="291" spans="1:3" x14ac:dyDescent="0.25">
      <c r="A291">
        <v>44369620</v>
      </c>
      <c r="B291">
        <v>280</v>
      </c>
      <c r="C291">
        <v>44369620</v>
      </c>
    </row>
    <row r="292" spans="1:3" x14ac:dyDescent="0.25">
      <c r="A292">
        <v>49647778</v>
      </c>
      <c r="B292">
        <v>281</v>
      </c>
      <c r="C292">
        <v>49647778</v>
      </c>
    </row>
    <row r="293" spans="1:3" x14ac:dyDescent="0.25">
      <c r="A293">
        <v>46509010</v>
      </c>
      <c r="B293">
        <v>282</v>
      </c>
      <c r="C293">
        <v>46509010</v>
      </c>
    </row>
    <row r="294" spans="1:3" x14ac:dyDescent="0.25">
      <c r="A294">
        <v>47293815</v>
      </c>
      <c r="B294">
        <v>283</v>
      </c>
      <c r="C294">
        <v>47293815</v>
      </c>
    </row>
    <row r="295" spans="1:3" x14ac:dyDescent="0.25">
      <c r="A295">
        <v>48538499</v>
      </c>
      <c r="B295">
        <v>284</v>
      </c>
      <c r="C295">
        <v>48538499</v>
      </c>
    </row>
    <row r="296" spans="1:3" x14ac:dyDescent="0.25">
      <c r="A296">
        <v>49318740</v>
      </c>
      <c r="B296">
        <v>285</v>
      </c>
      <c r="C296">
        <v>49318740</v>
      </c>
    </row>
    <row r="297" spans="1:3" x14ac:dyDescent="0.25">
      <c r="A297">
        <v>50418792</v>
      </c>
      <c r="B297">
        <v>286</v>
      </c>
      <c r="C297">
        <v>50418792</v>
      </c>
    </row>
    <row r="298" spans="1:3" x14ac:dyDescent="0.25">
      <c r="A298">
        <v>46035159</v>
      </c>
      <c r="B298">
        <v>287</v>
      </c>
      <c r="C298">
        <v>46035159</v>
      </c>
    </row>
    <row r="299" spans="1:3" x14ac:dyDescent="0.25">
      <c r="A299">
        <v>46035144</v>
      </c>
      <c r="B299">
        <v>288</v>
      </c>
      <c r="C299">
        <v>46035144</v>
      </c>
    </row>
    <row r="300" spans="1:3" x14ac:dyDescent="0.25">
      <c r="A300">
        <v>47989279</v>
      </c>
      <c r="B300">
        <v>289</v>
      </c>
      <c r="C300">
        <v>47989279</v>
      </c>
    </row>
    <row r="301" spans="1:3" x14ac:dyDescent="0.25">
      <c r="A301">
        <v>49455865</v>
      </c>
      <c r="B301">
        <v>290</v>
      </c>
      <c r="C301">
        <v>49455865</v>
      </c>
    </row>
    <row r="302" spans="1:3" x14ac:dyDescent="0.25">
      <c r="A302">
        <v>46722094</v>
      </c>
      <c r="B302">
        <v>291</v>
      </c>
      <c r="C302">
        <v>46722094</v>
      </c>
    </row>
    <row r="303" spans="1:3" x14ac:dyDescent="0.25">
      <c r="A303">
        <v>44588496</v>
      </c>
      <c r="B303">
        <v>292</v>
      </c>
      <c r="C303">
        <v>44588496</v>
      </c>
    </row>
    <row r="304" spans="1:3" x14ac:dyDescent="0.25">
      <c r="A304">
        <v>45829208</v>
      </c>
      <c r="B304">
        <v>293</v>
      </c>
      <c r="C304">
        <v>45829208</v>
      </c>
    </row>
    <row r="305" spans="1:3" x14ac:dyDescent="0.25">
      <c r="A305">
        <v>46966587</v>
      </c>
      <c r="B305">
        <v>294</v>
      </c>
      <c r="C305">
        <v>46966587</v>
      </c>
    </row>
    <row r="306" spans="1:3" x14ac:dyDescent="0.25">
      <c r="A306">
        <v>50634682</v>
      </c>
      <c r="B306">
        <v>789</v>
      </c>
      <c r="C306">
        <v>50634682</v>
      </c>
    </row>
    <row r="307" spans="1:3" x14ac:dyDescent="0.25">
      <c r="A307">
        <v>46722025</v>
      </c>
      <c r="B307">
        <v>295</v>
      </c>
      <c r="C307">
        <v>46722025</v>
      </c>
    </row>
    <row r="308" spans="1:3" x14ac:dyDescent="0.25">
      <c r="A308">
        <v>46935855</v>
      </c>
      <c r="B308">
        <v>296</v>
      </c>
      <c r="C308">
        <v>46935855</v>
      </c>
    </row>
    <row r="309" spans="1:3" x14ac:dyDescent="0.25">
      <c r="A309">
        <v>47989278</v>
      </c>
      <c r="B309">
        <v>297</v>
      </c>
      <c r="C309">
        <v>47989278</v>
      </c>
    </row>
    <row r="310" spans="1:3" x14ac:dyDescent="0.25">
      <c r="A310">
        <v>50634642</v>
      </c>
      <c r="B310">
        <v>298</v>
      </c>
      <c r="C310">
        <v>50634642</v>
      </c>
    </row>
    <row r="311" spans="1:3" x14ac:dyDescent="0.25">
      <c r="A311">
        <v>44237180</v>
      </c>
      <c r="B311">
        <v>299</v>
      </c>
      <c r="C311">
        <v>44237180</v>
      </c>
    </row>
    <row r="312" spans="1:3" x14ac:dyDescent="0.25">
      <c r="A312">
        <v>45092235</v>
      </c>
      <c r="B312">
        <v>300</v>
      </c>
      <c r="C312">
        <v>45092235</v>
      </c>
    </row>
    <row r="313" spans="1:3" x14ac:dyDescent="0.25">
      <c r="A313">
        <v>50931317</v>
      </c>
      <c r="B313">
        <v>301</v>
      </c>
      <c r="C313">
        <v>50931317</v>
      </c>
    </row>
    <row r="314" spans="1:3" x14ac:dyDescent="0.25">
      <c r="A314">
        <v>44302158</v>
      </c>
      <c r="B314">
        <v>302</v>
      </c>
      <c r="C314">
        <v>44302158</v>
      </c>
    </row>
    <row r="315" spans="1:3" x14ac:dyDescent="0.25">
      <c r="A315">
        <v>49766137</v>
      </c>
      <c r="B315">
        <v>303</v>
      </c>
      <c r="C315">
        <v>49766137</v>
      </c>
    </row>
    <row r="316" spans="1:3" x14ac:dyDescent="0.25">
      <c r="A316">
        <v>43609636</v>
      </c>
      <c r="B316">
        <v>304</v>
      </c>
      <c r="C316">
        <v>43609636</v>
      </c>
    </row>
    <row r="317" spans="1:3" x14ac:dyDescent="0.25">
      <c r="A317">
        <v>94410697</v>
      </c>
      <c r="B317">
        <v>305</v>
      </c>
      <c r="C317">
        <v>94410697</v>
      </c>
    </row>
    <row r="318" spans="1:3" x14ac:dyDescent="0.25">
      <c r="A318">
        <v>46011263</v>
      </c>
      <c r="B318">
        <v>306</v>
      </c>
      <c r="C318">
        <v>46011263</v>
      </c>
    </row>
    <row r="319" spans="1:3" x14ac:dyDescent="0.25">
      <c r="A319">
        <v>48170876</v>
      </c>
      <c r="B319">
        <v>307</v>
      </c>
      <c r="C319">
        <v>48170876</v>
      </c>
    </row>
    <row r="320" spans="1:3" x14ac:dyDescent="0.25">
      <c r="A320">
        <v>47794342</v>
      </c>
      <c r="B320">
        <v>308</v>
      </c>
      <c r="C320">
        <v>47794342</v>
      </c>
    </row>
    <row r="321" spans="1:3" x14ac:dyDescent="0.25">
      <c r="A321">
        <v>49079922</v>
      </c>
      <c r="B321">
        <v>309</v>
      </c>
      <c r="C321">
        <v>49079922</v>
      </c>
    </row>
    <row r="322" spans="1:3" x14ac:dyDescent="0.25">
      <c r="A322">
        <v>49863425</v>
      </c>
      <c r="B322">
        <v>310</v>
      </c>
      <c r="C322">
        <v>49863425</v>
      </c>
    </row>
    <row r="323" spans="1:3" x14ac:dyDescent="0.25">
      <c r="A323">
        <v>46035106</v>
      </c>
      <c r="B323">
        <v>311</v>
      </c>
      <c r="C323">
        <v>46035106</v>
      </c>
    </row>
    <row r="324" spans="1:3" x14ac:dyDescent="0.25">
      <c r="A324">
        <v>50239513</v>
      </c>
      <c r="B324">
        <v>312</v>
      </c>
      <c r="C324">
        <v>50239513</v>
      </c>
    </row>
    <row r="325" spans="1:3" x14ac:dyDescent="0.25">
      <c r="A325">
        <v>51297338</v>
      </c>
      <c r="B325">
        <v>313</v>
      </c>
      <c r="C325">
        <v>51297338</v>
      </c>
    </row>
    <row r="326" spans="1:3" x14ac:dyDescent="0.25">
      <c r="A326">
        <v>49460716</v>
      </c>
      <c r="B326">
        <v>314</v>
      </c>
      <c r="C326">
        <v>49460716</v>
      </c>
    </row>
    <row r="327" spans="1:3" x14ac:dyDescent="0.25">
      <c r="A327">
        <v>39445113</v>
      </c>
      <c r="B327">
        <v>315</v>
      </c>
      <c r="C327">
        <v>39445113</v>
      </c>
    </row>
    <row r="328" spans="1:3" x14ac:dyDescent="0.25">
      <c r="A328">
        <v>47985739</v>
      </c>
      <c r="B328">
        <v>316</v>
      </c>
      <c r="C328">
        <v>47985739</v>
      </c>
    </row>
    <row r="329" spans="1:3" x14ac:dyDescent="0.25">
      <c r="A329">
        <v>48253150</v>
      </c>
      <c r="B329">
        <v>317</v>
      </c>
      <c r="C329">
        <v>48253150</v>
      </c>
    </row>
    <row r="330" spans="1:3" x14ac:dyDescent="0.25">
      <c r="A330">
        <v>47665577</v>
      </c>
      <c r="B330">
        <v>318</v>
      </c>
      <c r="C330">
        <v>47665577</v>
      </c>
    </row>
    <row r="331" spans="1:3" x14ac:dyDescent="0.25">
      <c r="A331">
        <v>48538136</v>
      </c>
      <c r="B331">
        <v>319</v>
      </c>
      <c r="C331">
        <v>48538136</v>
      </c>
    </row>
    <row r="332" spans="1:3" x14ac:dyDescent="0.25">
      <c r="A332">
        <v>46509036</v>
      </c>
      <c r="B332">
        <v>320</v>
      </c>
      <c r="C332">
        <v>46509036</v>
      </c>
    </row>
    <row r="333" spans="1:3" x14ac:dyDescent="0.25">
      <c r="A333">
        <v>46035161</v>
      </c>
      <c r="B333">
        <v>321</v>
      </c>
      <c r="C333">
        <v>46035161</v>
      </c>
    </row>
    <row r="334" spans="1:3" x14ac:dyDescent="0.25">
      <c r="A334">
        <v>45538387</v>
      </c>
      <c r="B334">
        <v>322</v>
      </c>
      <c r="C334">
        <v>45538387</v>
      </c>
    </row>
    <row r="335" spans="1:3" x14ac:dyDescent="0.25">
      <c r="A335">
        <v>51035817</v>
      </c>
      <c r="B335">
        <v>323</v>
      </c>
      <c r="C335">
        <v>51035817</v>
      </c>
    </row>
    <row r="336" spans="1:3" x14ac:dyDescent="0.25">
      <c r="A336">
        <v>45698163</v>
      </c>
      <c r="B336">
        <v>324</v>
      </c>
      <c r="C336">
        <v>45698163</v>
      </c>
    </row>
    <row r="337" spans="1:3" x14ac:dyDescent="0.25">
      <c r="A337">
        <v>47175016</v>
      </c>
      <c r="B337">
        <v>325</v>
      </c>
      <c r="C337">
        <v>47175016</v>
      </c>
    </row>
    <row r="338" spans="1:3" x14ac:dyDescent="0.25">
      <c r="A338">
        <v>48130270</v>
      </c>
      <c r="B338">
        <v>326</v>
      </c>
      <c r="C338">
        <v>48130270</v>
      </c>
    </row>
    <row r="339" spans="1:3" x14ac:dyDescent="0.25">
      <c r="A339">
        <v>50971126</v>
      </c>
      <c r="B339">
        <v>327</v>
      </c>
      <c r="C339">
        <v>50971126</v>
      </c>
    </row>
    <row r="340" spans="1:3" x14ac:dyDescent="0.25">
      <c r="A340">
        <v>50598225</v>
      </c>
      <c r="B340">
        <v>328</v>
      </c>
      <c r="C340">
        <v>50598225</v>
      </c>
    </row>
    <row r="341" spans="1:3" x14ac:dyDescent="0.25">
      <c r="A341">
        <v>50585932</v>
      </c>
      <c r="B341">
        <v>329</v>
      </c>
      <c r="C341">
        <v>50585932</v>
      </c>
    </row>
    <row r="342" spans="1:3" x14ac:dyDescent="0.25">
      <c r="A342">
        <v>46472609</v>
      </c>
      <c r="B342">
        <v>330</v>
      </c>
      <c r="C342">
        <v>46472609</v>
      </c>
    </row>
    <row r="343" spans="1:3" x14ac:dyDescent="0.25">
      <c r="A343">
        <v>45245009</v>
      </c>
      <c r="B343">
        <v>331</v>
      </c>
      <c r="C343">
        <v>45245009</v>
      </c>
    </row>
    <row r="344" spans="1:3" x14ac:dyDescent="0.25">
      <c r="A344">
        <v>48951420</v>
      </c>
      <c r="B344">
        <v>332</v>
      </c>
      <c r="C344">
        <v>48951420</v>
      </c>
    </row>
    <row r="345" spans="1:3" x14ac:dyDescent="0.25">
      <c r="A345">
        <v>49716967</v>
      </c>
      <c r="B345">
        <v>333</v>
      </c>
      <c r="C345">
        <v>49716967</v>
      </c>
    </row>
    <row r="346" spans="1:3" x14ac:dyDescent="0.25">
      <c r="A346">
        <v>49455834</v>
      </c>
      <c r="B346">
        <v>334</v>
      </c>
      <c r="C346">
        <v>49455834</v>
      </c>
    </row>
    <row r="347" spans="1:3" x14ac:dyDescent="0.25">
      <c r="A347">
        <v>45349594</v>
      </c>
      <c r="B347">
        <v>335</v>
      </c>
      <c r="C347">
        <v>45349594</v>
      </c>
    </row>
    <row r="348" spans="1:3" x14ac:dyDescent="0.25">
      <c r="A348">
        <v>48538109</v>
      </c>
      <c r="B348">
        <v>336</v>
      </c>
      <c r="C348">
        <v>48538109</v>
      </c>
    </row>
    <row r="349" spans="1:3" x14ac:dyDescent="0.25">
      <c r="A349">
        <v>46509098</v>
      </c>
      <c r="B349">
        <v>337</v>
      </c>
      <c r="C349">
        <v>46509098</v>
      </c>
    </row>
    <row r="350" spans="1:3" x14ac:dyDescent="0.25">
      <c r="A350">
        <v>45887410</v>
      </c>
      <c r="B350">
        <v>338</v>
      </c>
      <c r="C350">
        <v>45887410</v>
      </c>
    </row>
    <row r="351" spans="1:3" x14ac:dyDescent="0.25">
      <c r="A351">
        <v>49324876</v>
      </c>
      <c r="B351">
        <v>339</v>
      </c>
      <c r="C351">
        <v>49324876</v>
      </c>
    </row>
    <row r="352" spans="1:3" x14ac:dyDescent="0.25">
      <c r="A352">
        <v>95255017</v>
      </c>
      <c r="B352">
        <v>340</v>
      </c>
      <c r="C352">
        <v>95255017</v>
      </c>
    </row>
    <row r="353" spans="1:3" x14ac:dyDescent="0.25">
      <c r="A353">
        <v>47653252</v>
      </c>
      <c r="B353">
        <v>341</v>
      </c>
      <c r="C353">
        <v>47653252</v>
      </c>
    </row>
    <row r="354" spans="1:3" x14ac:dyDescent="0.25">
      <c r="A354">
        <v>46500081</v>
      </c>
      <c r="B354">
        <v>342</v>
      </c>
      <c r="C354">
        <v>46500081</v>
      </c>
    </row>
    <row r="355" spans="1:3" x14ac:dyDescent="0.25">
      <c r="A355">
        <v>47989294</v>
      </c>
      <c r="B355">
        <v>343</v>
      </c>
      <c r="C355">
        <v>47989294</v>
      </c>
    </row>
    <row r="356" spans="1:3" x14ac:dyDescent="0.25">
      <c r="A356">
        <v>45349596</v>
      </c>
      <c r="B356">
        <v>344</v>
      </c>
      <c r="C356">
        <v>45349596</v>
      </c>
    </row>
    <row r="357" spans="1:3" x14ac:dyDescent="0.25">
      <c r="A357">
        <v>47989298</v>
      </c>
      <c r="B357">
        <v>345</v>
      </c>
      <c r="C357">
        <v>47989298</v>
      </c>
    </row>
    <row r="358" spans="1:3" x14ac:dyDescent="0.25">
      <c r="A358">
        <v>44973706</v>
      </c>
      <c r="B358">
        <v>346</v>
      </c>
      <c r="C358">
        <v>44973706</v>
      </c>
    </row>
    <row r="359" spans="1:3" x14ac:dyDescent="0.25">
      <c r="A359">
        <v>46035187</v>
      </c>
      <c r="B359">
        <v>347</v>
      </c>
      <c r="C359">
        <v>46035187</v>
      </c>
    </row>
    <row r="360" spans="1:3" x14ac:dyDescent="0.25">
      <c r="A360">
        <v>47635726</v>
      </c>
      <c r="B360">
        <v>348</v>
      </c>
      <c r="C360">
        <v>47635726</v>
      </c>
    </row>
    <row r="361" spans="1:3" x14ac:dyDescent="0.25">
      <c r="A361">
        <v>46819456</v>
      </c>
      <c r="B361">
        <v>349</v>
      </c>
      <c r="C361">
        <v>46819456</v>
      </c>
    </row>
    <row r="362" spans="1:3" x14ac:dyDescent="0.25">
      <c r="A362">
        <v>49037514</v>
      </c>
      <c r="B362">
        <v>350</v>
      </c>
      <c r="C362">
        <v>49037514</v>
      </c>
    </row>
    <row r="363" spans="1:3" x14ac:dyDescent="0.25">
      <c r="A363">
        <v>45212029</v>
      </c>
      <c r="B363">
        <v>351</v>
      </c>
      <c r="C363">
        <v>45212029</v>
      </c>
    </row>
    <row r="364" spans="1:3" x14ac:dyDescent="0.25">
      <c r="A364">
        <v>50634612</v>
      </c>
      <c r="B364">
        <v>352</v>
      </c>
      <c r="C364">
        <v>50634612</v>
      </c>
    </row>
    <row r="365" spans="1:3" x14ac:dyDescent="0.25">
      <c r="A365">
        <v>50634634</v>
      </c>
      <c r="B365">
        <v>353</v>
      </c>
      <c r="C365">
        <v>50634634</v>
      </c>
    </row>
    <row r="366" spans="1:3" x14ac:dyDescent="0.25">
      <c r="A366">
        <v>45786311</v>
      </c>
      <c r="B366">
        <v>354</v>
      </c>
      <c r="C366">
        <v>45786311</v>
      </c>
    </row>
    <row r="367" spans="1:3" x14ac:dyDescent="0.25">
      <c r="A367">
        <v>47618809</v>
      </c>
      <c r="B367">
        <v>355</v>
      </c>
      <c r="C367">
        <v>47618809</v>
      </c>
    </row>
    <row r="368" spans="1:3" x14ac:dyDescent="0.25">
      <c r="A368">
        <v>48755117</v>
      </c>
      <c r="B368">
        <v>356</v>
      </c>
      <c r="C368">
        <v>48755117</v>
      </c>
    </row>
    <row r="369" spans="1:3" x14ac:dyDescent="0.25">
      <c r="A369">
        <v>45349580</v>
      </c>
      <c r="B369">
        <v>357</v>
      </c>
      <c r="C369">
        <v>45349580</v>
      </c>
    </row>
    <row r="370" spans="1:3" x14ac:dyDescent="0.25">
      <c r="A370">
        <v>51010161</v>
      </c>
      <c r="B370">
        <v>790</v>
      </c>
      <c r="C370">
        <v>51010161</v>
      </c>
    </row>
    <row r="371" spans="1:3" x14ac:dyDescent="0.25">
      <c r="A371">
        <v>46509068</v>
      </c>
      <c r="B371">
        <v>358</v>
      </c>
      <c r="C371">
        <v>46509068</v>
      </c>
    </row>
    <row r="372" spans="1:3" x14ac:dyDescent="0.25">
      <c r="A372">
        <v>45092225</v>
      </c>
      <c r="B372">
        <v>359</v>
      </c>
      <c r="C372">
        <v>45092225</v>
      </c>
    </row>
    <row r="373" spans="1:3" x14ac:dyDescent="0.25">
      <c r="A373">
        <v>45349554</v>
      </c>
      <c r="B373">
        <v>360</v>
      </c>
      <c r="C373">
        <v>45349554</v>
      </c>
    </row>
    <row r="374" spans="1:3" x14ac:dyDescent="0.25">
      <c r="A374">
        <v>48094946</v>
      </c>
      <c r="B374">
        <v>361</v>
      </c>
      <c r="C374">
        <v>48094946</v>
      </c>
    </row>
    <row r="375" spans="1:3" x14ac:dyDescent="0.25">
      <c r="A375">
        <v>45679023</v>
      </c>
      <c r="B375">
        <v>362</v>
      </c>
      <c r="C375">
        <v>45679023</v>
      </c>
    </row>
    <row r="376" spans="1:3" x14ac:dyDescent="0.25">
      <c r="A376">
        <v>46029110</v>
      </c>
      <c r="B376">
        <v>363</v>
      </c>
      <c r="C376">
        <v>46029110</v>
      </c>
    </row>
    <row r="377" spans="1:3" x14ac:dyDescent="0.25">
      <c r="A377">
        <v>45155934</v>
      </c>
      <c r="B377">
        <v>364</v>
      </c>
      <c r="C377">
        <v>45155934</v>
      </c>
    </row>
    <row r="378" spans="1:3" x14ac:dyDescent="0.25">
      <c r="A378">
        <v>48755657</v>
      </c>
      <c r="B378">
        <v>365</v>
      </c>
      <c r="C378">
        <v>48755657</v>
      </c>
    </row>
    <row r="379" spans="1:3" x14ac:dyDescent="0.25">
      <c r="A379">
        <v>48409974</v>
      </c>
      <c r="B379">
        <v>366</v>
      </c>
      <c r="C379">
        <v>48409974</v>
      </c>
    </row>
    <row r="380" spans="1:3" x14ac:dyDescent="0.25">
      <c r="A380">
        <v>45349558</v>
      </c>
      <c r="B380">
        <v>367</v>
      </c>
      <c r="C380">
        <v>45349558</v>
      </c>
    </row>
    <row r="381" spans="1:3" x14ac:dyDescent="0.25">
      <c r="A381">
        <v>46890410</v>
      </c>
      <c r="B381">
        <v>368</v>
      </c>
      <c r="C381">
        <v>46890410</v>
      </c>
    </row>
    <row r="382" spans="1:3" x14ac:dyDescent="0.25">
      <c r="A382">
        <v>45753557</v>
      </c>
      <c r="B382">
        <v>369</v>
      </c>
      <c r="C382">
        <v>45753557</v>
      </c>
    </row>
    <row r="383" spans="1:3" x14ac:dyDescent="0.25">
      <c r="A383">
        <v>46035146</v>
      </c>
      <c r="B383">
        <v>370</v>
      </c>
      <c r="C383">
        <v>46035146</v>
      </c>
    </row>
    <row r="384" spans="1:3" x14ac:dyDescent="0.25">
      <c r="A384">
        <v>46362314</v>
      </c>
      <c r="B384">
        <v>371</v>
      </c>
      <c r="C384">
        <v>46362314</v>
      </c>
    </row>
    <row r="385" spans="1:3" x14ac:dyDescent="0.25">
      <c r="A385">
        <v>47250842</v>
      </c>
      <c r="B385">
        <v>372</v>
      </c>
      <c r="C385">
        <v>47250842</v>
      </c>
    </row>
    <row r="386" spans="1:3" x14ac:dyDescent="0.25">
      <c r="A386">
        <v>46509063</v>
      </c>
      <c r="B386">
        <v>373</v>
      </c>
      <c r="C386">
        <v>46509063</v>
      </c>
    </row>
    <row r="387" spans="1:3" x14ac:dyDescent="0.25">
      <c r="A387">
        <v>47863708</v>
      </c>
      <c r="B387">
        <v>374</v>
      </c>
      <c r="C387">
        <v>47863708</v>
      </c>
    </row>
    <row r="388" spans="1:3" x14ac:dyDescent="0.25">
      <c r="A388">
        <v>47250868</v>
      </c>
      <c r="B388">
        <v>375</v>
      </c>
      <c r="C388">
        <v>47250868</v>
      </c>
    </row>
    <row r="389" spans="1:3" x14ac:dyDescent="0.25">
      <c r="A389">
        <v>6509219</v>
      </c>
      <c r="B389">
        <v>376</v>
      </c>
      <c r="C389">
        <v>6509219</v>
      </c>
    </row>
    <row r="390" spans="1:3" x14ac:dyDescent="0.25">
      <c r="A390">
        <v>48538137</v>
      </c>
      <c r="B390">
        <v>377</v>
      </c>
      <c r="C390">
        <v>48538137</v>
      </c>
    </row>
    <row r="391" spans="1:3" x14ac:dyDescent="0.25">
      <c r="A391">
        <v>46847389</v>
      </c>
      <c r="B391">
        <v>378</v>
      </c>
      <c r="C391">
        <v>46847389</v>
      </c>
    </row>
    <row r="392" spans="1:3" x14ac:dyDescent="0.25">
      <c r="A392">
        <v>47860147</v>
      </c>
      <c r="B392">
        <v>379</v>
      </c>
      <c r="C392">
        <v>47860147</v>
      </c>
    </row>
    <row r="393" spans="1:3" x14ac:dyDescent="0.25">
      <c r="A393">
        <v>50430108</v>
      </c>
      <c r="B393">
        <v>380</v>
      </c>
      <c r="C393">
        <v>50430108</v>
      </c>
    </row>
    <row r="394" spans="1:3" x14ac:dyDescent="0.25">
      <c r="A394">
        <v>45698131</v>
      </c>
      <c r="B394">
        <v>381</v>
      </c>
      <c r="C394">
        <v>45698131</v>
      </c>
    </row>
    <row r="395" spans="1:3" x14ac:dyDescent="0.25">
      <c r="A395">
        <v>44204986</v>
      </c>
      <c r="B395">
        <v>382</v>
      </c>
      <c r="C395">
        <v>44204986</v>
      </c>
    </row>
    <row r="396" spans="1:3" x14ac:dyDescent="0.25">
      <c r="A396">
        <v>46037029</v>
      </c>
      <c r="B396">
        <v>383</v>
      </c>
      <c r="C396">
        <v>46037029</v>
      </c>
    </row>
    <row r="397" spans="1:3" x14ac:dyDescent="0.25">
      <c r="A397">
        <v>44670541</v>
      </c>
      <c r="B397">
        <v>384</v>
      </c>
      <c r="C397">
        <v>44670541</v>
      </c>
    </row>
    <row r="398" spans="1:3" x14ac:dyDescent="0.25">
      <c r="A398">
        <v>48180791</v>
      </c>
      <c r="B398">
        <v>385</v>
      </c>
      <c r="C398">
        <v>48180791</v>
      </c>
    </row>
    <row r="399" spans="1:3" x14ac:dyDescent="0.25">
      <c r="A399">
        <v>45094655</v>
      </c>
      <c r="B399">
        <v>386</v>
      </c>
      <c r="C399">
        <v>45094655</v>
      </c>
    </row>
    <row r="400" spans="1:3" x14ac:dyDescent="0.25">
      <c r="A400">
        <v>47890684</v>
      </c>
      <c r="B400">
        <v>387</v>
      </c>
      <c r="C400">
        <v>47890684</v>
      </c>
    </row>
    <row r="401" spans="1:3" x14ac:dyDescent="0.25">
      <c r="A401">
        <v>49766435</v>
      </c>
      <c r="B401">
        <v>388</v>
      </c>
      <c r="C401">
        <v>49766435</v>
      </c>
    </row>
    <row r="402" spans="1:3" x14ac:dyDescent="0.25">
      <c r="A402">
        <v>45933997</v>
      </c>
      <c r="B402">
        <v>389</v>
      </c>
      <c r="C402">
        <v>45933997</v>
      </c>
    </row>
    <row r="403" spans="1:3" x14ac:dyDescent="0.25">
      <c r="A403">
        <v>47824103</v>
      </c>
      <c r="B403">
        <v>390</v>
      </c>
      <c r="C403">
        <v>47824103</v>
      </c>
    </row>
    <row r="404" spans="1:3" x14ac:dyDescent="0.25">
      <c r="A404">
        <v>48537999</v>
      </c>
      <c r="B404">
        <v>391</v>
      </c>
      <c r="C404">
        <v>48537999</v>
      </c>
    </row>
    <row r="405" spans="1:3" x14ac:dyDescent="0.25">
      <c r="A405">
        <v>44851290</v>
      </c>
      <c r="B405">
        <v>392</v>
      </c>
      <c r="C405">
        <v>44851290</v>
      </c>
    </row>
    <row r="406" spans="1:3" x14ac:dyDescent="0.25">
      <c r="A406">
        <v>45487253</v>
      </c>
      <c r="B406">
        <v>393</v>
      </c>
      <c r="C406">
        <v>45487253</v>
      </c>
    </row>
    <row r="407" spans="1:3" x14ac:dyDescent="0.25">
      <c r="A407">
        <v>46035108</v>
      </c>
      <c r="B407">
        <v>394</v>
      </c>
      <c r="C407">
        <v>46035108</v>
      </c>
    </row>
    <row r="408" spans="1:3" x14ac:dyDescent="0.25">
      <c r="A408">
        <v>47900897</v>
      </c>
      <c r="B408">
        <v>395</v>
      </c>
      <c r="C408">
        <v>47900897</v>
      </c>
    </row>
    <row r="409" spans="1:3" x14ac:dyDescent="0.25">
      <c r="A409">
        <v>47989238</v>
      </c>
      <c r="B409">
        <v>396</v>
      </c>
      <c r="C409">
        <v>47989238</v>
      </c>
    </row>
    <row r="410" spans="1:3" x14ac:dyDescent="0.25">
      <c r="A410">
        <v>45349553</v>
      </c>
      <c r="B410">
        <v>397</v>
      </c>
      <c r="C410">
        <v>45349553</v>
      </c>
    </row>
    <row r="411" spans="1:3" x14ac:dyDescent="0.25">
      <c r="A411">
        <v>46509049</v>
      </c>
      <c r="B411">
        <v>398</v>
      </c>
      <c r="C411">
        <v>46509049</v>
      </c>
    </row>
    <row r="412" spans="1:3" x14ac:dyDescent="0.25">
      <c r="A412">
        <v>48328240</v>
      </c>
      <c r="B412">
        <v>399</v>
      </c>
      <c r="C412">
        <v>48328240</v>
      </c>
    </row>
    <row r="413" spans="1:3" x14ac:dyDescent="0.25">
      <c r="A413">
        <v>48456975</v>
      </c>
      <c r="B413">
        <v>400</v>
      </c>
      <c r="C413">
        <v>48456975</v>
      </c>
    </row>
    <row r="414" spans="1:3" x14ac:dyDescent="0.25">
      <c r="A414">
        <v>46741061</v>
      </c>
      <c r="B414">
        <v>401</v>
      </c>
      <c r="C414">
        <v>46741061</v>
      </c>
    </row>
    <row r="415" spans="1:3" x14ac:dyDescent="0.25">
      <c r="A415">
        <v>47250860</v>
      </c>
      <c r="B415">
        <v>402</v>
      </c>
      <c r="C415">
        <v>47250860</v>
      </c>
    </row>
    <row r="416" spans="1:3" x14ac:dyDescent="0.25">
      <c r="A416">
        <v>46633674</v>
      </c>
      <c r="B416">
        <v>403</v>
      </c>
      <c r="C416">
        <v>46633674</v>
      </c>
    </row>
    <row r="417" spans="1:3" x14ac:dyDescent="0.25">
      <c r="A417">
        <v>48128118</v>
      </c>
      <c r="B417">
        <v>404</v>
      </c>
      <c r="C417">
        <v>48128118</v>
      </c>
    </row>
    <row r="418" spans="1:3" x14ac:dyDescent="0.25">
      <c r="A418">
        <v>46037028</v>
      </c>
      <c r="B418">
        <v>405</v>
      </c>
      <c r="C418">
        <v>46037028</v>
      </c>
    </row>
    <row r="419" spans="1:3" x14ac:dyDescent="0.25">
      <c r="A419">
        <v>48755111</v>
      </c>
      <c r="B419">
        <v>406</v>
      </c>
      <c r="C419">
        <v>48755111</v>
      </c>
    </row>
    <row r="420" spans="1:3" x14ac:dyDescent="0.25">
      <c r="A420">
        <v>49458710</v>
      </c>
      <c r="B420">
        <v>806</v>
      </c>
      <c r="C420">
        <v>49458710</v>
      </c>
    </row>
    <row r="421" spans="1:3" x14ac:dyDescent="0.25">
      <c r="A421">
        <v>48755112</v>
      </c>
      <c r="B421">
        <v>407</v>
      </c>
      <c r="C421">
        <v>48755112</v>
      </c>
    </row>
    <row r="422" spans="1:3" x14ac:dyDescent="0.25">
      <c r="A422">
        <v>46035127</v>
      </c>
      <c r="B422">
        <v>408</v>
      </c>
      <c r="C422">
        <v>46035127</v>
      </c>
    </row>
    <row r="423" spans="1:3" x14ac:dyDescent="0.25">
      <c r="A423">
        <v>47026840</v>
      </c>
      <c r="B423">
        <v>409</v>
      </c>
      <c r="C423">
        <v>47026840</v>
      </c>
    </row>
    <row r="424" spans="1:3" x14ac:dyDescent="0.25">
      <c r="A424">
        <v>49768034</v>
      </c>
      <c r="B424">
        <v>410</v>
      </c>
      <c r="C424">
        <v>49768034</v>
      </c>
    </row>
    <row r="425" spans="1:3" x14ac:dyDescent="0.25">
      <c r="A425">
        <v>50835807</v>
      </c>
      <c r="B425">
        <v>411</v>
      </c>
      <c r="C425">
        <v>50835807</v>
      </c>
    </row>
    <row r="426" spans="1:3" x14ac:dyDescent="0.25">
      <c r="A426">
        <v>48038338</v>
      </c>
      <c r="B426">
        <v>412</v>
      </c>
      <c r="C426">
        <v>48038338</v>
      </c>
    </row>
    <row r="427" spans="1:3" x14ac:dyDescent="0.25">
      <c r="A427">
        <v>48130240</v>
      </c>
      <c r="B427">
        <v>814</v>
      </c>
      <c r="C427">
        <v>48130240</v>
      </c>
    </row>
    <row r="428" spans="1:3" x14ac:dyDescent="0.25">
      <c r="A428">
        <v>46890402</v>
      </c>
      <c r="B428">
        <v>413</v>
      </c>
      <c r="C428">
        <v>46890402</v>
      </c>
    </row>
    <row r="429" spans="1:3" x14ac:dyDescent="0.25">
      <c r="A429">
        <v>53420253</v>
      </c>
      <c r="B429">
        <v>414</v>
      </c>
      <c r="C429">
        <v>53420253</v>
      </c>
    </row>
    <row r="430" spans="1:3" x14ac:dyDescent="0.25">
      <c r="A430">
        <v>49371025</v>
      </c>
      <c r="B430">
        <v>807</v>
      </c>
      <c r="C430">
        <v>49371025</v>
      </c>
    </row>
    <row r="431" spans="1:3" x14ac:dyDescent="0.25">
      <c r="A431">
        <v>49455883</v>
      </c>
      <c r="B431">
        <v>415</v>
      </c>
      <c r="C431">
        <v>49455883</v>
      </c>
    </row>
    <row r="432" spans="1:3" x14ac:dyDescent="0.25">
      <c r="A432">
        <v>48492866</v>
      </c>
      <c r="B432">
        <v>416</v>
      </c>
      <c r="C432">
        <v>48492866</v>
      </c>
    </row>
    <row r="433" spans="1:3" x14ac:dyDescent="0.25">
      <c r="A433">
        <v>46435175</v>
      </c>
      <c r="B433">
        <v>417</v>
      </c>
      <c r="C433">
        <v>46435175</v>
      </c>
    </row>
    <row r="434" spans="1:3" x14ac:dyDescent="0.25">
      <c r="A434">
        <v>48522912</v>
      </c>
      <c r="B434">
        <v>418</v>
      </c>
      <c r="C434">
        <v>48522912</v>
      </c>
    </row>
    <row r="435" spans="1:3" x14ac:dyDescent="0.25">
      <c r="A435">
        <v>48422542</v>
      </c>
      <c r="B435">
        <v>419</v>
      </c>
      <c r="C435">
        <v>48422542</v>
      </c>
    </row>
    <row r="436" spans="1:3" x14ac:dyDescent="0.25">
      <c r="A436">
        <v>49112591</v>
      </c>
      <c r="B436">
        <v>420</v>
      </c>
      <c r="C436">
        <v>49112591</v>
      </c>
    </row>
    <row r="437" spans="1:3" x14ac:dyDescent="0.25">
      <c r="A437">
        <v>45405766</v>
      </c>
      <c r="B437">
        <v>421</v>
      </c>
      <c r="C437">
        <v>45405766</v>
      </c>
    </row>
    <row r="438" spans="1:3" x14ac:dyDescent="0.25">
      <c r="A438">
        <v>48816232</v>
      </c>
      <c r="B438">
        <v>422</v>
      </c>
      <c r="C438">
        <v>48816232</v>
      </c>
    </row>
    <row r="439" spans="1:3" x14ac:dyDescent="0.25">
      <c r="A439">
        <v>50092000</v>
      </c>
      <c r="B439">
        <v>423</v>
      </c>
      <c r="C439">
        <v>50092000</v>
      </c>
    </row>
    <row r="440" spans="1:3" x14ac:dyDescent="0.25">
      <c r="A440">
        <v>44607525</v>
      </c>
      <c r="B440">
        <v>424</v>
      </c>
      <c r="C440">
        <v>44607525</v>
      </c>
    </row>
    <row r="441" spans="1:3" x14ac:dyDescent="0.25">
      <c r="A441">
        <v>50091999</v>
      </c>
      <c r="B441">
        <v>425</v>
      </c>
      <c r="C441">
        <v>50091999</v>
      </c>
    </row>
    <row r="442" spans="1:3" x14ac:dyDescent="0.25">
      <c r="A442">
        <v>49766453</v>
      </c>
      <c r="B442">
        <v>426</v>
      </c>
      <c r="C442">
        <v>49766453</v>
      </c>
    </row>
    <row r="443" spans="1:3" x14ac:dyDescent="0.25">
      <c r="A443">
        <v>46509032</v>
      </c>
      <c r="B443">
        <v>427</v>
      </c>
      <c r="C443">
        <v>46509032</v>
      </c>
    </row>
    <row r="444" spans="1:3" x14ac:dyDescent="0.25">
      <c r="A444">
        <v>46035117</v>
      </c>
      <c r="B444">
        <v>428</v>
      </c>
      <c r="C444">
        <v>46035117</v>
      </c>
    </row>
    <row r="445" spans="1:3" x14ac:dyDescent="0.25">
      <c r="A445">
        <v>50634614</v>
      </c>
      <c r="B445">
        <v>429</v>
      </c>
      <c r="C445">
        <v>50634614</v>
      </c>
    </row>
    <row r="446" spans="1:3" x14ac:dyDescent="0.25">
      <c r="A446">
        <v>50742220</v>
      </c>
      <c r="B446">
        <v>430</v>
      </c>
      <c r="C446">
        <v>50742220</v>
      </c>
    </row>
    <row r="447" spans="1:3" x14ac:dyDescent="0.25">
      <c r="A447">
        <v>4031662</v>
      </c>
      <c r="B447">
        <v>431</v>
      </c>
      <c r="C447">
        <v>4031662</v>
      </c>
    </row>
    <row r="448" spans="1:3" x14ac:dyDescent="0.25">
      <c r="A448">
        <v>47665580</v>
      </c>
      <c r="B448">
        <v>432</v>
      </c>
      <c r="C448">
        <v>47665580</v>
      </c>
    </row>
    <row r="449" spans="1:3" x14ac:dyDescent="0.25">
      <c r="A449">
        <v>49716976</v>
      </c>
      <c r="B449">
        <v>433</v>
      </c>
      <c r="C449">
        <v>49716976</v>
      </c>
    </row>
    <row r="450" spans="1:3" x14ac:dyDescent="0.25">
      <c r="A450">
        <v>44973705</v>
      </c>
      <c r="B450">
        <v>434</v>
      </c>
      <c r="C450">
        <v>44973705</v>
      </c>
    </row>
    <row r="451" spans="1:3" x14ac:dyDescent="0.25">
      <c r="A451">
        <v>49757645</v>
      </c>
      <c r="B451">
        <v>435</v>
      </c>
      <c r="C451">
        <v>49757645</v>
      </c>
    </row>
    <row r="452" spans="1:3" x14ac:dyDescent="0.25">
      <c r="A452">
        <v>47823037</v>
      </c>
      <c r="B452">
        <v>436</v>
      </c>
      <c r="C452">
        <v>47823037</v>
      </c>
    </row>
    <row r="453" spans="1:3" x14ac:dyDescent="0.25">
      <c r="A453">
        <v>45836242</v>
      </c>
      <c r="B453">
        <v>437</v>
      </c>
      <c r="C453">
        <v>45836242</v>
      </c>
    </row>
    <row r="454" spans="1:3" x14ac:dyDescent="0.25">
      <c r="A454">
        <v>45935197</v>
      </c>
      <c r="B454">
        <v>438</v>
      </c>
      <c r="C454">
        <v>45935197</v>
      </c>
    </row>
    <row r="455" spans="1:3" x14ac:dyDescent="0.25">
      <c r="A455">
        <v>47989253</v>
      </c>
      <c r="B455">
        <v>812</v>
      </c>
      <c r="C455">
        <v>47989253</v>
      </c>
    </row>
    <row r="456" spans="1:3" x14ac:dyDescent="0.25">
      <c r="A456">
        <v>44607491</v>
      </c>
      <c r="B456">
        <v>439</v>
      </c>
      <c r="C456">
        <v>44607491</v>
      </c>
    </row>
    <row r="457" spans="1:3" x14ac:dyDescent="0.25">
      <c r="A457">
        <v>47774034</v>
      </c>
      <c r="B457">
        <v>440</v>
      </c>
      <c r="C457">
        <v>47774034</v>
      </c>
    </row>
    <row r="458" spans="1:3" x14ac:dyDescent="0.25">
      <c r="A458">
        <v>49384524</v>
      </c>
      <c r="B458">
        <v>441</v>
      </c>
      <c r="C458">
        <v>49384524</v>
      </c>
    </row>
    <row r="459" spans="1:3" x14ac:dyDescent="0.25">
      <c r="A459">
        <v>49716997</v>
      </c>
      <c r="B459">
        <v>442</v>
      </c>
      <c r="C459">
        <v>49716997</v>
      </c>
    </row>
    <row r="460" spans="1:3" x14ac:dyDescent="0.25">
      <c r="A460">
        <v>47727928</v>
      </c>
      <c r="B460">
        <v>443</v>
      </c>
      <c r="C460">
        <v>47727928</v>
      </c>
    </row>
    <row r="461" spans="1:3" x14ac:dyDescent="0.25">
      <c r="A461">
        <v>46035124</v>
      </c>
      <c r="B461">
        <v>444</v>
      </c>
      <c r="C461">
        <v>46035124</v>
      </c>
    </row>
    <row r="462" spans="1:3" x14ac:dyDescent="0.25">
      <c r="A462">
        <v>50632448</v>
      </c>
      <c r="B462">
        <v>445</v>
      </c>
      <c r="C462">
        <v>50632448</v>
      </c>
    </row>
    <row r="463" spans="1:3" x14ac:dyDescent="0.25">
      <c r="A463">
        <v>48816220</v>
      </c>
      <c r="B463">
        <v>446</v>
      </c>
      <c r="C463">
        <v>48816220</v>
      </c>
    </row>
    <row r="464" spans="1:3" x14ac:dyDescent="0.25">
      <c r="A464">
        <v>49716991</v>
      </c>
      <c r="B464">
        <v>447</v>
      </c>
      <c r="C464">
        <v>49716991</v>
      </c>
    </row>
    <row r="465" spans="1:3" x14ac:dyDescent="0.25">
      <c r="A465">
        <v>46509043</v>
      </c>
      <c r="B465">
        <v>448</v>
      </c>
      <c r="C465">
        <v>46509043</v>
      </c>
    </row>
    <row r="466" spans="1:3" x14ac:dyDescent="0.25">
      <c r="A466">
        <v>50091990</v>
      </c>
      <c r="B466">
        <v>449</v>
      </c>
      <c r="C466">
        <v>50091990</v>
      </c>
    </row>
    <row r="467" spans="1:3" x14ac:dyDescent="0.25">
      <c r="A467">
        <v>44768513</v>
      </c>
      <c r="B467">
        <v>450</v>
      </c>
      <c r="C467">
        <v>44768513</v>
      </c>
    </row>
    <row r="468" spans="1:3" x14ac:dyDescent="0.25">
      <c r="A468">
        <v>48328264</v>
      </c>
      <c r="B468">
        <v>451</v>
      </c>
      <c r="C468">
        <v>48328264</v>
      </c>
    </row>
    <row r="469" spans="1:3" x14ac:dyDescent="0.25">
      <c r="A469">
        <v>44973247</v>
      </c>
      <c r="B469">
        <v>452</v>
      </c>
      <c r="C469">
        <v>44973247</v>
      </c>
    </row>
    <row r="470" spans="1:3" x14ac:dyDescent="0.25">
      <c r="A470">
        <v>49768719</v>
      </c>
      <c r="B470">
        <v>453</v>
      </c>
      <c r="C470">
        <v>49768719</v>
      </c>
    </row>
    <row r="471" spans="1:3" x14ac:dyDescent="0.25">
      <c r="A471">
        <v>48816298</v>
      </c>
      <c r="B471">
        <v>454</v>
      </c>
      <c r="C471">
        <v>48816298</v>
      </c>
    </row>
    <row r="472" spans="1:3" x14ac:dyDescent="0.25">
      <c r="A472">
        <v>50634841</v>
      </c>
      <c r="B472">
        <v>455</v>
      </c>
      <c r="C472">
        <v>50634841</v>
      </c>
    </row>
    <row r="473" spans="1:3" x14ac:dyDescent="0.25">
      <c r="A473">
        <v>48719981</v>
      </c>
      <c r="B473">
        <v>456</v>
      </c>
      <c r="C473">
        <v>48719981</v>
      </c>
    </row>
    <row r="474" spans="1:3" x14ac:dyDescent="0.25">
      <c r="A474">
        <v>47250882</v>
      </c>
      <c r="B474">
        <v>457</v>
      </c>
      <c r="C474">
        <v>47250882</v>
      </c>
    </row>
    <row r="475" spans="1:3" x14ac:dyDescent="0.25">
      <c r="A475">
        <v>47989260</v>
      </c>
      <c r="B475">
        <v>458</v>
      </c>
      <c r="C475">
        <v>47989260</v>
      </c>
    </row>
    <row r="476" spans="1:3" x14ac:dyDescent="0.25">
      <c r="A476">
        <v>46035195</v>
      </c>
      <c r="B476">
        <v>459</v>
      </c>
      <c r="C476">
        <v>46035195</v>
      </c>
    </row>
    <row r="477" spans="1:3" x14ac:dyDescent="0.25">
      <c r="A477">
        <v>45351696</v>
      </c>
      <c r="B477">
        <v>460</v>
      </c>
      <c r="C477">
        <v>45351696</v>
      </c>
    </row>
    <row r="478" spans="1:3" x14ac:dyDescent="0.25">
      <c r="A478">
        <v>45937843</v>
      </c>
      <c r="B478">
        <v>461</v>
      </c>
      <c r="C478">
        <v>45937843</v>
      </c>
    </row>
    <row r="479" spans="1:3" x14ac:dyDescent="0.25">
      <c r="A479">
        <v>50755633</v>
      </c>
      <c r="B479">
        <v>462</v>
      </c>
      <c r="C479">
        <v>50755633</v>
      </c>
    </row>
    <row r="480" spans="1:3" x14ac:dyDescent="0.25">
      <c r="A480">
        <v>47910596</v>
      </c>
      <c r="B480">
        <v>463</v>
      </c>
      <c r="C480">
        <v>47910596</v>
      </c>
    </row>
    <row r="481" spans="1:3" x14ac:dyDescent="0.25">
      <c r="A481">
        <v>48074452</v>
      </c>
      <c r="B481">
        <v>464</v>
      </c>
      <c r="C481">
        <v>48074452</v>
      </c>
    </row>
    <row r="482" spans="1:3" x14ac:dyDescent="0.25">
      <c r="A482">
        <v>46509011</v>
      </c>
      <c r="B482">
        <v>465</v>
      </c>
      <c r="C482">
        <v>46509011</v>
      </c>
    </row>
    <row r="483" spans="1:3" x14ac:dyDescent="0.25">
      <c r="A483">
        <v>45349570</v>
      </c>
      <c r="B483">
        <v>466</v>
      </c>
      <c r="C483">
        <v>45349570</v>
      </c>
    </row>
    <row r="484" spans="1:3" x14ac:dyDescent="0.25">
      <c r="A484">
        <v>47989227</v>
      </c>
      <c r="B484">
        <v>467</v>
      </c>
      <c r="C484">
        <v>47989227</v>
      </c>
    </row>
    <row r="485" spans="1:3" x14ac:dyDescent="0.25">
      <c r="A485">
        <v>45349600</v>
      </c>
      <c r="B485">
        <v>468</v>
      </c>
      <c r="C485">
        <v>45349600</v>
      </c>
    </row>
    <row r="486" spans="1:3" x14ac:dyDescent="0.25">
      <c r="A486">
        <v>44657994</v>
      </c>
      <c r="B486">
        <v>469</v>
      </c>
      <c r="C486">
        <v>44657994</v>
      </c>
    </row>
    <row r="487" spans="1:3" x14ac:dyDescent="0.25">
      <c r="A487">
        <v>47250900</v>
      </c>
      <c r="B487">
        <v>470</v>
      </c>
      <c r="C487">
        <v>47250900</v>
      </c>
    </row>
    <row r="488" spans="1:3" x14ac:dyDescent="0.25">
      <c r="A488">
        <v>47989246</v>
      </c>
      <c r="B488">
        <v>471</v>
      </c>
      <c r="C488">
        <v>47989246</v>
      </c>
    </row>
    <row r="489" spans="1:3" x14ac:dyDescent="0.25">
      <c r="A489">
        <v>50634699</v>
      </c>
      <c r="B489">
        <v>472</v>
      </c>
      <c r="C489">
        <v>50634699</v>
      </c>
    </row>
    <row r="490" spans="1:3" x14ac:dyDescent="0.25">
      <c r="A490">
        <v>47250892</v>
      </c>
      <c r="B490">
        <v>473</v>
      </c>
      <c r="C490">
        <v>47250892</v>
      </c>
    </row>
    <row r="491" spans="1:3" x14ac:dyDescent="0.25">
      <c r="A491" t="s">
        <v>6</v>
      </c>
      <c r="B491">
        <v>474</v>
      </c>
      <c r="C491" t="s">
        <v>6</v>
      </c>
    </row>
    <row r="492" spans="1:3" x14ac:dyDescent="0.25">
      <c r="A492">
        <v>48816237</v>
      </c>
      <c r="B492">
        <v>475</v>
      </c>
      <c r="C492">
        <v>48816237</v>
      </c>
    </row>
    <row r="493" spans="1:3" x14ac:dyDescent="0.25">
      <c r="A493">
        <v>95061101</v>
      </c>
      <c r="B493">
        <v>476</v>
      </c>
      <c r="C493">
        <v>95061101</v>
      </c>
    </row>
    <row r="494" spans="1:3" x14ac:dyDescent="0.25">
      <c r="A494">
        <v>50469374</v>
      </c>
      <c r="B494">
        <v>477</v>
      </c>
      <c r="C494">
        <v>50469374</v>
      </c>
    </row>
    <row r="495" spans="1:3" x14ac:dyDescent="0.25">
      <c r="A495">
        <v>45403302</v>
      </c>
      <c r="B495">
        <v>478</v>
      </c>
      <c r="C495">
        <v>45403302</v>
      </c>
    </row>
    <row r="496" spans="1:3" x14ac:dyDescent="0.25">
      <c r="A496">
        <v>48245637</v>
      </c>
      <c r="B496">
        <v>479</v>
      </c>
      <c r="C496">
        <v>48245637</v>
      </c>
    </row>
    <row r="497" spans="1:3" x14ac:dyDescent="0.25">
      <c r="A497">
        <v>44623948</v>
      </c>
      <c r="B497">
        <v>480</v>
      </c>
      <c r="C497">
        <v>44623948</v>
      </c>
    </row>
    <row r="498" spans="1:3" x14ac:dyDescent="0.25">
      <c r="A498">
        <v>47665585</v>
      </c>
      <c r="B498">
        <v>481</v>
      </c>
      <c r="C498">
        <v>47665585</v>
      </c>
    </row>
    <row r="499" spans="1:3" x14ac:dyDescent="0.25">
      <c r="A499">
        <v>47823182</v>
      </c>
      <c r="B499">
        <v>482</v>
      </c>
      <c r="C499">
        <v>47823182</v>
      </c>
    </row>
    <row r="500" spans="1:3" x14ac:dyDescent="0.25">
      <c r="A500">
        <v>46768339</v>
      </c>
      <c r="B500">
        <v>483</v>
      </c>
      <c r="C500">
        <v>46768339</v>
      </c>
    </row>
    <row r="501" spans="1:3" x14ac:dyDescent="0.25">
      <c r="A501">
        <v>48231675</v>
      </c>
      <c r="B501">
        <v>484</v>
      </c>
      <c r="C501">
        <v>48231675</v>
      </c>
    </row>
    <row r="502" spans="1:3" x14ac:dyDescent="0.25">
      <c r="A502">
        <v>51026008</v>
      </c>
      <c r="B502">
        <v>485</v>
      </c>
      <c r="C502">
        <v>51026008</v>
      </c>
    </row>
    <row r="503" spans="1:3" x14ac:dyDescent="0.25">
      <c r="A503">
        <v>40575260</v>
      </c>
      <c r="B503">
        <v>486</v>
      </c>
      <c r="C503">
        <v>40575260</v>
      </c>
    </row>
    <row r="504" spans="1:3" x14ac:dyDescent="0.25">
      <c r="A504">
        <v>47670177</v>
      </c>
      <c r="B504">
        <v>487</v>
      </c>
      <c r="C504">
        <v>47670177</v>
      </c>
    </row>
    <row r="505" spans="1:3" x14ac:dyDescent="0.25">
      <c r="A505">
        <v>47989219</v>
      </c>
      <c r="B505">
        <v>488</v>
      </c>
      <c r="C505">
        <v>47989219</v>
      </c>
    </row>
    <row r="506" spans="1:3" x14ac:dyDescent="0.25">
      <c r="A506">
        <v>46035152</v>
      </c>
      <c r="B506">
        <v>489</v>
      </c>
      <c r="C506">
        <v>46035152</v>
      </c>
    </row>
    <row r="507" spans="1:3" x14ac:dyDescent="0.25">
      <c r="A507">
        <v>48816281</v>
      </c>
      <c r="B507">
        <v>490</v>
      </c>
      <c r="C507">
        <v>48816281</v>
      </c>
    </row>
    <row r="508" spans="1:3" x14ac:dyDescent="0.25">
      <c r="A508">
        <v>50322133</v>
      </c>
      <c r="B508">
        <v>491</v>
      </c>
      <c r="C508">
        <v>50322133</v>
      </c>
    </row>
    <row r="509" spans="1:3" x14ac:dyDescent="0.25">
      <c r="A509">
        <v>46035116</v>
      </c>
      <c r="B509">
        <v>492</v>
      </c>
      <c r="C509">
        <v>46035116</v>
      </c>
    </row>
    <row r="510" spans="1:3" x14ac:dyDescent="0.25">
      <c r="A510">
        <v>48816206</v>
      </c>
      <c r="B510">
        <v>493</v>
      </c>
      <c r="C510">
        <v>48816206</v>
      </c>
    </row>
    <row r="511" spans="1:3" x14ac:dyDescent="0.25">
      <c r="A511">
        <v>49455889</v>
      </c>
      <c r="B511">
        <v>494</v>
      </c>
      <c r="C511">
        <v>49455889</v>
      </c>
    </row>
    <row r="512" spans="1:3" x14ac:dyDescent="0.25">
      <c r="A512">
        <v>46035190</v>
      </c>
      <c r="B512">
        <v>495</v>
      </c>
      <c r="C512">
        <v>46035190</v>
      </c>
    </row>
    <row r="513" spans="1:3" x14ac:dyDescent="0.25">
      <c r="A513">
        <v>50634643</v>
      </c>
      <c r="B513">
        <v>496</v>
      </c>
      <c r="C513">
        <v>50634643</v>
      </c>
    </row>
    <row r="514" spans="1:3" x14ac:dyDescent="0.25">
      <c r="A514">
        <v>47290887</v>
      </c>
      <c r="B514">
        <v>497</v>
      </c>
      <c r="C514">
        <v>47290887</v>
      </c>
    </row>
    <row r="515" spans="1:3" x14ac:dyDescent="0.25">
      <c r="A515">
        <v>47989209</v>
      </c>
      <c r="B515">
        <v>498</v>
      </c>
      <c r="C515">
        <v>47989209</v>
      </c>
    </row>
    <row r="516" spans="1:3" x14ac:dyDescent="0.25">
      <c r="A516">
        <v>45545378</v>
      </c>
      <c r="B516">
        <v>499</v>
      </c>
      <c r="C516">
        <v>45545378</v>
      </c>
    </row>
    <row r="517" spans="1:3" x14ac:dyDescent="0.25">
      <c r="A517">
        <v>47665558</v>
      </c>
      <c r="B517">
        <v>500</v>
      </c>
      <c r="C517">
        <v>47665558</v>
      </c>
    </row>
    <row r="518" spans="1:3" x14ac:dyDescent="0.25">
      <c r="A518">
        <v>47989285</v>
      </c>
      <c r="B518">
        <v>501</v>
      </c>
      <c r="C518">
        <v>47989285</v>
      </c>
    </row>
    <row r="519" spans="1:3" x14ac:dyDescent="0.25">
      <c r="A519">
        <v>46509096</v>
      </c>
      <c r="B519">
        <v>502</v>
      </c>
      <c r="C519">
        <v>46509096</v>
      </c>
    </row>
    <row r="520" spans="1:3" x14ac:dyDescent="0.25">
      <c r="A520">
        <v>46037451</v>
      </c>
      <c r="B520">
        <v>503</v>
      </c>
      <c r="C520">
        <v>46037451</v>
      </c>
    </row>
    <row r="521" spans="1:3" x14ac:dyDescent="0.25">
      <c r="A521">
        <v>48124527</v>
      </c>
      <c r="B521">
        <v>504</v>
      </c>
      <c r="C521">
        <v>48124527</v>
      </c>
    </row>
    <row r="522" spans="1:3" x14ac:dyDescent="0.25">
      <c r="A522">
        <v>50328975</v>
      </c>
      <c r="B522">
        <v>505</v>
      </c>
      <c r="C522">
        <v>50328975</v>
      </c>
    </row>
    <row r="523" spans="1:3" x14ac:dyDescent="0.25">
      <c r="A523">
        <v>47710649</v>
      </c>
      <c r="B523">
        <v>506</v>
      </c>
      <c r="C523">
        <v>47710649</v>
      </c>
    </row>
    <row r="524" spans="1:3" x14ac:dyDescent="0.25">
      <c r="A524">
        <v>50531697</v>
      </c>
      <c r="B524">
        <v>507</v>
      </c>
      <c r="C524">
        <v>50531697</v>
      </c>
    </row>
    <row r="525" spans="1:3" x14ac:dyDescent="0.25">
      <c r="A525">
        <v>50590188</v>
      </c>
      <c r="B525">
        <v>508</v>
      </c>
      <c r="C525">
        <v>50590188</v>
      </c>
    </row>
    <row r="526" spans="1:3" x14ac:dyDescent="0.25">
      <c r="A526">
        <v>49307436</v>
      </c>
      <c r="B526">
        <v>808</v>
      </c>
      <c r="C526">
        <v>49307436</v>
      </c>
    </row>
    <row r="527" spans="1:3" x14ac:dyDescent="0.25">
      <c r="A527">
        <v>46584794</v>
      </c>
      <c r="B527">
        <v>509</v>
      </c>
      <c r="C527">
        <v>46584794</v>
      </c>
    </row>
    <row r="528" spans="1:3" x14ac:dyDescent="0.25">
      <c r="A528">
        <v>48755109</v>
      </c>
      <c r="B528">
        <v>510</v>
      </c>
      <c r="C528">
        <v>48755109</v>
      </c>
    </row>
    <row r="529" spans="1:3" x14ac:dyDescent="0.25">
      <c r="A529">
        <v>48040092</v>
      </c>
      <c r="B529">
        <v>511</v>
      </c>
      <c r="C529">
        <v>48040092</v>
      </c>
    </row>
    <row r="530" spans="1:3" x14ac:dyDescent="0.25">
      <c r="A530">
        <v>45235868</v>
      </c>
      <c r="B530">
        <v>512</v>
      </c>
      <c r="C530">
        <v>45235868</v>
      </c>
    </row>
    <row r="531" spans="1:3" x14ac:dyDescent="0.25">
      <c r="A531">
        <v>43882340</v>
      </c>
      <c r="B531">
        <v>513</v>
      </c>
      <c r="C531">
        <v>43882340</v>
      </c>
    </row>
    <row r="532" spans="1:3" x14ac:dyDescent="0.25">
      <c r="A532">
        <v>45838458</v>
      </c>
      <c r="B532">
        <v>514</v>
      </c>
      <c r="C532">
        <v>45838458</v>
      </c>
    </row>
    <row r="533" spans="1:3" x14ac:dyDescent="0.25">
      <c r="A533">
        <v>50634644</v>
      </c>
      <c r="B533">
        <v>515</v>
      </c>
      <c r="C533">
        <v>50634644</v>
      </c>
    </row>
    <row r="534" spans="1:3" x14ac:dyDescent="0.25">
      <c r="A534">
        <v>49455842</v>
      </c>
      <c r="B534">
        <v>516</v>
      </c>
      <c r="C534">
        <v>49455842</v>
      </c>
    </row>
    <row r="535" spans="1:3" x14ac:dyDescent="0.25">
      <c r="A535">
        <v>45484423</v>
      </c>
      <c r="B535">
        <v>517</v>
      </c>
      <c r="C535">
        <v>45484423</v>
      </c>
    </row>
    <row r="536" spans="1:3" x14ac:dyDescent="0.25">
      <c r="A536">
        <v>50091934</v>
      </c>
      <c r="B536">
        <v>518</v>
      </c>
      <c r="C536">
        <v>50091934</v>
      </c>
    </row>
    <row r="537" spans="1:3" x14ac:dyDescent="0.25">
      <c r="A537">
        <v>47989230</v>
      </c>
      <c r="B537">
        <v>519</v>
      </c>
      <c r="C537">
        <v>47989230</v>
      </c>
    </row>
    <row r="538" spans="1:3" x14ac:dyDescent="0.25">
      <c r="A538">
        <v>48592905</v>
      </c>
      <c r="B538">
        <v>520</v>
      </c>
      <c r="C538">
        <v>48592905</v>
      </c>
    </row>
    <row r="539" spans="1:3" x14ac:dyDescent="0.25">
      <c r="A539">
        <v>46994214</v>
      </c>
      <c r="B539">
        <v>521</v>
      </c>
      <c r="C539">
        <v>46994214</v>
      </c>
    </row>
    <row r="540" spans="1:3" x14ac:dyDescent="0.25">
      <c r="A540">
        <v>49716975</v>
      </c>
      <c r="B540">
        <v>522</v>
      </c>
      <c r="C540">
        <v>49716975</v>
      </c>
    </row>
    <row r="541" spans="1:3" x14ac:dyDescent="0.25">
      <c r="A541">
        <v>48719612</v>
      </c>
      <c r="B541">
        <v>523</v>
      </c>
      <c r="C541">
        <v>48719612</v>
      </c>
    </row>
    <row r="542" spans="1:3" x14ac:dyDescent="0.25">
      <c r="A542">
        <v>47756036</v>
      </c>
      <c r="B542">
        <v>524</v>
      </c>
      <c r="C542">
        <v>47756036</v>
      </c>
    </row>
    <row r="543" spans="1:3" x14ac:dyDescent="0.25">
      <c r="A543">
        <v>45085581</v>
      </c>
      <c r="B543">
        <v>525</v>
      </c>
      <c r="C543">
        <v>45085581</v>
      </c>
    </row>
    <row r="544" spans="1:3" x14ac:dyDescent="0.25">
      <c r="A544">
        <v>45698135</v>
      </c>
      <c r="B544">
        <v>526</v>
      </c>
      <c r="C544">
        <v>45698135</v>
      </c>
    </row>
    <row r="545" spans="1:3" x14ac:dyDescent="0.25">
      <c r="A545">
        <v>49455830</v>
      </c>
      <c r="B545">
        <v>527</v>
      </c>
      <c r="C545">
        <v>49455830</v>
      </c>
    </row>
    <row r="546" spans="1:3" x14ac:dyDescent="0.25">
      <c r="A546">
        <v>40575280</v>
      </c>
      <c r="B546">
        <v>528</v>
      </c>
      <c r="C546">
        <v>40575280</v>
      </c>
    </row>
    <row r="547" spans="1:3" x14ac:dyDescent="0.25">
      <c r="A547">
        <v>44741500</v>
      </c>
      <c r="B547">
        <v>529</v>
      </c>
      <c r="C547">
        <v>44741500</v>
      </c>
    </row>
    <row r="548" spans="1:3" x14ac:dyDescent="0.25">
      <c r="A548">
        <v>48902169</v>
      </c>
      <c r="B548">
        <v>530</v>
      </c>
      <c r="C548">
        <v>48902169</v>
      </c>
    </row>
    <row r="549" spans="1:3" x14ac:dyDescent="0.25">
      <c r="A549">
        <v>47989277</v>
      </c>
      <c r="B549">
        <v>531</v>
      </c>
      <c r="C549">
        <v>47989277</v>
      </c>
    </row>
    <row r="550" spans="1:3" x14ac:dyDescent="0.25">
      <c r="A550">
        <v>46037023</v>
      </c>
      <c r="B550">
        <v>532</v>
      </c>
      <c r="C550">
        <v>46037023</v>
      </c>
    </row>
    <row r="551" spans="1:3" x14ac:dyDescent="0.25">
      <c r="A551">
        <v>50632303</v>
      </c>
      <c r="B551">
        <v>533</v>
      </c>
      <c r="C551">
        <v>50632303</v>
      </c>
    </row>
    <row r="552" spans="1:3" x14ac:dyDescent="0.25">
      <c r="A552">
        <v>49455809</v>
      </c>
      <c r="B552">
        <v>534</v>
      </c>
      <c r="C552">
        <v>49455809</v>
      </c>
    </row>
    <row r="553" spans="1:3" x14ac:dyDescent="0.25">
      <c r="A553">
        <v>46035109</v>
      </c>
      <c r="B553">
        <v>535</v>
      </c>
      <c r="C553">
        <v>46035109</v>
      </c>
    </row>
    <row r="554" spans="1:3" x14ac:dyDescent="0.25">
      <c r="A554">
        <v>46226738</v>
      </c>
      <c r="B554">
        <v>536</v>
      </c>
      <c r="C554">
        <v>46226738</v>
      </c>
    </row>
    <row r="555" spans="1:3" x14ac:dyDescent="0.25">
      <c r="A555">
        <v>46847532</v>
      </c>
      <c r="B555">
        <v>537</v>
      </c>
      <c r="C555">
        <v>46847532</v>
      </c>
    </row>
    <row r="556" spans="1:3" x14ac:dyDescent="0.25">
      <c r="A556">
        <v>49716965</v>
      </c>
      <c r="B556">
        <v>538</v>
      </c>
      <c r="C556">
        <v>49716965</v>
      </c>
    </row>
    <row r="557" spans="1:3" x14ac:dyDescent="0.25">
      <c r="A557">
        <v>46721947</v>
      </c>
      <c r="B557">
        <v>539</v>
      </c>
      <c r="C557">
        <v>46721947</v>
      </c>
    </row>
    <row r="558" spans="1:3" x14ac:dyDescent="0.25">
      <c r="A558">
        <v>46560846</v>
      </c>
      <c r="B558">
        <v>540</v>
      </c>
      <c r="C558">
        <v>46560846</v>
      </c>
    </row>
    <row r="559" spans="1:3" x14ac:dyDescent="0.25">
      <c r="A559">
        <v>45520806</v>
      </c>
      <c r="B559">
        <v>541</v>
      </c>
      <c r="C559">
        <v>45520806</v>
      </c>
    </row>
    <row r="560" spans="1:3" x14ac:dyDescent="0.25">
      <c r="A560">
        <v>47626334</v>
      </c>
      <c r="B560">
        <v>542</v>
      </c>
      <c r="C560">
        <v>47626334</v>
      </c>
    </row>
    <row r="561" spans="1:3" x14ac:dyDescent="0.25">
      <c r="A561">
        <v>49766150</v>
      </c>
      <c r="B561">
        <v>543</v>
      </c>
      <c r="C561">
        <v>49766150</v>
      </c>
    </row>
    <row r="562" spans="1:3" x14ac:dyDescent="0.25">
      <c r="A562">
        <v>46721862</v>
      </c>
      <c r="B562">
        <v>544</v>
      </c>
      <c r="C562">
        <v>46721862</v>
      </c>
    </row>
    <row r="563" spans="1:3" x14ac:dyDescent="0.25">
      <c r="A563">
        <v>49716950</v>
      </c>
      <c r="B563">
        <v>545</v>
      </c>
      <c r="C563">
        <v>49716950</v>
      </c>
    </row>
    <row r="564" spans="1:3" x14ac:dyDescent="0.25">
      <c r="A564">
        <v>50091928</v>
      </c>
      <c r="B564">
        <v>546</v>
      </c>
      <c r="C564">
        <v>50091928</v>
      </c>
    </row>
    <row r="565" spans="1:3" x14ac:dyDescent="0.25">
      <c r="A565">
        <v>30779913</v>
      </c>
      <c r="B565">
        <v>817</v>
      </c>
      <c r="C565">
        <v>30779913</v>
      </c>
    </row>
    <row r="566" spans="1:3" x14ac:dyDescent="0.25">
      <c r="A566">
        <v>49866762</v>
      </c>
      <c r="B566">
        <v>547</v>
      </c>
      <c r="C566">
        <v>49866762</v>
      </c>
    </row>
    <row r="567" spans="1:3" x14ac:dyDescent="0.25">
      <c r="A567">
        <v>44973974</v>
      </c>
      <c r="B567">
        <v>548</v>
      </c>
      <c r="C567">
        <v>44973974</v>
      </c>
    </row>
    <row r="568" spans="1:3" x14ac:dyDescent="0.25">
      <c r="A568">
        <v>44899047</v>
      </c>
      <c r="B568">
        <v>549</v>
      </c>
      <c r="C568">
        <v>44899047</v>
      </c>
    </row>
    <row r="569" spans="1:3" x14ac:dyDescent="0.25">
      <c r="A569">
        <v>47250824</v>
      </c>
      <c r="B569">
        <v>550</v>
      </c>
      <c r="C569">
        <v>47250824</v>
      </c>
    </row>
    <row r="570" spans="1:3" x14ac:dyDescent="0.25">
      <c r="A570">
        <v>46035180</v>
      </c>
      <c r="B570">
        <v>551</v>
      </c>
      <c r="C570">
        <v>46035180</v>
      </c>
    </row>
    <row r="571" spans="1:3" x14ac:dyDescent="0.25">
      <c r="A571">
        <v>44296629</v>
      </c>
      <c r="B571">
        <v>552</v>
      </c>
      <c r="C571">
        <v>44296629</v>
      </c>
    </row>
    <row r="572" spans="1:3" x14ac:dyDescent="0.25">
      <c r="A572">
        <v>49455858</v>
      </c>
      <c r="B572">
        <v>553</v>
      </c>
      <c r="C572">
        <v>49455858</v>
      </c>
    </row>
    <row r="573" spans="1:3" x14ac:dyDescent="0.25">
      <c r="A573">
        <v>50452991</v>
      </c>
      <c r="B573">
        <v>554</v>
      </c>
      <c r="C573">
        <v>50452991</v>
      </c>
    </row>
    <row r="574" spans="1:3" x14ac:dyDescent="0.25">
      <c r="A574">
        <v>45349568</v>
      </c>
      <c r="B574">
        <v>555</v>
      </c>
      <c r="C574">
        <v>45349568</v>
      </c>
    </row>
    <row r="575" spans="1:3" x14ac:dyDescent="0.25">
      <c r="A575">
        <v>50437771</v>
      </c>
      <c r="B575">
        <v>556</v>
      </c>
      <c r="C575">
        <v>50437771</v>
      </c>
    </row>
    <row r="576" spans="1:3" x14ac:dyDescent="0.25">
      <c r="A576">
        <v>47385599</v>
      </c>
      <c r="B576">
        <v>557</v>
      </c>
      <c r="C576">
        <v>47385599</v>
      </c>
    </row>
    <row r="577" spans="1:3" x14ac:dyDescent="0.25">
      <c r="A577">
        <v>49241916</v>
      </c>
      <c r="B577">
        <v>558</v>
      </c>
      <c r="C577">
        <v>49241916</v>
      </c>
    </row>
    <row r="578" spans="1:3" x14ac:dyDescent="0.25">
      <c r="A578">
        <v>46821343</v>
      </c>
      <c r="B578">
        <v>559</v>
      </c>
      <c r="C578">
        <v>46821343</v>
      </c>
    </row>
    <row r="579" spans="1:3" x14ac:dyDescent="0.25">
      <c r="A579">
        <v>48240966</v>
      </c>
      <c r="B579">
        <v>560</v>
      </c>
      <c r="C579">
        <v>48240966</v>
      </c>
    </row>
    <row r="580" spans="1:3" x14ac:dyDescent="0.25">
      <c r="A580">
        <v>48905277</v>
      </c>
      <c r="B580">
        <v>561</v>
      </c>
      <c r="C580">
        <v>48905277</v>
      </c>
    </row>
    <row r="581" spans="1:3" x14ac:dyDescent="0.25">
      <c r="A581">
        <v>50033525</v>
      </c>
      <c r="B581">
        <v>796</v>
      </c>
      <c r="C581">
        <v>50033525</v>
      </c>
    </row>
    <row r="582" spans="1:3" x14ac:dyDescent="0.25">
      <c r="A582">
        <v>45154844</v>
      </c>
      <c r="B582">
        <v>562</v>
      </c>
      <c r="C582">
        <v>45154844</v>
      </c>
    </row>
    <row r="583" spans="1:3" x14ac:dyDescent="0.25">
      <c r="A583">
        <v>49716973</v>
      </c>
      <c r="B583">
        <v>563</v>
      </c>
      <c r="C583">
        <v>49716973</v>
      </c>
    </row>
    <row r="584" spans="1:3" x14ac:dyDescent="0.25">
      <c r="A584">
        <v>48755690</v>
      </c>
      <c r="B584">
        <v>797</v>
      </c>
      <c r="C584">
        <v>48755690</v>
      </c>
    </row>
    <row r="585" spans="1:3" x14ac:dyDescent="0.25">
      <c r="A585">
        <v>50553951</v>
      </c>
      <c r="B585">
        <v>564</v>
      </c>
      <c r="C585">
        <v>50553951</v>
      </c>
    </row>
    <row r="586" spans="1:3" x14ac:dyDescent="0.25">
      <c r="A586">
        <v>44211653</v>
      </c>
      <c r="B586">
        <v>565</v>
      </c>
      <c r="C586">
        <v>44211653</v>
      </c>
    </row>
    <row r="587" spans="1:3" x14ac:dyDescent="0.25">
      <c r="A587">
        <v>47250832</v>
      </c>
      <c r="B587">
        <v>566</v>
      </c>
      <c r="C587">
        <v>47250832</v>
      </c>
    </row>
    <row r="588" spans="1:3" x14ac:dyDescent="0.25">
      <c r="A588">
        <v>44827487</v>
      </c>
      <c r="B588">
        <v>567</v>
      </c>
      <c r="C588">
        <v>44827487</v>
      </c>
    </row>
    <row r="589" spans="1:3" x14ac:dyDescent="0.25">
      <c r="A589">
        <v>47665600</v>
      </c>
      <c r="B589">
        <v>568</v>
      </c>
      <c r="C589">
        <v>47665600</v>
      </c>
    </row>
    <row r="590" spans="1:3" x14ac:dyDescent="0.25">
      <c r="A590">
        <v>46035165</v>
      </c>
      <c r="B590">
        <v>569</v>
      </c>
      <c r="C590">
        <v>46035165</v>
      </c>
    </row>
    <row r="591" spans="1:3" x14ac:dyDescent="0.25">
      <c r="A591">
        <v>50091959</v>
      </c>
      <c r="B591">
        <v>570</v>
      </c>
      <c r="C591">
        <v>50091959</v>
      </c>
    </row>
    <row r="592" spans="1:3" x14ac:dyDescent="0.25">
      <c r="A592">
        <v>47989287</v>
      </c>
      <c r="B592">
        <v>571</v>
      </c>
      <c r="C592">
        <v>47989287</v>
      </c>
    </row>
    <row r="593" spans="1:3" x14ac:dyDescent="0.25">
      <c r="A593">
        <v>45698141</v>
      </c>
      <c r="B593">
        <v>572</v>
      </c>
      <c r="C593">
        <v>45698141</v>
      </c>
    </row>
    <row r="594" spans="1:3" x14ac:dyDescent="0.25">
      <c r="A594">
        <v>47989283</v>
      </c>
      <c r="B594">
        <v>573</v>
      </c>
      <c r="C594">
        <v>47989283</v>
      </c>
    </row>
    <row r="595" spans="1:3" x14ac:dyDescent="0.25">
      <c r="A595">
        <v>45083749</v>
      </c>
      <c r="B595">
        <v>574</v>
      </c>
      <c r="C595">
        <v>45083749</v>
      </c>
    </row>
    <row r="596" spans="1:3" x14ac:dyDescent="0.25">
      <c r="A596">
        <v>46507486</v>
      </c>
      <c r="B596">
        <v>575</v>
      </c>
      <c r="C596">
        <v>46507486</v>
      </c>
    </row>
    <row r="597" spans="1:3" x14ac:dyDescent="0.25">
      <c r="A597">
        <v>43609644</v>
      </c>
      <c r="B597">
        <v>576</v>
      </c>
      <c r="C597">
        <v>43609644</v>
      </c>
    </row>
    <row r="598" spans="1:3" x14ac:dyDescent="0.25">
      <c r="A598">
        <v>44657981</v>
      </c>
      <c r="B598">
        <v>577</v>
      </c>
      <c r="C598">
        <v>44657981</v>
      </c>
    </row>
    <row r="599" spans="1:3" x14ac:dyDescent="0.25">
      <c r="A599">
        <v>48303621</v>
      </c>
      <c r="B599">
        <v>578</v>
      </c>
      <c r="C599">
        <v>48303621</v>
      </c>
    </row>
    <row r="600" spans="1:3" x14ac:dyDescent="0.25">
      <c r="A600">
        <v>47989224</v>
      </c>
      <c r="B600">
        <v>579</v>
      </c>
      <c r="C600">
        <v>47989224</v>
      </c>
    </row>
    <row r="601" spans="1:3" x14ac:dyDescent="0.25">
      <c r="A601">
        <v>46037429</v>
      </c>
      <c r="B601">
        <v>580</v>
      </c>
      <c r="C601">
        <v>46037429</v>
      </c>
    </row>
    <row r="602" spans="1:3" x14ac:dyDescent="0.25">
      <c r="A602">
        <v>47250822</v>
      </c>
      <c r="B602">
        <v>581</v>
      </c>
      <c r="C602">
        <v>47250822</v>
      </c>
    </row>
    <row r="603" spans="1:3" x14ac:dyDescent="0.25">
      <c r="A603">
        <v>45154730</v>
      </c>
      <c r="B603">
        <v>582</v>
      </c>
      <c r="C603">
        <v>45154730</v>
      </c>
    </row>
    <row r="604" spans="1:3" x14ac:dyDescent="0.25">
      <c r="A604">
        <v>48814891</v>
      </c>
      <c r="B604">
        <v>583</v>
      </c>
      <c r="C604">
        <v>48814891</v>
      </c>
    </row>
    <row r="605" spans="1:3" x14ac:dyDescent="0.25">
      <c r="A605">
        <v>50091995</v>
      </c>
      <c r="B605">
        <v>584</v>
      </c>
      <c r="C605">
        <v>50091995</v>
      </c>
    </row>
    <row r="606" spans="1:3" x14ac:dyDescent="0.25">
      <c r="A606">
        <v>48130212</v>
      </c>
      <c r="B606">
        <v>585</v>
      </c>
      <c r="C606">
        <v>48130212</v>
      </c>
    </row>
    <row r="607" spans="1:3" x14ac:dyDescent="0.25">
      <c r="A607">
        <v>47200135</v>
      </c>
      <c r="B607">
        <v>586</v>
      </c>
      <c r="C607">
        <v>47200135</v>
      </c>
    </row>
    <row r="608" spans="1:3" x14ac:dyDescent="0.25">
      <c r="A608">
        <v>47250867</v>
      </c>
      <c r="B608">
        <v>587</v>
      </c>
      <c r="C608">
        <v>47250867</v>
      </c>
    </row>
    <row r="609" spans="1:3" x14ac:dyDescent="0.25">
      <c r="A609">
        <v>50634653</v>
      </c>
      <c r="B609">
        <v>588</v>
      </c>
      <c r="C609">
        <v>50634653</v>
      </c>
    </row>
    <row r="610" spans="1:3" x14ac:dyDescent="0.25">
      <c r="A610">
        <v>45089207</v>
      </c>
      <c r="B610">
        <v>589</v>
      </c>
      <c r="C610">
        <v>45089207</v>
      </c>
    </row>
    <row r="611" spans="1:3" x14ac:dyDescent="0.25">
      <c r="A611">
        <v>49323605</v>
      </c>
      <c r="B611">
        <v>590</v>
      </c>
      <c r="C611">
        <v>49323605</v>
      </c>
    </row>
    <row r="612" spans="1:3" x14ac:dyDescent="0.25">
      <c r="A612">
        <v>47250873</v>
      </c>
      <c r="B612">
        <v>591</v>
      </c>
      <c r="C612">
        <v>47250873</v>
      </c>
    </row>
    <row r="613" spans="1:3" x14ac:dyDescent="0.25">
      <c r="A613">
        <v>44610373</v>
      </c>
      <c r="B613">
        <v>592</v>
      </c>
      <c r="C613">
        <v>44610373</v>
      </c>
    </row>
    <row r="614" spans="1:3" x14ac:dyDescent="0.25">
      <c r="A614">
        <v>46275539</v>
      </c>
      <c r="B614">
        <v>593</v>
      </c>
      <c r="C614">
        <v>46275539</v>
      </c>
    </row>
    <row r="615" spans="1:3" x14ac:dyDescent="0.25">
      <c r="A615">
        <v>48056268</v>
      </c>
      <c r="B615">
        <v>594</v>
      </c>
      <c r="C615">
        <v>48056268</v>
      </c>
    </row>
    <row r="616" spans="1:3" x14ac:dyDescent="0.25">
      <c r="A616">
        <v>45484427</v>
      </c>
      <c r="B616">
        <v>595</v>
      </c>
      <c r="C616">
        <v>45484427</v>
      </c>
    </row>
    <row r="617" spans="1:3" x14ac:dyDescent="0.25">
      <c r="A617">
        <v>47127617</v>
      </c>
      <c r="B617">
        <v>596</v>
      </c>
      <c r="C617">
        <v>47127617</v>
      </c>
    </row>
    <row r="618" spans="1:3" x14ac:dyDescent="0.25">
      <c r="A618">
        <v>48387372</v>
      </c>
      <c r="B618">
        <v>597</v>
      </c>
      <c r="C618">
        <v>48387372</v>
      </c>
    </row>
    <row r="619" spans="1:3" x14ac:dyDescent="0.25">
      <c r="A619">
        <v>46035962</v>
      </c>
      <c r="B619">
        <v>598</v>
      </c>
      <c r="C619">
        <v>46035962</v>
      </c>
    </row>
    <row r="620" spans="1:3" x14ac:dyDescent="0.25">
      <c r="A620">
        <v>46771568</v>
      </c>
      <c r="B620">
        <v>599</v>
      </c>
      <c r="C620">
        <v>46771568</v>
      </c>
    </row>
    <row r="621" spans="1:3" x14ac:dyDescent="0.25">
      <c r="A621">
        <v>50334173</v>
      </c>
      <c r="B621">
        <v>600</v>
      </c>
      <c r="C621">
        <v>50334173</v>
      </c>
    </row>
    <row r="622" spans="1:3" x14ac:dyDescent="0.25">
      <c r="A622">
        <v>47667242</v>
      </c>
      <c r="B622">
        <v>601</v>
      </c>
      <c r="C622">
        <v>47667242</v>
      </c>
    </row>
    <row r="623" spans="1:3" x14ac:dyDescent="0.25">
      <c r="A623">
        <v>49128349</v>
      </c>
      <c r="B623">
        <v>602</v>
      </c>
      <c r="C623">
        <v>49128349</v>
      </c>
    </row>
    <row r="624" spans="1:3" x14ac:dyDescent="0.25">
      <c r="A624">
        <v>45696578</v>
      </c>
      <c r="B624">
        <v>603</v>
      </c>
      <c r="C624">
        <v>45696578</v>
      </c>
    </row>
    <row r="625" spans="1:3" x14ac:dyDescent="0.25">
      <c r="A625">
        <v>50179729</v>
      </c>
      <c r="B625">
        <v>604</v>
      </c>
      <c r="C625">
        <v>50179729</v>
      </c>
    </row>
    <row r="626" spans="1:3" x14ac:dyDescent="0.25">
      <c r="A626">
        <v>50413171</v>
      </c>
      <c r="B626">
        <v>605</v>
      </c>
      <c r="C626">
        <v>50413171</v>
      </c>
    </row>
    <row r="627" spans="1:3" x14ac:dyDescent="0.25">
      <c r="A627">
        <v>43648251</v>
      </c>
      <c r="B627">
        <v>606</v>
      </c>
      <c r="C627">
        <v>43648251</v>
      </c>
    </row>
    <row r="628" spans="1:3" x14ac:dyDescent="0.25">
      <c r="A628">
        <v>47250853</v>
      </c>
      <c r="B628">
        <v>607</v>
      </c>
      <c r="C628">
        <v>47250853</v>
      </c>
    </row>
    <row r="629" spans="1:3" x14ac:dyDescent="0.25">
      <c r="A629">
        <v>48816203</v>
      </c>
      <c r="B629">
        <v>608</v>
      </c>
      <c r="C629">
        <v>48816203</v>
      </c>
    </row>
    <row r="630" spans="1:3" x14ac:dyDescent="0.25">
      <c r="A630">
        <v>51033875</v>
      </c>
      <c r="B630">
        <v>609</v>
      </c>
      <c r="C630">
        <v>51033875</v>
      </c>
    </row>
    <row r="631" spans="1:3" x14ac:dyDescent="0.25">
      <c r="A631">
        <v>49964540</v>
      </c>
      <c r="B631">
        <v>610</v>
      </c>
      <c r="C631">
        <v>49964540</v>
      </c>
    </row>
    <row r="632" spans="1:3" x14ac:dyDescent="0.25">
      <c r="A632">
        <v>47583497</v>
      </c>
      <c r="B632">
        <v>611</v>
      </c>
      <c r="C632">
        <v>47583497</v>
      </c>
    </row>
    <row r="633" spans="1:3" x14ac:dyDescent="0.25">
      <c r="A633">
        <v>49455877</v>
      </c>
      <c r="B633">
        <v>612</v>
      </c>
      <c r="C633">
        <v>49455877</v>
      </c>
    </row>
    <row r="634" spans="1:3" x14ac:dyDescent="0.25">
      <c r="A634">
        <v>47701905</v>
      </c>
      <c r="B634">
        <v>613</v>
      </c>
      <c r="C634">
        <v>47701905</v>
      </c>
    </row>
    <row r="635" spans="1:3" x14ac:dyDescent="0.25">
      <c r="A635">
        <v>46768262</v>
      </c>
      <c r="B635">
        <v>614</v>
      </c>
      <c r="C635">
        <v>46768262</v>
      </c>
    </row>
    <row r="636" spans="1:3" x14ac:dyDescent="0.25">
      <c r="A636">
        <v>45154728</v>
      </c>
      <c r="B636">
        <v>615</v>
      </c>
      <c r="C636">
        <v>45154728</v>
      </c>
    </row>
    <row r="637" spans="1:3" x14ac:dyDescent="0.25">
      <c r="A637">
        <v>47217777</v>
      </c>
      <c r="B637">
        <v>616</v>
      </c>
      <c r="C637">
        <v>47217777</v>
      </c>
    </row>
    <row r="638" spans="1:3" x14ac:dyDescent="0.25">
      <c r="A638">
        <v>45322180</v>
      </c>
      <c r="B638">
        <v>617</v>
      </c>
      <c r="C638">
        <v>45322180</v>
      </c>
    </row>
    <row r="639" spans="1:3" x14ac:dyDescent="0.25">
      <c r="A639">
        <v>45484429</v>
      </c>
      <c r="B639">
        <v>618</v>
      </c>
      <c r="C639">
        <v>45484429</v>
      </c>
    </row>
    <row r="640" spans="1:3" x14ac:dyDescent="0.25">
      <c r="A640">
        <v>46509074</v>
      </c>
      <c r="B640">
        <v>619</v>
      </c>
      <c r="C640">
        <v>46509074</v>
      </c>
    </row>
    <row r="641" spans="1:3" x14ac:dyDescent="0.25">
      <c r="A641">
        <v>44296635</v>
      </c>
      <c r="B641">
        <v>620</v>
      </c>
      <c r="C641">
        <v>44296635</v>
      </c>
    </row>
    <row r="642" spans="1:3" x14ac:dyDescent="0.25">
      <c r="A642">
        <v>46509044</v>
      </c>
      <c r="B642">
        <v>621</v>
      </c>
      <c r="C642">
        <v>46509044</v>
      </c>
    </row>
    <row r="643" spans="1:3" x14ac:dyDescent="0.25">
      <c r="A643">
        <v>46035149</v>
      </c>
      <c r="B643">
        <v>622</v>
      </c>
      <c r="C643">
        <v>46035149</v>
      </c>
    </row>
    <row r="644" spans="1:3" x14ac:dyDescent="0.25">
      <c r="A644">
        <v>48755103</v>
      </c>
      <c r="B644">
        <v>623</v>
      </c>
      <c r="C644">
        <v>48755103</v>
      </c>
    </row>
    <row r="645" spans="1:3" x14ac:dyDescent="0.25">
      <c r="A645">
        <v>43606946</v>
      </c>
      <c r="B645">
        <v>624</v>
      </c>
      <c r="C645">
        <v>43606946</v>
      </c>
    </row>
    <row r="646" spans="1:3" x14ac:dyDescent="0.25">
      <c r="A646">
        <v>48683376</v>
      </c>
      <c r="B646">
        <v>809</v>
      </c>
      <c r="C646">
        <v>48683376</v>
      </c>
    </row>
    <row r="647" spans="1:3" x14ac:dyDescent="0.25">
      <c r="A647">
        <v>51221918</v>
      </c>
      <c r="B647">
        <v>625</v>
      </c>
      <c r="C647">
        <v>51221918</v>
      </c>
    </row>
    <row r="648" spans="1:3" x14ac:dyDescent="0.25">
      <c r="A648">
        <v>46037026</v>
      </c>
      <c r="B648">
        <v>626</v>
      </c>
      <c r="C648">
        <v>46037026</v>
      </c>
    </row>
    <row r="649" spans="1:3" x14ac:dyDescent="0.25">
      <c r="A649">
        <v>43929574</v>
      </c>
      <c r="B649">
        <v>627</v>
      </c>
      <c r="C649">
        <v>43929574</v>
      </c>
    </row>
    <row r="650" spans="1:3" x14ac:dyDescent="0.25">
      <c r="A650">
        <v>46509071</v>
      </c>
      <c r="B650">
        <v>628</v>
      </c>
      <c r="C650">
        <v>46509071</v>
      </c>
    </row>
    <row r="651" spans="1:3" x14ac:dyDescent="0.25">
      <c r="A651">
        <v>50634621</v>
      </c>
      <c r="B651">
        <v>629</v>
      </c>
      <c r="C651">
        <v>50634621</v>
      </c>
    </row>
    <row r="652" spans="1:3" x14ac:dyDescent="0.25">
      <c r="A652">
        <v>47989208</v>
      </c>
      <c r="B652">
        <v>630</v>
      </c>
      <c r="C652">
        <v>47989208</v>
      </c>
    </row>
    <row r="653" spans="1:3" x14ac:dyDescent="0.25">
      <c r="A653">
        <v>48755687</v>
      </c>
      <c r="B653">
        <v>631</v>
      </c>
      <c r="C653">
        <v>48755687</v>
      </c>
    </row>
    <row r="654" spans="1:3" x14ac:dyDescent="0.25">
      <c r="A654">
        <v>45349579</v>
      </c>
      <c r="B654">
        <v>632</v>
      </c>
      <c r="C654">
        <v>45349579</v>
      </c>
    </row>
    <row r="655" spans="1:3" x14ac:dyDescent="0.25">
      <c r="A655">
        <v>50699993</v>
      </c>
      <c r="B655">
        <v>633</v>
      </c>
      <c r="C655">
        <v>50699993</v>
      </c>
    </row>
    <row r="656" spans="1:3" x14ac:dyDescent="0.25">
      <c r="A656">
        <v>50505056</v>
      </c>
      <c r="B656">
        <v>792</v>
      </c>
      <c r="C656">
        <v>50505056</v>
      </c>
    </row>
    <row r="657" spans="1:3" x14ac:dyDescent="0.25">
      <c r="A657">
        <v>50634606</v>
      </c>
      <c r="B657">
        <v>634</v>
      </c>
      <c r="C657">
        <v>50634606</v>
      </c>
    </row>
    <row r="658" spans="1:3" x14ac:dyDescent="0.25">
      <c r="A658">
        <v>45594733</v>
      </c>
      <c r="B658">
        <v>635</v>
      </c>
      <c r="C658">
        <v>45594733</v>
      </c>
    </row>
    <row r="659" spans="1:3" x14ac:dyDescent="0.25">
      <c r="A659">
        <v>44204983</v>
      </c>
      <c r="B659">
        <v>636</v>
      </c>
      <c r="C659">
        <v>44204983</v>
      </c>
    </row>
    <row r="660" spans="1:3" x14ac:dyDescent="0.25">
      <c r="A660">
        <v>44168562</v>
      </c>
      <c r="B660">
        <v>637</v>
      </c>
      <c r="C660">
        <v>44168562</v>
      </c>
    </row>
    <row r="661" spans="1:3" x14ac:dyDescent="0.25">
      <c r="A661">
        <v>45070707</v>
      </c>
      <c r="B661">
        <v>638</v>
      </c>
      <c r="C661">
        <v>45070707</v>
      </c>
    </row>
    <row r="662" spans="1:3" x14ac:dyDescent="0.25">
      <c r="A662">
        <v>50091978</v>
      </c>
      <c r="B662">
        <v>639</v>
      </c>
      <c r="C662">
        <v>50091978</v>
      </c>
    </row>
    <row r="663" spans="1:3" x14ac:dyDescent="0.25">
      <c r="A663">
        <v>13985734</v>
      </c>
      <c r="B663">
        <v>640</v>
      </c>
      <c r="C663">
        <v>13985734</v>
      </c>
    </row>
    <row r="664" spans="1:3" x14ac:dyDescent="0.25">
      <c r="A664">
        <v>46539528</v>
      </c>
      <c r="B664">
        <v>641</v>
      </c>
      <c r="C664">
        <v>46539528</v>
      </c>
    </row>
    <row r="665" spans="1:3" x14ac:dyDescent="0.25">
      <c r="A665">
        <v>47570651</v>
      </c>
      <c r="B665">
        <v>642</v>
      </c>
      <c r="C665">
        <v>47570651</v>
      </c>
    </row>
    <row r="666" spans="1:3" x14ac:dyDescent="0.25">
      <c r="A666">
        <v>49319118</v>
      </c>
      <c r="B666">
        <v>643</v>
      </c>
      <c r="C666">
        <v>49319118</v>
      </c>
    </row>
    <row r="667" spans="1:3" x14ac:dyDescent="0.25">
      <c r="A667">
        <v>44825082</v>
      </c>
      <c r="B667">
        <v>644</v>
      </c>
      <c r="C667">
        <v>44825082</v>
      </c>
    </row>
    <row r="668" spans="1:3" x14ac:dyDescent="0.25">
      <c r="A668">
        <v>47424761</v>
      </c>
      <c r="B668">
        <v>645</v>
      </c>
      <c r="C668">
        <v>47424761</v>
      </c>
    </row>
    <row r="669" spans="1:3" x14ac:dyDescent="0.25">
      <c r="A669">
        <v>48952605</v>
      </c>
      <c r="B669">
        <v>646</v>
      </c>
      <c r="C669">
        <v>48952605</v>
      </c>
    </row>
    <row r="670" spans="1:3" x14ac:dyDescent="0.25">
      <c r="A670">
        <v>49661848</v>
      </c>
      <c r="B670">
        <v>647</v>
      </c>
      <c r="C670">
        <v>49661848</v>
      </c>
    </row>
    <row r="671" spans="1:3" x14ac:dyDescent="0.25">
      <c r="A671">
        <v>45561753</v>
      </c>
      <c r="B671">
        <v>648</v>
      </c>
      <c r="C671">
        <v>45561753</v>
      </c>
    </row>
    <row r="672" spans="1:3" x14ac:dyDescent="0.25">
      <c r="A672">
        <v>46643085</v>
      </c>
      <c r="B672">
        <v>649</v>
      </c>
      <c r="C672">
        <v>46643085</v>
      </c>
    </row>
    <row r="673" spans="1:3" x14ac:dyDescent="0.25">
      <c r="A673">
        <v>50091952</v>
      </c>
      <c r="B673">
        <v>650</v>
      </c>
      <c r="C673">
        <v>50091952</v>
      </c>
    </row>
    <row r="674" spans="1:3" x14ac:dyDescent="0.25">
      <c r="A674">
        <v>45092222</v>
      </c>
      <c r="B674">
        <v>651</v>
      </c>
      <c r="C674">
        <v>45092222</v>
      </c>
    </row>
    <row r="675" spans="1:3" x14ac:dyDescent="0.25">
      <c r="A675">
        <v>47250879</v>
      </c>
      <c r="B675">
        <v>652</v>
      </c>
      <c r="C675">
        <v>47250879</v>
      </c>
    </row>
    <row r="676" spans="1:3" x14ac:dyDescent="0.25">
      <c r="A676">
        <v>50634670</v>
      </c>
      <c r="B676">
        <v>653</v>
      </c>
      <c r="C676">
        <v>50634670</v>
      </c>
    </row>
    <row r="677" spans="1:3" x14ac:dyDescent="0.25">
      <c r="A677">
        <v>49455878</v>
      </c>
      <c r="B677">
        <v>654</v>
      </c>
      <c r="C677">
        <v>49455878</v>
      </c>
    </row>
    <row r="678" spans="1:3" x14ac:dyDescent="0.25">
      <c r="A678">
        <v>49716919</v>
      </c>
      <c r="B678">
        <v>655</v>
      </c>
      <c r="C678">
        <v>49716919</v>
      </c>
    </row>
    <row r="679" spans="1:3" x14ac:dyDescent="0.25">
      <c r="A679">
        <v>94809271</v>
      </c>
      <c r="B679">
        <v>656</v>
      </c>
      <c r="C679">
        <v>94809271</v>
      </c>
    </row>
    <row r="680" spans="1:3" x14ac:dyDescent="0.25">
      <c r="A680">
        <v>47365513</v>
      </c>
      <c r="B680">
        <v>657</v>
      </c>
      <c r="C680">
        <v>47365513</v>
      </c>
    </row>
    <row r="681" spans="1:3" x14ac:dyDescent="0.25">
      <c r="A681">
        <v>50091961</v>
      </c>
      <c r="B681">
        <v>658</v>
      </c>
      <c r="C681">
        <v>50091961</v>
      </c>
    </row>
    <row r="682" spans="1:3" x14ac:dyDescent="0.25">
      <c r="A682">
        <v>47665438</v>
      </c>
      <c r="B682">
        <v>659</v>
      </c>
      <c r="C682">
        <v>47665438</v>
      </c>
    </row>
    <row r="683" spans="1:3" x14ac:dyDescent="0.25">
      <c r="A683">
        <v>50202903</v>
      </c>
      <c r="B683">
        <v>798</v>
      </c>
      <c r="C683">
        <v>50202903</v>
      </c>
    </row>
    <row r="684" spans="1:3" x14ac:dyDescent="0.25">
      <c r="A684">
        <v>48816287</v>
      </c>
      <c r="B684">
        <v>799</v>
      </c>
      <c r="C684">
        <v>48816287</v>
      </c>
    </row>
    <row r="685" spans="1:3" x14ac:dyDescent="0.25">
      <c r="A685">
        <v>47978706</v>
      </c>
      <c r="B685">
        <v>660</v>
      </c>
      <c r="C685">
        <v>47978706</v>
      </c>
    </row>
    <row r="686" spans="1:3" x14ac:dyDescent="0.25">
      <c r="A686">
        <v>46509056</v>
      </c>
      <c r="B686">
        <v>661</v>
      </c>
      <c r="C686">
        <v>46509056</v>
      </c>
    </row>
    <row r="687" spans="1:3" x14ac:dyDescent="0.25">
      <c r="A687">
        <v>44973250</v>
      </c>
      <c r="B687">
        <v>662</v>
      </c>
      <c r="C687">
        <v>44973250</v>
      </c>
    </row>
    <row r="688" spans="1:3" x14ac:dyDescent="0.25">
      <c r="A688">
        <v>44578281</v>
      </c>
      <c r="B688">
        <v>663</v>
      </c>
      <c r="C688">
        <v>44578281</v>
      </c>
    </row>
    <row r="689" spans="1:3" x14ac:dyDescent="0.25">
      <c r="A689">
        <v>46305780</v>
      </c>
      <c r="B689">
        <v>664</v>
      </c>
      <c r="C689">
        <v>46305780</v>
      </c>
    </row>
    <row r="690" spans="1:3" x14ac:dyDescent="0.25">
      <c r="A690">
        <v>49766174</v>
      </c>
      <c r="B690">
        <v>665</v>
      </c>
      <c r="C690">
        <v>49766174</v>
      </c>
    </row>
    <row r="691" spans="1:3" x14ac:dyDescent="0.25">
      <c r="A691">
        <v>48539261</v>
      </c>
      <c r="B691">
        <v>666</v>
      </c>
      <c r="C691">
        <v>48539261</v>
      </c>
    </row>
    <row r="692" spans="1:3" x14ac:dyDescent="0.25">
      <c r="A692">
        <v>46035155</v>
      </c>
      <c r="B692">
        <v>667</v>
      </c>
      <c r="C692">
        <v>46035155</v>
      </c>
    </row>
    <row r="693" spans="1:3" x14ac:dyDescent="0.25">
      <c r="A693">
        <v>49323628</v>
      </c>
      <c r="B693">
        <v>668</v>
      </c>
      <c r="C693">
        <v>49323628</v>
      </c>
    </row>
    <row r="694" spans="1:3" x14ac:dyDescent="0.25">
      <c r="A694">
        <v>49455899</v>
      </c>
      <c r="B694">
        <v>669</v>
      </c>
      <c r="C694">
        <v>49455899</v>
      </c>
    </row>
    <row r="695" spans="1:3" x14ac:dyDescent="0.25">
      <c r="A695">
        <v>47297733</v>
      </c>
      <c r="B695">
        <v>670</v>
      </c>
      <c r="C695">
        <v>47297733</v>
      </c>
    </row>
    <row r="696" spans="1:3" x14ac:dyDescent="0.25">
      <c r="A696">
        <v>48902163</v>
      </c>
      <c r="B696">
        <v>671</v>
      </c>
      <c r="C696">
        <v>48902163</v>
      </c>
    </row>
    <row r="697" spans="1:3" x14ac:dyDescent="0.25">
      <c r="A697">
        <v>46035154</v>
      </c>
      <c r="B697">
        <v>672</v>
      </c>
      <c r="C697">
        <v>46035154</v>
      </c>
    </row>
    <row r="698" spans="1:3" x14ac:dyDescent="0.25">
      <c r="A698">
        <v>45349567</v>
      </c>
      <c r="B698">
        <v>673</v>
      </c>
      <c r="C698">
        <v>45349567</v>
      </c>
    </row>
    <row r="699" spans="1:3" x14ac:dyDescent="0.25">
      <c r="A699">
        <v>45349589</v>
      </c>
      <c r="B699">
        <v>674</v>
      </c>
      <c r="C699">
        <v>45349589</v>
      </c>
    </row>
    <row r="700" spans="1:3" x14ac:dyDescent="0.25">
      <c r="A700">
        <v>50742204</v>
      </c>
      <c r="B700">
        <v>675</v>
      </c>
      <c r="C700">
        <v>50742204</v>
      </c>
    </row>
    <row r="701" spans="1:3" x14ac:dyDescent="0.25">
      <c r="A701">
        <v>43367452</v>
      </c>
      <c r="B701">
        <v>676</v>
      </c>
      <c r="C701">
        <v>43367452</v>
      </c>
    </row>
    <row r="702" spans="1:3" x14ac:dyDescent="0.25">
      <c r="A702">
        <v>45251407</v>
      </c>
      <c r="B702">
        <v>677</v>
      </c>
      <c r="C702">
        <v>45251407</v>
      </c>
    </row>
    <row r="703" spans="1:3" x14ac:dyDescent="0.25">
      <c r="A703">
        <v>45698127</v>
      </c>
      <c r="B703">
        <v>678</v>
      </c>
      <c r="C703">
        <v>45698127</v>
      </c>
    </row>
    <row r="704" spans="1:3" x14ac:dyDescent="0.25">
      <c r="A704">
        <v>49455839</v>
      </c>
      <c r="B704">
        <v>679</v>
      </c>
      <c r="C704">
        <v>49455839</v>
      </c>
    </row>
    <row r="705" spans="1:3" x14ac:dyDescent="0.25">
      <c r="A705">
        <v>47250849</v>
      </c>
      <c r="B705">
        <v>680</v>
      </c>
      <c r="C705">
        <v>47250849</v>
      </c>
    </row>
    <row r="706" spans="1:3" x14ac:dyDescent="0.25">
      <c r="A706">
        <v>50741969</v>
      </c>
      <c r="B706">
        <v>681</v>
      </c>
      <c r="C706">
        <v>50741969</v>
      </c>
    </row>
    <row r="707" spans="1:3" x14ac:dyDescent="0.25">
      <c r="A707">
        <v>46509037</v>
      </c>
      <c r="B707">
        <v>682</v>
      </c>
      <c r="C707">
        <v>46509037</v>
      </c>
    </row>
    <row r="708" spans="1:3" x14ac:dyDescent="0.25">
      <c r="A708">
        <v>44296638</v>
      </c>
      <c r="B708">
        <v>683</v>
      </c>
      <c r="C708">
        <v>44296638</v>
      </c>
    </row>
    <row r="709" spans="1:3" x14ac:dyDescent="0.25">
      <c r="A709">
        <v>47250852</v>
      </c>
      <c r="B709">
        <v>684</v>
      </c>
      <c r="C709">
        <v>47250852</v>
      </c>
    </row>
    <row r="710" spans="1:3" x14ac:dyDescent="0.25">
      <c r="A710">
        <v>46509006</v>
      </c>
      <c r="B710">
        <v>685</v>
      </c>
      <c r="C710">
        <v>46509006</v>
      </c>
    </row>
    <row r="711" spans="1:3" x14ac:dyDescent="0.25">
      <c r="A711">
        <v>46509100</v>
      </c>
      <c r="B711">
        <v>686</v>
      </c>
      <c r="C711">
        <v>46509100</v>
      </c>
    </row>
    <row r="712" spans="1:3" x14ac:dyDescent="0.25">
      <c r="A712">
        <v>51125037</v>
      </c>
      <c r="B712">
        <v>687</v>
      </c>
      <c r="C712">
        <v>51125037</v>
      </c>
    </row>
    <row r="713" spans="1:3" x14ac:dyDescent="0.25">
      <c r="A713">
        <v>44369814</v>
      </c>
      <c r="B713">
        <v>688</v>
      </c>
      <c r="C713">
        <v>44369814</v>
      </c>
    </row>
    <row r="714" spans="1:3" x14ac:dyDescent="0.25">
      <c r="A714">
        <v>45698153</v>
      </c>
      <c r="B714">
        <v>689</v>
      </c>
      <c r="C714">
        <v>45698153</v>
      </c>
    </row>
    <row r="715" spans="1:3" x14ac:dyDescent="0.25">
      <c r="A715">
        <v>48173361</v>
      </c>
      <c r="B715">
        <v>810</v>
      </c>
      <c r="C715">
        <v>48173361</v>
      </c>
    </row>
    <row r="716" spans="1:3" x14ac:dyDescent="0.25">
      <c r="A716">
        <v>49323608</v>
      </c>
      <c r="B716">
        <v>690</v>
      </c>
      <c r="C716">
        <v>49323608</v>
      </c>
    </row>
    <row r="717" spans="1:3" x14ac:dyDescent="0.25">
      <c r="A717">
        <v>48177631</v>
      </c>
      <c r="B717">
        <v>691</v>
      </c>
      <c r="C717">
        <v>48177631</v>
      </c>
    </row>
    <row r="718" spans="1:3" x14ac:dyDescent="0.25">
      <c r="A718">
        <v>50603538</v>
      </c>
      <c r="B718">
        <v>692</v>
      </c>
      <c r="C718">
        <v>50603538</v>
      </c>
    </row>
    <row r="719" spans="1:3" x14ac:dyDescent="0.25">
      <c r="A719">
        <v>49607735</v>
      </c>
      <c r="B719">
        <v>800</v>
      </c>
      <c r="C719">
        <v>49607735</v>
      </c>
    </row>
    <row r="720" spans="1:3" x14ac:dyDescent="0.25">
      <c r="A720">
        <v>49455815</v>
      </c>
      <c r="B720">
        <v>693</v>
      </c>
      <c r="C720">
        <v>49455815</v>
      </c>
    </row>
    <row r="721" spans="1:3" x14ac:dyDescent="0.25">
      <c r="A721">
        <v>47632747</v>
      </c>
      <c r="B721">
        <v>694</v>
      </c>
      <c r="C721">
        <v>47632747</v>
      </c>
    </row>
    <row r="722" spans="1:3" x14ac:dyDescent="0.25">
      <c r="A722">
        <v>47494088</v>
      </c>
      <c r="B722">
        <v>695</v>
      </c>
      <c r="C722">
        <v>47494088</v>
      </c>
    </row>
    <row r="723" spans="1:3" x14ac:dyDescent="0.25">
      <c r="A723">
        <v>49009248</v>
      </c>
      <c r="B723">
        <v>696</v>
      </c>
      <c r="C723">
        <v>49009248</v>
      </c>
    </row>
    <row r="724" spans="1:3" x14ac:dyDescent="0.25">
      <c r="A724">
        <v>47250823</v>
      </c>
      <c r="B724">
        <v>697</v>
      </c>
      <c r="C724">
        <v>47250823</v>
      </c>
    </row>
    <row r="725" spans="1:3" x14ac:dyDescent="0.25">
      <c r="A725">
        <v>49455890</v>
      </c>
      <c r="B725">
        <v>698</v>
      </c>
      <c r="C725">
        <v>49455890</v>
      </c>
    </row>
    <row r="726" spans="1:3" x14ac:dyDescent="0.25">
      <c r="A726">
        <v>46035145</v>
      </c>
      <c r="B726">
        <v>699</v>
      </c>
      <c r="C726">
        <v>46035145</v>
      </c>
    </row>
    <row r="727" spans="1:3" x14ac:dyDescent="0.25">
      <c r="A727">
        <v>47250833</v>
      </c>
      <c r="B727">
        <v>700</v>
      </c>
      <c r="C727">
        <v>47250833</v>
      </c>
    </row>
    <row r="728" spans="1:3" x14ac:dyDescent="0.25">
      <c r="A728">
        <v>44899046</v>
      </c>
      <c r="B728">
        <v>701</v>
      </c>
      <c r="C728">
        <v>44899046</v>
      </c>
    </row>
    <row r="729" spans="1:3" x14ac:dyDescent="0.25">
      <c r="A729">
        <v>48538143</v>
      </c>
      <c r="B729">
        <v>702</v>
      </c>
      <c r="C729">
        <v>48538143</v>
      </c>
    </row>
    <row r="730" spans="1:3" x14ac:dyDescent="0.25">
      <c r="A730">
        <v>45484418</v>
      </c>
      <c r="B730">
        <v>703</v>
      </c>
      <c r="C730">
        <v>45484418</v>
      </c>
    </row>
    <row r="731" spans="1:3" x14ac:dyDescent="0.25">
      <c r="A731">
        <v>44974383</v>
      </c>
      <c r="B731">
        <v>704</v>
      </c>
      <c r="C731">
        <v>44974383</v>
      </c>
    </row>
    <row r="732" spans="1:3" x14ac:dyDescent="0.25">
      <c r="A732">
        <v>44245864</v>
      </c>
      <c r="B732">
        <v>705</v>
      </c>
      <c r="C732">
        <v>44245864</v>
      </c>
    </row>
    <row r="733" spans="1:3" x14ac:dyDescent="0.25">
      <c r="A733">
        <v>47989290</v>
      </c>
      <c r="B733">
        <v>706</v>
      </c>
      <c r="C733">
        <v>47989290</v>
      </c>
    </row>
    <row r="734" spans="1:3" x14ac:dyDescent="0.25">
      <c r="A734">
        <v>48130234</v>
      </c>
      <c r="B734">
        <v>707</v>
      </c>
      <c r="C734">
        <v>48130234</v>
      </c>
    </row>
    <row r="735" spans="1:3" x14ac:dyDescent="0.25">
      <c r="A735">
        <v>94818244</v>
      </c>
      <c r="B735">
        <v>708</v>
      </c>
      <c r="C735">
        <v>94818244</v>
      </c>
    </row>
    <row r="736" spans="1:3" x14ac:dyDescent="0.25">
      <c r="A736">
        <v>45092233</v>
      </c>
      <c r="B736">
        <v>709</v>
      </c>
      <c r="C736">
        <v>45092233</v>
      </c>
    </row>
    <row r="737" spans="1:3" x14ac:dyDescent="0.25">
      <c r="A737">
        <v>47459173</v>
      </c>
      <c r="B737">
        <v>710</v>
      </c>
      <c r="C737">
        <v>47459173</v>
      </c>
    </row>
    <row r="738" spans="1:3" x14ac:dyDescent="0.25">
      <c r="A738">
        <v>46566594</v>
      </c>
      <c r="B738">
        <v>711</v>
      </c>
      <c r="C738">
        <v>46566594</v>
      </c>
    </row>
    <row r="739" spans="1:3" x14ac:dyDescent="0.25">
      <c r="A739">
        <v>46658854</v>
      </c>
      <c r="B739">
        <v>712</v>
      </c>
      <c r="C739">
        <v>46658854</v>
      </c>
    </row>
    <row r="740" spans="1:3" x14ac:dyDescent="0.25">
      <c r="A740">
        <v>45092575</v>
      </c>
      <c r="B740">
        <v>713</v>
      </c>
      <c r="C740">
        <v>45092575</v>
      </c>
    </row>
    <row r="741" spans="1:3" x14ac:dyDescent="0.25">
      <c r="A741">
        <v>44204979</v>
      </c>
      <c r="B741">
        <v>714</v>
      </c>
      <c r="C741">
        <v>44204979</v>
      </c>
    </row>
    <row r="742" spans="1:3" x14ac:dyDescent="0.25">
      <c r="A742">
        <v>50586567</v>
      </c>
      <c r="B742">
        <v>715</v>
      </c>
      <c r="C742">
        <v>50586567</v>
      </c>
    </row>
    <row r="743" spans="1:3" x14ac:dyDescent="0.25">
      <c r="A743">
        <v>46035153</v>
      </c>
      <c r="B743">
        <v>716</v>
      </c>
      <c r="C743">
        <v>46035153</v>
      </c>
    </row>
    <row r="744" spans="1:3" x14ac:dyDescent="0.25">
      <c r="A744">
        <v>48755654</v>
      </c>
      <c r="B744">
        <v>717</v>
      </c>
      <c r="C744">
        <v>48755654</v>
      </c>
    </row>
    <row r="745" spans="1:3" x14ac:dyDescent="0.25">
      <c r="A745">
        <v>46083351</v>
      </c>
      <c r="B745">
        <v>718</v>
      </c>
      <c r="C745">
        <v>46083351</v>
      </c>
    </row>
    <row r="746" spans="1:3" x14ac:dyDescent="0.25">
      <c r="A746">
        <v>48816285</v>
      </c>
      <c r="B746">
        <v>719</v>
      </c>
      <c r="C746">
        <v>48816285</v>
      </c>
    </row>
    <row r="747" spans="1:3" x14ac:dyDescent="0.25">
      <c r="A747">
        <v>50634607</v>
      </c>
      <c r="B747">
        <v>720</v>
      </c>
      <c r="C747">
        <v>50634607</v>
      </c>
    </row>
    <row r="748" spans="1:3" x14ac:dyDescent="0.25">
      <c r="A748">
        <v>46817544</v>
      </c>
      <c r="B748">
        <v>721</v>
      </c>
      <c r="C748">
        <v>46817544</v>
      </c>
    </row>
    <row r="749" spans="1:3" x14ac:dyDescent="0.25">
      <c r="A749">
        <v>50523334</v>
      </c>
      <c r="B749">
        <v>722</v>
      </c>
      <c r="C749">
        <v>50523334</v>
      </c>
    </row>
    <row r="750" spans="1:3" x14ac:dyDescent="0.25">
      <c r="A750">
        <v>49497126</v>
      </c>
      <c r="B750">
        <v>723</v>
      </c>
      <c r="C750">
        <v>49497126</v>
      </c>
    </row>
    <row r="751" spans="1:3" x14ac:dyDescent="0.25">
      <c r="A751">
        <v>44512007</v>
      </c>
      <c r="B751">
        <v>724</v>
      </c>
      <c r="C751">
        <v>44512007</v>
      </c>
    </row>
    <row r="752" spans="1:3" x14ac:dyDescent="0.25">
      <c r="A752">
        <v>50091901</v>
      </c>
      <c r="B752">
        <v>725</v>
      </c>
      <c r="C752">
        <v>50091901</v>
      </c>
    </row>
    <row r="753" spans="1:3" x14ac:dyDescent="0.25">
      <c r="A753">
        <v>48538110</v>
      </c>
      <c r="B753">
        <v>726</v>
      </c>
      <c r="C753">
        <v>48538110</v>
      </c>
    </row>
    <row r="754" spans="1:3" x14ac:dyDescent="0.25">
      <c r="A754">
        <v>47907085</v>
      </c>
      <c r="B754">
        <v>727</v>
      </c>
      <c r="C754">
        <v>47907085</v>
      </c>
    </row>
    <row r="755" spans="1:3" x14ac:dyDescent="0.25">
      <c r="A755">
        <v>49455855</v>
      </c>
      <c r="B755">
        <v>728</v>
      </c>
      <c r="C755">
        <v>49455855</v>
      </c>
    </row>
    <row r="756" spans="1:3" x14ac:dyDescent="0.25">
      <c r="A756">
        <v>44245221</v>
      </c>
      <c r="B756">
        <v>729</v>
      </c>
      <c r="C756">
        <v>44245221</v>
      </c>
    </row>
    <row r="757" spans="1:3" x14ac:dyDescent="0.25">
      <c r="A757">
        <v>46580607</v>
      </c>
      <c r="B757">
        <v>730</v>
      </c>
      <c r="C757">
        <v>46580607</v>
      </c>
    </row>
    <row r="758" spans="1:3" x14ac:dyDescent="0.25">
      <c r="A758">
        <v>46509046</v>
      </c>
      <c r="B758">
        <v>731</v>
      </c>
      <c r="C758">
        <v>46509046</v>
      </c>
    </row>
    <row r="759" spans="1:3" x14ac:dyDescent="0.25">
      <c r="A759">
        <v>50091954</v>
      </c>
      <c r="B759">
        <v>732</v>
      </c>
      <c r="C759">
        <v>50091954</v>
      </c>
    </row>
    <row r="760" spans="1:3" x14ac:dyDescent="0.25">
      <c r="A760">
        <v>44372158</v>
      </c>
      <c r="B760">
        <v>733</v>
      </c>
      <c r="C760">
        <v>44372158</v>
      </c>
    </row>
    <row r="761" spans="1:3" x14ac:dyDescent="0.25">
      <c r="A761">
        <v>49716907</v>
      </c>
      <c r="B761">
        <v>734</v>
      </c>
      <c r="C761">
        <v>49716907</v>
      </c>
    </row>
    <row r="762" spans="1:3" x14ac:dyDescent="0.25">
      <c r="A762">
        <v>45698157</v>
      </c>
      <c r="B762">
        <v>735</v>
      </c>
      <c r="C762">
        <v>45698157</v>
      </c>
    </row>
    <row r="763" spans="1:3" x14ac:dyDescent="0.25">
      <c r="A763">
        <v>47665564</v>
      </c>
      <c r="B763">
        <v>736</v>
      </c>
      <c r="C763">
        <v>47665564</v>
      </c>
    </row>
    <row r="764" spans="1:3" x14ac:dyDescent="0.25">
      <c r="A764">
        <v>48453428</v>
      </c>
      <c r="B764">
        <v>737</v>
      </c>
      <c r="C764">
        <v>48453428</v>
      </c>
    </row>
    <row r="765" spans="1:3" x14ac:dyDescent="0.25">
      <c r="A765">
        <v>43998660</v>
      </c>
      <c r="B765">
        <v>738</v>
      </c>
      <c r="C765">
        <v>43998660</v>
      </c>
    </row>
    <row r="766" spans="1:3" x14ac:dyDescent="0.25">
      <c r="A766">
        <v>46886092</v>
      </c>
      <c r="B766">
        <v>739</v>
      </c>
      <c r="C766">
        <v>46886092</v>
      </c>
    </row>
    <row r="767" spans="1:3" x14ac:dyDescent="0.25">
      <c r="A767">
        <v>44363416</v>
      </c>
      <c r="B767">
        <v>740</v>
      </c>
      <c r="C767">
        <v>44363416</v>
      </c>
    </row>
    <row r="768" spans="1:3" x14ac:dyDescent="0.25">
      <c r="A768">
        <v>49585033</v>
      </c>
      <c r="B768">
        <v>741</v>
      </c>
      <c r="C768">
        <v>49585033</v>
      </c>
    </row>
    <row r="769" spans="1:3" x14ac:dyDescent="0.25">
      <c r="A769">
        <v>47352900</v>
      </c>
      <c r="B769">
        <v>742</v>
      </c>
      <c r="C769">
        <v>47352900</v>
      </c>
    </row>
    <row r="770" spans="1:3" x14ac:dyDescent="0.25">
      <c r="A770">
        <v>50634655</v>
      </c>
      <c r="B770">
        <v>743</v>
      </c>
      <c r="C770">
        <v>50634655</v>
      </c>
    </row>
    <row r="771" spans="1:3" x14ac:dyDescent="0.25">
      <c r="A771">
        <v>47404410</v>
      </c>
      <c r="B771">
        <v>744</v>
      </c>
      <c r="C771">
        <v>47404410</v>
      </c>
    </row>
    <row r="772" spans="1:3" x14ac:dyDescent="0.25">
      <c r="A772">
        <v>49455826</v>
      </c>
      <c r="B772">
        <v>745</v>
      </c>
      <c r="C772">
        <v>49455826</v>
      </c>
    </row>
    <row r="773" spans="1:3" x14ac:dyDescent="0.25">
      <c r="A773">
        <v>46506642</v>
      </c>
      <c r="B773">
        <v>746</v>
      </c>
      <c r="C773">
        <v>46506642</v>
      </c>
    </row>
    <row r="774" spans="1:3" x14ac:dyDescent="0.25">
      <c r="A774">
        <v>51033873</v>
      </c>
      <c r="B774">
        <v>747</v>
      </c>
      <c r="C774">
        <v>51033873</v>
      </c>
    </row>
    <row r="775" spans="1:3" x14ac:dyDescent="0.25">
      <c r="A775">
        <v>49993784</v>
      </c>
      <c r="B775">
        <v>748</v>
      </c>
      <c r="C775">
        <v>49993784</v>
      </c>
    </row>
    <row r="776" spans="1:3" x14ac:dyDescent="0.25">
      <c r="A776">
        <v>48545342</v>
      </c>
      <c r="B776">
        <v>749</v>
      </c>
      <c r="C776">
        <v>48545342</v>
      </c>
    </row>
    <row r="777" spans="1:3" x14ac:dyDescent="0.25">
      <c r="A777">
        <v>45093742</v>
      </c>
      <c r="B777">
        <v>750</v>
      </c>
      <c r="C777">
        <v>45093742</v>
      </c>
    </row>
    <row r="778" spans="1:3" x14ac:dyDescent="0.25">
      <c r="A778">
        <v>48235372</v>
      </c>
      <c r="B778">
        <v>751</v>
      </c>
      <c r="C778">
        <v>48235372</v>
      </c>
    </row>
    <row r="779" spans="1:3" x14ac:dyDescent="0.25">
      <c r="A779">
        <v>49997085</v>
      </c>
      <c r="B779">
        <v>752</v>
      </c>
      <c r="C779">
        <v>49997085</v>
      </c>
    </row>
    <row r="780" spans="1:3" x14ac:dyDescent="0.25">
      <c r="A780">
        <v>50344504</v>
      </c>
      <c r="B780">
        <v>753</v>
      </c>
      <c r="C780">
        <v>50344504</v>
      </c>
    </row>
    <row r="781" spans="1:3" x14ac:dyDescent="0.25">
      <c r="A781">
        <v>49459557</v>
      </c>
      <c r="B781">
        <v>754</v>
      </c>
      <c r="C781">
        <v>49459557</v>
      </c>
    </row>
    <row r="782" spans="1:3" x14ac:dyDescent="0.25">
      <c r="A782">
        <v>43992124</v>
      </c>
      <c r="B782">
        <v>755</v>
      </c>
      <c r="C782">
        <v>43992124</v>
      </c>
    </row>
    <row r="783" spans="1:3" x14ac:dyDescent="0.25">
      <c r="A783">
        <v>50842190</v>
      </c>
      <c r="B783">
        <v>756</v>
      </c>
      <c r="C783">
        <v>50842190</v>
      </c>
    </row>
    <row r="784" spans="1:3" x14ac:dyDescent="0.25">
      <c r="A784">
        <v>48269974</v>
      </c>
      <c r="B784">
        <v>757</v>
      </c>
      <c r="C784">
        <v>48269974</v>
      </c>
    </row>
    <row r="785" spans="1:3" x14ac:dyDescent="0.25">
      <c r="A785">
        <v>47070448</v>
      </c>
      <c r="B785">
        <v>758</v>
      </c>
      <c r="C785">
        <v>47070448</v>
      </c>
    </row>
    <row r="786" spans="1:3" x14ac:dyDescent="0.25">
      <c r="A786">
        <v>50179395</v>
      </c>
      <c r="B786">
        <v>759</v>
      </c>
      <c r="C786">
        <v>50179395</v>
      </c>
    </row>
    <row r="787" spans="1:3" x14ac:dyDescent="0.25">
      <c r="A787">
        <v>46509084</v>
      </c>
      <c r="B787">
        <v>760</v>
      </c>
      <c r="C787">
        <v>46509084</v>
      </c>
    </row>
    <row r="788" spans="1:3" x14ac:dyDescent="0.25">
      <c r="A788">
        <v>47587210</v>
      </c>
      <c r="B788">
        <v>761</v>
      </c>
      <c r="C788">
        <v>47587210</v>
      </c>
    </row>
    <row r="789" spans="1:3" x14ac:dyDescent="0.25">
      <c r="A789">
        <v>50091918</v>
      </c>
      <c r="B789">
        <v>801</v>
      </c>
      <c r="C789">
        <v>50091918</v>
      </c>
    </row>
    <row r="790" spans="1:3" x14ac:dyDescent="0.25">
      <c r="A790">
        <v>48816219</v>
      </c>
      <c r="B790">
        <v>762</v>
      </c>
      <c r="C790">
        <v>48816219</v>
      </c>
    </row>
    <row r="791" spans="1:3" x14ac:dyDescent="0.25">
      <c r="A791">
        <v>48755672</v>
      </c>
      <c r="B791">
        <v>763</v>
      </c>
      <c r="C791">
        <v>48755672</v>
      </c>
    </row>
    <row r="792" spans="1:3" x14ac:dyDescent="0.25">
      <c r="A792">
        <v>49716969</v>
      </c>
      <c r="B792">
        <v>764</v>
      </c>
      <c r="C792">
        <v>49716969</v>
      </c>
    </row>
    <row r="793" spans="1:3" x14ac:dyDescent="0.25">
      <c r="A793">
        <v>46002906</v>
      </c>
      <c r="B793">
        <v>765</v>
      </c>
      <c r="C793">
        <v>46002906</v>
      </c>
    </row>
    <row r="794" spans="1:3" x14ac:dyDescent="0.25">
      <c r="A794">
        <v>49455838</v>
      </c>
      <c r="B794">
        <v>766</v>
      </c>
      <c r="C794">
        <v>49455838</v>
      </c>
    </row>
    <row r="795" spans="1:3" x14ac:dyDescent="0.25">
      <c r="A795">
        <v>47665568</v>
      </c>
      <c r="B795">
        <v>767</v>
      </c>
      <c r="C795">
        <v>47665568</v>
      </c>
    </row>
    <row r="796" spans="1:3" x14ac:dyDescent="0.25">
      <c r="A796">
        <v>50766220</v>
      </c>
      <c r="B796">
        <v>791</v>
      </c>
      <c r="C796">
        <v>50766220</v>
      </c>
    </row>
    <row r="797" spans="1:3" x14ac:dyDescent="0.25">
      <c r="A797">
        <v>46524776</v>
      </c>
      <c r="B797">
        <v>768</v>
      </c>
      <c r="C797">
        <v>46524776</v>
      </c>
    </row>
    <row r="798" spans="1:3" x14ac:dyDescent="0.25">
      <c r="A798">
        <v>44686779</v>
      </c>
      <c r="B798">
        <v>769</v>
      </c>
      <c r="C798">
        <v>44686779</v>
      </c>
    </row>
    <row r="799" spans="1:3" x14ac:dyDescent="0.25">
      <c r="A799">
        <v>50495402</v>
      </c>
      <c r="B799">
        <v>770</v>
      </c>
      <c r="C799">
        <v>50495402</v>
      </c>
    </row>
    <row r="800" spans="1:3" x14ac:dyDescent="0.25">
      <c r="A800">
        <v>49457520</v>
      </c>
      <c r="B800">
        <v>771</v>
      </c>
      <c r="C800">
        <v>49457520</v>
      </c>
    </row>
    <row r="801" spans="1:3" x14ac:dyDescent="0.25">
      <c r="A801">
        <v>45483488</v>
      </c>
      <c r="B801">
        <v>772</v>
      </c>
      <c r="C801">
        <v>45483488</v>
      </c>
    </row>
    <row r="802" spans="1:3" x14ac:dyDescent="0.25">
      <c r="A802">
        <v>44372143</v>
      </c>
      <c r="B802">
        <v>773</v>
      </c>
      <c r="C802">
        <v>44372143</v>
      </c>
    </row>
    <row r="803" spans="1:3" x14ac:dyDescent="0.25">
      <c r="A803">
        <v>45698143</v>
      </c>
      <c r="B803">
        <v>774</v>
      </c>
      <c r="C803">
        <v>45698143</v>
      </c>
    </row>
    <row r="804" spans="1:3" x14ac:dyDescent="0.25">
      <c r="A804">
        <v>44296634</v>
      </c>
      <c r="B804">
        <v>775</v>
      </c>
      <c r="C804">
        <v>44296634</v>
      </c>
    </row>
    <row r="805" spans="1:3" x14ac:dyDescent="0.25">
      <c r="A805">
        <v>45484430</v>
      </c>
      <c r="B805">
        <v>776</v>
      </c>
      <c r="C805">
        <v>45484430</v>
      </c>
    </row>
    <row r="806" spans="1:3" x14ac:dyDescent="0.25">
      <c r="A806">
        <v>50140675</v>
      </c>
      <c r="B806">
        <v>777</v>
      </c>
      <c r="C806">
        <v>50140675</v>
      </c>
    </row>
    <row r="807" spans="1:3" x14ac:dyDescent="0.25">
      <c r="A807">
        <v>47665588</v>
      </c>
      <c r="B807">
        <v>778</v>
      </c>
      <c r="C807">
        <v>47665588</v>
      </c>
    </row>
    <row r="808" spans="1:3" x14ac:dyDescent="0.25">
      <c r="A808">
        <v>45484413</v>
      </c>
      <c r="B808">
        <v>779</v>
      </c>
      <c r="C808">
        <v>45484413</v>
      </c>
    </row>
    <row r="809" spans="1:3" x14ac:dyDescent="0.25">
      <c r="A809">
        <v>49455843</v>
      </c>
      <c r="B809">
        <v>780</v>
      </c>
      <c r="C809">
        <v>49455843</v>
      </c>
    </row>
    <row r="810" spans="1:3" x14ac:dyDescent="0.25">
      <c r="A810">
        <v>45154756</v>
      </c>
      <c r="B810">
        <v>781</v>
      </c>
      <c r="C810">
        <v>45154756</v>
      </c>
    </row>
    <row r="811" spans="1:3" x14ac:dyDescent="0.25">
      <c r="A811">
        <v>46593166</v>
      </c>
      <c r="B811">
        <v>782</v>
      </c>
      <c r="C811">
        <v>46593166</v>
      </c>
    </row>
    <row r="812" spans="1:3" x14ac:dyDescent="0.25">
      <c r="A812">
        <v>50260791</v>
      </c>
      <c r="B812">
        <v>783</v>
      </c>
      <c r="C812">
        <v>50260791</v>
      </c>
    </row>
    <row r="813" spans="1:3" x14ac:dyDescent="0.25">
      <c r="A813">
        <v>46035102</v>
      </c>
      <c r="B813">
        <v>784</v>
      </c>
      <c r="C813">
        <v>46035102</v>
      </c>
    </row>
    <row r="814" spans="1:3" x14ac:dyDescent="0.25">
      <c r="A814">
        <v>44245203</v>
      </c>
      <c r="B814">
        <v>785</v>
      </c>
      <c r="C814">
        <v>44245203</v>
      </c>
    </row>
    <row r="815" spans="1:3" x14ac:dyDescent="0.25">
      <c r="A815">
        <v>45698167</v>
      </c>
      <c r="B815">
        <v>786</v>
      </c>
      <c r="C815">
        <v>45698167</v>
      </c>
    </row>
    <row r="816" spans="1:3" x14ac:dyDescent="0.25">
      <c r="A816">
        <v>47370891</v>
      </c>
      <c r="B816">
        <v>787</v>
      </c>
      <c r="C816">
        <v>47370891</v>
      </c>
    </row>
    <row r="817" spans="1:3" x14ac:dyDescent="0.25">
      <c r="A817">
        <v>48755114</v>
      </c>
      <c r="B817">
        <v>803</v>
      </c>
      <c r="C817">
        <v>48755114</v>
      </c>
    </row>
    <row r="818" spans="1:3" x14ac:dyDescent="0.25">
      <c r="A818">
        <v>44372152</v>
      </c>
      <c r="B818">
        <v>788</v>
      </c>
      <c r="C818">
        <v>44372152</v>
      </c>
    </row>
    <row r="819" spans="1:3" x14ac:dyDescent="0.25">
      <c r="A819">
        <v>48607958</v>
      </c>
      <c r="B819">
        <v>815</v>
      </c>
      <c r="C819">
        <v>48607958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8FD29-B8BA-461C-8FD5-DE68F6897F1F}">
  <sheetPr codeName="Hoja4"/>
  <dimension ref="A1:P293"/>
  <sheetViews>
    <sheetView topLeftCell="A220" workbookViewId="0">
      <selection activeCell="A231" sqref="A231"/>
    </sheetView>
  </sheetViews>
  <sheetFormatPr baseColWidth="10" defaultRowHeight="15" x14ac:dyDescent="0.25"/>
  <cols>
    <col min="1" max="1" width="57.42578125" bestFit="1" customWidth="1"/>
    <col min="2" max="2" width="55.28515625" bestFit="1" customWidth="1"/>
    <col min="3" max="5" width="14.140625" customWidth="1"/>
    <col min="6" max="6" width="8.42578125" bestFit="1" customWidth="1"/>
    <col min="7" max="7" width="10.5703125" bestFit="1" customWidth="1"/>
    <col min="12" max="12" width="55.28515625" bestFit="1" customWidth="1"/>
    <col min="13" max="13" width="11.85546875" bestFit="1" customWidth="1"/>
    <col min="15" max="16" width="11.42578125" style="1"/>
  </cols>
  <sheetData>
    <row r="1" spans="1:16" x14ac:dyDescent="0.25">
      <c r="A1" t="s">
        <v>533</v>
      </c>
      <c r="B1" t="s">
        <v>8</v>
      </c>
      <c r="C1" t="s">
        <v>535</v>
      </c>
      <c r="D1" t="s">
        <v>71</v>
      </c>
      <c r="E1" t="s">
        <v>553</v>
      </c>
      <c r="F1" t="s">
        <v>9</v>
      </c>
      <c r="G1" t="s">
        <v>7</v>
      </c>
      <c r="H1" t="s">
        <v>580</v>
      </c>
      <c r="K1" t="s">
        <v>7</v>
      </c>
      <c r="L1" t="s">
        <v>8</v>
      </c>
      <c r="M1" t="s">
        <v>597</v>
      </c>
      <c r="N1" t="s">
        <v>9</v>
      </c>
      <c r="O1" s="1" t="s">
        <v>2</v>
      </c>
      <c r="P1" s="1" t="s">
        <v>3</v>
      </c>
    </row>
    <row r="2" spans="1:16" x14ac:dyDescent="0.25">
      <c r="A2" t="str">
        <f t="shared" ref="A2:A65" si="0">B2&amp;F2</f>
        <v>CASTELLANO1</v>
      </c>
      <c r="B2" t="s">
        <v>536</v>
      </c>
      <c r="C2" t="s">
        <v>98</v>
      </c>
      <c r="D2" t="s">
        <v>55</v>
      </c>
      <c r="E2">
        <f>VLOOKUP(D2,PLAN!A:B,2,FALSE)</f>
        <v>1</v>
      </c>
      <c r="F2">
        <f>VLOOKUP(C2&amp;E2,CURSO!A:D,4,FALSE)</f>
        <v>1</v>
      </c>
      <c r="G2">
        <v>1</v>
      </c>
      <c r="H2">
        <v>1</v>
      </c>
      <c r="K2">
        <v>1</v>
      </c>
      <c r="L2" t="s">
        <v>536</v>
      </c>
      <c r="N2">
        <v>1</v>
      </c>
      <c r="O2" s="1" t="s">
        <v>596</v>
      </c>
      <c r="P2" s="1" t="s">
        <v>596</v>
      </c>
    </row>
    <row r="3" spans="1:16" x14ac:dyDescent="0.25">
      <c r="A3" t="str">
        <f t="shared" si="0"/>
        <v>INGLÉS1</v>
      </c>
      <c r="B3" t="s">
        <v>500</v>
      </c>
      <c r="C3" t="s">
        <v>98</v>
      </c>
      <c r="D3" t="s">
        <v>55</v>
      </c>
      <c r="E3">
        <f>VLOOKUP(D3,PLAN!A:B,2,FALSE)</f>
        <v>1</v>
      </c>
      <c r="F3">
        <f>VLOOKUP(C3&amp;E3,CURSO!A:D,4,FALSE)</f>
        <v>1</v>
      </c>
      <c r="G3">
        <v>2</v>
      </c>
      <c r="H3">
        <v>2</v>
      </c>
      <c r="K3">
        <v>2</v>
      </c>
      <c r="L3" t="s">
        <v>500</v>
      </c>
      <c r="N3">
        <v>1</v>
      </c>
      <c r="O3" s="1" t="s">
        <v>596</v>
      </c>
      <c r="P3" s="1" t="s">
        <v>596</v>
      </c>
    </row>
    <row r="4" spans="1:16" x14ac:dyDescent="0.25">
      <c r="A4" t="str">
        <f t="shared" si="0"/>
        <v>MATEMÁTICA1</v>
      </c>
      <c r="B4" t="s">
        <v>12</v>
      </c>
      <c r="C4" t="s">
        <v>98</v>
      </c>
      <c r="D4" t="s">
        <v>55</v>
      </c>
      <c r="E4">
        <f>VLOOKUP(D4,PLAN!A:B,2,FALSE)</f>
        <v>1</v>
      </c>
      <c r="F4">
        <f>VLOOKUP(C4&amp;E4,CURSO!A:D,4,FALSE)</f>
        <v>1</v>
      </c>
      <c r="G4">
        <v>3</v>
      </c>
      <c r="H4">
        <v>3</v>
      </c>
      <c r="K4">
        <v>3</v>
      </c>
      <c r="L4" t="s">
        <v>12</v>
      </c>
      <c r="N4">
        <v>1</v>
      </c>
      <c r="O4" s="1" t="s">
        <v>596</v>
      </c>
      <c r="P4" s="1" t="s">
        <v>596</v>
      </c>
    </row>
    <row r="5" spans="1:16" x14ac:dyDescent="0.25">
      <c r="A5" t="str">
        <f t="shared" si="0"/>
        <v>BOTÁNICA1</v>
      </c>
      <c r="B5" t="s">
        <v>581</v>
      </c>
      <c r="C5" t="s">
        <v>98</v>
      </c>
      <c r="D5" t="s">
        <v>55</v>
      </c>
      <c r="E5">
        <f>VLOOKUP(D5,PLAN!A:B,2,FALSE)</f>
        <v>1</v>
      </c>
      <c r="F5">
        <f>VLOOKUP(C5&amp;E5,CURSO!A:D,4,FALSE)</f>
        <v>1</v>
      </c>
      <c r="G5">
        <v>4</v>
      </c>
      <c r="H5">
        <v>4</v>
      </c>
      <c r="K5">
        <v>4</v>
      </c>
      <c r="L5" t="s">
        <v>581</v>
      </c>
      <c r="N5">
        <v>1</v>
      </c>
      <c r="O5" s="1" t="s">
        <v>596</v>
      </c>
      <c r="P5" s="1" t="s">
        <v>596</v>
      </c>
    </row>
    <row r="6" spans="1:16" x14ac:dyDescent="0.25">
      <c r="A6" t="str">
        <f t="shared" si="0"/>
        <v>HISTORIA1</v>
      </c>
      <c r="B6" t="s">
        <v>27</v>
      </c>
      <c r="C6" t="s">
        <v>98</v>
      </c>
      <c r="D6" t="s">
        <v>55</v>
      </c>
      <c r="E6">
        <f>VLOOKUP(D6,PLAN!A:B,2,FALSE)</f>
        <v>1</v>
      </c>
      <c r="F6">
        <f>VLOOKUP(C6&amp;E6,CURSO!A:D,4,FALSE)</f>
        <v>1</v>
      </c>
      <c r="G6">
        <v>5</v>
      </c>
      <c r="H6">
        <v>5</v>
      </c>
      <c r="K6">
        <v>5</v>
      </c>
      <c r="L6" t="s">
        <v>27</v>
      </c>
      <c r="N6">
        <v>1</v>
      </c>
      <c r="O6" s="1" t="s">
        <v>596</v>
      </c>
      <c r="P6" s="1" t="s">
        <v>596</v>
      </c>
    </row>
    <row r="7" spans="1:16" x14ac:dyDescent="0.25">
      <c r="A7" t="str">
        <f t="shared" si="0"/>
        <v>GEOGRAFÍA1</v>
      </c>
      <c r="B7" t="s">
        <v>26</v>
      </c>
      <c r="C7" t="s">
        <v>98</v>
      </c>
      <c r="D7" t="s">
        <v>55</v>
      </c>
      <c r="E7">
        <f>VLOOKUP(D7,PLAN!A:B,2,FALSE)</f>
        <v>1</v>
      </c>
      <c r="F7">
        <f>VLOOKUP(C7&amp;E7,CURSO!A:D,4,FALSE)</f>
        <v>1</v>
      </c>
      <c r="G7">
        <v>6</v>
      </c>
      <c r="H7">
        <v>6</v>
      </c>
      <c r="K7">
        <v>6</v>
      </c>
      <c r="L7" t="s">
        <v>26</v>
      </c>
      <c r="N7">
        <v>1</v>
      </c>
      <c r="O7" s="1" t="s">
        <v>596</v>
      </c>
      <c r="P7" s="1" t="s">
        <v>596</v>
      </c>
    </row>
    <row r="8" spans="1:16" x14ac:dyDescent="0.25">
      <c r="A8" t="str">
        <f t="shared" si="0"/>
        <v>CONTABLIDAD1</v>
      </c>
      <c r="B8" t="s">
        <v>542</v>
      </c>
      <c r="C8" t="s">
        <v>98</v>
      </c>
      <c r="D8" t="s">
        <v>55</v>
      </c>
      <c r="E8">
        <f>VLOOKUP(D8,PLAN!A:B,2,FALSE)</f>
        <v>1</v>
      </c>
      <c r="F8">
        <f>VLOOKUP(C8&amp;E8,CURSO!A:D,4,FALSE)</f>
        <v>1</v>
      </c>
      <c r="G8">
        <v>7</v>
      </c>
      <c r="H8">
        <v>7</v>
      </c>
      <c r="K8">
        <v>7</v>
      </c>
      <c r="L8" t="s">
        <v>542</v>
      </c>
      <c r="N8">
        <v>1</v>
      </c>
      <c r="O8" s="1" t="s">
        <v>596</v>
      </c>
      <c r="P8" s="1" t="s">
        <v>596</v>
      </c>
    </row>
    <row r="9" spans="1:16" x14ac:dyDescent="0.25">
      <c r="A9" t="str">
        <f t="shared" si="0"/>
        <v>E.R.S.A.1</v>
      </c>
      <c r="B9" t="s">
        <v>582</v>
      </c>
      <c r="C9" t="s">
        <v>98</v>
      </c>
      <c r="D9" t="s">
        <v>55</v>
      </c>
      <c r="E9">
        <f>VLOOKUP(D9,PLAN!A:B,2,FALSE)</f>
        <v>1</v>
      </c>
      <c r="F9">
        <f>VLOOKUP(C9&amp;E9,CURSO!A:D,4,FALSE)</f>
        <v>1</v>
      </c>
      <c r="G9">
        <v>8</v>
      </c>
      <c r="H9">
        <v>8</v>
      </c>
      <c r="K9">
        <v>8</v>
      </c>
      <c r="L9" t="s">
        <v>582</v>
      </c>
      <c r="N9">
        <v>1</v>
      </c>
      <c r="O9" s="1" t="s">
        <v>596</v>
      </c>
      <c r="P9" s="1" t="s">
        <v>596</v>
      </c>
    </row>
    <row r="10" spans="1:16" x14ac:dyDescent="0.25">
      <c r="A10" t="str">
        <f t="shared" si="0"/>
        <v>MÚSICA1</v>
      </c>
      <c r="B10" t="s">
        <v>554</v>
      </c>
      <c r="C10" t="s">
        <v>98</v>
      </c>
      <c r="D10" t="s">
        <v>55</v>
      </c>
      <c r="E10">
        <f>VLOOKUP(D10,PLAN!A:B,2,FALSE)</f>
        <v>1</v>
      </c>
      <c r="F10">
        <f>VLOOKUP(C10&amp;E10,CURSO!A:D,4,FALSE)</f>
        <v>1</v>
      </c>
      <c r="G10">
        <v>9</v>
      </c>
      <c r="H10">
        <v>9</v>
      </c>
      <c r="K10">
        <v>9</v>
      </c>
      <c r="L10" t="s">
        <v>554</v>
      </c>
      <c r="N10">
        <v>1</v>
      </c>
      <c r="O10" s="1" t="s">
        <v>596</v>
      </c>
      <c r="P10" s="1" t="s">
        <v>596</v>
      </c>
    </row>
    <row r="11" spans="1:16" x14ac:dyDescent="0.25">
      <c r="A11" t="str">
        <f t="shared" si="0"/>
        <v>CALIGRAFÍA Y DIBUJO1</v>
      </c>
      <c r="B11" t="s">
        <v>583</v>
      </c>
      <c r="C11" t="s">
        <v>98</v>
      </c>
      <c r="D11" t="s">
        <v>55</v>
      </c>
      <c r="E11">
        <f>VLOOKUP(D11,PLAN!A:B,2,FALSE)</f>
        <v>1</v>
      </c>
      <c r="F11">
        <f>VLOOKUP(C11&amp;E11,CURSO!A:D,4,FALSE)</f>
        <v>1</v>
      </c>
      <c r="G11">
        <v>10</v>
      </c>
      <c r="H11">
        <v>10</v>
      </c>
      <c r="K11">
        <v>10</v>
      </c>
      <c r="L11" t="s">
        <v>583</v>
      </c>
      <c r="N11">
        <v>1</v>
      </c>
      <c r="O11" s="1" t="s">
        <v>596</v>
      </c>
      <c r="P11" s="1" t="s">
        <v>596</v>
      </c>
    </row>
    <row r="12" spans="1:16" x14ac:dyDescent="0.25">
      <c r="A12" t="str">
        <f t="shared" si="0"/>
        <v>EDUCACIÓN FÍSICA1</v>
      </c>
      <c r="B12" t="s">
        <v>10</v>
      </c>
      <c r="C12" t="s">
        <v>98</v>
      </c>
      <c r="D12" t="s">
        <v>55</v>
      </c>
      <c r="E12">
        <f>VLOOKUP(D12,PLAN!A:B,2,FALSE)</f>
        <v>1</v>
      </c>
      <c r="F12">
        <f>VLOOKUP(C12&amp;E12,CURSO!A:D,4,FALSE)</f>
        <v>1</v>
      </c>
      <c r="G12">
        <v>11</v>
      </c>
      <c r="H12">
        <v>11</v>
      </c>
      <c r="K12">
        <v>11</v>
      </c>
      <c r="L12" t="s">
        <v>10</v>
      </c>
      <c r="N12">
        <v>1</v>
      </c>
      <c r="O12" s="1" t="s">
        <v>596</v>
      </c>
      <c r="P12" s="1" t="s">
        <v>596</v>
      </c>
    </row>
    <row r="13" spans="1:16" x14ac:dyDescent="0.25">
      <c r="A13" t="str">
        <f t="shared" si="0"/>
        <v>CASTELLANO2</v>
      </c>
      <c r="B13" t="s">
        <v>536</v>
      </c>
      <c r="C13" t="s">
        <v>95</v>
      </c>
      <c r="D13" t="s">
        <v>55</v>
      </c>
      <c r="E13">
        <f>VLOOKUP(D13,PLAN!A:B,2,FALSE)</f>
        <v>1</v>
      </c>
      <c r="F13">
        <f>VLOOKUP(C13&amp;E13,CURSO!A:D,4,FALSE)</f>
        <v>2</v>
      </c>
      <c r="G13">
        <v>12</v>
      </c>
      <c r="H13">
        <v>1</v>
      </c>
      <c r="K13">
        <v>12</v>
      </c>
      <c r="L13" t="s">
        <v>536</v>
      </c>
      <c r="N13">
        <v>2</v>
      </c>
      <c r="O13" s="1" t="s">
        <v>596</v>
      </c>
      <c r="P13" s="1" t="s">
        <v>596</v>
      </c>
    </row>
    <row r="14" spans="1:16" x14ac:dyDescent="0.25">
      <c r="A14" t="str">
        <f t="shared" si="0"/>
        <v>INGLÉS2</v>
      </c>
      <c r="B14" t="s">
        <v>500</v>
      </c>
      <c r="C14" t="s">
        <v>95</v>
      </c>
      <c r="D14" t="s">
        <v>55</v>
      </c>
      <c r="E14">
        <f>VLOOKUP(D14,PLAN!A:B,2,FALSE)</f>
        <v>1</v>
      </c>
      <c r="F14">
        <f>VLOOKUP(C14&amp;E14,CURSO!A:D,4,FALSE)</f>
        <v>2</v>
      </c>
      <c r="G14">
        <v>13</v>
      </c>
      <c r="H14">
        <v>2</v>
      </c>
      <c r="K14">
        <v>13</v>
      </c>
      <c r="L14" t="s">
        <v>500</v>
      </c>
      <c r="N14">
        <v>2</v>
      </c>
      <c r="O14" s="1" t="s">
        <v>596</v>
      </c>
      <c r="P14" s="1" t="s">
        <v>596</v>
      </c>
    </row>
    <row r="15" spans="1:16" x14ac:dyDescent="0.25">
      <c r="A15" t="str">
        <f t="shared" si="0"/>
        <v>MATEMÁTICA2</v>
      </c>
      <c r="B15" t="s">
        <v>12</v>
      </c>
      <c r="C15" t="s">
        <v>95</v>
      </c>
      <c r="D15" t="s">
        <v>55</v>
      </c>
      <c r="E15">
        <f>VLOOKUP(D15,PLAN!A:B,2,FALSE)</f>
        <v>1</v>
      </c>
      <c r="F15">
        <f>VLOOKUP(C15&amp;E15,CURSO!A:D,4,FALSE)</f>
        <v>2</v>
      </c>
      <c r="G15">
        <v>14</v>
      </c>
      <c r="H15">
        <v>3</v>
      </c>
      <c r="K15">
        <v>14</v>
      </c>
      <c r="L15" t="s">
        <v>12</v>
      </c>
      <c r="N15">
        <v>2</v>
      </c>
      <c r="O15" s="1" t="s">
        <v>596</v>
      </c>
      <c r="P15" s="1" t="s">
        <v>596</v>
      </c>
    </row>
    <row r="16" spans="1:16" x14ac:dyDescent="0.25">
      <c r="A16" t="str">
        <f t="shared" si="0"/>
        <v>ZOOLOGÍA2</v>
      </c>
      <c r="B16" t="s">
        <v>584</v>
      </c>
      <c r="C16" t="s">
        <v>95</v>
      </c>
      <c r="D16" t="s">
        <v>55</v>
      </c>
      <c r="E16">
        <f>VLOOKUP(D16,PLAN!A:B,2,FALSE)</f>
        <v>1</v>
      </c>
      <c r="F16">
        <f>VLOOKUP(C16&amp;E16,CURSO!A:D,4,FALSE)</f>
        <v>2</v>
      </c>
      <c r="G16">
        <v>15</v>
      </c>
      <c r="H16">
        <v>4</v>
      </c>
      <c r="K16">
        <v>15</v>
      </c>
      <c r="L16" t="s">
        <v>584</v>
      </c>
      <c r="N16">
        <v>2</v>
      </c>
      <c r="O16" s="1" t="s">
        <v>596</v>
      </c>
      <c r="P16" s="1" t="s">
        <v>596</v>
      </c>
    </row>
    <row r="17" spans="1:16" x14ac:dyDescent="0.25">
      <c r="A17" t="str">
        <f t="shared" si="0"/>
        <v>HISTORIA2</v>
      </c>
      <c r="B17" t="s">
        <v>27</v>
      </c>
      <c r="C17" t="s">
        <v>95</v>
      </c>
      <c r="D17" t="s">
        <v>55</v>
      </c>
      <c r="E17">
        <f>VLOOKUP(D17,PLAN!A:B,2,FALSE)</f>
        <v>1</v>
      </c>
      <c r="F17">
        <f>VLOOKUP(C17&amp;E17,CURSO!A:D,4,FALSE)</f>
        <v>2</v>
      </c>
      <c r="G17">
        <v>16</v>
      </c>
      <c r="H17">
        <v>5</v>
      </c>
      <c r="K17">
        <v>16</v>
      </c>
      <c r="L17" t="s">
        <v>27</v>
      </c>
      <c r="N17">
        <v>2</v>
      </c>
      <c r="O17" s="1" t="s">
        <v>596</v>
      </c>
      <c r="P17" s="1" t="s">
        <v>596</v>
      </c>
    </row>
    <row r="18" spans="1:16" x14ac:dyDescent="0.25">
      <c r="A18" t="str">
        <f t="shared" si="0"/>
        <v>GEOGRAFÍA2</v>
      </c>
      <c r="B18" t="s">
        <v>26</v>
      </c>
      <c r="C18" t="s">
        <v>95</v>
      </c>
      <c r="D18" t="s">
        <v>55</v>
      </c>
      <c r="E18">
        <f>VLOOKUP(D18,PLAN!A:B,2,FALSE)</f>
        <v>1</v>
      </c>
      <c r="F18">
        <f>VLOOKUP(C18&amp;E18,CURSO!A:D,4,FALSE)</f>
        <v>2</v>
      </c>
      <c r="G18">
        <v>17</v>
      </c>
      <c r="H18">
        <v>6</v>
      </c>
      <c r="K18">
        <v>17</v>
      </c>
      <c r="L18" t="s">
        <v>26</v>
      </c>
      <c r="N18">
        <v>2</v>
      </c>
      <c r="O18" s="1" t="s">
        <v>596</v>
      </c>
      <c r="P18" s="1" t="s">
        <v>596</v>
      </c>
    </row>
    <row r="19" spans="1:16" x14ac:dyDescent="0.25">
      <c r="A19" t="str">
        <f t="shared" si="0"/>
        <v>CONTABLIDAD2</v>
      </c>
      <c r="B19" t="s">
        <v>542</v>
      </c>
      <c r="C19" t="s">
        <v>95</v>
      </c>
      <c r="D19" t="s">
        <v>55</v>
      </c>
      <c r="E19">
        <f>VLOOKUP(D19,PLAN!A:B,2,FALSE)</f>
        <v>1</v>
      </c>
      <c r="F19">
        <f>VLOOKUP(C19&amp;E19,CURSO!A:D,4,FALSE)</f>
        <v>2</v>
      </c>
      <c r="G19">
        <v>18</v>
      </c>
      <c r="H19">
        <v>7</v>
      </c>
      <c r="K19">
        <v>18</v>
      </c>
      <c r="L19" t="s">
        <v>542</v>
      </c>
      <c r="N19">
        <v>2</v>
      </c>
      <c r="O19" s="1" t="s">
        <v>596</v>
      </c>
      <c r="P19" s="1" t="s">
        <v>596</v>
      </c>
    </row>
    <row r="20" spans="1:16" x14ac:dyDescent="0.25">
      <c r="A20" t="str">
        <f t="shared" si="0"/>
        <v>E.R.S.A.2</v>
      </c>
      <c r="B20" t="s">
        <v>582</v>
      </c>
      <c r="C20" t="s">
        <v>95</v>
      </c>
      <c r="D20" t="s">
        <v>55</v>
      </c>
      <c r="E20">
        <f>VLOOKUP(D20,PLAN!A:B,2,FALSE)</f>
        <v>1</v>
      </c>
      <c r="F20">
        <f>VLOOKUP(C20&amp;E20,CURSO!A:D,4,FALSE)</f>
        <v>2</v>
      </c>
      <c r="G20">
        <v>19</v>
      </c>
      <c r="H20">
        <v>8</v>
      </c>
      <c r="K20">
        <v>19</v>
      </c>
      <c r="L20" t="s">
        <v>582</v>
      </c>
      <c r="N20">
        <v>2</v>
      </c>
      <c r="O20" s="1" t="s">
        <v>596</v>
      </c>
      <c r="P20" s="1" t="s">
        <v>596</v>
      </c>
    </row>
    <row r="21" spans="1:16" x14ac:dyDescent="0.25">
      <c r="A21" t="str">
        <f t="shared" si="0"/>
        <v>MÚSICA2</v>
      </c>
      <c r="B21" t="s">
        <v>554</v>
      </c>
      <c r="C21" t="s">
        <v>95</v>
      </c>
      <c r="D21" t="s">
        <v>55</v>
      </c>
      <c r="E21">
        <f>VLOOKUP(D21,PLAN!A:B,2,FALSE)</f>
        <v>1</v>
      </c>
      <c r="F21">
        <f>VLOOKUP(C21&amp;E21,CURSO!A:D,4,FALSE)</f>
        <v>2</v>
      </c>
      <c r="G21">
        <v>20</v>
      </c>
      <c r="H21">
        <v>9</v>
      </c>
      <c r="K21">
        <v>20</v>
      </c>
      <c r="L21" t="s">
        <v>554</v>
      </c>
      <c r="N21">
        <v>2</v>
      </c>
      <c r="O21" s="1" t="s">
        <v>596</v>
      </c>
      <c r="P21" s="1" t="s">
        <v>596</v>
      </c>
    </row>
    <row r="22" spans="1:16" x14ac:dyDescent="0.25">
      <c r="A22" t="str">
        <f t="shared" si="0"/>
        <v>CALIGRAFÍA2</v>
      </c>
      <c r="B22" t="s">
        <v>540</v>
      </c>
      <c r="C22" t="s">
        <v>95</v>
      </c>
      <c r="D22" t="s">
        <v>55</v>
      </c>
      <c r="E22">
        <f>VLOOKUP(D22,PLAN!A:B,2,FALSE)</f>
        <v>1</v>
      </c>
      <c r="F22">
        <f>VLOOKUP(C22&amp;E22,CURSO!A:D,4,FALSE)</f>
        <v>2</v>
      </c>
      <c r="G22">
        <v>21</v>
      </c>
      <c r="H22">
        <v>10</v>
      </c>
      <c r="K22">
        <v>21</v>
      </c>
      <c r="L22" t="s">
        <v>540</v>
      </c>
      <c r="N22">
        <v>2</v>
      </c>
      <c r="O22" s="1" t="s">
        <v>596</v>
      </c>
      <c r="P22" s="1" t="s">
        <v>596</v>
      </c>
    </row>
    <row r="23" spans="1:16" x14ac:dyDescent="0.25">
      <c r="A23" t="str">
        <f t="shared" si="0"/>
        <v>EDUCACIÓN FÍSICA2</v>
      </c>
      <c r="B23" t="s">
        <v>10</v>
      </c>
      <c r="C23" t="s">
        <v>95</v>
      </c>
      <c r="D23" t="s">
        <v>55</v>
      </c>
      <c r="E23">
        <f>VLOOKUP(D23,PLAN!A:B,2,FALSE)</f>
        <v>1</v>
      </c>
      <c r="F23">
        <f>VLOOKUP(C23&amp;E23,CURSO!A:D,4,FALSE)</f>
        <v>2</v>
      </c>
      <c r="G23">
        <v>22</v>
      </c>
      <c r="H23">
        <v>11</v>
      </c>
      <c r="K23">
        <v>22</v>
      </c>
      <c r="L23" t="s">
        <v>10</v>
      </c>
      <c r="N23">
        <v>2</v>
      </c>
      <c r="O23" s="1" t="s">
        <v>596</v>
      </c>
      <c r="P23" s="1" t="s">
        <v>596</v>
      </c>
    </row>
    <row r="24" spans="1:16" x14ac:dyDescent="0.25">
      <c r="A24" t="str">
        <f t="shared" si="0"/>
        <v>CASTELLANO3</v>
      </c>
      <c r="B24" t="s">
        <v>536</v>
      </c>
      <c r="C24" t="s">
        <v>143</v>
      </c>
      <c r="D24" t="s">
        <v>55</v>
      </c>
      <c r="E24">
        <f>VLOOKUP(D24,PLAN!A:B,2,FALSE)</f>
        <v>1</v>
      </c>
      <c r="F24">
        <f>VLOOKUP(C24&amp;E24,CURSO!A:D,4,FALSE)</f>
        <v>3</v>
      </c>
      <c r="G24">
        <v>23</v>
      </c>
      <c r="H24">
        <v>1</v>
      </c>
      <c r="K24">
        <v>23</v>
      </c>
      <c r="L24" t="s">
        <v>536</v>
      </c>
      <c r="N24">
        <v>3</v>
      </c>
      <c r="O24" s="1" t="s">
        <v>596</v>
      </c>
      <c r="P24" s="1" t="s">
        <v>596</v>
      </c>
    </row>
    <row r="25" spans="1:16" x14ac:dyDescent="0.25">
      <c r="A25" t="str">
        <f t="shared" si="0"/>
        <v>INGLÉS3</v>
      </c>
      <c r="B25" t="s">
        <v>500</v>
      </c>
      <c r="C25" t="s">
        <v>143</v>
      </c>
      <c r="D25" t="s">
        <v>55</v>
      </c>
      <c r="E25">
        <f>VLOOKUP(D25,PLAN!A:B,2,FALSE)</f>
        <v>1</v>
      </c>
      <c r="F25">
        <f>VLOOKUP(C25&amp;E25,CURSO!A:D,4,FALSE)</f>
        <v>3</v>
      </c>
      <c r="G25">
        <v>24</v>
      </c>
      <c r="H25">
        <v>2</v>
      </c>
      <c r="K25">
        <v>24</v>
      </c>
      <c r="L25" t="s">
        <v>500</v>
      </c>
      <c r="N25">
        <v>3</v>
      </c>
      <c r="O25" s="1" t="s">
        <v>596</v>
      </c>
      <c r="P25" s="1" t="s">
        <v>596</v>
      </c>
    </row>
    <row r="26" spans="1:16" x14ac:dyDescent="0.25">
      <c r="A26" t="str">
        <f t="shared" si="0"/>
        <v>MATEMÁTICA3</v>
      </c>
      <c r="B26" t="s">
        <v>12</v>
      </c>
      <c r="C26" t="s">
        <v>143</v>
      </c>
      <c r="D26" t="s">
        <v>55</v>
      </c>
      <c r="E26">
        <f>VLOOKUP(D26,PLAN!A:B,2,FALSE)</f>
        <v>1</v>
      </c>
      <c r="F26">
        <f>VLOOKUP(C26&amp;E26,CURSO!A:D,4,FALSE)</f>
        <v>3</v>
      </c>
      <c r="G26">
        <v>25</v>
      </c>
      <c r="H26">
        <v>3</v>
      </c>
      <c r="K26">
        <v>25</v>
      </c>
      <c r="L26" t="s">
        <v>12</v>
      </c>
      <c r="N26">
        <v>3</v>
      </c>
      <c r="O26" s="1" t="s">
        <v>596</v>
      </c>
      <c r="P26" s="1" t="s">
        <v>596</v>
      </c>
    </row>
    <row r="27" spans="1:16" x14ac:dyDescent="0.25">
      <c r="A27" t="str">
        <f t="shared" si="0"/>
        <v>ANATOMÍA3</v>
      </c>
      <c r="B27" t="s">
        <v>585</v>
      </c>
      <c r="C27" t="s">
        <v>143</v>
      </c>
      <c r="D27" t="s">
        <v>55</v>
      </c>
      <c r="E27">
        <f>VLOOKUP(D27,PLAN!A:B,2,FALSE)</f>
        <v>1</v>
      </c>
      <c r="F27">
        <f>VLOOKUP(C27&amp;E27,CURSO!A:D,4,FALSE)</f>
        <v>3</v>
      </c>
      <c r="G27">
        <v>26</v>
      </c>
      <c r="H27">
        <v>4</v>
      </c>
      <c r="K27">
        <v>26</v>
      </c>
      <c r="L27" t="s">
        <v>585</v>
      </c>
      <c r="N27">
        <v>3</v>
      </c>
      <c r="O27" s="1" t="s">
        <v>596</v>
      </c>
      <c r="P27" s="1" t="s">
        <v>596</v>
      </c>
    </row>
    <row r="28" spans="1:16" x14ac:dyDescent="0.25">
      <c r="A28" t="str">
        <f t="shared" si="0"/>
        <v>HISTORIA3</v>
      </c>
      <c r="B28" t="s">
        <v>27</v>
      </c>
      <c r="C28" t="s">
        <v>143</v>
      </c>
      <c r="D28" t="s">
        <v>55</v>
      </c>
      <c r="E28">
        <f>VLOOKUP(D28,PLAN!A:B,2,FALSE)</f>
        <v>1</v>
      </c>
      <c r="F28">
        <f>VLOOKUP(C28&amp;E28,CURSO!A:D,4,FALSE)</f>
        <v>3</v>
      </c>
      <c r="G28">
        <v>27</v>
      </c>
      <c r="H28">
        <v>5</v>
      </c>
      <c r="K28">
        <v>27</v>
      </c>
      <c r="L28" t="s">
        <v>27</v>
      </c>
      <c r="N28">
        <v>3</v>
      </c>
      <c r="O28" s="1" t="s">
        <v>596</v>
      </c>
      <c r="P28" s="1" t="s">
        <v>596</v>
      </c>
    </row>
    <row r="29" spans="1:16" x14ac:dyDescent="0.25">
      <c r="A29" t="str">
        <f t="shared" si="0"/>
        <v>GEOGRAFÍA3</v>
      </c>
      <c r="B29" t="s">
        <v>26</v>
      </c>
      <c r="C29" t="s">
        <v>143</v>
      </c>
      <c r="D29" t="s">
        <v>55</v>
      </c>
      <c r="E29">
        <f>VLOOKUP(D29,PLAN!A:B,2,FALSE)</f>
        <v>1</v>
      </c>
      <c r="F29">
        <f>VLOOKUP(C29&amp;E29,CURSO!A:D,4,FALSE)</f>
        <v>3</v>
      </c>
      <c r="G29">
        <v>28</v>
      </c>
      <c r="H29">
        <v>6</v>
      </c>
      <c r="K29">
        <v>28</v>
      </c>
      <c r="L29" t="s">
        <v>26</v>
      </c>
      <c r="N29">
        <v>3</v>
      </c>
      <c r="O29" s="1" t="s">
        <v>596</v>
      </c>
      <c r="P29" s="1" t="s">
        <v>596</v>
      </c>
    </row>
    <row r="30" spans="1:16" x14ac:dyDescent="0.25">
      <c r="A30" t="str">
        <f t="shared" si="0"/>
        <v>ELEMENTOS DE FÍSICA Y QUÍMICA3</v>
      </c>
      <c r="B30" t="s">
        <v>586</v>
      </c>
      <c r="C30" t="s">
        <v>143</v>
      </c>
      <c r="D30" t="s">
        <v>55</v>
      </c>
      <c r="E30">
        <f>VLOOKUP(D30,PLAN!A:B,2,FALSE)</f>
        <v>1</v>
      </c>
      <c r="F30">
        <f>VLOOKUP(C30&amp;E30,CURSO!A:D,4,FALSE)</f>
        <v>3</v>
      </c>
      <c r="G30">
        <v>29</v>
      </c>
      <c r="H30">
        <v>7</v>
      </c>
      <c r="K30">
        <v>29</v>
      </c>
      <c r="L30" t="s">
        <v>586</v>
      </c>
      <c r="N30">
        <v>3</v>
      </c>
      <c r="O30" s="1" t="s">
        <v>596</v>
      </c>
      <c r="P30" s="1" t="s">
        <v>596</v>
      </c>
    </row>
    <row r="31" spans="1:16" x14ac:dyDescent="0.25">
      <c r="A31" t="str">
        <f t="shared" si="0"/>
        <v>CONTABLIDAD3</v>
      </c>
      <c r="B31" t="s">
        <v>542</v>
      </c>
      <c r="C31" t="s">
        <v>143</v>
      </c>
      <c r="D31" t="s">
        <v>55</v>
      </c>
      <c r="E31">
        <f>VLOOKUP(D31,PLAN!A:B,2,FALSE)</f>
        <v>1</v>
      </c>
      <c r="F31">
        <f>VLOOKUP(C31&amp;E31,CURSO!A:D,4,FALSE)</f>
        <v>3</v>
      </c>
      <c r="G31">
        <v>30</v>
      </c>
      <c r="H31">
        <v>8</v>
      </c>
      <c r="K31">
        <v>30</v>
      </c>
      <c r="L31" t="s">
        <v>542</v>
      </c>
      <c r="N31">
        <v>3</v>
      </c>
      <c r="O31" s="1" t="s">
        <v>596</v>
      </c>
      <c r="P31" s="1" t="s">
        <v>596</v>
      </c>
    </row>
    <row r="32" spans="1:16" x14ac:dyDescent="0.25">
      <c r="A32" t="str">
        <f t="shared" si="0"/>
        <v>INSTRUCCIÓN CÍVICA3</v>
      </c>
      <c r="B32" t="s">
        <v>587</v>
      </c>
      <c r="C32" t="s">
        <v>143</v>
      </c>
      <c r="D32" t="s">
        <v>55</v>
      </c>
      <c r="E32">
        <f>VLOOKUP(D32,PLAN!A:B,2,FALSE)</f>
        <v>1</v>
      </c>
      <c r="F32">
        <f>VLOOKUP(C32&amp;E32,CURSO!A:D,4,FALSE)</f>
        <v>3</v>
      </c>
      <c r="G32">
        <v>31</v>
      </c>
      <c r="H32">
        <v>9</v>
      </c>
      <c r="K32">
        <v>31</v>
      </c>
      <c r="L32" t="s">
        <v>587</v>
      </c>
      <c r="N32">
        <v>3</v>
      </c>
      <c r="O32" s="1" t="s">
        <v>596</v>
      </c>
      <c r="P32" s="1" t="s">
        <v>596</v>
      </c>
    </row>
    <row r="33" spans="1:16" x14ac:dyDescent="0.25">
      <c r="A33" t="str">
        <f t="shared" si="0"/>
        <v>MECANOGRAFÍA3</v>
      </c>
      <c r="B33" t="s">
        <v>543</v>
      </c>
      <c r="C33" t="s">
        <v>143</v>
      </c>
      <c r="D33" t="s">
        <v>55</v>
      </c>
      <c r="E33">
        <f>VLOOKUP(D33,PLAN!A:B,2,FALSE)</f>
        <v>1</v>
      </c>
      <c r="F33">
        <f>VLOOKUP(C33&amp;E33,CURSO!A:D,4,FALSE)</f>
        <v>3</v>
      </c>
      <c r="G33">
        <v>32</v>
      </c>
      <c r="H33">
        <v>10</v>
      </c>
      <c r="K33">
        <v>32</v>
      </c>
      <c r="L33" t="s">
        <v>543</v>
      </c>
      <c r="N33">
        <v>3</v>
      </c>
      <c r="O33" s="1" t="s">
        <v>596</v>
      </c>
      <c r="P33" s="1" t="s">
        <v>596</v>
      </c>
    </row>
    <row r="34" spans="1:16" x14ac:dyDescent="0.25">
      <c r="A34" t="str">
        <f t="shared" si="0"/>
        <v>GABINETE DE CONTABILIDAD3</v>
      </c>
      <c r="B34" t="s">
        <v>588</v>
      </c>
      <c r="C34" t="s">
        <v>143</v>
      </c>
      <c r="D34" t="s">
        <v>55</v>
      </c>
      <c r="E34">
        <f>VLOOKUP(D34,PLAN!A:B,2,FALSE)</f>
        <v>1</v>
      </c>
      <c r="F34">
        <f>VLOOKUP(C34&amp;E34,CURSO!A:D,4,FALSE)</f>
        <v>3</v>
      </c>
      <c r="G34">
        <v>33</v>
      </c>
      <c r="H34">
        <v>11</v>
      </c>
      <c r="K34">
        <v>33</v>
      </c>
      <c r="L34" t="s">
        <v>588</v>
      </c>
      <c r="N34">
        <v>3</v>
      </c>
      <c r="O34" s="1" t="s">
        <v>596</v>
      </c>
      <c r="P34" s="1" t="s">
        <v>596</v>
      </c>
    </row>
    <row r="35" spans="1:16" x14ac:dyDescent="0.25">
      <c r="A35" t="str">
        <f t="shared" si="0"/>
        <v>EDUCACIÓN FÍSICA3</v>
      </c>
      <c r="B35" t="s">
        <v>10</v>
      </c>
      <c r="C35" t="s">
        <v>143</v>
      </c>
      <c r="D35" t="s">
        <v>55</v>
      </c>
      <c r="E35">
        <f>VLOOKUP(D35,PLAN!A:B,2,FALSE)</f>
        <v>1</v>
      </c>
      <c r="F35">
        <f>VLOOKUP(C35&amp;E35,CURSO!A:D,4,FALSE)</f>
        <v>3</v>
      </c>
      <c r="G35">
        <v>34</v>
      </c>
      <c r="H35">
        <v>12</v>
      </c>
      <c r="K35">
        <v>34</v>
      </c>
      <c r="L35" t="s">
        <v>10</v>
      </c>
      <c r="N35">
        <v>3</v>
      </c>
      <c r="O35" s="1" t="s">
        <v>596</v>
      </c>
      <c r="P35" s="1" t="s">
        <v>596</v>
      </c>
    </row>
    <row r="36" spans="1:16" x14ac:dyDescent="0.25">
      <c r="A36" t="str">
        <f t="shared" si="0"/>
        <v>LITERATURA4</v>
      </c>
      <c r="B36" t="s">
        <v>547</v>
      </c>
      <c r="C36" t="s">
        <v>190</v>
      </c>
      <c r="D36" t="s">
        <v>55</v>
      </c>
      <c r="E36">
        <f>VLOOKUP(D36,PLAN!A:B,2,FALSE)</f>
        <v>1</v>
      </c>
      <c r="F36">
        <f>VLOOKUP(C36&amp;E36,CURSO!A:D,4,FALSE)</f>
        <v>4</v>
      </c>
      <c r="G36">
        <v>35</v>
      </c>
      <c r="H36">
        <v>1</v>
      </c>
      <c r="K36">
        <v>35</v>
      </c>
      <c r="L36" t="s">
        <v>547</v>
      </c>
      <c r="N36">
        <v>4</v>
      </c>
      <c r="O36" s="1" t="s">
        <v>596</v>
      </c>
      <c r="P36" s="1" t="s">
        <v>596</v>
      </c>
    </row>
    <row r="37" spans="1:16" x14ac:dyDescent="0.25">
      <c r="A37" t="str">
        <f t="shared" si="0"/>
        <v>INGLÉS4</v>
      </c>
      <c r="B37" t="s">
        <v>500</v>
      </c>
      <c r="C37" t="s">
        <v>190</v>
      </c>
      <c r="D37" t="s">
        <v>55</v>
      </c>
      <c r="E37">
        <f>VLOOKUP(D37,PLAN!A:B,2,FALSE)</f>
        <v>1</v>
      </c>
      <c r="F37">
        <f>VLOOKUP(C37&amp;E37,CURSO!A:D,4,FALSE)</f>
        <v>4</v>
      </c>
      <c r="G37">
        <v>36</v>
      </c>
      <c r="H37">
        <v>2</v>
      </c>
      <c r="K37">
        <v>36</v>
      </c>
      <c r="L37" t="s">
        <v>500</v>
      </c>
      <c r="N37">
        <v>4</v>
      </c>
      <c r="O37" s="1" t="s">
        <v>596</v>
      </c>
      <c r="P37" s="1" t="s">
        <v>596</v>
      </c>
    </row>
    <row r="38" spans="1:16" x14ac:dyDescent="0.25">
      <c r="A38" t="str">
        <f t="shared" si="0"/>
        <v>MATEMÁTICA4</v>
      </c>
      <c r="B38" t="s">
        <v>12</v>
      </c>
      <c r="C38" t="s">
        <v>190</v>
      </c>
      <c r="D38" t="s">
        <v>55</v>
      </c>
      <c r="E38">
        <f>VLOOKUP(D38,PLAN!A:B,2,FALSE)</f>
        <v>1</v>
      </c>
      <c r="F38">
        <f>VLOOKUP(C38&amp;E38,CURSO!A:D,4,FALSE)</f>
        <v>4</v>
      </c>
      <c r="G38">
        <v>37</v>
      </c>
      <c r="H38">
        <v>3</v>
      </c>
      <c r="K38">
        <v>37</v>
      </c>
      <c r="L38" t="s">
        <v>12</v>
      </c>
      <c r="N38">
        <v>4</v>
      </c>
      <c r="O38" s="1" t="s">
        <v>596</v>
      </c>
      <c r="P38" s="1" t="s">
        <v>596</v>
      </c>
    </row>
    <row r="39" spans="1:16" x14ac:dyDescent="0.25">
      <c r="A39" t="str">
        <f t="shared" si="0"/>
        <v>HIGIENE4</v>
      </c>
      <c r="B39" t="s">
        <v>589</v>
      </c>
      <c r="C39" t="s">
        <v>190</v>
      </c>
      <c r="D39" t="s">
        <v>55</v>
      </c>
      <c r="E39">
        <f>VLOOKUP(D39,PLAN!A:B,2,FALSE)</f>
        <v>1</v>
      </c>
      <c r="F39">
        <f>VLOOKUP(C39&amp;E39,CURSO!A:D,4,FALSE)</f>
        <v>4</v>
      </c>
      <c r="G39">
        <v>38</v>
      </c>
      <c r="H39">
        <v>4</v>
      </c>
      <c r="K39">
        <v>38</v>
      </c>
      <c r="L39" t="s">
        <v>589</v>
      </c>
      <c r="N39">
        <v>4</v>
      </c>
      <c r="O39" s="1" t="s">
        <v>596</v>
      </c>
      <c r="P39" s="1" t="s">
        <v>596</v>
      </c>
    </row>
    <row r="40" spans="1:16" x14ac:dyDescent="0.25">
      <c r="A40" t="str">
        <f t="shared" si="0"/>
        <v>GEOGRAFÍA4</v>
      </c>
      <c r="B40" t="s">
        <v>26</v>
      </c>
      <c r="C40" t="s">
        <v>190</v>
      </c>
      <c r="D40" t="s">
        <v>55</v>
      </c>
      <c r="E40">
        <f>VLOOKUP(D40,PLAN!A:B,2,FALSE)</f>
        <v>1</v>
      </c>
      <c r="F40">
        <f>VLOOKUP(C40&amp;E40,CURSO!A:D,4,FALSE)</f>
        <v>4</v>
      </c>
      <c r="G40">
        <v>39</v>
      </c>
      <c r="H40">
        <v>5</v>
      </c>
      <c r="K40">
        <v>39</v>
      </c>
      <c r="L40" t="s">
        <v>26</v>
      </c>
      <c r="N40">
        <v>4</v>
      </c>
      <c r="O40" s="1" t="s">
        <v>596</v>
      </c>
      <c r="P40" s="1" t="s">
        <v>596</v>
      </c>
    </row>
    <row r="41" spans="1:16" x14ac:dyDescent="0.25">
      <c r="A41" t="str">
        <f t="shared" si="0"/>
        <v>FÍSICA4</v>
      </c>
      <c r="B41" t="s">
        <v>24</v>
      </c>
      <c r="C41" t="s">
        <v>190</v>
      </c>
      <c r="D41" t="s">
        <v>55</v>
      </c>
      <c r="E41">
        <f>VLOOKUP(D41,PLAN!A:B,2,FALSE)</f>
        <v>1</v>
      </c>
      <c r="F41">
        <f>VLOOKUP(C41&amp;E41,CURSO!A:D,4,FALSE)</f>
        <v>4</v>
      </c>
      <c r="G41">
        <v>40</v>
      </c>
      <c r="H41">
        <v>6</v>
      </c>
      <c r="K41">
        <v>40</v>
      </c>
      <c r="L41" t="s">
        <v>24</v>
      </c>
      <c r="N41">
        <v>4</v>
      </c>
      <c r="O41" s="1" t="s">
        <v>596</v>
      </c>
      <c r="P41" s="1" t="s">
        <v>596</v>
      </c>
    </row>
    <row r="42" spans="1:16" x14ac:dyDescent="0.25">
      <c r="A42" t="str">
        <f t="shared" si="0"/>
        <v>MERCEOLOGÍA4</v>
      </c>
      <c r="B42" t="s">
        <v>590</v>
      </c>
      <c r="C42" t="s">
        <v>190</v>
      </c>
      <c r="D42" t="s">
        <v>55</v>
      </c>
      <c r="E42">
        <f>VLOOKUP(D42,PLAN!A:B,2,FALSE)</f>
        <v>1</v>
      </c>
      <c r="F42">
        <f>VLOOKUP(C42&amp;E42,CURSO!A:D,4,FALSE)</f>
        <v>4</v>
      </c>
      <c r="G42">
        <v>41</v>
      </c>
      <c r="H42">
        <v>7</v>
      </c>
      <c r="K42">
        <v>41</v>
      </c>
      <c r="L42" t="s">
        <v>590</v>
      </c>
      <c r="N42">
        <v>4</v>
      </c>
      <c r="O42" s="1" t="s">
        <v>596</v>
      </c>
      <c r="P42" s="1" t="s">
        <v>596</v>
      </c>
    </row>
    <row r="43" spans="1:16" x14ac:dyDescent="0.25">
      <c r="A43" t="str">
        <f t="shared" si="0"/>
        <v>CONTABLIDAD4</v>
      </c>
      <c r="B43" t="s">
        <v>542</v>
      </c>
      <c r="C43" t="s">
        <v>190</v>
      </c>
      <c r="D43" t="s">
        <v>55</v>
      </c>
      <c r="E43">
        <f>VLOOKUP(D43,PLAN!A:B,2,FALSE)</f>
        <v>1</v>
      </c>
      <c r="F43">
        <f>VLOOKUP(C43&amp;E43,CURSO!A:D,4,FALSE)</f>
        <v>4</v>
      </c>
      <c r="G43">
        <v>42</v>
      </c>
      <c r="H43">
        <v>8</v>
      </c>
      <c r="K43">
        <v>42</v>
      </c>
      <c r="L43" t="s">
        <v>542</v>
      </c>
      <c r="N43">
        <v>4</v>
      </c>
      <c r="O43" s="1" t="s">
        <v>596</v>
      </c>
      <c r="P43" s="1" t="s">
        <v>596</v>
      </c>
    </row>
    <row r="44" spans="1:16" x14ac:dyDescent="0.25">
      <c r="A44" t="str">
        <f t="shared" si="0"/>
        <v>DERECHO USUAL4</v>
      </c>
      <c r="B44" t="s">
        <v>591</v>
      </c>
      <c r="C44" t="s">
        <v>190</v>
      </c>
      <c r="D44" t="s">
        <v>55</v>
      </c>
      <c r="E44">
        <f>VLOOKUP(D44,PLAN!A:B,2,FALSE)</f>
        <v>1</v>
      </c>
      <c r="F44">
        <f>VLOOKUP(C44&amp;E44,CURSO!A:D,4,FALSE)</f>
        <v>4</v>
      </c>
      <c r="G44">
        <v>43</v>
      </c>
      <c r="H44">
        <v>9</v>
      </c>
      <c r="K44">
        <v>43</v>
      </c>
      <c r="L44" t="s">
        <v>591</v>
      </c>
      <c r="N44">
        <v>4</v>
      </c>
      <c r="O44" s="1" t="s">
        <v>596</v>
      </c>
      <c r="P44" s="1" t="s">
        <v>596</v>
      </c>
    </row>
    <row r="45" spans="1:16" x14ac:dyDescent="0.25">
      <c r="A45" t="str">
        <f t="shared" si="0"/>
        <v>MECANOGRAFÍA4</v>
      </c>
      <c r="B45" t="s">
        <v>543</v>
      </c>
      <c r="C45" t="s">
        <v>190</v>
      </c>
      <c r="D45" t="s">
        <v>55</v>
      </c>
      <c r="E45">
        <f>VLOOKUP(D45,PLAN!A:B,2,FALSE)</f>
        <v>1</v>
      </c>
      <c r="F45">
        <f>VLOOKUP(C45&amp;E45,CURSO!A:D,4,FALSE)</f>
        <v>4</v>
      </c>
      <c r="G45">
        <v>44</v>
      </c>
      <c r="H45">
        <v>10</v>
      </c>
      <c r="K45">
        <v>44</v>
      </c>
      <c r="L45" t="s">
        <v>543</v>
      </c>
      <c r="N45">
        <v>4</v>
      </c>
      <c r="O45" s="1" t="s">
        <v>596</v>
      </c>
      <c r="P45" s="1" t="s">
        <v>596</v>
      </c>
    </row>
    <row r="46" spans="1:16" x14ac:dyDescent="0.25">
      <c r="A46" t="str">
        <f t="shared" si="0"/>
        <v>ESTENOGRAFÍA4</v>
      </c>
      <c r="B46" t="s">
        <v>592</v>
      </c>
      <c r="C46" t="s">
        <v>190</v>
      </c>
      <c r="D46" t="s">
        <v>55</v>
      </c>
      <c r="E46">
        <f>VLOOKUP(D46,PLAN!A:B,2,FALSE)</f>
        <v>1</v>
      </c>
      <c r="F46">
        <f>VLOOKUP(C46&amp;E46,CURSO!A:D,4,FALSE)</f>
        <v>4</v>
      </c>
      <c r="G46">
        <v>45</v>
      </c>
      <c r="H46">
        <v>11</v>
      </c>
      <c r="K46">
        <v>45</v>
      </c>
      <c r="L46" t="s">
        <v>592</v>
      </c>
      <c r="N46">
        <v>4</v>
      </c>
      <c r="O46" s="1" t="s">
        <v>596</v>
      </c>
      <c r="P46" s="1" t="s">
        <v>596</v>
      </c>
    </row>
    <row r="47" spans="1:16" x14ac:dyDescent="0.25">
      <c r="A47" t="str">
        <f t="shared" si="0"/>
        <v>GABINETE DE CONTABILIDAD4</v>
      </c>
      <c r="B47" t="s">
        <v>588</v>
      </c>
      <c r="C47" t="s">
        <v>190</v>
      </c>
      <c r="D47" t="s">
        <v>55</v>
      </c>
      <c r="E47">
        <f>VLOOKUP(D47,PLAN!A:B,2,FALSE)</f>
        <v>1</v>
      </c>
      <c r="F47">
        <f>VLOOKUP(C47&amp;E47,CURSO!A:D,4,FALSE)</f>
        <v>4</v>
      </c>
      <c r="G47">
        <v>46</v>
      </c>
      <c r="H47">
        <v>12</v>
      </c>
      <c r="K47">
        <v>46</v>
      </c>
      <c r="L47" t="s">
        <v>588</v>
      </c>
      <c r="N47">
        <v>4</v>
      </c>
      <c r="O47" s="1" t="s">
        <v>596</v>
      </c>
      <c r="P47" s="1" t="s">
        <v>596</v>
      </c>
    </row>
    <row r="48" spans="1:16" x14ac:dyDescent="0.25">
      <c r="A48" t="str">
        <f t="shared" si="0"/>
        <v>EDUCACIÓN FÍSICA4</v>
      </c>
      <c r="B48" t="s">
        <v>10</v>
      </c>
      <c r="C48" t="s">
        <v>190</v>
      </c>
      <c r="D48" t="s">
        <v>55</v>
      </c>
      <c r="E48">
        <f>VLOOKUP(D48,PLAN!A:B,2,FALSE)</f>
        <v>1</v>
      </c>
      <c r="F48">
        <f>VLOOKUP(C48&amp;E48,CURSO!A:D,4,FALSE)</f>
        <v>4</v>
      </c>
      <c r="G48">
        <v>47</v>
      </c>
      <c r="H48">
        <v>13</v>
      </c>
      <c r="K48">
        <v>47</v>
      </c>
      <c r="L48" t="s">
        <v>10</v>
      </c>
      <c r="N48">
        <v>4</v>
      </c>
      <c r="O48" s="1" t="s">
        <v>596</v>
      </c>
      <c r="P48" s="1" t="s">
        <v>596</v>
      </c>
    </row>
    <row r="49" spans="1:16" x14ac:dyDescent="0.25">
      <c r="A49" t="str">
        <f t="shared" si="0"/>
        <v>INGLÉS5</v>
      </c>
      <c r="B49" t="s">
        <v>500</v>
      </c>
      <c r="C49" t="s">
        <v>220</v>
      </c>
      <c r="D49" t="s">
        <v>55</v>
      </c>
      <c r="E49">
        <f>VLOOKUP(D49,PLAN!A:B,2,FALSE)</f>
        <v>1</v>
      </c>
      <c r="F49">
        <f>VLOOKUP(C49&amp;E49,CURSO!A:D,4,FALSE)</f>
        <v>5</v>
      </c>
      <c r="G49">
        <v>48</v>
      </c>
      <c r="H49">
        <v>1</v>
      </c>
      <c r="K49">
        <v>48</v>
      </c>
      <c r="L49" t="s">
        <v>500</v>
      </c>
      <c r="N49">
        <v>5</v>
      </c>
      <c r="O49" s="1" t="s">
        <v>596</v>
      </c>
      <c r="P49" s="1" t="s">
        <v>596</v>
      </c>
    </row>
    <row r="50" spans="1:16" x14ac:dyDescent="0.25">
      <c r="A50" t="str">
        <f t="shared" si="0"/>
        <v>MATEMÁTICA FINANCIERA5</v>
      </c>
      <c r="B50" t="s">
        <v>549</v>
      </c>
      <c r="C50" t="s">
        <v>220</v>
      </c>
      <c r="D50" t="s">
        <v>55</v>
      </c>
      <c r="E50">
        <f>VLOOKUP(D50,PLAN!A:B,2,FALSE)</f>
        <v>1</v>
      </c>
      <c r="F50">
        <f>VLOOKUP(C50&amp;E50,CURSO!A:D,4,FALSE)</f>
        <v>5</v>
      </c>
      <c r="G50">
        <v>49</v>
      </c>
      <c r="H50">
        <v>2</v>
      </c>
      <c r="K50">
        <v>49</v>
      </c>
      <c r="L50" t="s">
        <v>549</v>
      </c>
      <c r="N50">
        <v>5</v>
      </c>
      <c r="O50" s="1" t="s">
        <v>596</v>
      </c>
      <c r="P50" s="1" t="s">
        <v>596</v>
      </c>
    </row>
    <row r="51" spans="1:16" x14ac:dyDescent="0.25">
      <c r="A51" t="str">
        <f t="shared" si="0"/>
        <v>MERCEOLOGÍA5</v>
      </c>
      <c r="B51" t="s">
        <v>590</v>
      </c>
      <c r="C51" t="s">
        <v>220</v>
      </c>
      <c r="D51" t="s">
        <v>55</v>
      </c>
      <c r="E51">
        <f>VLOOKUP(D51,PLAN!A:B,2,FALSE)</f>
        <v>1</v>
      </c>
      <c r="F51">
        <f>VLOOKUP(C51&amp;E51,CURSO!A:D,4,FALSE)</f>
        <v>5</v>
      </c>
      <c r="G51">
        <v>50</v>
      </c>
      <c r="H51">
        <v>3</v>
      </c>
      <c r="K51">
        <v>50</v>
      </c>
      <c r="L51" t="s">
        <v>590</v>
      </c>
      <c r="N51">
        <v>5</v>
      </c>
      <c r="O51" s="1" t="s">
        <v>596</v>
      </c>
      <c r="P51" s="1" t="s">
        <v>596</v>
      </c>
    </row>
    <row r="52" spans="1:16" x14ac:dyDescent="0.25">
      <c r="A52" t="str">
        <f t="shared" si="0"/>
        <v>GEOGRAFÍA ECONÓMICA5</v>
      </c>
      <c r="B52" t="s">
        <v>593</v>
      </c>
      <c r="C52" t="s">
        <v>220</v>
      </c>
      <c r="D52" t="s">
        <v>55</v>
      </c>
      <c r="E52">
        <f>VLOOKUP(D52,PLAN!A:B,2,FALSE)</f>
        <v>1</v>
      </c>
      <c r="F52">
        <f>VLOOKUP(C52&amp;E52,CURSO!A:D,4,FALSE)</f>
        <v>5</v>
      </c>
      <c r="G52">
        <v>51</v>
      </c>
      <c r="H52">
        <v>4</v>
      </c>
      <c r="K52">
        <v>51</v>
      </c>
      <c r="L52" t="s">
        <v>593</v>
      </c>
      <c r="N52">
        <v>5</v>
      </c>
      <c r="O52" s="1" t="s">
        <v>596</v>
      </c>
      <c r="P52" s="1" t="s">
        <v>596</v>
      </c>
    </row>
    <row r="53" spans="1:16" x14ac:dyDescent="0.25">
      <c r="A53" t="str">
        <f t="shared" si="0"/>
        <v>DERECHO COMERCIAL5</v>
      </c>
      <c r="B53" t="s">
        <v>551</v>
      </c>
      <c r="C53" t="s">
        <v>220</v>
      </c>
      <c r="D53" t="s">
        <v>55</v>
      </c>
      <c r="E53">
        <f>VLOOKUP(D53,PLAN!A:B,2,FALSE)</f>
        <v>1</v>
      </c>
      <c r="F53">
        <f>VLOOKUP(C53&amp;E53,CURSO!A:D,4,FALSE)</f>
        <v>5</v>
      </c>
      <c r="G53">
        <v>52</v>
      </c>
      <c r="H53">
        <v>5</v>
      </c>
      <c r="K53">
        <v>52</v>
      </c>
      <c r="L53" t="s">
        <v>551</v>
      </c>
      <c r="N53">
        <v>5</v>
      </c>
      <c r="O53" s="1" t="s">
        <v>596</v>
      </c>
      <c r="P53" s="1" t="s">
        <v>596</v>
      </c>
    </row>
    <row r="54" spans="1:16" x14ac:dyDescent="0.25">
      <c r="A54" t="str">
        <f t="shared" si="0"/>
        <v>ECONOMÍA POLÍTICA5</v>
      </c>
      <c r="B54" t="s">
        <v>552</v>
      </c>
      <c r="C54" t="s">
        <v>220</v>
      </c>
      <c r="D54" t="s">
        <v>55</v>
      </c>
      <c r="E54">
        <f>VLOOKUP(D54,PLAN!A:B,2,FALSE)</f>
        <v>1</v>
      </c>
      <c r="F54">
        <f>VLOOKUP(C54&amp;E54,CURSO!A:D,4,FALSE)</f>
        <v>5</v>
      </c>
      <c r="G54">
        <v>53</v>
      </c>
      <c r="H54">
        <v>6</v>
      </c>
      <c r="K54">
        <v>53</v>
      </c>
      <c r="L54" t="s">
        <v>552</v>
      </c>
      <c r="N54">
        <v>5</v>
      </c>
      <c r="O54" s="1" t="s">
        <v>596</v>
      </c>
      <c r="P54" s="1" t="s">
        <v>596</v>
      </c>
    </row>
    <row r="55" spans="1:16" x14ac:dyDescent="0.25">
      <c r="A55" t="str">
        <f t="shared" si="0"/>
        <v>ORGANIZACIÓN DEL COMERCIO Y DE LA EMPRESA5</v>
      </c>
      <c r="B55" t="s">
        <v>594</v>
      </c>
      <c r="C55" t="s">
        <v>220</v>
      </c>
      <c r="D55" t="s">
        <v>55</v>
      </c>
      <c r="E55">
        <f>VLOOKUP(D55,PLAN!A:B,2,FALSE)</f>
        <v>1</v>
      </c>
      <c r="F55">
        <f>VLOOKUP(C55&amp;E55,CURSO!A:D,4,FALSE)</f>
        <v>5</v>
      </c>
      <c r="G55">
        <v>54</v>
      </c>
      <c r="H55">
        <v>7</v>
      </c>
      <c r="K55">
        <v>54</v>
      </c>
      <c r="L55" t="s">
        <v>594</v>
      </c>
      <c r="N55">
        <v>5</v>
      </c>
      <c r="O55" s="1" t="s">
        <v>596</v>
      </c>
      <c r="P55" s="1" t="s">
        <v>596</v>
      </c>
    </row>
    <row r="56" spans="1:16" x14ac:dyDescent="0.25">
      <c r="A56" t="str">
        <f t="shared" si="0"/>
        <v>DERECHO ADMINISTRATIVO Y LEGISLACIÓN FISCAL5</v>
      </c>
      <c r="B56" t="s">
        <v>595</v>
      </c>
      <c r="C56" t="s">
        <v>220</v>
      </c>
      <c r="D56" t="s">
        <v>55</v>
      </c>
      <c r="E56">
        <f>VLOOKUP(D56,PLAN!A:B,2,FALSE)</f>
        <v>1</v>
      </c>
      <c r="F56">
        <f>VLOOKUP(C56&amp;E56,CURSO!A:D,4,FALSE)</f>
        <v>5</v>
      </c>
      <c r="G56">
        <v>55</v>
      </c>
      <c r="H56">
        <v>8</v>
      </c>
      <c r="K56">
        <v>55</v>
      </c>
      <c r="L56" t="s">
        <v>595</v>
      </c>
      <c r="N56">
        <v>5</v>
      </c>
      <c r="O56" s="1" t="s">
        <v>596</v>
      </c>
      <c r="P56" s="1" t="s">
        <v>596</v>
      </c>
    </row>
    <row r="57" spans="1:16" x14ac:dyDescent="0.25">
      <c r="A57" t="str">
        <f t="shared" si="0"/>
        <v>ESTENOGRAFÍA5</v>
      </c>
      <c r="B57" t="s">
        <v>592</v>
      </c>
      <c r="C57" t="s">
        <v>220</v>
      </c>
      <c r="D57" t="s">
        <v>55</v>
      </c>
      <c r="E57">
        <f>VLOOKUP(D57,PLAN!A:B,2,FALSE)</f>
        <v>1</v>
      </c>
      <c r="F57">
        <f>VLOOKUP(C57&amp;E57,CURSO!A:D,4,FALSE)</f>
        <v>5</v>
      </c>
      <c r="G57">
        <v>56</v>
      </c>
      <c r="H57">
        <v>9</v>
      </c>
      <c r="K57">
        <v>56</v>
      </c>
      <c r="L57" t="s">
        <v>592</v>
      </c>
      <c r="N57">
        <v>5</v>
      </c>
      <c r="O57" s="1" t="s">
        <v>596</v>
      </c>
      <c r="P57" s="1" t="s">
        <v>596</v>
      </c>
    </row>
    <row r="58" spans="1:16" x14ac:dyDescent="0.25">
      <c r="A58" t="str">
        <f t="shared" si="0"/>
        <v>MECANOGRAFÍA5</v>
      </c>
      <c r="B58" t="s">
        <v>543</v>
      </c>
      <c r="C58" t="s">
        <v>220</v>
      </c>
      <c r="D58" t="s">
        <v>55</v>
      </c>
      <c r="E58">
        <f>VLOOKUP(D58,PLAN!A:B,2,FALSE)</f>
        <v>1</v>
      </c>
      <c r="F58">
        <f>VLOOKUP(C58&amp;E58,CURSO!A:D,4,FALSE)</f>
        <v>5</v>
      </c>
      <c r="G58">
        <v>57</v>
      </c>
      <c r="H58">
        <v>10</v>
      </c>
      <c r="K58">
        <v>57</v>
      </c>
      <c r="L58" t="s">
        <v>543</v>
      </c>
      <c r="N58">
        <v>5</v>
      </c>
      <c r="O58" s="1" t="s">
        <v>596</v>
      </c>
      <c r="P58" s="1" t="s">
        <v>596</v>
      </c>
    </row>
    <row r="59" spans="1:16" x14ac:dyDescent="0.25">
      <c r="A59" t="str">
        <f t="shared" si="0"/>
        <v>CONTABLIDAD5</v>
      </c>
      <c r="B59" t="s">
        <v>542</v>
      </c>
      <c r="C59" t="s">
        <v>220</v>
      </c>
      <c r="D59" t="s">
        <v>55</v>
      </c>
      <c r="E59">
        <f>VLOOKUP(D59,PLAN!A:B,2,FALSE)</f>
        <v>1</v>
      </c>
      <c r="F59">
        <f>VLOOKUP(C59&amp;E59,CURSO!A:D,4,FALSE)</f>
        <v>5</v>
      </c>
      <c r="G59">
        <v>58</v>
      </c>
      <c r="H59">
        <v>11</v>
      </c>
      <c r="K59">
        <v>58</v>
      </c>
      <c r="L59" t="s">
        <v>542</v>
      </c>
      <c r="N59">
        <v>5</v>
      </c>
      <c r="O59" s="1" t="s">
        <v>596</v>
      </c>
      <c r="P59" s="1" t="s">
        <v>596</v>
      </c>
    </row>
    <row r="60" spans="1:16" x14ac:dyDescent="0.25">
      <c r="A60" t="str">
        <f t="shared" si="0"/>
        <v>EDUCACIÓN FÍSICA5</v>
      </c>
      <c r="B60" t="s">
        <v>10</v>
      </c>
      <c r="C60" t="s">
        <v>220</v>
      </c>
      <c r="D60" t="s">
        <v>55</v>
      </c>
      <c r="E60">
        <f>VLOOKUP(D60,PLAN!A:B,2,FALSE)</f>
        <v>1</v>
      </c>
      <c r="F60">
        <f>VLOOKUP(C60&amp;E60,CURSO!A:D,4,FALSE)</f>
        <v>5</v>
      </c>
      <c r="G60">
        <v>59</v>
      </c>
      <c r="H60">
        <v>12</v>
      </c>
      <c r="K60">
        <v>59</v>
      </c>
      <c r="L60" t="s">
        <v>10</v>
      </c>
      <c r="N60">
        <v>5</v>
      </c>
      <c r="O60" s="1" t="s">
        <v>596</v>
      </c>
      <c r="P60" s="1" t="s">
        <v>596</v>
      </c>
    </row>
    <row r="61" spans="1:16" x14ac:dyDescent="0.25">
      <c r="A61" t="str">
        <f t="shared" si="0"/>
        <v>GABINETE DE CONTABILIDAD5</v>
      </c>
      <c r="B61" t="s">
        <v>588</v>
      </c>
      <c r="C61" t="s">
        <v>220</v>
      </c>
      <c r="D61" t="s">
        <v>55</v>
      </c>
      <c r="E61">
        <f>VLOOKUP(D61,PLAN!A:B,2,FALSE)</f>
        <v>1</v>
      </c>
      <c r="F61">
        <f>VLOOKUP(C61&amp;E61,CURSO!A:D,4,FALSE)</f>
        <v>5</v>
      </c>
      <c r="G61">
        <v>60</v>
      </c>
      <c r="H61">
        <v>13</v>
      </c>
      <c r="K61">
        <v>60</v>
      </c>
      <c r="L61" t="s">
        <v>588</v>
      </c>
      <c r="N61">
        <v>5</v>
      </c>
      <c r="O61" s="1" t="s">
        <v>596</v>
      </c>
      <c r="P61" s="1" t="s">
        <v>596</v>
      </c>
    </row>
    <row r="62" spans="1:16" x14ac:dyDescent="0.25">
      <c r="A62" t="str">
        <f t="shared" si="0"/>
        <v>CASTELLANO6</v>
      </c>
      <c r="B62" t="s">
        <v>536</v>
      </c>
      <c r="C62" t="s">
        <v>98</v>
      </c>
      <c r="D62" t="s">
        <v>56</v>
      </c>
      <c r="E62">
        <f>VLOOKUP(D62,PLAN!A:B,2,FALSE)</f>
        <v>2</v>
      </c>
      <c r="F62">
        <f>VLOOKUP(C62&amp;E62,CURSO!A:D,4,FALSE)</f>
        <v>6</v>
      </c>
      <c r="G62">
        <v>61</v>
      </c>
      <c r="H62">
        <v>1</v>
      </c>
      <c r="K62">
        <v>61</v>
      </c>
      <c r="L62" t="s">
        <v>536</v>
      </c>
      <c r="N62">
        <v>6</v>
      </c>
      <c r="O62" s="1" t="s">
        <v>596</v>
      </c>
      <c r="P62" s="1" t="s">
        <v>596</v>
      </c>
    </row>
    <row r="63" spans="1:16" x14ac:dyDescent="0.25">
      <c r="A63" t="str">
        <f t="shared" si="0"/>
        <v>HISTORIA6</v>
      </c>
      <c r="B63" t="s">
        <v>27</v>
      </c>
      <c r="C63" t="s">
        <v>98</v>
      </c>
      <c r="D63" t="s">
        <v>56</v>
      </c>
      <c r="E63">
        <f>VLOOKUP(D63,PLAN!A:B,2,FALSE)</f>
        <v>2</v>
      </c>
      <c r="F63">
        <f>VLOOKUP(C63&amp;E63,CURSO!A:D,4,FALSE)</f>
        <v>6</v>
      </c>
      <c r="G63">
        <v>62</v>
      </c>
      <c r="H63">
        <v>2</v>
      </c>
      <c r="K63">
        <v>62</v>
      </c>
      <c r="L63" t="s">
        <v>27</v>
      </c>
      <c r="N63">
        <v>6</v>
      </c>
      <c r="O63" s="1" t="s">
        <v>596</v>
      </c>
      <c r="P63" s="1" t="s">
        <v>596</v>
      </c>
    </row>
    <row r="64" spans="1:16" x14ac:dyDescent="0.25">
      <c r="A64" t="str">
        <f t="shared" si="0"/>
        <v>GEOGRAFÍA6</v>
      </c>
      <c r="B64" t="s">
        <v>26</v>
      </c>
      <c r="C64" t="s">
        <v>98</v>
      </c>
      <c r="D64" t="s">
        <v>56</v>
      </c>
      <c r="E64">
        <f>VLOOKUP(D64,PLAN!A:B,2,FALSE)</f>
        <v>2</v>
      </c>
      <c r="F64">
        <f>VLOOKUP(C64&amp;E64,CURSO!A:D,4,FALSE)</f>
        <v>6</v>
      </c>
      <c r="G64">
        <v>63</v>
      </c>
      <c r="H64">
        <v>3</v>
      </c>
      <c r="K64">
        <v>63</v>
      </c>
      <c r="L64" t="s">
        <v>26</v>
      </c>
      <c r="N64">
        <v>6</v>
      </c>
      <c r="O64" s="1" t="s">
        <v>596</v>
      </c>
      <c r="P64" s="1" t="s">
        <v>596</v>
      </c>
    </row>
    <row r="65" spans="1:16" x14ac:dyDescent="0.25">
      <c r="A65" t="str">
        <f t="shared" si="0"/>
        <v>EDUCACIÓN CÍVICA6</v>
      </c>
      <c r="B65" t="s">
        <v>537</v>
      </c>
      <c r="C65" t="s">
        <v>98</v>
      </c>
      <c r="D65" t="s">
        <v>56</v>
      </c>
      <c r="E65">
        <f>VLOOKUP(D65,PLAN!A:B,2,FALSE)</f>
        <v>2</v>
      </c>
      <c r="F65">
        <f>VLOOKUP(C65&amp;E65,CURSO!A:D,4,FALSE)</f>
        <v>6</v>
      </c>
      <c r="G65">
        <v>64</v>
      </c>
      <c r="H65">
        <v>4</v>
      </c>
      <c r="K65">
        <v>64</v>
      </c>
      <c r="L65" t="s">
        <v>537</v>
      </c>
      <c r="N65">
        <v>6</v>
      </c>
      <c r="O65" s="1" t="s">
        <v>596</v>
      </c>
      <c r="P65" s="1" t="s">
        <v>596</v>
      </c>
    </row>
    <row r="66" spans="1:16" x14ac:dyDescent="0.25">
      <c r="A66" t="str">
        <f t="shared" ref="A66:A129" si="1">B66&amp;F66</f>
        <v>CULTURA MUSICAL6</v>
      </c>
      <c r="B66" t="s">
        <v>538</v>
      </c>
      <c r="C66" t="s">
        <v>98</v>
      </c>
      <c r="D66" t="s">
        <v>56</v>
      </c>
      <c r="E66">
        <f>VLOOKUP(D66,PLAN!A:B,2,FALSE)</f>
        <v>2</v>
      </c>
      <c r="F66">
        <f>VLOOKUP(C66&amp;E66,CURSO!A:D,4,FALSE)</f>
        <v>6</v>
      </c>
      <c r="G66">
        <v>65</v>
      </c>
      <c r="H66">
        <v>5</v>
      </c>
      <c r="K66">
        <v>65</v>
      </c>
      <c r="L66" t="s">
        <v>538</v>
      </c>
      <c r="N66">
        <v>6</v>
      </c>
      <c r="O66" s="1" t="s">
        <v>596</v>
      </c>
      <c r="P66" s="1" t="s">
        <v>596</v>
      </c>
    </row>
    <row r="67" spans="1:16" x14ac:dyDescent="0.25">
      <c r="A67" t="str">
        <f t="shared" si="1"/>
        <v>EDUCACIÓN PLÁSTICA6</v>
      </c>
      <c r="B67" t="s">
        <v>539</v>
      </c>
      <c r="C67" t="s">
        <v>98</v>
      </c>
      <c r="D67" t="s">
        <v>56</v>
      </c>
      <c r="E67">
        <f>VLOOKUP(D67,PLAN!A:B,2,FALSE)</f>
        <v>2</v>
      </c>
      <c r="F67">
        <f>VLOOKUP(C67&amp;E67,CURSO!A:D,4,FALSE)</f>
        <v>6</v>
      </c>
      <c r="G67">
        <v>66</v>
      </c>
      <c r="H67">
        <v>6</v>
      </c>
      <c r="K67">
        <v>66</v>
      </c>
      <c r="L67" t="s">
        <v>539</v>
      </c>
      <c r="N67">
        <v>6</v>
      </c>
      <c r="O67" s="1" t="s">
        <v>596</v>
      </c>
      <c r="P67" s="1" t="s">
        <v>596</v>
      </c>
    </row>
    <row r="68" spans="1:16" x14ac:dyDescent="0.25">
      <c r="A68" t="str">
        <f t="shared" si="1"/>
        <v>CALIGRAFÍA6</v>
      </c>
      <c r="B68" t="s">
        <v>540</v>
      </c>
      <c r="C68" t="s">
        <v>98</v>
      </c>
      <c r="D68" t="s">
        <v>56</v>
      </c>
      <c r="E68">
        <f>VLOOKUP(D68,PLAN!A:B,2,FALSE)</f>
        <v>2</v>
      </c>
      <c r="F68">
        <f>VLOOKUP(C68&amp;E68,CURSO!A:D,4,FALSE)</f>
        <v>6</v>
      </c>
      <c r="G68">
        <v>67</v>
      </c>
      <c r="H68">
        <v>7</v>
      </c>
      <c r="K68">
        <v>67</v>
      </c>
      <c r="L68" t="s">
        <v>540</v>
      </c>
      <c r="N68">
        <v>6</v>
      </c>
      <c r="O68" s="1" t="s">
        <v>596</v>
      </c>
      <c r="P68" s="1" t="s">
        <v>596</v>
      </c>
    </row>
    <row r="69" spans="1:16" x14ac:dyDescent="0.25">
      <c r="A69" t="str">
        <f t="shared" si="1"/>
        <v>MATEMÁTICA6</v>
      </c>
      <c r="B69" t="s">
        <v>12</v>
      </c>
      <c r="C69" t="s">
        <v>98</v>
      </c>
      <c r="D69" t="s">
        <v>56</v>
      </c>
      <c r="E69">
        <f>VLOOKUP(D69,PLAN!A:B,2,FALSE)</f>
        <v>2</v>
      </c>
      <c r="F69">
        <f>VLOOKUP(C69&amp;E69,CURSO!A:D,4,FALSE)</f>
        <v>6</v>
      </c>
      <c r="G69">
        <v>68</v>
      </c>
      <c r="H69">
        <v>8</v>
      </c>
      <c r="K69">
        <v>68</v>
      </c>
      <c r="L69" t="s">
        <v>12</v>
      </c>
      <c r="N69">
        <v>6</v>
      </c>
      <c r="O69" s="1" t="s">
        <v>596</v>
      </c>
      <c r="P69" s="1" t="s">
        <v>596</v>
      </c>
    </row>
    <row r="70" spans="1:16" x14ac:dyDescent="0.25">
      <c r="A70" t="str">
        <f t="shared" si="1"/>
        <v>CIENCIAS BIOLÓGICAS6</v>
      </c>
      <c r="B70" t="s">
        <v>541</v>
      </c>
      <c r="C70" t="s">
        <v>98</v>
      </c>
      <c r="D70" t="s">
        <v>56</v>
      </c>
      <c r="E70">
        <f>VLOOKUP(D70,PLAN!A:B,2,FALSE)</f>
        <v>2</v>
      </c>
      <c r="F70">
        <f>VLOOKUP(C70&amp;E70,CURSO!A:D,4,FALSE)</f>
        <v>6</v>
      </c>
      <c r="G70">
        <v>69</v>
      </c>
      <c r="H70">
        <v>9</v>
      </c>
      <c r="K70">
        <v>69</v>
      </c>
      <c r="L70" t="s">
        <v>541</v>
      </c>
      <c r="N70">
        <v>6</v>
      </c>
      <c r="O70" s="1" t="s">
        <v>596</v>
      </c>
      <c r="P70" s="1" t="s">
        <v>596</v>
      </c>
    </row>
    <row r="71" spans="1:16" x14ac:dyDescent="0.25">
      <c r="A71" t="str">
        <f t="shared" si="1"/>
        <v>INGLÉS6</v>
      </c>
      <c r="B71" t="s">
        <v>500</v>
      </c>
      <c r="C71" t="s">
        <v>98</v>
      </c>
      <c r="D71" t="s">
        <v>56</v>
      </c>
      <c r="E71">
        <f>VLOOKUP(D71,PLAN!A:B,2,FALSE)</f>
        <v>2</v>
      </c>
      <c r="F71">
        <f>VLOOKUP(C71&amp;E71,CURSO!A:D,4,FALSE)</f>
        <v>6</v>
      </c>
      <c r="G71">
        <v>70</v>
      </c>
      <c r="H71">
        <v>10</v>
      </c>
      <c r="K71">
        <v>70</v>
      </c>
      <c r="L71" t="s">
        <v>500</v>
      </c>
      <c r="N71">
        <v>6</v>
      </c>
      <c r="O71" s="1" t="s">
        <v>596</v>
      </c>
      <c r="P71" s="1" t="s">
        <v>596</v>
      </c>
    </row>
    <row r="72" spans="1:16" x14ac:dyDescent="0.25">
      <c r="A72" t="str">
        <f t="shared" si="1"/>
        <v>CONTABLIDAD6</v>
      </c>
      <c r="B72" t="s">
        <v>542</v>
      </c>
      <c r="C72" t="s">
        <v>98</v>
      </c>
      <c r="D72" t="s">
        <v>56</v>
      </c>
      <c r="E72">
        <f>VLOOKUP(D72,PLAN!A:B,2,FALSE)</f>
        <v>2</v>
      </c>
      <c r="F72">
        <f>VLOOKUP(C72&amp;E72,CURSO!A:D,4,FALSE)</f>
        <v>6</v>
      </c>
      <c r="G72">
        <v>71</v>
      </c>
      <c r="H72">
        <v>11</v>
      </c>
      <c r="K72">
        <v>71</v>
      </c>
      <c r="L72" t="s">
        <v>542</v>
      </c>
      <c r="N72">
        <v>6</v>
      </c>
      <c r="O72" s="1" t="s">
        <v>596</v>
      </c>
      <c r="P72" s="1" t="s">
        <v>596</v>
      </c>
    </row>
    <row r="73" spans="1:16" x14ac:dyDescent="0.25">
      <c r="A73" t="str">
        <f t="shared" si="1"/>
        <v>EDUCACIÓN FÍSICA6</v>
      </c>
      <c r="B73" t="s">
        <v>10</v>
      </c>
      <c r="C73" t="s">
        <v>98</v>
      </c>
      <c r="D73" t="s">
        <v>56</v>
      </c>
      <c r="E73">
        <f>VLOOKUP(D73,PLAN!A:B,2,FALSE)</f>
        <v>2</v>
      </c>
      <c r="F73">
        <f>VLOOKUP(C73&amp;E73,CURSO!A:D,4,FALSE)</f>
        <v>6</v>
      </c>
      <c r="G73">
        <v>72</v>
      </c>
      <c r="H73">
        <v>12</v>
      </c>
      <c r="K73">
        <v>72</v>
      </c>
      <c r="L73" t="s">
        <v>10</v>
      </c>
      <c r="N73">
        <v>6</v>
      </c>
      <c r="O73" s="1" t="s">
        <v>596</v>
      </c>
      <c r="P73" s="1" t="s">
        <v>596</v>
      </c>
    </row>
    <row r="74" spans="1:16" x14ac:dyDescent="0.25">
      <c r="A74" t="str">
        <f t="shared" si="1"/>
        <v>CASTELLANO7</v>
      </c>
      <c r="B74" t="s">
        <v>536</v>
      </c>
      <c r="C74" t="s">
        <v>95</v>
      </c>
      <c r="D74" t="s">
        <v>56</v>
      </c>
      <c r="E74">
        <f>VLOOKUP(D74,PLAN!A:B,2,FALSE)</f>
        <v>2</v>
      </c>
      <c r="F74">
        <f>VLOOKUP(C74&amp;E74,CURSO!A:D,4,FALSE)</f>
        <v>7</v>
      </c>
      <c r="G74">
        <v>73</v>
      </c>
      <c r="H74">
        <v>1</v>
      </c>
      <c r="K74">
        <v>73</v>
      </c>
      <c r="L74" t="s">
        <v>536</v>
      </c>
      <c r="N74">
        <v>7</v>
      </c>
      <c r="O74" s="1" t="s">
        <v>596</v>
      </c>
      <c r="P74" s="1" t="s">
        <v>596</v>
      </c>
    </row>
    <row r="75" spans="1:16" x14ac:dyDescent="0.25">
      <c r="A75" t="str">
        <f t="shared" si="1"/>
        <v>HISTORIA7</v>
      </c>
      <c r="B75" t="s">
        <v>27</v>
      </c>
      <c r="C75" t="s">
        <v>95</v>
      </c>
      <c r="D75" t="s">
        <v>56</v>
      </c>
      <c r="E75">
        <f>VLOOKUP(D75,PLAN!A:B,2,FALSE)</f>
        <v>2</v>
      </c>
      <c r="F75">
        <f>VLOOKUP(C75&amp;E75,CURSO!A:D,4,FALSE)</f>
        <v>7</v>
      </c>
      <c r="G75">
        <v>74</v>
      </c>
      <c r="H75">
        <v>2</v>
      </c>
      <c r="K75">
        <v>74</v>
      </c>
      <c r="L75" t="s">
        <v>27</v>
      </c>
      <c r="N75">
        <v>7</v>
      </c>
      <c r="O75" s="1" t="s">
        <v>596</v>
      </c>
      <c r="P75" s="1" t="s">
        <v>596</v>
      </c>
    </row>
    <row r="76" spans="1:16" x14ac:dyDescent="0.25">
      <c r="A76" t="str">
        <f t="shared" si="1"/>
        <v>GEOGRAFÍA7</v>
      </c>
      <c r="B76" t="s">
        <v>26</v>
      </c>
      <c r="C76" t="s">
        <v>95</v>
      </c>
      <c r="D76" t="s">
        <v>56</v>
      </c>
      <c r="E76">
        <f>VLOOKUP(D76,PLAN!A:B,2,FALSE)</f>
        <v>2</v>
      </c>
      <c r="F76">
        <f>VLOOKUP(C76&amp;E76,CURSO!A:D,4,FALSE)</f>
        <v>7</v>
      </c>
      <c r="G76">
        <v>75</v>
      </c>
      <c r="H76">
        <v>3</v>
      </c>
      <c r="K76">
        <v>75</v>
      </c>
      <c r="L76" t="s">
        <v>26</v>
      </c>
      <c r="N76">
        <v>7</v>
      </c>
      <c r="O76" s="1" t="s">
        <v>596</v>
      </c>
      <c r="P76" s="1" t="s">
        <v>596</v>
      </c>
    </row>
    <row r="77" spans="1:16" x14ac:dyDescent="0.25">
      <c r="A77" t="str">
        <f t="shared" si="1"/>
        <v>EDUCACIÓN CÍVICA7</v>
      </c>
      <c r="B77" t="s">
        <v>537</v>
      </c>
      <c r="C77" t="s">
        <v>95</v>
      </c>
      <c r="D77" t="s">
        <v>56</v>
      </c>
      <c r="E77">
        <f>VLOOKUP(D77,PLAN!A:B,2,FALSE)</f>
        <v>2</v>
      </c>
      <c r="F77">
        <f>VLOOKUP(C77&amp;E77,CURSO!A:D,4,FALSE)</f>
        <v>7</v>
      </c>
      <c r="G77">
        <v>76</v>
      </c>
      <c r="H77">
        <v>4</v>
      </c>
      <c r="K77">
        <v>76</v>
      </c>
      <c r="L77" t="s">
        <v>537</v>
      </c>
      <c r="N77">
        <v>7</v>
      </c>
      <c r="O77" s="1" t="s">
        <v>596</v>
      </c>
      <c r="P77" s="1" t="s">
        <v>596</v>
      </c>
    </row>
    <row r="78" spans="1:16" x14ac:dyDescent="0.25">
      <c r="A78" t="str">
        <f t="shared" si="1"/>
        <v>CULTURA MUSICAL7</v>
      </c>
      <c r="B78" t="s">
        <v>538</v>
      </c>
      <c r="C78" t="s">
        <v>95</v>
      </c>
      <c r="D78" t="s">
        <v>56</v>
      </c>
      <c r="E78">
        <f>VLOOKUP(D78,PLAN!A:B,2,FALSE)</f>
        <v>2</v>
      </c>
      <c r="F78">
        <f>VLOOKUP(C78&amp;E78,CURSO!A:D,4,FALSE)</f>
        <v>7</v>
      </c>
      <c r="G78">
        <v>77</v>
      </c>
      <c r="H78">
        <v>5</v>
      </c>
      <c r="K78">
        <v>77</v>
      </c>
      <c r="L78" t="s">
        <v>538</v>
      </c>
      <c r="N78">
        <v>7</v>
      </c>
      <c r="O78" s="1" t="s">
        <v>596</v>
      </c>
      <c r="P78" s="1" t="s">
        <v>596</v>
      </c>
    </row>
    <row r="79" spans="1:16" x14ac:dyDescent="0.25">
      <c r="A79" t="str">
        <f t="shared" si="1"/>
        <v>EDUCACIÓN PLÁSTICA7</v>
      </c>
      <c r="B79" t="s">
        <v>539</v>
      </c>
      <c r="C79" t="s">
        <v>95</v>
      </c>
      <c r="D79" t="s">
        <v>56</v>
      </c>
      <c r="E79">
        <f>VLOOKUP(D79,PLAN!A:B,2,FALSE)</f>
        <v>2</v>
      </c>
      <c r="F79">
        <f>VLOOKUP(C79&amp;E79,CURSO!A:D,4,FALSE)</f>
        <v>7</v>
      </c>
      <c r="G79">
        <v>78</v>
      </c>
      <c r="H79">
        <v>6</v>
      </c>
      <c r="K79">
        <v>78</v>
      </c>
      <c r="L79" t="s">
        <v>539</v>
      </c>
      <c r="N79">
        <v>7</v>
      </c>
      <c r="O79" s="1" t="s">
        <v>596</v>
      </c>
      <c r="P79" s="1" t="s">
        <v>596</v>
      </c>
    </row>
    <row r="80" spans="1:16" x14ac:dyDescent="0.25">
      <c r="A80" t="str">
        <f t="shared" si="1"/>
        <v>MATEMÁTICA7</v>
      </c>
      <c r="B80" t="s">
        <v>12</v>
      </c>
      <c r="C80" t="s">
        <v>95</v>
      </c>
      <c r="D80" t="s">
        <v>56</v>
      </c>
      <c r="E80">
        <f>VLOOKUP(D80,PLAN!A:B,2,FALSE)</f>
        <v>2</v>
      </c>
      <c r="F80">
        <f>VLOOKUP(C80&amp;E80,CURSO!A:D,4,FALSE)</f>
        <v>7</v>
      </c>
      <c r="G80">
        <v>79</v>
      </c>
      <c r="H80">
        <v>7</v>
      </c>
      <c r="K80">
        <v>79</v>
      </c>
      <c r="L80" t="s">
        <v>12</v>
      </c>
      <c r="N80">
        <v>7</v>
      </c>
      <c r="O80" s="1" t="s">
        <v>596</v>
      </c>
      <c r="P80" s="1" t="s">
        <v>596</v>
      </c>
    </row>
    <row r="81" spans="1:16" x14ac:dyDescent="0.25">
      <c r="A81" t="str">
        <f t="shared" si="1"/>
        <v>CIENCIAS BIOLÓGICAS7</v>
      </c>
      <c r="B81" t="s">
        <v>541</v>
      </c>
      <c r="C81" t="s">
        <v>95</v>
      </c>
      <c r="D81" t="s">
        <v>56</v>
      </c>
      <c r="E81">
        <f>VLOOKUP(D81,PLAN!A:B,2,FALSE)</f>
        <v>2</v>
      </c>
      <c r="F81">
        <f>VLOOKUP(C81&amp;E81,CURSO!A:D,4,FALSE)</f>
        <v>7</v>
      </c>
      <c r="G81">
        <v>80</v>
      </c>
      <c r="H81">
        <v>8</v>
      </c>
      <c r="K81">
        <v>80</v>
      </c>
      <c r="L81" t="s">
        <v>541</v>
      </c>
      <c r="N81">
        <v>7</v>
      </c>
      <c r="O81" s="1" t="s">
        <v>596</v>
      </c>
      <c r="P81" s="1" t="s">
        <v>596</v>
      </c>
    </row>
    <row r="82" spans="1:16" x14ac:dyDescent="0.25">
      <c r="A82" t="str">
        <f t="shared" si="1"/>
        <v>INGLÉS7</v>
      </c>
      <c r="B82" t="s">
        <v>500</v>
      </c>
      <c r="C82" t="s">
        <v>95</v>
      </c>
      <c r="D82" t="s">
        <v>56</v>
      </c>
      <c r="E82">
        <f>VLOOKUP(D82,PLAN!A:B,2,FALSE)</f>
        <v>2</v>
      </c>
      <c r="F82">
        <f>VLOOKUP(C82&amp;E82,CURSO!A:D,4,FALSE)</f>
        <v>7</v>
      </c>
      <c r="G82">
        <v>81</v>
      </c>
      <c r="H82">
        <v>9</v>
      </c>
      <c r="K82">
        <v>81</v>
      </c>
      <c r="L82" t="s">
        <v>500</v>
      </c>
      <c r="N82">
        <v>7</v>
      </c>
      <c r="O82" s="1" t="s">
        <v>596</v>
      </c>
      <c r="P82" s="1" t="s">
        <v>596</v>
      </c>
    </row>
    <row r="83" spans="1:16" x14ac:dyDescent="0.25">
      <c r="A83" t="str">
        <f t="shared" si="1"/>
        <v>MECANOGRAFÍA7</v>
      </c>
      <c r="B83" t="s">
        <v>543</v>
      </c>
      <c r="C83" t="s">
        <v>95</v>
      </c>
      <c r="D83" t="s">
        <v>56</v>
      </c>
      <c r="E83">
        <f>VLOOKUP(D83,PLAN!A:B,2,FALSE)</f>
        <v>2</v>
      </c>
      <c r="F83">
        <f>VLOOKUP(C83&amp;E83,CURSO!A:D,4,FALSE)</f>
        <v>7</v>
      </c>
      <c r="G83">
        <v>82</v>
      </c>
      <c r="H83">
        <v>10</v>
      </c>
      <c r="K83">
        <v>82</v>
      </c>
      <c r="L83" t="s">
        <v>543</v>
      </c>
      <c r="N83">
        <v>7</v>
      </c>
      <c r="O83" s="1" t="s">
        <v>596</v>
      </c>
      <c r="P83" s="1" t="s">
        <v>596</v>
      </c>
    </row>
    <row r="84" spans="1:16" x14ac:dyDescent="0.25">
      <c r="A84" t="str">
        <f t="shared" si="1"/>
        <v>CONTABLIDAD7</v>
      </c>
      <c r="B84" t="s">
        <v>542</v>
      </c>
      <c r="C84" t="s">
        <v>95</v>
      </c>
      <c r="D84" t="s">
        <v>56</v>
      </c>
      <c r="E84">
        <f>VLOOKUP(D84,PLAN!A:B,2,FALSE)</f>
        <v>2</v>
      </c>
      <c r="F84">
        <f>VLOOKUP(C84&amp;E84,CURSO!A:D,4,FALSE)</f>
        <v>7</v>
      </c>
      <c r="G84">
        <v>83</v>
      </c>
      <c r="H84">
        <v>11</v>
      </c>
      <c r="K84">
        <v>83</v>
      </c>
      <c r="L84" t="s">
        <v>542</v>
      </c>
      <c r="N84">
        <v>7</v>
      </c>
      <c r="O84" s="1" t="s">
        <v>596</v>
      </c>
      <c r="P84" s="1" t="s">
        <v>596</v>
      </c>
    </row>
    <row r="85" spans="1:16" x14ac:dyDescent="0.25">
      <c r="A85" t="str">
        <f t="shared" si="1"/>
        <v>EDUCACIÓN FÍSICA7</v>
      </c>
      <c r="B85" t="s">
        <v>10</v>
      </c>
      <c r="C85" t="s">
        <v>95</v>
      </c>
      <c r="D85" t="s">
        <v>56</v>
      </c>
      <c r="E85">
        <f>VLOOKUP(D85,PLAN!A:B,2,FALSE)</f>
        <v>2</v>
      </c>
      <c r="F85">
        <f>VLOOKUP(C85&amp;E85,CURSO!A:D,4,FALSE)</f>
        <v>7</v>
      </c>
      <c r="G85">
        <v>84</v>
      </c>
      <c r="H85">
        <v>12</v>
      </c>
      <c r="K85">
        <v>84</v>
      </c>
      <c r="L85" t="s">
        <v>10</v>
      </c>
      <c r="N85">
        <v>7</v>
      </c>
      <c r="O85" s="1" t="s">
        <v>596</v>
      </c>
      <c r="P85" s="1" t="s">
        <v>596</v>
      </c>
    </row>
    <row r="86" spans="1:16" x14ac:dyDescent="0.25">
      <c r="A86" t="str">
        <f t="shared" si="1"/>
        <v>CASTELLANO8</v>
      </c>
      <c r="B86" t="s">
        <v>536</v>
      </c>
      <c r="C86" t="s">
        <v>143</v>
      </c>
      <c r="D86" t="s">
        <v>56</v>
      </c>
      <c r="E86">
        <f>VLOOKUP(D86,PLAN!A:B,2,FALSE)</f>
        <v>2</v>
      </c>
      <c r="F86">
        <f>VLOOKUP(C86&amp;E86,CURSO!A:D,4,FALSE)</f>
        <v>8</v>
      </c>
      <c r="G86">
        <v>85</v>
      </c>
      <c r="H86">
        <v>1</v>
      </c>
      <c r="K86">
        <v>85</v>
      </c>
      <c r="L86" t="s">
        <v>536</v>
      </c>
      <c r="N86">
        <v>8</v>
      </c>
      <c r="O86" s="1" t="s">
        <v>596</v>
      </c>
      <c r="P86" s="1" t="s">
        <v>596</v>
      </c>
    </row>
    <row r="87" spans="1:16" x14ac:dyDescent="0.25">
      <c r="A87" t="str">
        <f t="shared" si="1"/>
        <v>HISTORIA8</v>
      </c>
      <c r="B87" t="s">
        <v>27</v>
      </c>
      <c r="C87" t="s">
        <v>143</v>
      </c>
      <c r="D87" t="s">
        <v>56</v>
      </c>
      <c r="E87">
        <f>VLOOKUP(D87,PLAN!A:B,2,FALSE)</f>
        <v>2</v>
      </c>
      <c r="F87">
        <f>VLOOKUP(C87&amp;E87,CURSO!A:D,4,FALSE)</f>
        <v>8</v>
      </c>
      <c r="G87">
        <v>86</v>
      </c>
      <c r="H87">
        <v>2</v>
      </c>
      <c r="K87">
        <v>86</v>
      </c>
      <c r="L87" t="s">
        <v>27</v>
      </c>
      <c r="N87">
        <v>8</v>
      </c>
      <c r="O87" s="1" t="s">
        <v>596</v>
      </c>
      <c r="P87" s="1" t="s">
        <v>596</v>
      </c>
    </row>
    <row r="88" spans="1:16" x14ac:dyDescent="0.25">
      <c r="A88" t="str">
        <f t="shared" si="1"/>
        <v>GEOGRAFÍA8</v>
      </c>
      <c r="B88" t="s">
        <v>26</v>
      </c>
      <c r="C88" t="s">
        <v>143</v>
      </c>
      <c r="D88" t="s">
        <v>56</v>
      </c>
      <c r="E88">
        <f>VLOOKUP(D88,PLAN!A:B,2,FALSE)</f>
        <v>2</v>
      </c>
      <c r="F88">
        <f>VLOOKUP(C88&amp;E88,CURSO!A:D,4,FALSE)</f>
        <v>8</v>
      </c>
      <c r="G88">
        <v>87</v>
      </c>
      <c r="H88">
        <v>3</v>
      </c>
      <c r="K88">
        <v>87</v>
      </c>
      <c r="L88" t="s">
        <v>26</v>
      </c>
      <c r="N88">
        <v>8</v>
      </c>
      <c r="O88" s="1" t="s">
        <v>596</v>
      </c>
      <c r="P88" s="1" t="s">
        <v>596</v>
      </c>
    </row>
    <row r="89" spans="1:16" x14ac:dyDescent="0.25">
      <c r="A89" t="str">
        <f t="shared" si="1"/>
        <v>EDUCACIÓN CÍVICA8</v>
      </c>
      <c r="B89" t="s">
        <v>537</v>
      </c>
      <c r="C89" t="s">
        <v>143</v>
      </c>
      <c r="D89" t="s">
        <v>56</v>
      </c>
      <c r="E89">
        <f>VLOOKUP(D89,PLAN!A:B,2,FALSE)</f>
        <v>2</v>
      </c>
      <c r="F89">
        <f>VLOOKUP(C89&amp;E89,CURSO!A:D,4,FALSE)</f>
        <v>8</v>
      </c>
      <c r="G89">
        <v>88</v>
      </c>
      <c r="H89">
        <v>4</v>
      </c>
      <c r="K89">
        <v>88</v>
      </c>
      <c r="L89" t="s">
        <v>537</v>
      </c>
      <c r="N89">
        <v>8</v>
      </c>
      <c r="O89" s="1" t="s">
        <v>596</v>
      </c>
      <c r="P89" s="1" t="s">
        <v>596</v>
      </c>
    </row>
    <row r="90" spans="1:16" x14ac:dyDescent="0.25">
      <c r="A90" t="str">
        <f t="shared" si="1"/>
        <v>CULTURA MUSICAL8</v>
      </c>
      <c r="B90" t="s">
        <v>538</v>
      </c>
      <c r="C90" t="s">
        <v>143</v>
      </c>
      <c r="D90" t="s">
        <v>56</v>
      </c>
      <c r="E90">
        <f>VLOOKUP(D90,PLAN!A:B,2,FALSE)</f>
        <v>2</v>
      </c>
      <c r="F90">
        <f>VLOOKUP(C90&amp;E90,CURSO!A:D,4,FALSE)</f>
        <v>8</v>
      </c>
      <c r="G90">
        <v>89</v>
      </c>
      <c r="H90">
        <v>5</v>
      </c>
      <c r="K90">
        <v>89</v>
      </c>
      <c r="L90" t="s">
        <v>538</v>
      </c>
      <c r="N90">
        <v>8</v>
      </c>
      <c r="O90" s="1" t="s">
        <v>596</v>
      </c>
      <c r="P90" s="1" t="s">
        <v>596</v>
      </c>
    </row>
    <row r="91" spans="1:16" x14ac:dyDescent="0.25">
      <c r="A91" t="str">
        <f t="shared" si="1"/>
        <v>MATEMÁTICA8</v>
      </c>
      <c r="B91" t="s">
        <v>12</v>
      </c>
      <c r="C91" t="s">
        <v>143</v>
      </c>
      <c r="D91" t="s">
        <v>56</v>
      </c>
      <c r="E91">
        <f>VLOOKUP(D91,PLAN!A:B,2,FALSE)</f>
        <v>2</v>
      </c>
      <c r="F91">
        <f>VLOOKUP(C91&amp;E91,CURSO!A:D,4,FALSE)</f>
        <v>8</v>
      </c>
      <c r="G91">
        <v>90</v>
      </c>
      <c r="H91">
        <v>6</v>
      </c>
      <c r="K91">
        <v>90</v>
      </c>
      <c r="L91" t="s">
        <v>12</v>
      </c>
      <c r="N91">
        <v>8</v>
      </c>
      <c r="O91" s="1" t="s">
        <v>596</v>
      </c>
      <c r="P91" s="1" t="s">
        <v>596</v>
      </c>
    </row>
    <row r="92" spans="1:16" x14ac:dyDescent="0.25">
      <c r="A92" t="str">
        <f t="shared" si="1"/>
        <v>CIENCIAS BIOLÓGICAS8</v>
      </c>
      <c r="B92" t="s">
        <v>541</v>
      </c>
      <c r="C92" t="s">
        <v>143</v>
      </c>
      <c r="D92" t="s">
        <v>56</v>
      </c>
      <c r="E92">
        <f>VLOOKUP(D92,PLAN!A:B,2,FALSE)</f>
        <v>2</v>
      </c>
      <c r="F92">
        <f>VLOOKUP(C92&amp;E92,CURSO!A:D,4,FALSE)</f>
        <v>8</v>
      </c>
      <c r="G92">
        <v>91</v>
      </c>
      <c r="H92">
        <v>7</v>
      </c>
      <c r="K92">
        <v>91</v>
      </c>
      <c r="L92" t="s">
        <v>541</v>
      </c>
      <c r="N92">
        <v>8</v>
      </c>
      <c r="O92" s="1" t="s">
        <v>596</v>
      </c>
      <c r="P92" s="1" t="s">
        <v>596</v>
      </c>
    </row>
    <row r="93" spans="1:16" x14ac:dyDescent="0.25">
      <c r="A93" t="str">
        <f t="shared" si="1"/>
        <v>FÍSICA8</v>
      </c>
      <c r="B93" t="s">
        <v>24</v>
      </c>
      <c r="C93" t="s">
        <v>143</v>
      </c>
      <c r="D93" t="s">
        <v>56</v>
      </c>
      <c r="E93">
        <f>VLOOKUP(D93,PLAN!A:B,2,FALSE)</f>
        <v>2</v>
      </c>
      <c r="F93">
        <f>VLOOKUP(C93&amp;E93,CURSO!A:D,4,FALSE)</f>
        <v>8</v>
      </c>
      <c r="G93">
        <v>92</v>
      </c>
      <c r="H93">
        <v>8</v>
      </c>
      <c r="K93">
        <v>92</v>
      </c>
      <c r="L93" t="s">
        <v>24</v>
      </c>
      <c r="N93">
        <v>8</v>
      </c>
      <c r="O93" s="1" t="s">
        <v>596</v>
      </c>
      <c r="P93" s="1" t="s">
        <v>596</v>
      </c>
    </row>
    <row r="94" spans="1:16" x14ac:dyDescent="0.25">
      <c r="A94" t="str">
        <f t="shared" si="1"/>
        <v>INGLÉS8</v>
      </c>
      <c r="B94" t="s">
        <v>500</v>
      </c>
      <c r="C94" t="s">
        <v>143</v>
      </c>
      <c r="D94" t="s">
        <v>56</v>
      </c>
      <c r="E94">
        <f>VLOOKUP(D94,PLAN!A:B,2,FALSE)</f>
        <v>2</v>
      </c>
      <c r="F94">
        <f>VLOOKUP(C94&amp;E94,CURSO!A:D,4,FALSE)</f>
        <v>8</v>
      </c>
      <c r="G94">
        <v>93</v>
      </c>
      <c r="H94">
        <v>9</v>
      </c>
      <c r="K94">
        <v>93</v>
      </c>
      <c r="L94" t="s">
        <v>500</v>
      </c>
      <c r="N94">
        <v>8</v>
      </c>
      <c r="O94" s="1" t="s">
        <v>596</v>
      </c>
      <c r="P94" s="1" t="s">
        <v>596</v>
      </c>
    </row>
    <row r="95" spans="1:16" x14ac:dyDescent="0.25">
      <c r="A95" t="str">
        <f t="shared" si="1"/>
        <v>MECANOGRAFÍA8</v>
      </c>
      <c r="B95" t="s">
        <v>543</v>
      </c>
      <c r="C95" t="s">
        <v>143</v>
      </c>
      <c r="D95" t="s">
        <v>56</v>
      </c>
      <c r="E95">
        <f>VLOOKUP(D95,PLAN!A:B,2,FALSE)</f>
        <v>2</v>
      </c>
      <c r="F95">
        <f>VLOOKUP(C95&amp;E95,CURSO!A:D,4,FALSE)</f>
        <v>8</v>
      </c>
      <c r="G95">
        <v>94</v>
      </c>
      <c r="H95">
        <v>10</v>
      </c>
      <c r="K95">
        <v>94</v>
      </c>
      <c r="L95" t="s">
        <v>543</v>
      </c>
      <c r="N95">
        <v>8</v>
      </c>
      <c r="O95" s="1" t="s">
        <v>596</v>
      </c>
      <c r="P95" s="1" t="s">
        <v>596</v>
      </c>
    </row>
    <row r="96" spans="1:16" x14ac:dyDescent="0.25">
      <c r="A96" t="str">
        <f t="shared" si="1"/>
        <v>PRRÁCTICA CONTABLE8</v>
      </c>
      <c r="B96" t="s">
        <v>544</v>
      </c>
      <c r="C96" t="s">
        <v>143</v>
      </c>
      <c r="D96" t="s">
        <v>56</v>
      </c>
      <c r="E96">
        <f>VLOOKUP(D96,PLAN!A:B,2,FALSE)</f>
        <v>2</v>
      </c>
      <c r="F96">
        <f>VLOOKUP(C96&amp;E96,CURSO!A:D,4,FALSE)</f>
        <v>8</v>
      </c>
      <c r="G96">
        <v>95</v>
      </c>
      <c r="H96">
        <v>11</v>
      </c>
      <c r="K96">
        <v>95</v>
      </c>
      <c r="L96" t="s">
        <v>544</v>
      </c>
      <c r="N96">
        <v>8</v>
      </c>
      <c r="O96" s="1" t="s">
        <v>596</v>
      </c>
      <c r="P96" s="1" t="s">
        <v>596</v>
      </c>
    </row>
    <row r="97" spans="1:16" x14ac:dyDescent="0.25">
      <c r="A97" t="str">
        <f t="shared" si="1"/>
        <v>INFORMÁTICA8</v>
      </c>
      <c r="B97" t="s">
        <v>545</v>
      </c>
      <c r="C97" t="s">
        <v>143</v>
      </c>
      <c r="D97" t="s">
        <v>56</v>
      </c>
      <c r="E97">
        <f>VLOOKUP(D97,PLAN!A:B,2,FALSE)</f>
        <v>2</v>
      </c>
      <c r="F97">
        <f>VLOOKUP(C97&amp;E97,CURSO!A:D,4,FALSE)</f>
        <v>8</v>
      </c>
      <c r="G97">
        <v>96</v>
      </c>
      <c r="H97">
        <v>12</v>
      </c>
      <c r="K97">
        <v>96</v>
      </c>
      <c r="L97" t="s">
        <v>545</v>
      </c>
      <c r="N97">
        <v>8</v>
      </c>
      <c r="O97" s="1" t="s">
        <v>596</v>
      </c>
      <c r="P97" s="1" t="s">
        <v>596</v>
      </c>
    </row>
    <row r="98" spans="1:16" x14ac:dyDescent="0.25">
      <c r="A98" t="str">
        <f t="shared" si="1"/>
        <v>CONTABLIDAD8</v>
      </c>
      <c r="B98" t="s">
        <v>542</v>
      </c>
      <c r="C98" t="s">
        <v>143</v>
      </c>
      <c r="D98" t="s">
        <v>56</v>
      </c>
      <c r="E98">
        <f>VLOOKUP(D98,PLAN!A:B,2,FALSE)</f>
        <v>2</v>
      </c>
      <c r="F98">
        <f>VLOOKUP(C98&amp;E98,CURSO!A:D,4,FALSE)</f>
        <v>8</v>
      </c>
      <c r="G98">
        <v>97</v>
      </c>
      <c r="H98">
        <v>13</v>
      </c>
      <c r="K98">
        <v>97</v>
      </c>
      <c r="L98" t="s">
        <v>542</v>
      </c>
      <c r="N98">
        <v>8</v>
      </c>
      <c r="O98" s="1" t="s">
        <v>596</v>
      </c>
      <c r="P98" s="1" t="s">
        <v>596</v>
      </c>
    </row>
    <row r="99" spans="1:16" x14ac:dyDescent="0.25">
      <c r="A99" t="str">
        <f t="shared" si="1"/>
        <v>EDUCACIÓN FÍSICA8</v>
      </c>
      <c r="B99" t="s">
        <v>10</v>
      </c>
      <c r="C99" t="s">
        <v>143</v>
      </c>
      <c r="D99" t="s">
        <v>56</v>
      </c>
      <c r="E99">
        <f>VLOOKUP(D99,PLAN!A:B,2,FALSE)</f>
        <v>2</v>
      </c>
      <c r="F99">
        <f>VLOOKUP(C99&amp;E99,CURSO!A:D,4,FALSE)</f>
        <v>8</v>
      </c>
      <c r="G99">
        <v>98</v>
      </c>
      <c r="H99">
        <v>14</v>
      </c>
      <c r="K99">
        <v>98</v>
      </c>
      <c r="L99" t="s">
        <v>10</v>
      </c>
      <c r="N99">
        <v>8</v>
      </c>
      <c r="O99" s="1" t="s">
        <v>596</v>
      </c>
      <c r="P99" s="1" t="s">
        <v>596</v>
      </c>
    </row>
    <row r="100" spans="1:16" x14ac:dyDescent="0.25">
      <c r="A100" t="str">
        <f t="shared" si="1"/>
        <v>HISTORIA9</v>
      </c>
      <c r="B100" t="s">
        <v>27</v>
      </c>
      <c r="C100" t="s">
        <v>190</v>
      </c>
      <c r="D100" t="s">
        <v>56</v>
      </c>
      <c r="E100">
        <f>VLOOKUP(D100,PLAN!A:B,2,FALSE)</f>
        <v>2</v>
      </c>
      <c r="F100">
        <f>VLOOKUP(C100&amp;E100,CURSO!A:D,4,FALSE)</f>
        <v>9</v>
      </c>
      <c r="G100">
        <v>99</v>
      </c>
      <c r="H100">
        <v>1</v>
      </c>
      <c r="K100">
        <v>99</v>
      </c>
      <c r="L100" t="s">
        <v>27</v>
      </c>
      <c r="N100">
        <v>9</v>
      </c>
      <c r="O100" s="1" t="s">
        <v>596</v>
      </c>
      <c r="P100" s="1" t="s">
        <v>596</v>
      </c>
    </row>
    <row r="101" spans="1:16" x14ac:dyDescent="0.25">
      <c r="A101" t="str">
        <f t="shared" si="1"/>
        <v>GEOGRAFÍA9</v>
      </c>
      <c r="B101" t="s">
        <v>26</v>
      </c>
      <c r="C101" t="s">
        <v>190</v>
      </c>
      <c r="D101" t="s">
        <v>56</v>
      </c>
      <c r="E101">
        <f>VLOOKUP(D101,PLAN!A:B,2,FALSE)</f>
        <v>2</v>
      </c>
      <c r="F101">
        <f>VLOOKUP(C101&amp;E101,CURSO!A:D,4,FALSE)</f>
        <v>9</v>
      </c>
      <c r="G101">
        <v>100</v>
      </c>
      <c r="H101">
        <v>2</v>
      </c>
      <c r="K101">
        <v>100</v>
      </c>
      <c r="L101" t="s">
        <v>26</v>
      </c>
      <c r="N101">
        <v>9</v>
      </c>
      <c r="O101" s="1" t="s">
        <v>596</v>
      </c>
      <c r="P101" s="1" t="s">
        <v>596</v>
      </c>
    </row>
    <row r="102" spans="1:16" x14ac:dyDescent="0.25">
      <c r="A102" t="str">
        <f t="shared" si="1"/>
        <v>FORMACIÓN CÍVICA9</v>
      </c>
      <c r="B102" t="s">
        <v>546</v>
      </c>
      <c r="C102" t="s">
        <v>190</v>
      </c>
      <c r="D102" t="s">
        <v>56</v>
      </c>
      <c r="E102">
        <f>VLOOKUP(D102,PLAN!A:B,2,FALSE)</f>
        <v>2</v>
      </c>
      <c r="F102">
        <f>VLOOKUP(C102&amp;E102,CURSO!A:D,4,FALSE)</f>
        <v>9</v>
      </c>
      <c r="G102">
        <v>101</v>
      </c>
      <c r="H102">
        <v>3</v>
      </c>
      <c r="K102">
        <v>101</v>
      </c>
      <c r="L102" t="s">
        <v>546</v>
      </c>
      <c r="N102">
        <v>9</v>
      </c>
      <c r="O102" s="1" t="s">
        <v>596</v>
      </c>
      <c r="P102" s="1" t="s">
        <v>596</v>
      </c>
    </row>
    <row r="103" spans="1:16" x14ac:dyDescent="0.25">
      <c r="A103" t="str">
        <f t="shared" si="1"/>
        <v>LITERATURA9</v>
      </c>
      <c r="B103" t="s">
        <v>547</v>
      </c>
      <c r="C103" t="s">
        <v>190</v>
      </c>
      <c r="D103" t="s">
        <v>56</v>
      </c>
      <c r="E103">
        <f>VLOOKUP(D103,PLAN!A:B,2,FALSE)</f>
        <v>2</v>
      </c>
      <c r="F103">
        <f>VLOOKUP(C103&amp;E103,CURSO!A:D,4,FALSE)</f>
        <v>9</v>
      </c>
      <c r="G103">
        <v>102</v>
      </c>
      <c r="H103">
        <v>4</v>
      </c>
      <c r="K103">
        <v>102</v>
      </c>
      <c r="L103" t="s">
        <v>547</v>
      </c>
      <c r="N103">
        <v>9</v>
      </c>
      <c r="O103" s="1" t="s">
        <v>596</v>
      </c>
      <c r="P103" s="1" t="s">
        <v>596</v>
      </c>
    </row>
    <row r="104" spans="1:16" x14ac:dyDescent="0.25">
      <c r="A104" t="str">
        <f t="shared" si="1"/>
        <v>PSICOLOGÍA9</v>
      </c>
      <c r="B104" t="s">
        <v>33</v>
      </c>
      <c r="C104" t="s">
        <v>190</v>
      </c>
      <c r="D104" t="s">
        <v>56</v>
      </c>
      <c r="E104">
        <f>VLOOKUP(D104,PLAN!A:B,2,FALSE)</f>
        <v>2</v>
      </c>
      <c r="F104">
        <f>VLOOKUP(C104&amp;E104,CURSO!A:D,4,FALSE)</f>
        <v>9</v>
      </c>
      <c r="G104">
        <v>103</v>
      </c>
      <c r="H104">
        <v>5</v>
      </c>
      <c r="K104">
        <v>103</v>
      </c>
      <c r="L104" t="s">
        <v>33</v>
      </c>
      <c r="N104">
        <v>9</v>
      </c>
      <c r="O104" s="1" t="s">
        <v>596</v>
      </c>
      <c r="P104" s="1" t="s">
        <v>596</v>
      </c>
    </row>
    <row r="105" spans="1:16" x14ac:dyDescent="0.25">
      <c r="A105" t="str">
        <f t="shared" si="1"/>
        <v>MATEMÁTICA9</v>
      </c>
      <c r="B105" t="s">
        <v>12</v>
      </c>
      <c r="C105" t="s">
        <v>190</v>
      </c>
      <c r="D105" t="s">
        <v>56</v>
      </c>
      <c r="E105">
        <f>VLOOKUP(D105,PLAN!A:B,2,FALSE)</f>
        <v>2</v>
      </c>
      <c r="F105">
        <f>VLOOKUP(C105&amp;E105,CURSO!A:D,4,FALSE)</f>
        <v>9</v>
      </c>
      <c r="G105">
        <v>104</v>
      </c>
      <c r="H105">
        <v>6</v>
      </c>
      <c r="K105">
        <v>104</v>
      </c>
      <c r="L105" t="s">
        <v>12</v>
      </c>
      <c r="N105">
        <v>9</v>
      </c>
      <c r="O105" s="1" t="s">
        <v>596</v>
      </c>
      <c r="P105" s="1" t="s">
        <v>596</v>
      </c>
    </row>
    <row r="106" spans="1:16" x14ac:dyDescent="0.25">
      <c r="A106" t="str">
        <f t="shared" si="1"/>
        <v>EDUCACIÓN PARA LA SALUD9</v>
      </c>
      <c r="B106" t="s">
        <v>548</v>
      </c>
      <c r="C106" t="s">
        <v>190</v>
      </c>
      <c r="D106" t="s">
        <v>56</v>
      </c>
      <c r="E106">
        <f>VLOOKUP(D106,PLAN!A:B,2,FALSE)</f>
        <v>2</v>
      </c>
      <c r="F106">
        <f>VLOOKUP(C106&amp;E106,CURSO!A:D,4,FALSE)</f>
        <v>9</v>
      </c>
      <c r="G106">
        <v>105</v>
      </c>
      <c r="H106">
        <v>7</v>
      </c>
      <c r="K106">
        <v>105</v>
      </c>
      <c r="L106" t="s">
        <v>548</v>
      </c>
      <c r="N106">
        <v>9</v>
      </c>
      <c r="O106" s="1" t="s">
        <v>596</v>
      </c>
      <c r="P106" s="1" t="s">
        <v>596</v>
      </c>
    </row>
    <row r="107" spans="1:16" x14ac:dyDescent="0.25">
      <c r="A107" t="str">
        <f t="shared" si="1"/>
        <v>FÍSICA9</v>
      </c>
      <c r="B107" t="s">
        <v>24</v>
      </c>
      <c r="C107" t="s">
        <v>190</v>
      </c>
      <c r="D107" t="s">
        <v>56</v>
      </c>
      <c r="E107">
        <f>VLOOKUP(D107,PLAN!A:B,2,FALSE)</f>
        <v>2</v>
      </c>
      <c r="F107">
        <f>VLOOKUP(C107&amp;E107,CURSO!A:D,4,FALSE)</f>
        <v>9</v>
      </c>
      <c r="G107">
        <v>106</v>
      </c>
      <c r="H107">
        <v>8</v>
      </c>
      <c r="K107">
        <v>106</v>
      </c>
      <c r="L107" t="s">
        <v>24</v>
      </c>
      <c r="N107">
        <v>9</v>
      </c>
      <c r="O107" s="1" t="s">
        <v>596</v>
      </c>
      <c r="P107" s="1" t="s">
        <v>596</v>
      </c>
    </row>
    <row r="108" spans="1:16" x14ac:dyDescent="0.25">
      <c r="A108" t="str">
        <f t="shared" si="1"/>
        <v>QUÍMICA9</v>
      </c>
      <c r="B108" t="s">
        <v>25</v>
      </c>
      <c r="C108" t="s">
        <v>190</v>
      </c>
      <c r="D108" t="s">
        <v>56</v>
      </c>
      <c r="E108">
        <f>VLOOKUP(D108,PLAN!A:B,2,FALSE)</f>
        <v>2</v>
      </c>
      <c r="F108">
        <f>VLOOKUP(C108&amp;E108,CURSO!A:D,4,FALSE)</f>
        <v>9</v>
      </c>
      <c r="G108">
        <v>107</v>
      </c>
      <c r="H108">
        <v>9</v>
      </c>
      <c r="K108">
        <v>107</v>
      </c>
      <c r="L108" t="s">
        <v>25</v>
      </c>
      <c r="N108">
        <v>9</v>
      </c>
      <c r="O108" s="1" t="s">
        <v>596</v>
      </c>
      <c r="P108" s="1" t="s">
        <v>596</v>
      </c>
    </row>
    <row r="109" spans="1:16" x14ac:dyDescent="0.25">
      <c r="A109" t="str">
        <f t="shared" si="1"/>
        <v>INGLÉS9</v>
      </c>
      <c r="B109" t="s">
        <v>500</v>
      </c>
      <c r="C109" t="s">
        <v>190</v>
      </c>
      <c r="D109" t="s">
        <v>56</v>
      </c>
      <c r="E109">
        <f>VLOOKUP(D109,PLAN!A:B,2,FALSE)</f>
        <v>2</v>
      </c>
      <c r="F109">
        <f>VLOOKUP(C109&amp;E109,CURSO!A:D,4,FALSE)</f>
        <v>9</v>
      </c>
      <c r="G109">
        <v>108</v>
      </c>
      <c r="H109">
        <v>10</v>
      </c>
      <c r="K109">
        <v>108</v>
      </c>
      <c r="L109" t="s">
        <v>500</v>
      </c>
      <c r="N109">
        <v>9</v>
      </c>
      <c r="O109" s="1" t="s">
        <v>596</v>
      </c>
      <c r="P109" s="1" t="s">
        <v>596</v>
      </c>
    </row>
    <row r="110" spans="1:16" x14ac:dyDescent="0.25">
      <c r="A110" t="str">
        <f t="shared" si="1"/>
        <v>MECANOGRAFÍA9</v>
      </c>
      <c r="B110" t="s">
        <v>543</v>
      </c>
      <c r="C110" t="s">
        <v>190</v>
      </c>
      <c r="D110" t="s">
        <v>56</v>
      </c>
      <c r="E110">
        <f>VLOOKUP(D110,PLAN!A:B,2,FALSE)</f>
        <v>2</v>
      </c>
      <c r="F110">
        <f>VLOOKUP(C110&amp;E110,CURSO!A:D,4,FALSE)</f>
        <v>9</v>
      </c>
      <c r="G110">
        <v>109</v>
      </c>
      <c r="H110">
        <v>11</v>
      </c>
      <c r="K110">
        <v>109</v>
      </c>
      <c r="L110" t="s">
        <v>543</v>
      </c>
      <c r="N110">
        <v>9</v>
      </c>
      <c r="O110" s="1" t="s">
        <v>596</v>
      </c>
      <c r="P110" s="1" t="s">
        <v>596</v>
      </c>
    </row>
    <row r="111" spans="1:16" x14ac:dyDescent="0.25">
      <c r="A111" t="str">
        <f t="shared" si="1"/>
        <v>PRRÁCTICA CONTABLE9</v>
      </c>
      <c r="B111" t="s">
        <v>544</v>
      </c>
      <c r="C111" t="s">
        <v>190</v>
      </c>
      <c r="D111" t="s">
        <v>56</v>
      </c>
      <c r="E111">
        <f>VLOOKUP(D111,PLAN!A:B,2,FALSE)</f>
        <v>2</v>
      </c>
      <c r="F111">
        <f>VLOOKUP(C111&amp;E111,CURSO!A:D,4,FALSE)</f>
        <v>9</v>
      </c>
      <c r="G111">
        <v>110</v>
      </c>
      <c r="H111">
        <v>12</v>
      </c>
      <c r="K111">
        <v>110</v>
      </c>
      <c r="L111" t="s">
        <v>544</v>
      </c>
      <c r="N111">
        <v>9</v>
      </c>
      <c r="O111" s="1" t="s">
        <v>596</v>
      </c>
      <c r="P111" s="1" t="s">
        <v>596</v>
      </c>
    </row>
    <row r="112" spans="1:16" x14ac:dyDescent="0.25">
      <c r="A112" t="str">
        <f t="shared" si="1"/>
        <v>INFORMÁTICA9</v>
      </c>
      <c r="B112" t="s">
        <v>545</v>
      </c>
      <c r="C112" t="s">
        <v>190</v>
      </c>
      <c r="D112" t="s">
        <v>56</v>
      </c>
      <c r="E112">
        <f>VLOOKUP(D112,PLAN!A:B,2,FALSE)</f>
        <v>2</v>
      </c>
      <c r="F112">
        <f>VLOOKUP(C112&amp;E112,CURSO!A:D,4,FALSE)</f>
        <v>9</v>
      </c>
      <c r="G112">
        <v>111</v>
      </c>
      <c r="H112">
        <v>13</v>
      </c>
      <c r="K112">
        <v>111</v>
      </c>
      <c r="L112" t="s">
        <v>545</v>
      </c>
      <c r="N112">
        <v>9</v>
      </c>
      <c r="O112" s="1" t="s">
        <v>596</v>
      </c>
      <c r="P112" s="1" t="s">
        <v>596</v>
      </c>
    </row>
    <row r="113" spans="1:16" x14ac:dyDescent="0.25">
      <c r="A113" t="str">
        <f t="shared" si="1"/>
        <v>CONTABLIDAD9</v>
      </c>
      <c r="B113" t="s">
        <v>542</v>
      </c>
      <c r="C113" t="s">
        <v>190</v>
      </c>
      <c r="D113" t="s">
        <v>56</v>
      </c>
      <c r="E113">
        <f>VLOOKUP(D113,PLAN!A:B,2,FALSE)</f>
        <v>2</v>
      </c>
      <c r="F113">
        <f>VLOOKUP(C113&amp;E113,CURSO!A:D,4,FALSE)</f>
        <v>9</v>
      </c>
      <c r="G113">
        <v>112</v>
      </c>
      <c r="H113">
        <v>14</v>
      </c>
      <c r="K113">
        <v>112</v>
      </c>
      <c r="L113" t="s">
        <v>542</v>
      </c>
      <c r="N113">
        <v>9</v>
      </c>
      <c r="O113" s="1" t="s">
        <v>596</v>
      </c>
      <c r="P113" s="1" t="s">
        <v>596</v>
      </c>
    </row>
    <row r="114" spans="1:16" x14ac:dyDescent="0.25">
      <c r="A114" t="str">
        <f t="shared" si="1"/>
        <v>EDUCACIÓN FÍSICA9</v>
      </c>
      <c r="B114" t="s">
        <v>10</v>
      </c>
      <c r="C114" t="s">
        <v>190</v>
      </c>
      <c r="D114" t="s">
        <v>56</v>
      </c>
      <c r="E114">
        <f>VLOOKUP(D114,PLAN!A:B,2,FALSE)</f>
        <v>2</v>
      </c>
      <c r="F114">
        <f>VLOOKUP(C114&amp;E114,CURSO!A:D,4,FALSE)</f>
        <v>9</v>
      </c>
      <c r="G114">
        <v>113</v>
      </c>
      <c r="H114">
        <v>15</v>
      </c>
      <c r="K114">
        <v>113</v>
      </c>
      <c r="L114" t="s">
        <v>10</v>
      </c>
      <c r="N114">
        <v>9</v>
      </c>
      <c r="O114" s="1" t="s">
        <v>596</v>
      </c>
      <c r="P114" s="1" t="s">
        <v>596</v>
      </c>
    </row>
    <row r="115" spans="1:16" x14ac:dyDescent="0.25">
      <c r="A115" t="str">
        <f t="shared" si="1"/>
        <v>GEOGRAFÍA10</v>
      </c>
      <c r="B115" t="s">
        <v>26</v>
      </c>
      <c r="C115" t="s">
        <v>220</v>
      </c>
      <c r="D115" t="s">
        <v>56</v>
      </c>
      <c r="E115">
        <f>VLOOKUP(D115,PLAN!A:B,2,FALSE)</f>
        <v>2</v>
      </c>
      <c r="F115">
        <f>VLOOKUP(C115&amp;E115,CURSO!A:D,4,FALSE)</f>
        <v>10</v>
      </c>
      <c r="G115">
        <v>114</v>
      </c>
      <c r="H115">
        <v>1</v>
      </c>
      <c r="K115">
        <v>114</v>
      </c>
      <c r="L115" t="s">
        <v>26</v>
      </c>
      <c r="N115">
        <v>10</v>
      </c>
      <c r="O115" s="1" t="s">
        <v>596</v>
      </c>
      <c r="P115" s="1" t="s">
        <v>596</v>
      </c>
    </row>
    <row r="116" spans="1:16" x14ac:dyDescent="0.25">
      <c r="A116" t="str">
        <f t="shared" si="1"/>
        <v>FILOSOFÍA10</v>
      </c>
      <c r="B116" t="s">
        <v>41</v>
      </c>
      <c r="C116" t="s">
        <v>220</v>
      </c>
      <c r="D116" t="s">
        <v>56</v>
      </c>
      <c r="E116">
        <f>VLOOKUP(D116,PLAN!A:B,2,FALSE)</f>
        <v>2</v>
      </c>
      <c r="F116">
        <f>VLOOKUP(C116&amp;E116,CURSO!A:D,4,FALSE)</f>
        <v>10</v>
      </c>
      <c r="G116">
        <v>115</v>
      </c>
      <c r="H116">
        <v>2</v>
      </c>
      <c r="K116">
        <v>115</v>
      </c>
      <c r="L116" t="s">
        <v>41</v>
      </c>
      <c r="N116">
        <v>10</v>
      </c>
      <c r="O116" s="1" t="s">
        <v>596</v>
      </c>
      <c r="P116" s="1" t="s">
        <v>596</v>
      </c>
    </row>
    <row r="117" spans="1:16" x14ac:dyDescent="0.25">
      <c r="A117" t="str">
        <f t="shared" si="1"/>
        <v>FORMACIÓN CÍVICA10</v>
      </c>
      <c r="B117" t="s">
        <v>546</v>
      </c>
      <c r="C117" t="s">
        <v>220</v>
      </c>
      <c r="D117" t="s">
        <v>56</v>
      </c>
      <c r="E117">
        <f>VLOOKUP(D117,PLAN!A:B,2,FALSE)</f>
        <v>2</v>
      </c>
      <c r="F117">
        <f>VLOOKUP(C117&amp;E117,CURSO!A:D,4,FALSE)</f>
        <v>10</v>
      </c>
      <c r="G117">
        <v>116</v>
      </c>
      <c r="H117">
        <v>3</v>
      </c>
      <c r="K117">
        <v>116</v>
      </c>
      <c r="L117" t="s">
        <v>546</v>
      </c>
      <c r="N117">
        <v>10</v>
      </c>
      <c r="O117" s="1" t="s">
        <v>596</v>
      </c>
      <c r="P117" s="1" t="s">
        <v>596</v>
      </c>
    </row>
    <row r="118" spans="1:16" x14ac:dyDescent="0.25">
      <c r="A118" t="str">
        <f t="shared" si="1"/>
        <v>LITERATURA10</v>
      </c>
      <c r="B118" t="s">
        <v>547</v>
      </c>
      <c r="C118" t="s">
        <v>220</v>
      </c>
      <c r="D118" t="s">
        <v>56</v>
      </c>
      <c r="E118">
        <f>VLOOKUP(D118,PLAN!A:B,2,FALSE)</f>
        <v>2</v>
      </c>
      <c r="F118">
        <f>VLOOKUP(C118&amp;E118,CURSO!A:D,4,FALSE)</f>
        <v>10</v>
      </c>
      <c r="G118">
        <v>117</v>
      </c>
      <c r="H118">
        <v>4</v>
      </c>
      <c r="K118">
        <v>117</v>
      </c>
      <c r="L118" t="s">
        <v>547</v>
      </c>
      <c r="N118">
        <v>10</v>
      </c>
      <c r="O118" s="1" t="s">
        <v>596</v>
      </c>
      <c r="P118" s="1" t="s">
        <v>596</v>
      </c>
    </row>
    <row r="119" spans="1:16" x14ac:dyDescent="0.25">
      <c r="A119" t="str">
        <f t="shared" si="1"/>
        <v>QUÍMICA10</v>
      </c>
      <c r="B119" t="s">
        <v>25</v>
      </c>
      <c r="C119" t="s">
        <v>220</v>
      </c>
      <c r="D119" t="s">
        <v>56</v>
      </c>
      <c r="E119">
        <f>VLOOKUP(D119,PLAN!A:B,2,FALSE)</f>
        <v>2</v>
      </c>
      <c r="F119">
        <f>VLOOKUP(C119&amp;E119,CURSO!A:D,4,FALSE)</f>
        <v>10</v>
      </c>
      <c r="G119">
        <v>118</v>
      </c>
      <c r="H119">
        <v>5</v>
      </c>
      <c r="K119">
        <v>118</v>
      </c>
      <c r="L119" t="s">
        <v>25</v>
      </c>
      <c r="N119">
        <v>10</v>
      </c>
      <c r="O119" s="1" t="s">
        <v>596</v>
      </c>
      <c r="P119" s="1" t="s">
        <v>596</v>
      </c>
    </row>
    <row r="120" spans="1:16" x14ac:dyDescent="0.25">
      <c r="A120" t="str">
        <f t="shared" si="1"/>
        <v>INGLÉS10</v>
      </c>
      <c r="B120" t="s">
        <v>500</v>
      </c>
      <c r="C120" t="s">
        <v>220</v>
      </c>
      <c r="D120" t="s">
        <v>56</v>
      </c>
      <c r="E120">
        <f>VLOOKUP(D120,PLAN!A:B,2,FALSE)</f>
        <v>2</v>
      </c>
      <c r="F120">
        <f>VLOOKUP(C120&amp;E120,CURSO!A:D,4,FALSE)</f>
        <v>10</v>
      </c>
      <c r="G120">
        <v>119</v>
      </c>
      <c r="H120">
        <v>6</v>
      </c>
      <c r="K120">
        <v>119</v>
      </c>
      <c r="L120" t="s">
        <v>500</v>
      </c>
      <c r="N120">
        <v>10</v>
      </c>
      <c r="O120" s="1" t="s">
        <v>596</v>
      </c>
      <c r="P120" s="1" t="s">
        <v>596</v>
      </c>
    </row>
    <row r="121" spans="1:16" x14ac:dyDescent="0.25">
      <c r="A121" t="str">
        <f t="shared" si="1"/>
        <v>MATEMÁTICA FINANCIERA10</v>
      </c>
      <c r="B121" t="s">
        <v>549</v>
      </c>
      <c r="C121" t="s">
        <v>220</v>
      </c>
      <c r="D121" t="s">
        <v>56</v>
      </c>
      <c r="E121">
        <f>VLOOKUP(D121,PLAN!A:B,2,FALSE)</f>
        <v>2</v>
      </c>
      <c r="F121">
        <f>VLOOKUP(C121&amp;E121,CURSO!A:D,4,FALSE)</f>
        <v>10</v>
      </c>
      <c r="G121">
        <v>120</v>
      </c>
      <c r="H121">
        <v>7</v>
      </c>
      <c r="K121">
        <v>120</v>
      </c>
      <c r="L121" t="s">
        <v>549</v>
      </c>
      <c r="N121">
        <v>10</v>
      </c>
      <c r="O121" s="1" t="s">
        <v>596</v>
      </c>
      <c r="P121" s="1" t="s">
        <v>596</v>
      </c>
    </row>
    <row r="122" spans="1:16" x14ac:dyDescent="0.25">
      <c r="A122" t="str">
        <f t="shared" si="1"/>
        <v>MECANOGRAFÍA10</v>
      </c>
      <c r="B122" t="s">
        <v>543</v>
      </c>
      <c r="C122" t="s">
        <v>220</v>
      </c>
      <c r="D122" t="s">
        <v>56</v>
      </c>
      <c r="E122">
        <f>VLOOKUP(D122,PLAN!A:B,2,FALSE)</f>
        <v>2</v>
      </c>
      <c r="F122">
        <f>VLOOKUP(C122&amp;E122,CURSO!A:D,4,FALSE)</f>
        <v>10</v>
      </c>
      <c r="G122">
        <v>121</v>
      </c>
      <c r="H122">
        <v>8</v>
      </c>
      <c r="K122">
        <v>121</v>
      </c>
      <c r="L122" t="s">
        <v>543</v>
      </c>
      <c r="N122">
        <v>10</v>
      </c>
      <c r="O122" s="1" t="s">
        <v>596</v>
      </c>
      <c r="P122" s="1" t="s">
        <v>596</v>
      </c>
    </row>
    <row r="123" spans="1:16" x14ac:dyDescent="0.25">
      <c r="A123" t="str">
        <f t="shared" si="1"/>
        <v>DERECHO COMERCIAL10</v>
      </c>
      <c r="B123" t="s">
        <v>551</v>
      </c>
      <c r="C123" t="s">
        <v>220</v>
      </c>
      <c r="D123" t="s">
        <v>56</v>
      </c>
      <c r="E123">
        <f>VLOOKUP(D123,PLAN!A:B,2,FALSE)</f>
        <v>2</v>
      </c>
      <c r="F123">
        <f>VLOOKUP(C123&amp;E123,CURSO!A:D,4,FALSE)</f>
        <v>10</v>
      </c>
      <c r="G123">
        <v>122</v>
      </c>
      <c r="H123">
        <v>9</v>
      </c>
      <c r="K123">
        <v>122</v>
      </c>
      <c r="L123" t="s">
        <v>551</v>
      </c>
      <c r="N123">
        <v>10</v>
      </c>
      <c r="O123" s="1" t="s">
        <v>596</v>
      </c>
      <c r="P123" s="1" t="s">
        <v>596</v>
      </c>
    </row>
    <row r="124" spans="1:16" x14ac:dyDescent="0.25">
      <c r="A124" t="str">
        <f t="shared" si="1"/>
        <v>DERECHO LABORAL10</v>
      </c>
      <c r="B124" t="s">
        <v>550</v>
      </c>
      <c r="C124" t="s">
        <v>220</v>
      </c>
      <c r="D124" t="s">
        <v>56</v>
      </c>
      <c r="E124">
        <f>VLOOKUP(D124,PLAN!A:B,2,FALSE)</f>
        <v>2</v>
      </c>
      <c r="F124">
        <f>VLOOKUP(C124&amp;E124,CURSO!A:D,4,FALSE)</f>
        <v>10</v>
      </c>
      <c r="G124">
        <v>123</v>
      </c>
      <c r="H124">
        <v>10</v>
      </c>
      <c r="K124">
        <v>123</v>
      </c>
      <c r="L124" t="s">
        <v>550</v>
      </c>
      <c r="N124">
        <v>10</v>
      </c>
      <c r="O124" s="1" t="s">
        <v>596</v>
      </c>
      <c r="P124" s="1" t="s">
        <v>596</v>
      </c>
    </row>
    <row r="125" spans="1:16" x14ac:dyDescent="0.25">
      <c r="A125" t="str">
        <f t="shared" si="1"/>
        <v>ECONOMÍA POLÍTICA10</v>
      </c>
      <c r="B125" t="s">
        <v>552</v>
      </c>
      <c r="C125" t="s">
        <v>220</v>
      </c>
      <c r="D125" t="s">
        <v>56</v>
      </c>
      <c r="E125">
        <f>VLOOKUP(D125,PLAN!A:B,2,FALSE)</f>
        <v>2</v>
      </c>
      <c r="F125">
        <f>VLOOKUP(C125&amp;E125,CURSO!A:D,4,FALSE)</f>
        <v>10</v>
      </c>
      <c r="G125">
        <v>124</v>
      </c>
      <c r="H125">
        <v>11</v>
      </c>
      <c r="K125">
        <v>124</v>
      </c>
      <c r="L125" t="s">
        <v>552</v>
      </c>
      <c r="N125">
        <v>10</v>
      </c>
      <c r="O125" s="1" t="s">
        <v>596</v>
      </c>
      <c r="P125" s="1" t="s">
        <v>596</v>
      </c>
    </row>
    <row r="126" spans="1:16" x14ac:dyDescent="0.25">
      <c r="A126" t="str">
        <f t="shared" si="1"/>
        <v>PRRÁCTICA CONTABLE10</v>
      </c>
      <c r="B126" t="s">
        <v>544</v>
      </c>
      <c r="C126" t="s">
        <v>220</v>
      </c>
      <c r="D126" t="s">
        <v>56</v>
      </c>
      <c r="E126">
        <f>VLOOKUP(D126,PLAN!A:B,2,FALSE)</f>
        <v>2</v>
      </c>
      <c r="F126">
        <f>VLOOKUP(C126&amp;E126,CURSO!A:D,4,FALSE)</f>
        <v>10</v>
      </c>
      <c r="G126">
        <v>125</v>
      </c>
      <c r="H126">
        <v>12</v>
      </c>
      <c r="K126">
        <v>125</v>
      </c>
      <c r="L126" t="s">
        <v>544</v>
      </c>
      <c r="N126">
        <v>10</v>
      </c>
      <c r="O126" s="1" t="s">
        <v>596</v>
      </c>
      <c r="P126" s="1" t="s">
        <v>596</v>
      </c>
    </row>
    <row r="127" spans="1:16" x14ac:dyDescent="0.25">
      <c r="A127" t="str">
        <f t="shared" si="1"/>
        <v>INFORMÁTICA10</v>
      </c>
      <c r="B127" t="s">
        <v>545</v>
      </c>
      <c r="C127" t="s">
        <v>220</v>
      </c>
      <c r="D127" t="s">
        <v>56</v>
      </c>
      <c r="E127">
        <f>VLOOKUP(D127,PLAN!A:B,2,FALSE)</f>
        <v>2</v>
      </c>
      <c r="F127">
        <f>VLOOKUP(C127&amp;E127,CURSO!A:D,4,FALSE)</f>
        <v>10</v>
      </c>
      <c r="G127">
        <v>126</v>
      </c>
      <c r="H127">
        <v>13</v>
      </c>
      <c r="K127">
        <v>126</v>
      </c>
      <c r="L127" t="s">
        <v>545</v>
      </c>
      <c r="N127">
        <v>10</v>
      </c>
      <c r="O127" s="1" t="s">
        <v>596</v>
      </c>
      <c r="P127" s="1" t="s">
        <v>596</v>
      </c>
    </row>
    <row r="128" spans="1:16" x14ac:dyDescent="0.25">
      <c r="A128" t="str">
        <f t="shared" si="1"/>
        <v>CONTABLIDAD10</v>
      </c>
      <c r="B128" t="s">
        <v>542</v>
      </c>
      <c r="C128" t="s">
        <v>220</v>
      </c>
      <c r="D128" t="s">
        <v>56</v>
      </c>
      <c r="E128">
        <f>VLOOKUP(D128,PLAN!A:B,2,FALSE)</f>
        <v>2</v>
      </c>
      <c r="F128">
        <f>VLOOKUP(C128&amp;E128,CURSO!A:D,4,FALSE)</f>
        <v>10</v>
      </c>
      <c r="G128">
        <v>127</v>
      </c>
      <c r="H128">
        <v>14</v>
      </c>
      <c r="K128">
        <v>127</v>
      </c>
      <c r="L128" t="s">
        <v>542</v>
      </c>
      <c r="N128">
        <v>10</v>
      </c>
      <c r="O128" s="1" t="s">
        <v>596</v>
      </c>
      <c r="P128" s="1" t="s">
        <v>596</v>
      </c>
    </row>
    <row r="129" spans="1:16" x14ac:dyDescent="0.25">
      <c r="A129" t="str">
        <f t="shared" si="1"/>
        <v>EDUCACIÓN FÍSICA10</v>
      </c>
      <c r="B129" t="s">
        <v>10</v>
      </c>
      <c r="C129" t="s">
        <v>220</v>
      </c>
      <c r="D129" t="s">
        <v>56</v>
      </c>
      <c r="E129">
        <f>VLOOKUP(D129,PLAN!A:B,2,FALSE)</f>
        <v>2</v>
      </c>
      <c r="F129">
        <f>VLOOKUP(C129&amp;E129,CURSO!A:D,4,FALSE)</f>
        <v>10</v>
      </c>
      <c r="G129">
        <v>128</v>
      </c>
      <c r="H129">
        <v>15</v>
      </c>
      <c r="K129">
        <v>128</v>
      </c>
      <c r="L129" t="s">
        <v>10</v>
      </c>
      <c r="N129">
        <v>10</v>
      </c>
      <c r="O129" s="1" t="s">
        <v>596</v>
      </c>
      <c r="P129" s="1" t="s">
        <v>596</v>
      </c>
    </row>
    <row r="130" spans="1:16" x14ac:dyDescent="0.25">
      <c r="A130" t="str">
        <f t="shared" ref="A130:A193" si="2">B130&amp;F130</f>
        <v>LENGUA CASTELLANA11</v>
      </c>
      <c r="B130" t="s">
        <v>499</v>
      </c>
      <c r="C130" t="s">
        <v>98</v>
      </c>
      <c r="D130" t="s">
        <v>57</v>
      </c>
      <c r="E130">
        <f>VLOOKUP(D130,PLAN!A:B,2,FALSE)</f>
        <v>3</v>
      </c>
      <c r="F130">
        <f>VLOOKUP(C130&amp;E130,CURSO!A:D,4,FALSE)</f>
        <v>11</v>
      </c>
      <c r="G130">
        <v>129</v>
      </c>
      <c r="H130">
        <v>1</v>
      </c>
      <c r="K130">
        <v>129</v>
      </c>
      <c r="L130" t="s">
        <v>499</v>
      </c>
      <c r="N130">
        <v>11</v>
      </c>
      <c r="O130" s="1" t="s">
        <v>596</v>
      </c>
      <c r="P130" s="1" t="s">
        <v>596</v>
      </c>
    </row>
    <row r="131" spans="1:16" x14ac:dyDescent="0.25">
      <c r="A131" t="str">
        <f t="shared" si="2"/>
        <v>INGLÉS11</v>
      </c>
      <c r="B131" t="s">
        <v>500</v>
      </c>
      <c r="C131" t="s">
        <v>98</v>
      </c>
      <c r="D131" t="s">
        <v>57</v>
      </c>
      <c r="E131">
        <f>VLOOKUP(D131,PLAN!A:B,2,FALSE)</f>
        <v>3</v>
      </c>
      <c r="F131">
        <f>VLOOKUP(C131&amp;E131,CURSO!A:D,4,FALSE)</f>
        <v>11</v>
      </c>
      <c r="G131">
        <v>130</v>
      </c>
      <c r="H131">
        <v>2</v>
      </c>
      <c r="K131">
        <v>130</v>
      </c>
      <c r="L131" t="s">
        <v>500</v>
      </c>
      <c r="N131">
        <v>11</v>
      </c>
      <c r="O131" s="1" t="s">
        <v>596</v>
      </c>
      <c r="P131" s="1" t="s">
        <v>596</v>
      </c>
    </row>
    <row r="132" spans="1:16" x14ac:dyDescent="0.25">
      <c r="A132" t="str">
        <f t="shared" si="2"/>
        <v>MATEMÁTICA11</v>
      </c>
      <c r="B132" t="s">
        <v>12</v>
      </c>
      <c r="C132" t="s">
        <v>98</v>
      </c>
      <c r="D132" t="s">
        <v>57</v>
      </c>
      <c r="E132">
        <f>VLOOKUP(D132,PLAN!A:B,2,FALSE)</f>
        <v>3</v>
      </c>
      <c r="F132">
        <f>VLOOKUP(C132&amp;E132,CURSO!A:D,4,FALSE)</f>
        <v>11</v>
      </c>
      <c r="G132">
        <v>131</v>
      </c>
      <c r="H132">
        <v>3</v>
      </c>
      <c r="K132">
        <v>131</v>
      </c>
      <c r="L132" t="s">
        <v>12</v>
      </c>
      <c r="N132">
        <v>11</v>
      </c>
      <c r="O132" s="1" t="s">
        <v>596</v>
      </c>
      <c r="P132" s="1" t="s">
        <v>596</v>
      </c>
    </row>
    <row r="133" spans="1:16" x14ac:dyDescent="0.25">
      <c r="A133" t="str">
        <f t="shared" si="2"/>
        <v>BIOLOGÍA11</v>
      </c>
      <c r="B133" t="s">
        <v>21</v>
      </c>
      <c r="C133" t="s">
        <v>98</v>
      </c>
      <c r="D133" t="s">
        <v>57</v>
      </c>
      <c r="E133">
        <f>VLOOKUP(D133,PLAN!A:B,2,FALSE)</f>
        <v>3</v>
      </c>
      <c r="F133">
        <f>VLOOKUP(C133&amp;E133,CURSO!A:D,4,FALSE)</f>
        <v>11</v>
      </c>
      <c r="G133">
        <v>132</v>
      </c>
      <c r="H133">
        <v>4</v>
      </c>
      <c r="K133">
        <v>132</v>
      </c>
      <c r="L133" t="s">
        <v>21</v>
      </c>
      <c r="N133">
        <v>11</v>
      </c>
      <c r="O133" s="1" t="s">
        <v>596</v>
      </c>
      <c r="P133" s="1" t="s">
        <v>596</v>
      </c>
    </row>
    <row r="134" spans="1:16" x14ac:dyDescent="0.25">
      <c r="A134" t="str">
        <f t="shared" si="2"/>
        <v>FÍSICA11</v>
      </c>
      <c r="B134" t="s">
        <v>24</v>
      </c>
      <c r="C134" t="s">
        <v>98</v>
      </c>
      <c r="D134" t="s">
        <v>57</v>
      </c>
      <c r="E134">
        <f>VLOOKUP(D134,PLAN!A:B,2,FALSE)</f>
        <v>3</v>
      </c>
      <c r="F134">
        <f>VLOOKUP(C134&amp;E134,CURSO!A:D,4,FALSE)</f>
        <v>11</v>
      </c>
      <c r="G134">
        <v>133</v>
      </c>
      <c r="H134">
        <v>5</v>
      </c>
      <c r="K134">
        <v>133</v>
      </c>
      <c r="L134" t="s">
        <v>24</v>
      </c>
      <c r="N134">
        <v>11</v>
      </c>
      <c r="O134" s="1" t="s">
        <v>596</v>
      </c>
      <c r="P134" s="1" t="s">
        <v>596</v>
      </c>
    </row>
    <row r="135" spans="1:16" x14ac:dyDescent="0.25">
      <c r="A135" t="str">
        <f t="shared" si="2"/>
        <v>QUÍMICA11</v>
      </c>
      <c r="B135" t="s">
        <v>25</v>
      </c>
      <c r="C135" t="s">
        <v>98</v>
      </c>
      <c r="D135" t="s">
        <v>57</v>
      </c>
      <c r="E135">
        <f>VLOOKUP(D135,PLAN!A:B,2,FALSE)</f>
        <v>3</v>
      </c>
      <c r="F135">
        <f>VLOOKUP(C135&amp;E135,CURSO!A:D,4,FALSE)</f>
        <v>11</v>
      </c>
      <c r="G135">
        <v>134</v>
      </c>
      <c r="H135">
        <v>6</v>
      </c>
      <c r="K135">
        <v>134</v>
      </c>
      <c r="L135" t="s">
        <v>25</v>
      </c>
      <c r="N135">
        <v>11</v>
      </c>
      <c r="O135" s="1" t="s">
        <v>596</v>
      </c>
      <c r="P135" s="1" t="s">
        <v>596</v>
      </c>
    </row>
    <row r="136" spans="1:16" x14ac:dyDescent="0.25">
      <c r="A136" t="str">
        <f t="shared" si="2"/>
        <v>HISTORIA11</v>
      </c>
      <c r="B136" t="s">
        <v>27</v>
      </c>
      <c r="C136" t="s">
        <v>98</v>
      </c>
      <c r="D136" t="s">
        <v>57</v>
      </c>
      <c r="E136">
        <f>VLOOKUP(D136,PLAN!A:B,2,FALSE)</f>
        <v>3</v>
      </c>
      <c r="F136">
        <f>VLOOKUP(C136&amp;E136,CURSO!A:D,4,FALSE)</f>
        <v>11</v>
      </c>
      <c r="G136">
        <v>135</v>
      </c>
      <c r="H136">
        <v>7</v>
      </c>
      <c r="K136">
        <v>135</v>
      </c>
      <c r="L136" t="s">
        <v>27</v>
      </c>
      <c r="N136">
        <v>11</v>
      </c>
      <c r="O136" s="1" t="s">
        <v>596</v>
      </c>
      <c r="P136" s="1" t="s">
        <v>596</v>
      </c>
    </row>
    <row r="137" spans="1:16" x14ac:dyDescent="0.25">
      <c r="A137" t="str">
        <f t="shared" si="2"/>
        <v>GEOGRAFÍA11</v>
      </c>
      <c r="B137" t="s">
        <v>26</v>
      </c>
      <c r="C137" t="s">
        <v>98</v>
      </c>
      <c r="D137" t="s">
        <v>57</v>
      </c>
      <c r="E137">
        <f>VLOOKUP(D137,PLAN!A:B,2,FALSE)</f>
        <v>3</v>
      </c>
      <c r="F137">
        <f>VLOOKUP(C137&amp;E137,CURSO!A:D,4,FALSE)</f>
        <v>11</v>
      </c>
      <c r="G137">
        <v>136</v>
      </c>
      <c r="H137">
        <v>8</v>
      </c>
      <c r="K137">
        <v>136</v>
      </c>
      <c r="L137" t="s">
        <v>26</v>
      </c>
      <c r="N137">
        <v>11</v>
      </c>
      <c r="O137" s="1" t="s">
        <v>596</v>
      </c>
      <c r="P137" s="1" t="s">
        <v>596</v>
      </c>
    </row>
    <row r="138" spans="1:16" x14ac:dyDescent="0.25">
      <c r="A138" t="str">
        <f t="shared" si="2"/>
        <v>EDUCACIÓN TECNOLÓGICA11</v>
      </c>
      <c r="B138" t="s">
        <v>18</v>
      </c>
      <c r="C138" t="s">
        <v>98</v>
      </c>
      <c r="D138" t="s">
        <v>57</v>
      </c>
      <c r="E138">
        <f>VLOOKUP(D138,PLAN!A:B,2,FALSE)</f>
        <v>3</v>
      </c>
      <c r="F138">
        <f>VLOOKUP(C138&amp;E138,CURSO!A:D,4,FALSE)</f>
        <v>11</v>
      </c>
      <c r="G138">
        <v>137</v>
      </c>
      <c r="H138">
        <v>9</v>
      </c>
      <c r="K138">
        <v>137</v>
      </c>
      <c r="L138" t="s">
        <v>18</v>
      </c>
      <c r="N138">
        <v>11</v>
      </c>
      <c r="O138" s="1" t="s">
        <v>596</v>
      </c>
      <c r="P138" s="1" t="s">
        <v>596</v>
      </c>
    </row>
    <row r="139" spans="1:16" x14ac:dyDescent="0.25">
      <c r="A139" t="str">
        <f t="shared" si="2"/>
        <v>EDUCACIÓN PLÁSTICA11</v>
      </c>
      <c r="B139" t="s">
        <v>539</v>
      </c>
      <c r="C139" t="s">
        <v>98</v>
      </c>
      <c r="D139" t="s">
        <v>57</v>
      </c>
      <c r="E139">
        <f>VLOOKUP(D139,PLAN!A:B,2,FALSE)</f>
        <v>3</v>
      </c>
      <c r="F139">
        <f>VLOOKUP(C139&amp;E139,CURSO!A:D,4,FALSE)</f>
        <v>11</v>
      </c>
      <c r="G139">
        <v>138</v>
      </c>
      <c r="H139">
        <v>10</v>
      </c>
      <c r="K139">
        <v>138</v>
      </c>
      <c r="L139" t="s">
        <v>539</v>
      </c>
      <c r="N139">
        <v>11</v>
      </c>
      <c r="O139" s="1" t="s">
        <v>596</v>
      </c>
      <c r="P139" s="1" t="s">
        <v>596</v>
      </c>
    </row>
    <row r="140" spans="1:16" x14ac:dyDescent="0.25">
      <c r="A140" t="str">
        <f t="shared" si="2"/>
        <v>MÚSICA11</v>
      </c>
      <c r="B140" t="s">
        <v>554</v>
      </c>
      <c r="C140" t="s">
        <v>98</v>
      </c>
      <c r="D140" t="s">
        <v>57</v>
      </c>
      <c r="E140">
        <f>VLOOKUP(D140,PLAN!A:B,2,FALSE)</f>
        <v>3</v>
      </c>
      <c r="F140">
        <f>VLOOKUP(C140&amp;E140,CURSO!A:D,4,FALSE)</f>
        <v>11</v>
      </c>
      <c r="G140">
        <v>139</v>
      </c>
      <c r="H140">
        <v>11</v>
      </c>
      <c r="K140">
        <v>139</v>
      </c>
      <c r="L140" t="s">
        <v>554</v>
      </c>
      <c r="N140">
        <v>11</v>
      </c>
      <c r="O140" s="1" t="s">
        <v>596</v>
      </c>
      <c r="P140" s="1" t="s">
        <v>596</v>
      </c>
    </row>
    <row r="141" spans="1:16" x14ac:dyDescent="0.25">
      <c r="A141" t="str">
        <f t="shared" si="2"/>
        <v>FORMACIÓN ÉTICA Y CIUDADANA11</v>
      </c>
      <c r="B141" t="s">
        <v>555</v>
      </c>
      <c r="C141" t="s">
        <v>98</v>
      </c>
      <c r="D141" t="s">
        <v>57</v>
      </c>
      <c r="E141">
        <f>VLOOKUP(D141,PLAN!A:B,2,FALSE)</f>
        <v>3</v>
      </c>
      <c r="F141">
        <f>VLOOKUP(C141&amp;E141,CURSO!A:D,4,FALSE)</f>
        <v>11</v>
      </c>
      <c r="G141">
        <v>140</v>
      </c>
      <c r="H141">
        <v>12</v>
      </c>
      <c r="K141">
        <v>140</v>
      </c>
      <c r="L141" t="s">
        <v>555</v>
      </c>
      <c r="N141">
        <v>11</v>
      </c>
      <c r="O141" s="1" t="s">
        <v>596</v>
      </c>
      <c r="P141" s="1" t="s">
        <v>596</v>
      </c>
    </row>
    <row r="142" spans="1:16" x14ac:dyDescent="0.25">
      <c r="A142" t="str">
        <f t="shared" si="2"/>
        <v>EDUCACIÓN FÍSICA11</v>
      </c>
      <c r="B142" t="s">
        <v>10</v>
      </c>
      <c r="C142" t="s">
        <v>98</v>
      </c>
      <c r="D142" t="s">
        <v>57</v>
      </c>
      <c r="E142">
        <f>VLOOKUP(D142,PLAN!A:B,2,FALSE)</f>
        <v>3</v>
      </c>
      <c r="F142">
        <f>VLOOKUP(C142&amp;E142,CURSO!A:D,4,FALSE)</f>
        <v>11</v>
      </c>
      <c r="G142">
        <v>141</v>
      </c>
      <c r="H142">
        <v>13</v>
      </c>
      <c r="K142">
        <v>141</v>
      </c>
      <c r="L142" t="s">
        <v>10</v>
      </c>
      <c r="N142">
        <v>11</v>
      </c>
      <c r="O142" s="1" t="s">
        <v>596</v>
      </c>
      <c r="P142" s="1" t="s">
        <v>596</v>
      </c>
    </row>
    <row r="143" spans="1:16" x14ac:dyDescent="0.25">
      <c r="A143" t="str">
        <f t="shared" si="2"/>
        <v>LENGUA CASTELLANA12</v>
      </c>
      <c r="B143" t="s">
        <v>499</v>
      </c>
      <c r="C143" t="s">
        <v>95</v>
      </c>
      <c r="D143" t="s">
        <v>57</v>
      </c>
      <c r="E143">
        <f>VLOOKUP(D143,PLAN!A:B,2,FALSE)</f>
        <v>3</v>
      </c>
      <c r="F143">
        <f>VLOOKUP(C143&amp;E143,CURSO!A:D,4,FALSE)</f>
        <v>12</v>
      </c>
      <c r="G143">
        <v>142</v>
      </c>
      <c r="H143">
        <v>1</v>
      </c>
      <c r="K143">
        <v>142</v>
      </c>
      <c r="L143" t="s">
        <v>499</v>
      </c>
      <c r="N143">
        <v>12</v>
      </c>
      <c r="O143" s="1" t="s">
        <v>596</v>
      </c>
      <c r="P143" s="1" t="s">
        <v>596</v>
      </c>
    </row>
    <row r="144" spans="1:16" x14ac:dyDescent="0.25">
      <c r="A144" t="str">
        <f t="shared" si="2"/>
        <v>INGLÉS12</v>
      </c>
      <c r="B144" t="s">
        <v>500</v>
      </c>
      <c r="C144" t="s">
        <v>95</v>
      </c>
      <c r="D144" t="s">
        <v>57</v>
      </c>
      <c r="E144">
        <f>VLOOKUP(D144,PLAN!A:B,2,FALSE)</f>
        <v>3</v>
      </c>
      <c r="F144">
        <f>VLOOKUP(C144&amp;E144,CURSO!A:D,4,FALSE)</f>
        <v>12</v>
      </c>
      <c r="G144">
        <v>143</v>
      </c>
      <c r="H144">
        <v>2</v>
      </c>
      <c r="K144">
        <v>143</v>
      </c>
      <c r="L144" t="s">
        <v>500</v>
      </c>
      <c r="N144">
        <v>12</v>
      </c>
      <c r="O144" s="1" t="s">
        <v>596</v>
      </c>
      <c r="P144" s="1" t="s">
        <v>596</v>
      </c>
    </row>
    <row r="145" spans="1:16" x14ac:dyDescent="0.25">
      <c r="A145" t="str">
        <f t="shared" si="2"/>
        <v>MATEMÁTICA12</v>
      </c>
      <c r="B145" t="s">
        <v>12</v>
      </c>
      <c r="C145" t="s">
        <v>95</v>
      </c>
      <c r="D145" t="s">
        <v>57</v>
      </c>
      <c r="E145">
        <f>VLOOKUP(D145,PLAN!A:B,2,FALSE)</f>
        <v>3</v>
      </c>
      <c r="F145">
        <f>VLOOKUP(C145&amp;E145,CURSO!A:D,4,FALSE)</f>
        <v>12</v>
      </c>
      <c r="G145">
        <v>144</v>
      </c>
      <c r="H145">
        <v>3</v>
      </c>
      <c r="K145">
        <v>144</v>
      </c>
      <c r="L145" t="s">
        <v>12</v>
      </c>
      <c r="N145">
        <v>12</v>
      </c>
      <c r="O145" s="1" t="s">
        <v>596</v>
      </c>
      <c r="P145" s="1" t="s">
        <v>596</v>
      </c>
    </row>
    <row r="146" spans="1:16" x14ac:dyDescent="0.25">
      <c r="A146" t="str">
        <f t="shared" si="2"/>
        <v>BIOLOGÍA12</v>
      </c>
      <c r="B146" t="s">
        <v>21</v>
      </c>
      <c r="C146" t="s">
        <v>95</v>
      </c>
      <c r="D146" t="s">
        <v>57</v>
      </c>
      <c r="E146">
        <f>VLOOKUP(D146,PLAN!A:B,2,FALSE)</f>
        <v>3</v>
      </c>
      <c r="F146">
        <f>VLOOKUP(C146&amp;E146,CURSO!A:D,4,FALSE)</f>
        <v>12</v>
      </c>
      <c r="G146">
        <v>145</v>
      </c>
      <c r="H146">
        <v>4</v>
      </c>
      <c r="K146">
        <v>145</v>
      </c>
      <c r="L146" t="s">
        <v>21</v>
      </c>
      <c r="N146">
        <v>12</v>
      </c>
      <c r="O146" s="1" t="s">
        <v>596</v>
      </c>
      <c r="P146" s="1" t="s">
        <v>596</v>
      </c>
    </row>
    <row r="147" spans="1:16" x14ac:dyDescent="0.25">
      <c r="A147" t="str">
        <f t="shared" si="2"/>
        <v>FÍSICA12</v>
      </c>
      <c r="B147" t="s">
        <v>24</v>
      </c>
      <c r="C147" t="s">
        <v>95</v>
      </c>
      <c r="D147" t="s">
        <v>57</v>
      </c>
      <c r="E147">
        <f>VLOOKUP(D147,PLAN!A:B,2,FALSE)</f>
        <v>3</v>
      </c>
      <c r="F147">
        <f>VLOOKUP(C147&amp;E147,CURSO!A:D,4,FALSE)</f>
        <v>12</v>
      </c>
      <c r="G147">
        <v>146</v>
      </c>
      <c r="H147">
        <v>5</v>
      </c>
      <c r="K147">
        <v>146</v>
      </c>
      <c r="L147" t="s">
        <v>24</v>
      </c>
      <c r="N147">
        <v>12</v>
      </c>
      <c r="O147" s="1" t="s">
        <v>596</v>
      </c>
      <c r="P147" s="1" t="s">
        <v>596</v>
      </c>
    </row>
    <row r="148" spans="1:16" x14ac:dyDescent="0.25">
      <c r="A148" t="str">
        <f t="shared" si="2"/>
        <v>QUÍMICA12</v>
      </c>
      <c r="B148" t="s">
        <v>25</v>
      </c>
      <c r="C148" t="s">
        <v>95</v>
      </c>
      <c r="D148" t="s">
        <v>57</v>
      </c>
      <c r="E148">
        <f>VLOOKUP(D148,PLAN!A:B,2,FALSE)</f>
        <v>3</v>
      </c>
      <c r="F148">
        <f>VLOOKUP(C148&amp;E148,CURSO!A:D,4,FALSE)</f>
        <v>12</v>
      </c>
      <c r="G148">
        <v>147</v>
      </c>
      <c r="H148">
        <v>6</v>
      </c>
      <c r="K148">
        <v>147</v>
      </c>
      <c r="L148" t="s">
        <v>25</v>
      </c>
      <c r="N148">
        <v>12</v>
      </c>
      <c r="O148" s="1" t="s">
        <v>596</v>
      </c>
      <c r="P148" s="1" t="s">
        <v>596</v>
      </c>
    </row>
    <row r="149" spans="1:16" x14ac:dyDescent="0.25">
      <c r="A149" t="str">
        <f t="shared" si="2"/>
        <v>HISTORIA12</v>
      </c>
      <c r="B149" t="s">
        <v>27</v>
      </c>
      <c r="C149" t="s">
        <v>95</v>
      </c>
      <c r="D149" t="s">
        <v>57</v>
      </c>
      <c r="E149">
        <f>VLOOKUP(D149,PLAN!A:B,2,FALSE)</f>
        <v>3</v>
      </c>
      <c r="F149">
        <f>VLOOKUP(C149&amp;E149,CURSO!A:D,4,FALSE)</f>
        <v>12</v>
      </c>
      <c r="G149">
        <v>148</v>
      </c>
      <c r="H149">
        <v>7</v>
      </c>
      <c r="K149">
        <v>148</v>
      </c>
      <c r="L149" t="s">
        <v>27</v>
      </c>
      <c r="N149">
        <v>12</v>
      </c>
      <c r="O149" s="1" t="s">
        <v>596</v>
      </c>
      <c r="P149" s="1" t="s">
        <v>596</v>
      </c>
    </row>
    <row r="150" spans="1:16" x14ac:dyDescent="0.25">
      <c r="A150" t="str">
        <f t="shared" si="2"/>
        <v>GEOGRAFÍA12</v>
      </c>
      <c r="B150" t="s">
        <v>26</v>
      </c>
      <c r="C150" t="s">
        <v>95</v>
      </c>
      <c r="D150" t="s">
        <v>57</v>
      </c>
      <c r="E150">
        <f>VLOOKUP(D150,PLAN!A:B,2,FALSE)</f>
        <v>3</v>
      </c>
      <c r="F150">
        <f>VLOOKUP(C150&amp;E150,CURSO!A:D,4,FALSE)</f>
        <v>12</v>
      </c>
      <c r="G150">
        <v>149</v>
      </c>
      <c r="H150">
        <v>8</v>
      </c>
      <c r="K150">
        <v>149</v>
      </c>
      <c r="L150" t="s">
        <v>26</v>
      </c>
      <c r="N150">
        <v>12</v>
      </c>
      <c r="O150" s="1" t="s">
        <v>596</v>
      </c>
      <c r="P150" s="1" t="s">
        <v>596</v>
      </c>
    </row>
    <row r="151" spans="1:16" x14ac:dyDescent="0.25">
      <c r="A151" t="str">
        <f t="shared" si="2"/>
        <v>EDUCACIÓN TECNOLÓGICA12</v>
      </c>
      <c r="B151" t="s">
        <v>18</v>
      </c>
      <c r="C151" t="s">
        <v>95</v>
      </c>
      <c r="D151" t="s">
        <v>57</v>
      </c>
      <c r="E151">
        <f>VLOOKUP(D151,PLAN!A:B,2,FALSE)</f>
        <v>3</v>
      </c>
      <c r="F151">
        <f>VLOOKUP(C151&amp;E151,CURSO!A:D,4,FALSE)</f>
        <v>12</v>
      </c>
      <c r="G151">
        <v>150</v>
      </c>
      <c r="H151">
        <v>9</v>
      </c>
      <c r="K151">
        <v>150</v>
      </c>
      <c r="L151" t="s">
        <v>18</v>
      </c>
      <c r="N151">
        <v>12</v>
      </c>
      <c r="O151" s="1" t="s">
        <v>596</v>
      </c>
      <c r="P151" s="1" t="s">
        <v>596</v>
      </c>
    </row>
    <row r="152" spans="1:16" x14ac:dyDescent="0.25">
      <c r="A152" t="str">
        <f t="shared" si="2"/>
        <v>EDUCACIÓN PLÁSTICA12</v>
      </c>
      <c r="B152" t="s">
        <v>539</v>
      </c>
      <c r="C152" t="s">
        <v>95</v>
      </c>
      <c r="D152" t="s">
        <v>57</v>
      </c>
      <c r="E152">
        <f>VLOOKUP(D152,PLAN!A:B,2,FALSE)</f>
        <v>3</v>
      </c>
      <c r="F152">
        <f>VLOOKUP(C152&amp;E152,CURSO!A:D,4,FALSE)</f>
        <v>12</v>
      </c>
      <c r="G152">
        <v>151</v>
      </c>
      <c r="H152">
        <v>10</v>
      </c>
      <c r="K152">
        <v>151</v>
      </c>
      <c r="L152" t="s">
        <v>539</v>
      </c>
      <c r="N152">
        <v>12</v>
      </c>
      <c r="O152" s="1" t="s">
        <v>596</v>
      </c>
      <c r="P152" s="1" t="s">
        <v>596</v>
      </c>
    </row>
    <row r="153" spans="1:16" x14ac:dyDescent="0.25">
      <c r="A153" t="str">
        <f t="shared" si="2"/>
        <v>MÚSICA12</v>
      </c>
      <c r="B153" t="s">
        <v>554</v>
      </c>
      <c r="C153" t="s">
        <v>95</v>
      </c>
      <c r="D153" t="s">
        <v>57</v>
      </c>
      <c r="E153">
        <f>VLOOKUP(D153,PLAN!A:B,2,FALSE)</f>
        <v>3</v>
      </c>
      <c r="F153">
        <f>VLOOKUP(C153&amp;E153,CURSO!A:D,4,FALSE)</f>
        <v>12</v>
      </c>
      <c r="G153">
        <v>152</v>
      </c>
      <c r="H153">
        <v>11</v>
      </c>
      <c r="K153">
        <v>152</v>
      </c>
      <c r="L153" t="s">
        <v>554</v>
      </c>
      <c r="N153">
        <v>12</v>
      </c>
      <c r="O153" s="1" t="s">
        <v>596</v>
      </c>
      <c r="P153" s="1" t="s">
        <v>596</v>
      </c>
    </row>
    <row r="154" spans="1:16" x14ac:dyDescent="0.25">
      <c r="A154" t="str">
        <f t="shared" si="2"/>
        <v>FORMACIÓN ÉTICA Y CIUDADANA12</v>
      </c>
      <c r="B154" t="s">
        <v>555</v>
      </c>
      <c r="C154" t="s">
        <v>95</v>
      </c>
      <c r="D154" t="s">
        <v>57</v>
      </c>
      <c r="E154">
        <f>VLOOKUP(D154,PLAN!A:B,2,FALSE)</f>
        <v>3</v>
      </c>
      <c r="F154">
        <f>VLOOKUP(C154&amp;E154,CURSO!A:D,4,FALSE)</f>
        <v>12</v>
      </c>
      <c r="G154">
        <v>153</v>
      </c>
      <c r="H154">
        <v>12</v>
      </c>
      <c r="K154">
        <v>153</v>
      </c>
      <c r="L154" t="s">
        <v>555</v>
      </c>
      <c r="N154">
        <v>12</v>
      </c>
      <c r="O154" s="1" t="s">
        <v>596</v>
      </c>
      <c r="P154" s="1" t="s">
        <v>596</v>
      </c>
    </row>
    <row r="155" spans="1:16" x14ac:dyDescent="0.25">
      <c r="A155" t="str">
        <f t="shared" si="2"/>
        <v>EDUCACIÓN FÍSICA12</v>
      </c>
      <c r="B155" t="s">
        <v>10</v>
      </c>
      <c r="C155" t="s">
        <v>95</v>
      </c>
      <c r="D155" t="s">
        <v>57</v>
      </c>
      <c r="E155">
        <f>VLOOKUP(D155,PLAN!A:B,2,FALSE)</f>
        <v>3</v>
      </c>
      <c r="F155">
        <f>VLOOKUP(C155&amp;E155,CURSO!A:D,4,FALSE)</f>
        <v>12</v>
      </c>
      <c r="G155">
        <v>154</v>
      </c>
      <c r="H155">
        <v>13</v>
      </c>
      <c r="K155">
        <v>154</v>
      </c>
      <c r="L155" t="s">
        <v>10</v>
      </c>
      <c r="N155">
        <v>12</v>
      </c>
      <c r="O155" s="1" t="s">
        <v>596</v>
      </c>
      <c r="P155" s="1" t="s">
        <v>596</v>
      </c>
    </row>
    <row r="156" spans="1:16" x14ac:dyDescent="0.25">
      <c r="A156" t="str">
        <f t="shared" si="2"/>
        <v>LENGUA CASTELLANA13</v>
      </c>
      <c r="B156" t="s">
        <v>499</v>
      </c>
      <c r="C156" t="s">
        <v>143</v>
      </c>
      <c r="D156" t="s">
        <v>57</v>
      </c>
      <c r="E156">
        <f>VLOOKUP(D156,PLAN!A:B,2,FALSE)</f>
        <v>3</v>
      </c>
      <c r="F156">
        <f>VLOOKUP(C156&amp;E156,CURSO!A:D,4,FALSE)</f>
        <v>13</v>
      </c>
      <c r="G156">
        <v>155</v>
      </c>
      <c r="H156">
        <v>1</v>
      </c>
      <c r="K156">
        <v>155</v>
      </c>
      <c r="L156" t="s">
        <v>499</v>
      </c>
      <c r="N156">
        <v>13</v>
      </c>
      <c r="O156" s="1" t="s">
        <v>596</v>
      </c>
      <c r="P156" s="1" t="s">
        <v>596</v>
      </c>
    </row>
    <row r="157" spans="1:16" x14ac:dyDescent="0.25">
      <c r="A157" t="str">
        <f t="shared" si="2"/>
        <v>INGLÉS13</v>
      </c>
      <c r="B157" t="s">
        <v>500</v>
      </c>
      <c r="C157" t="s">
        <v>143</v>
      </c>
      <c r="D157" t="s">
        <v>57</v>
      </c>
      <c r="E157">
        <f>VLOOKUP(D157,PLAN!A:B,2,FALSE)</f>
        <v>3</v>
      </c>
      <c r="F157">
        <f>VLOOKUP(C157&amp;E157,CURSO!A:D,4,FALSE)</f>
        <v>13</v>
      </c>
      <c r="G157">
        <v>156</v>
      </c>
      <c r="H157">
        <v>2</v>
      </c>
      <c r="K157">
        <v>156</v>
      </c>
      <c r="L157" t="s">
        <v>500</v>
      </c>
      <c r="N157">
        <v>13</v>
      </c>
      <c r="O157" s="1" t="s">
        <v>596</v>
      </c>
      <c r="P157" s="1" t="s">
        <v>596</v>
      </c>
    </row>
    <row r="158" spans="1:16" x14ac:dyDescent="0.25">
      <c r="A158" t="str">
        <f t="shared" si="2"/>
        <v>MATEMÁTICA13</v>
      </c>
      <c r="B158" t="s">
        <v>12</v>
      </c>
      <c r="C158" t="s">
        <v>143</v>
      </c>
      <c r="D158" t="s">
        <v>57</v>
      </c>
      <c r="E158">
        <f>VLOOKUP(D158,PLAN!A:B,2,FALSE)</f>
        <v>3</v>
      </c>
      <c r="F158">
        <f>VLOOKUP(C158&amp;E158,CURSO!A:D,4,FALSE)</f>
        <v>13</v>
      </c>
      <c r="G158">
        <v>157</v>
      </c>
      <c r="H158">
        <v>3</v>
      </c>
      <c r="K158">
        <v>157</v>
      </c>
      <c r="L158" t="s">
        <v>12</v>
      </c>
      <c r="N158">
        <v>13</v>
      </c>
      <c r="O158" s="1" t="s">
        <v>596</v>
      </c>
      <c r="P158" s="1" t="s">
        <v>596</v>
      </c>
    </row>
    <row r="159" spans="1:16" x14ac:dyDescent="0.25">
      <c r="A159" t="str">
        <f t="shared" si="2"/>
        <v>BIOLOGÍA13</v>
      </c>
      <c r="B159" t="s">
        <v>21</v>
      </c>
      <c r="C159" t="s">
        <v>143</v>
      </c>
      <c r="D159" t="s">
        <v>57</v>
      </c>
      <c r="E159">
        <f>VLOOKUP(D159,PLAN!A:B,2,FALSE)</f>
        <v>3</v>
      </c>
      <c r="F159">
        <f>VLOOKUP(C159&amp;E159,CURSO!A:D,4,FALSE)</f>
        <v>13</v>
      </c>
      <c r="G159">
        <v>158</v>
      </c>
      <c r="H159">
        <v>4</v>
      </c>
      <c r="K159">
        <v>158</v>
      </c>
      <c r="L159" t="s">
        <v>21</v>
      </c>
      <c r="N159">
        <v>13</v>
      </c>
      <c r="O159" s="1" t="s">
        <v>596</v>
      </c>
      <c r="P159" s="1" t="s">
        <v>596</v>
      </c>
    </row>
    <row r="160" spans="1:16" x14ac:dyDescent="0.25">
      <c r="A160" t="str">
        <f t="shared" si="2"/>
        <v>FÍSICO-QUÍMICA13</v>
      </c>
      <c r="B160" t="s">
        <v>556</v>
      </c>
      <c r="C160" t="s">
        <v>143</v>
      </c>
      <c r="D160" t="s">
        <v>57</v>
      </c>
      <c r="E160">
        <f>VLOOKUP(D160,PLAN!A:B,2,FALSE)</f>
        <v>3</v>
      </c>
      <c r="F160">
        <f>VLOOKUP(C160&amp;E160,CURSO!A:D,4,FALSE)</f>
        <v>13</v>
      </c>
      <c r="G160">
        <v>159</v>
      </c>
      <c r="H160">
        <v>5</v>
      </c>
      <c r="K160">
        <v>159</v>
      </c>
      <c r="L160" t="s">
        <v>556</v>
      </c>
      <c r="N160">
        <v>13</v>
      </c>
      <c r="O160" s="1" t="s">
        <v>596</v>
      </c>
      <c r="P160" s="1" t="s">
        <v>596</v>
      </c>
    </row>
    <row r="161" spans="1:16" x14ac:dyDescent="0.25">
      <c r="A161" t="str">
        <f t="shared" si="2"/>
        <v>HISTORIA13</v>
      </c>
      <c r="B161" t="s">
        <v>27</v>
      </c>
      <c r="C161" t="s">
        <v>143</v>
      </c>
      <c r="D161" t="s">
        <v>57</v>
      </c>
      <c r="E161">
        <f>VLOOKUP(D161,PLAN!A:B,2,FALSE)</f>
        <v>3</v>
      </c>
      <c r="F161">
        <f>VLOOKUP(C161&amp;E161,CURSO!A:D,4,FALSE)</f>
        <v>13</v>
      </c>
      <c r="G161">
        <v>160</v>
      </c>
      <c r="H161">
        <v>6</v>
      </c>
      <c r="K161">
        <v>160</v>
      </c>
      <c r="L161" t="s">
        <v>27</v>
      </c>
      <c r="N161">
        <v>13</v>
      </c>
      <c r="O161" s="1" t="s">
        <v>596</v>
      </c>
      <c r="P161" s="1" t="s">
        <v>596</v>
      </c>
    </row>
    <row r="162" spans="1:16" x14ac:dyDescent="0.25">
      <c r="A162" t="str">
        <f t="shared" si="2"/>
        <v>GEOGRAFÍA13</v>
      </c>
      <c r="B162" t="s">
        <v>26</v>
      </c>
      <c r="C162" t="s">
        <v>143</v>
      </c>
      <c r="D162" t="s">
        <v>57</v>
      </c>
      <c r="E162">
        <f>VLOOKUP(D162,PLAN!A:B,2,FALSE)</f>
        <v>3</v>
      </c>
      <c r="F162">
        <f>VLOOKUP(C162&amp;E162,CURSO!A:D,4,FALSE)</f>
        <v>13</v>
      </c>
      <c r="G162">
        <v>161</v>
      </c>
      <c r="H162">
        <v>7</v>
      </c>
      <c r="K162">
        <v>161</v>
      </c>
      <c r="L162" t="s">
        <v>26</v>
      </c>
      <c r="N162">
        <v>13</v>
      </c>
      <c r="O162" s="1" t="s">
        <v>596</v>
      </c>
      <c r="P162" s="1" t="s">
        <v>596</v>
      </c>
    </row>
    <row r="163" spans="1:16" x14ac:dyDescent="0.25">
      <c r="A163" t="str">
        <f t="shared" si="2"/>
        <v>EDUCACIÓN TECNOLÓGICA13</v>
      </c>
      <c r="B163" t="s">
        <v>18</v>
      </c>
      <c r="C163" t="s">
        <v>143</v>
      </c>
      <c r="D163" t="s">
        <v>57</v>
      </c>
      <c r="E163">
        <f>VLOOKUP(D163,PLAN!A:B,2,FALSE)</f>
        <v>3</v>
      </c>
      <c r="F163">
        <f>VLOOKUP(C163&amp;E163,CURSO!A:D,4,FALSE)</f>
        <v>13</v>
      </c>
      <c r="G163">
        <v>162</v>
      </c>
      <c r="H163">
        <v>8</v>
      </c>
      <c r="K163">
        <v>162</v>
      </c>
      <c r="L163" t="s">
        <v>18</v>
      </c>
      <c r="N163">
        <v>13</v>
      </c>
      <c r="O163" s="1" t="s">
        <v>596</v>
      </c>
      <c r="P163" s="1" t="s">
        <v>596</v>
      </c>
    </row>
    <row r="164" spans="1:16" x14ac:dyDescent="0.25">
      <c r="A164" t="str">
        <f t="shared" si="2"/>
        <v>EDUCACIÓN PLÁSTICA13</v>
      </c>
      <c r="B164" t="s">
        <v>539</v>
      </c>
      <c r="C164" t="s">
        <v>143</v>
      </c>
      <c r="D164" t="s">
        <v>57</v>
      </c>
      <c r="E164">
        <f>VLOOKUP(D164,PLAN!A:B,2,FALSE)</f>
        <v>3</v>
      </c>
      <c r="F164">
        <f>VLOOKUP(C164&amp;E164,CURSO!A:D,4,FALSE)</f>
        <v>13</v>
      </c>
      <c r="G164">
        <v>163</v>
      </c>
      <c r="H164">
        <v>9</v>
      </c>
      <c r="K164">
        <v>163</v>
      </c>
      <c r="L164" t="s">
        <v>539</v>
      </c>
      <c r="N164">
        <v>13</v>
      </c>
      <c r="O164" s="1" t="s">
        <v>596</v>
      </c>
      <c r="P164" s="1" t="s">
        <v>596</v>
      </c>
    </row>
    <row r="165" spans="1:16" x14ac:dyDescent="0.25">
      <c r="A165" t="str">
        <f t="shared" si="2"/>
        <v>MÚSICA13</v>
      </c>
      <c r="B165" t="s">
        <v>554</v>
      </c>
      <c r="C165" t="s">
        <v>143</v>
      </c>
      <c r="D165" t="s">
        <v>57</v>
      </c>
      <c r="E165">
        <f>VLOOKUP(D165,PLAN!A:B,2,FALSE)</f>
        <v>3</v>
      </c>
      <c r="F165">
        <f>VLOOKUP(C165&amp;E165,CURSO!A:D,4,FALSE)</f>
        <v>13</v>
      </c>
      <c r="G165">
        <v>164</v>
      </c>
      <c r="H165">
        <v>10</v>
      </c>
      <c r="K165">
        <v>164</v>
      </c>
      <c r="L165" t="s">
        <v>554</v>
      </c>
      <c r="N165">
        <v>13</v>
      </c>
      <c r="O165" s="1" t="s">
        <v>596</v>
      </c>
      <c r="P165" s="1" t="s">
        <v>596</v>
      </c>
    </row>
    <row r="166" spans="1:16" x14ac:dyDescent="0.25">
      <c r="A166" t="str">
        <f t="shared" si="2"/>
        <v>FORMACIÓN ÉTICA Y CIUDADANA13</v>
      </c>
      <c r="B166" t="s">
        <v>555</v>
      </c>
      <c r="C166" t="s">
        <v>143</v>
      </c>
      <c r="D166" t="s">
        <v>57</v>
      </c>
      <c r="E166">
        <f>VLOOKUP(D166,PLAN!A:B,2,FALSE)</f>
        <v>3</v>
      </c>
      <c r="F166">
        <f>VLOOKUP(C166&amp;E166,CURSO!A:D,4,FALSE)</f>
        <v>13</v>
      </c>
      <c r="G166">
        <v>165</v>
      </c>
      <c r="H166">
        <v>11</v>
      </c>
      <c r="K166">
        <v>165</v>
      </c>
      <c r="L166" t="s">
        <v>555</v>
      </c>
      <c r="N166">
        <v>13</v>
      </c>
      <c r="O166" s="1" t="s">
        <v>596</v>
      </c>
      <c r="P166" s="1" t="s">
        <v>596</v>
      </c>
    </row>
    <row r="167" spans="1:16" x14ac:dyDescent="0.25">
      <c r="A167" t="str">
        <f t="shared" si="2"/>
        <v>EDUCACIÓN FÍSICA13</v>
      </c>
      <c r="B167" t="s">
        <v>10</v>
      </c>
      <c r="C167" t="s">
        <v>143</v>
      </c>
      <c r="D167" t="s">
        <v>57</v>
      </c>
      <c r="E167">
        <f>VLOOKUP(D167,PLAN!A:B,2,FALSE)</f>
        <v>3</v>
      </c>
      <c r="F167">
        <f>VLOOKUP(C167&amp;E167,CURSO!A:D,4,FALSE)</f>
        <v>13</v>
      </c>
      <c r="G167">
        <v>166</v>
      </c>
      <c r="H167">
        <v>12</v>
      </c>
      <c r="K167">
        <v>166</v>
      </c>
      <c r="L167" t="s">
        <v>10</v>
      </c>
      <c r="N167">
        <v>13</v>
      </c>
      <c r="O167" s="1" t="s">
        <v>596</v>
      </c>
      <c r="P167" s="1" t="s">
        <v>596</v>
      </c>
    </row>
    <row r="168" spans="1:16" x14ac:dyDescent="0.25">
      <c r="A168" t="str">
        <f t="shared" si="2"/>
        <v>MATEMÁTICA14</v>
      </c>
      <c r="B168" t="s">
        <v>12</v>
      </c>
      <c r="C168" t="s">
        <v>190</v>
      </c>
      <c r="D168" t="s">
        <v>58</v>
      </c>
      <c r="E168">
        <f>VLOOKUP(D168,PLAN!A:B,2,FALSE)</f>
        <v>4</v>
      </c>
      <c r="F168">
        <f>VLOOKUP(C168&amp;E168,CURSO!A:D,4,FALSE)</f>
        <v>14</v>
      </c>
      <c r="G168">
        <v>167</v>
      </c>
      <c r="H168">
        <v>1</v>
      </c>
      <c r="K168">
        <v>167</v>
      </c>
      <c r="L168" t="s">
        <v>12</v>
      </c>
      <c r="N168">
        <v>14</v>
      </c>
      <c r="O168" s="1" t="s">
        <v>596</v>
      </c>
      <c r="P168" s="1" t="s">
        <v>596</v>
      </c>
    </row>
    <row r="169" spans="1:16" x14ac:dyDescent="0.25">
      <c r="A169" t="str">
        <f t="shared" si="2"/>
        <v>LENGUA CASTELLANA14</v>
      </c>
      <c r="B169" t="s">
        <v>499</v>
      </c>
      <c r="C169" t="s">
        <v>190</v>
      </c>
      <c r="D169" t="s">
        <v>58</v>
      </c>
      <c r="E169">
        <f>VLOOKUP(D169,PLAN!A:B,2,FALSE)</f>
        <v>4</v>
      </c>
      <c r="F169">
        <f>VLOOKUP(C169&amp;E169,CURSO!A:D,4,FALSE)</f>
        <v>14</v>
      </c>
      <c r="G169">
        <v>168</v>
      </c>
      <c r="H169">
        <v>2</v>
      </c>
      <c r="K169">
        <v>168</v>
      </c>
      <c r="L169" t="s">
        <v>499</v>
      </c>
      <c r="N169">
        <v>14</v>
      </c>
      <c r="O169" s="1" t="s">
        <v>596</v>
      </c>
      <c r="P169" s="1" t="s">
        <v>596</v>
      </c>
    </row>
    <row r="170" spans="1:16" x14ac:dyDescent="0.25">
      <c r="A170" t="str">
        <f t="shared" si="2"/>
        <v>INGLÉS14</v>
      </c>
      <c r="B170" t="s">
        <v>500</v>
      </c>
      <c r="C170" t="s">
        <v>190</v>
      </c>
      <c r="D170" t="s">
        <v>58</v>
      </c>
      <c r="E170">
        <f>VLOOKUP(D170,PLAN!A:B,2,FALSE)</f>
        <v>4</v>
      </c>
      <c r="F170">
        <f>VLOOKUP(C170&amp;E170,CURSO!A:D,4,FALSE)</f>
        <v>14</v>
      </c>
      <c r="G170">
        <v>169</v>
      </c>
      <c r="H170">
        <v>3</v>
      </c>
      <c r="K170">
        <v>169</v>
      </c>
      <c r="L170" t="s">
        <v>500</v>
      </c>
      <c r="N170">
        <v>14</v>
      </c>
      <c r="O170" s="1" t="s">
        <v>596</v>
      </c>
      <c r="P170" s="1" t="s">
        <v>596</v>
      </c>
    </row>
    <row r="171" spans="1:16" x14ac:dyDescent="0.25">
      <c r="A171" t="str">
        <f t="shared" si="2"/>
        <v>FORMACIÓN ÉTICA Y CIUDADANA14</v>
      </c>
      <c r="B171" t="s">
        <v>555</v>
      </c>
      <c r="C171" t="s">
        <v>190</v>
      </c>
      <c r="D171" t="s">
        <v>58</v>
      </c>
      <c r="E171">
        <f>VLOOKUP(D171,PLAN!A:B,2,FALSE)</f>
        <v>4</v>
      </c>
      <c r="F171">
        <f>VLOOKUP(C171&amp;E171,CURSO!A:D,4,FALSE)</f>
        <v>14</v>
      </c>
      <c r="G171">
        <v>170</v>
      </c>
      <c r="H171">
        <v>4</v>
      </c>
      <c r="K171">
        <v>170</v>
      </c>
      <c r="L171" t="s">
        <v>555</v>
      </c>
      <c r="N171">
        <v>14</v>
      </c>
      <c r="O171" s="1" t="s">
        <v>596</v>
      </c>
      <c r="P171" s="1" t="s">
        <v>596</v>
      </c>
    </row>
    <row r="172" spans="1:16" x14ac:dyDescent="0.25">
      <c r="A172" t="str">
        <f t="shared" si="2"/>
        <v>FORMACIÓN ARTÍSTICO CULTURAL: PLÁSTICA14</v>
      </c>
      <c r="B172" t="s">
        <v>557</v>
      </c>
      <c r="C172" t="s">
        <v>190</v>
      </c>
      <c r="D172" t="s">
        <v>58</v>
      </c>
      <c r="E172">
        <f>VLOOKUP(D172,PLAN!A:B,2,FALSE)</f>
        <v>4</v>
      </c>
      <c r="F172">
        <f>VLOOKUP(C172&amp;E172,CURSO!A:D,4,FALSE)</f>
        <v>14</v>
      </c>
      <c r="G172">
        <v>171</v>
      </c>
      <c r="H172">
        <v>5</v>
      </c>
      <c r="K172">
        <v>171</v>
      </c>
      <c r="L172" t="s">
        <v>557</v>
      </c>
      <c r="N172">
        <v>14</v>
      </c>
      <c r="O172" s="1" t="s">
        <v>596</v>
      </c>
      <c r="P172" s="1" t="s">
        <v>596</v>
      </c>
    </row>
    <row r="173" spans="1:16" x14ac:dyDescent="0.25">
      <c r="A173" t="str">
        <f t="shared" si="2"/>
        <v>BIOLOGÍA14</v>
      </c>
      <c r="B173" t="s">
        <v>21</v>
      </c>
      <c r="C173" t="s">
        <v>190</v>
      </c>
      <c r="D173" t="s">
        <v>58</v>
      </c>
      <c r="E173">
        <f>VLOOKUP(D173,PLAN!A:B,2,FALSE)</f>
        <v>4</v>
      </c>
      <c r="F173">
        <f>VLOOKUP(C173&amp;E173,CURSO!A:D,4,FALSE)</f>
        <v>14</v>
      </c>
      <c r="G173">
        <v>172</v>
      </c>
      <c r="H173">
        <v>6</v>
      </c>
      <c r="K173">
        <v>172</v>
      </c>
      <c r="L173" t="s">
        <v>21</v>
      </c>
      <c r="N173">
        <v>14</v>
      </c>
      <c r="O173" s="1" t="s">
        <v>596</v>
      </c>
      <c r="P173" s="1" t="s">
        <v>596</v>
      </c>
    </row>
    <row r="174" spans="1:16" x14ac:dyDescent="0.25">
      <c r="A174" t="str">
        <f t="shared" si="2"/>
        <v>FÍSICA14</v>
      </c>
      <c r="B174" t="s">
        <v>24</v>
      </c>
      <c r="C174" t="s">
        <v>190</v>
      </c>
      <c r="D174" t="s">
        <v>58</v>
      </c>
      <c r="E174">
        <f>VLOOKUP(D174,PLAN!A:B,2,FALSE)</f>
        <v>4</v>
      </c>
      <c r="F174">
        <f>VLOOKUP(C174&amp;E174,CURSO!A:D,4,FALSE)</f>
        <v>14</v>
      </c>
      <c r="G174">
        <v>173</v>
      </c>
      <c r="H174">
        <v>7</v>
      </c>
      <c r="K174">
        <v>173</v>
      </c>
      <c r="L174" t="s">
        <v>24</v>
      </c>
      <c r="N174">
        <v>14</v>
      </c>
      <c r="O174" s="1" t="s">
        <v>596</v>
      </c>
      <c r="P174" s="1" t="s">
        <v>596</v>
      </c>
    </row>
    <row r="175" spans="1:16" x14ac:dyDescent="0.25">
      <c r="A175" t="str">
        <f t="shared" si="2"/>
        <v>HISTORIA14</v>
      </c>
      <c r="B175" t="s">
        <v>27</v>
      </c>
      <c r="C175" t="s">
        <v>190</v>
      </c>
      <c r="D175" t="s">
        <v>58</v>
      </c>
      <c r="E175">
        <f>VLOOKUP(D175,PLAN!A:B,2,FALSE)</f>
        <v>4</v>
      </c>
      <c r="F175">
        <f>VLOOKUP(C175&amp;E175,CURSO!A:D,4,FALSE)</f>
        <v>14</v>
      </c>
      <c r="G175">
        <v>174</v>
      </c>
      <c r="H175">
        <v>8</v>
      </c>
      <c r="K175">
        <v>174</v>
      </c>
      <c r="L175" t="s">
        <v>27</v>
      </c>
      <c r="N175">
        <v>14</v>
      </c>
      <c r="O175" s="1" t="s">
        <v>596</v>
      </c>
      <c r="P175" s="1" t="s">
        <v>596</v>
      </c>
    </row>
    <row r="176" spans="1:16" x14ac:dyDescent="0.25">
      <c r="A176" t="str">
        <f t="shared" si="2"/>
        <v>GEOGRAFÍA14</v>
      </c>
      <c r="B176" t="s">
        <v>26</v>
      </c>
      <c r="C176" t="s">
        <v>190</v>
      </c>
      <c r="D176" t="s">
        <v>58</v>
      </c>
      <c r="E176">
        <f>VLOOKUP(D176,PLAN!A:B,2,FALSE)</f>
        <v>4</v>
      </c>
      <c r="F176">
        <f>VLOOKUP(C176&amp;E176,CURSO!A:D,4,FALSE)</f>
        <v>14</v>
      </c>
      <c r="G176">
        <v>175</v>
      </c>
      <c r="H176">
        <v>9</v>
      </c>
      <c r="K176">
        <v>175</v>
      </c>
      <c r="L176" t="s">
        <v>26</v>
      </c>
      <c r="N176">
        <v>14</v>
      </c>
      <c r="O176" s="1" t="s">
        <v>596</v>
      </c>
      <c r="P176" s="1" t="s">
        <v>596</v>
      </c>
    </row>
    <row r="177" spans="1:16" x14ac:dyDescent="0.25">
      <c r="A177" t="str">
        <f t="shared" si="2"/>
        <v>EDUCACIÓN FÍSICA14</v>
      </c>
      <c r="B177" t="s">
        <v>10</v>
      </c>
      <c r="C177" t="s">
        <v>190</v>
      </c>
      <c r="D177" t="s">
        <v>58</v>
      </c>
      <c r="E177">
        <f>VLOOKUP(D177,PLAN!A:B,2,FALSE)</f>
        <v>4</v>
      </c>
      <c r="F177">
        <f>VLOOKUP(C177&amp;E177,CURSO!A:D,4,FALSE)</f>
        <v>14</v>
      </c>
      <c r="G177">
        <v>176</v>
      </c>
      <c r="H177">
        <v>10</v>
      </c>
      <c r="K177">
        <v>176</v>
      </c>
      <c r="L177" t="s">
        <v>10</v>
      </c>
      <c r="N177">
        <v>14</v>
      </c>
      <c r="O177" s="1" t="s">
        <v>596</v>
      </c>
      <c r="P177" s="1" t="s">
        <v>596</v>
      </c>
    </row>
    <row r="178" spans="1:16" x14ac:dyDescent="0.25">
      <c r="A178" t="str">
        <f t="shared" si="2"/>
        <v>ECONOMÍA I14</v>
      </c>
      <c r="B178" t="s">
        <v>558</v>
      </c>
      <c r="C178" t="s">
        <v>190</v>
      </c>
      <c r="D178" t="s">
        <v>58</v>
      </c>
      <c r="E178">
        <f>VLOOKUP(D178,PLAN!A:B,2,FALSE)</f>
        <v>4</v>
      </c>
      <c r="F178">
        <f>VLOOKUP(C178&amp;E178,CURSO!A:D,4,FALSE)</f>
        <v>14</v>
      </c>
      <c r="G178">
        <v>177</v>
      </c>
      <c r="H178">
        <v>11</v>
      </c>
      <c r="K178">
        <v>177</v>
      </c>
      <c r="L178" t="s">
        <v>558</v>
      </c>
      <c r="N178">
        <v>14</v>
      </c>
      <c r="O178" s="1" t="s">
        <v>596</v>
      </c>
      <c r="P178" s="1" t="s">
        <v>596</v>
      </c>
    </row>
    <row r="179" spans="1:16" x14ac:dyDescent="0.25">
      <c r="A179" t="str">
        <f t="shared" si="2"/>
        <v>GESTIÓN DE LAS ORGANIZACIONES I14</v>
      </c>
      <c r="B179" t="s">
        <v>559</v>
      </c>
      <c r="C179" t="s">
        <v>190</v>
      </c>
      <c r="D179" t="s">
        <v>58</v>
      </c>
      <c r="E179">
        <f>VLOOKUP(D179,PLAN!A:B,2,FALSE)</f>
        <v>4</v>
      </c>
      <c r="F179">
        <f>VLOOKUP(C179&amp;E179,CURSO!A:D,4,FALSE)</f>
        <v>14</v>
      </c>
      <c r="G179">
        <v>178</v>
      </c>
      <c r="H179">
        <v>12</v>
      </c>
      <c r="K179">
        <v>178</v>
      </c>
      <c r="L179" t="s">
        <v>559</v>
      </c>
      <c r="N179">
        <v>14</v>
      </c>
      <c r="O179" s="1" t="s">
        <v>596</v>
      </c>
      <c r="P179" s="1" t="s">
        <v>596</v>
      </c>
    </row>
    <row r="180" spans="1:16" x14ac:dyDescent="0.25">
      <c r="A180" t="str">
        <f t="shared" si="2"/>
        <v>SISTEMAS DE INFORMACIÓN I14</v>
      </c>
      <c r="B180" t="s">
        <v>560</v>
      </c>
      <c r="C180" t="s">
        <v>190</v>
      </c>
      <c r="D180" t="s">
        <v>58</v>
      </c>
      <c r="E180">
        <f>VLOOKUP(D180,PLAN!A:B,2,FALSE)</f>
        <v>4</v>
      </c>
      <c r="F180">
        <f>VLOOKUP(C180&amp;E180,CURSO!A:D,4,FALSE)</f>
        <v>14</v>
      </c>
      <c r="G180">
        <v>179</v>
      </c>
      <c r="H180">
        <v>13</v>
      </c>
      <c r="K180">
        <v>179</v>
      </c>
      <c r="L180" t="s">
        <v>560</v>
      </c>
      <c r="N180">
        <v>14</v>
      </c>
      <c r="O180" s="1" t="s">
        <v>596</v>
      </c>
      <c r="P180" s="1" t="s">
        <v>596</v>
      </c>
    </row>
    <row r="181" spans="1:16" x14ac:dyDescent="0.25">
      <c r="A181" t="str">
        <f t="shared" si="2"/>
        <v>GESTIÓN ORGANIZACIONAL I14</v>
      </c>
      <c r="B181" t="s">
        <v>561</v>
      </c>
      <c r="C181" t="s">
        <v>190</v>
      </c>
      <c r="D181" t="s">
        <v>58</v>
      </c>
      <c r="E181">
        <f>VLOOKUP(D181,PLAN!A:B,2,FALSE)</f>
        <v>4</v>
      </c>
      <c r="F181">
        <f>VLOOKUP(C181&amp;E181,CURSO!A:D,4,FALSE)</f>
        <v>14</v>
      </c>
      <c r="G181">
        <v>180</v>
      </c>
      <c r="H181">
        <v>14</v>
      </c>
      <c r="K181">
        <v>180</v>
      </c>
      <c r="L181" t="s">
        <v>561</v>
      </c>
      <c r="N181">
        <v>14</v>
      </c>
      <c r="O181" s="1" t="s">
        <v>596</v>
      </c>
      <c r="P181" s="1" t="s">
        <v>596</v>
      </c>
    </row>
    <row r="182" spans="1:16" x14ac:dyDescent="0.25">
      <c r="A182" t="str">
        <f t="shared" si="2"/>
        <v>METODOLOGÍA DE LA INVESTIGACIÓN14</v>
      </c>
      <c r="B182" t="s">
        <v>562</v>
      </c>
      <c r="C182" t="s">
        <v>190</v>
      </c>
      <c r="D182" t="s">
        <v>58</v>
      </c>
      <c r="E182">
        <f>VLOOKUP(D182,PLAN!A:B,2,FALSE)</f>
        <v>4</v>
      </c>
      <c r="F182">
        <f>VLOOKUP(C182&amp;E182,CURSO!A:D,4,FALSE)</f>
        <v>14</v>
      </c>
      <c r="G182">
        <v>181</v>
      </c>
      <c r="H182">
        <v>15</v>
      </c>
      <c r="K182">
        <v>181</v>
      </c>
      <c r="L182" t="s">
        <v>562</v>
      </c>
      <c r="N182">
        <v>14</v>
      </c>
      <c r="O182" s="1" t="s">
        <v>596</v>
      </c>
      <c r="P182" s="1" t="s">
        <v>596</v>
      </c>
    </row>
    <row r="183" spans="1:16" x14ac:dyDescent="0.25">
      <c r="A183" t="str">
        <f t="shared" si="2"/>
        <v>SISTEMA ADMINISTRATIVO CONTABLE I14</v>
      </c>
      <c r="B183" t="s">
        <v>577</v>
      </c>
      <c r="C183" t="s">
        <v>190</v>
      </c>
      <c r="D183" t="s">
        <v>58</v>
      </c>
      <c r="E183">
        <f>VLOOKUP(D183,PLAN!A:B,2,FALSE)</f>
        <v>4</v>
      </c>
      <c r="F183">
        <f>VLOOKUP(C183&amp;E183,CURSO!A:D,4,FALSE)</f>
        <v>14</v>
      </c>
      <c r="G183">
        <v>182</v>
      </c>
      <c r="H183">
        <v>16</v>
      </c>
      <c r="K183">
        <v>182</v>
      </c>
      <c r="L183" t="s">
        <v>577</v>
      </c>
      <c r="N183">
        <v>14</v>
      </c>
      <c r="O183" s="1" t="s">
        <v>596</v>
      </c>
      <c r="P183" s="1" t="s">
        <v>596</v>
      </c>
    </row>
    <row r="184" spans="1:16" x14ac:dyDescent="0.25">
      <c r="A184" t="str">
        <f t="shared" si="2"/>
        <v>PROYECTO INTEGRADOR I14</v>
      </c>
      <c r="B184" t="s">
        <v>563</v>
      </c>
      <c r="C184" t="s">
        <v>190</v>
      </c>
      <c r="D184" t="s">
        <v>58</v>
      </c>
      <c r="E184">
        <f>VLOOKUP(D184,PLAN!A:B,2,FALSE)</f>
        <v>4</v>
      </c>
      <c r="F184">
        <f>VLOOKUP(C184&amp;E184,CURSO!A:D,4,FALSE)</f>
        <v>14</v>
      </c>
      <c r="G184">
        <v>183</v>
      </c>
      <c r="H184">
        <v>17</v>
      </c>
      <c r="K184">
        <v>183</v>
      </c>
      <c r="L184" t="s">
        <v>563</v>
      </c>
      <c r="N184">
        <v>14</v>
      </c>
      <c r="O184" s="1" t="s">
        <v>596</v>
      </c>
      <c r="P184" s="1" t="s">
        <v>596</v>
      </c>
    </row>
    <row r="185" spans="1:16" x14ac:dyDescent="0.25">
      <c r="A185" t="str">
        <f t="shared" si="2"/>
        <v>RECURSO INFORMÁTICO I14</v>
      </c>
      <c r="B185" t="s">
        <v>564</v>
      </c>
      <c r="C185" t="s">
        <v>190</v>
      </c>
      <c r="D185" t="s">
        <v>58</v>
      </c>
      <c r="E185">
        <f>VLOOKUP(D185,PLAN!A:B,2,FALSE)</f>
        <v>4</v>
      </c>
      <c r="F185">
        <f>VLOOKUP(C185&amp;E185,CURSO!A:D,4,FALSE)</f>
        <v>14</v>
      </c>
      <c r="G185">
        <v>184</v>
      </c>
      <c r="H185">
        <v>18</v>
      </c>
      <c r="K185">
        <v>184</v>
      </c>
      <c r="L185" t="s">
        <v>564</v>
      </c>
      <c r="N185">
        <v>14</v>
      </c>
      <c r="O185" s="1" t="s">
        <v>596</v>
      </c>
      <c r="P185" s="1" t="s">
        <v>596</v>
      </c>
    </row>
    <row r="186" spans="1:16" x14ac:dyDescent="0.25">
      <c r="A186" t="str">
        <f t="shared" si="2"/>
        <v>MATEMÁTICA15</v>
      </c>
      <c r="B186" t="s">
        <v>12</v>
      </c>
      <c r="C186" t="s">
        <v>220</v>
      </c>
      <c r="D186" t="s">
        <v>58</v>
      </c>
      <c r="E186">
        <f>VLOOKUP(D186,PLAN!A:B,2,FALSE)</f>
        <v>4</v>
      </c>
      <c r="F186">
        <f>VLOOKUP(C186&amp;E186,CURSO!A:D,4,FALSE)</f>
        <v>15</v>
      </c>
      <c r="G186">
        <v>185</v>
      </c>
      <c r="H186">
        <v>1</v>
      </c>
      <c r="K186">
        <v>185</v>
      </c>
      <c r="L186" t="s">
        <v>12</v>
      </c>
      <c r="N186">
        <v>15</v>
      </c>
      <c r="O186" s="1" t="s">
        <v>596</v>
      </c>
      <c r="P186" s="1" t="s">
        <v>596</v>
      </c>
    </row>
    <row r="187" spans="1:16" x14ac:dyDescent="0.25">
      <c r="A187" t="str">
        <f t="shared" si="2"/>
        <v>LENGUA CASTELLANA15</v>
      </c>
      <c r="B187" t="s">
        <v>499</v>
      </c>
      <c r="C187" t="s">
        <v>220</v>
      </c>
      <c r="D187" t="s">
        <v>58</v>
      </c>
      <c r="E187">
        <f>VLOOKUP(D187,PLAN!A:B,2,FALSE)</f>
        <v>4</v>
      </c>
      <c r="F187">
        <f>VLOOKUP(C187&amp;E187,CURSO!A:D,4,FALSE)</f>
        <v>15</v>
      </c>
      <c r="G187">
        <v>186</v>
      </c>
      <c r="H187">
        <v>2</v>
      </c>
      <c r="K187">
        <v>186</v>
      </c>
      <c r="L187" t="s">
        <v>499</v>
      </c>
      <c r="N187">
        <v>15</v>
      </c>
      <c r="O187" s="1" t="s">
        <v>596</v>
      </c>
      <c r="P187" s="1" t="s">
        <v>596</v>
      </c>
    </row>
    <row r="188" spans="1:16" x14ac:dyDescent="0.25">
      <c r="A188" t="str">
        <f t="shared" si="2"/>
        <v>INGLÉS15</v>
      </c>
      <c r="B188" t="s">
        <v>500</v>
      </c>
      <c r="C188" t="s">
        <v>220</v>
      </c>
      <c r="D188" t="s">
        <v>58</v>
      </c>
      <c r="E188">
        <f>VLOOKUP(D188,PLAN!A:B,2,FALSE)</f>
        <v>4</v>
      </c>
      <c r="F188">
        <f>VLOOKUP(C188&amp;E188,CURSO!A:D,4,FALSE)</f>
        <v>15</v>
      </c>
      <c r="G188">
        <v>187</v>
      </c>
      <c r="H188">
        <v>3</v>
      </c>
      <c r="K188">
        <v>187</v>
      </c>
      <c r="L188" t="s">
        <v>500</v>
      </c>
      <c r="N188">
        <v>15</v>
      </c>
      <c r="O188" s="1" t="s">
        <v>596</v>
      </c>
      <c r="P188" s="1" t="s">
        <v>596</v>
      </c>
    </row>
    <row r="189" spans="1:16" x14ac:dyDescent="0.25">
      <c r="A189" t="str">
        <f t="shared" si="2"/>
        <v>PSICOLOGÍA15</v>
      </c>
      <c r="B189" t="s">
        <v>33</v>
      </c>
      <c r="C189" t="s">
        <v>220</v>
      </c>
      <c r="D189" t="s">
        <v>58</v>
      </c>
      <c r="E189">
        <f>VLOOKUP(D189,PLAN!A:B,2,FALSE)</f>
        <v>4</v>
      </c>
      <c r="F189">
        <f>VLOOKUP(C189&amp;E189,CURSO!A:D,4,FALSE)</f>
        <v>15</v>
      </c>
      <c r="G189">
        <v>188</v>
      </c>
      <c r="H189">
        <v>4</v>
      </c>
      <c r="K189">
        <v>188</v>
      </c>
      <c r="L189" t="s">
        <v>33</v>
      </c>
      <c r="N189">
        <v>15</v>
      </c>
      <c r="O189" s="1" t="s">
        <v>596</v>
      </c>
      <c r="P189" s="1" t="s">
        <v>596</v>
      </c>
    </row>
    <row r="190" spans="1:16" x14ac:dyDescent="0.25">
      <c r="A190" t="str">
        <f t="shared" si="2"/>
        <v>FORMACIÓN ARTÍSTICO CULTURAL: MÚSICA15</v>
      </c>
      <c r="B190" t="s">
        <v>565</v>
      </c>
      <c r="C190" t="s">
        <v>220</v>
      </c>
      <c r="D190" t="s">
        <v>58</v>
      </c>
      <c r="E190">
        <f>VLOOKUP(D190,PLAN!A:B,2,FALSE)</f>
        <v>4</v>
      </c>
      <c r="F190">
        <f>VLOOKUP(C190&amp;E190,CURSO!A:D,4,FALSE)</f>
        <v>15</v>
      </c>
      <c r="G190">
        <v>189</v>
      </c>
      <c r="H190">
        <v>5</v>
      </c>
      <c r="K190">
        <v>189</v>
      </c>
      <c r="L190" t="s">
        <v>565</v>
      </c>
      <c r="N190">
        <v>15</v>
      </c>
      <c r="O190" s="1" t="s">
        <v>596</v>
      </c>
      <c r="P190" s="1" t="s">
        <v>596</v>
      </c>
    </row>
    <row r="191" spans="1:16" x14ac:dyDescent="0.25">
      <c r="A191" t="str">
        <f t="shared" si="2"/>
        <v>BIOLOGÍA15</v>
      </c>
      <c r="B191" t="s">
        <v>21</v>
      </c>
      <c r="C191" t="s">
        <v>220</v>
      </c>
      <c r="D191" t="s">
        <v>58</v>
      </c>
      <c r="E191">
        <f>VLOOKUP(D191,PLAN!A:B,2,FALSE)</f>
        <v>4</v>
      </c>
      <c r="F191">
        <f>VLOOKUP(C191&amp;E191,CURSO!A:D,4,FALSE)</f>
        <v>15</v>
      </c>
      <c r="G191">
        <v>190</v>
      </c>
      <c r="H191">
        <v>6</v>
      </c>
      <c r="K191">
        <v>190</v>
      </c>
      <c r="L191" t="s">
        <v>21</v>
      </c>
      <c r="N191">
        <v>15</v>
      </c>
      <c r="O191" s="1" t="s">
        <v>596</v>
      </c>
      <c r="P191" s="1" t="s">
        <v>596</v>
      </c>
    </row>
    <row r="192" spans="1:16" x14ac:dyDescent="0.25">
      <c r="A192" t="str">
        <f t="shared" si="2"/>
        <v>QUÍMICA15</v>
      </c>
      <c r="B192" t="s">
        <v>25</v>
      </c>
      <c r="C192" t="s">
        <v>220</v>
      </c>
      <c r="D192" t="s">
        <v>58</v>
      </c>
      <c r="E192">
        <f>VLOOKUP(D192,PLAN!A:B,2,FALSE)</f>
        <v>4</v>
      </c>
      <c r="F192">
        <f>VLOOKUP(C192&amp;E192,CURSO!A:D,4,FALSE)</f>
        <v>15</v>
      </c>
      <c r="G192">
        <v>191</v>
      </c>
      <c r="H192">
        <v>7</v>
      </c>
      <c r="K192">
        <v>191</v>
      </c>
      <c r="L192" t="s">
        <v>25</v>
      </c>
      <c r="N192">
        <v>15</v>
      </c>
      <c r="O192" s="1" t="s">
        <v>596</v>
      </c>
      <c r="P192" s="1" t="s">
        <v>596</v>
      </c>
    </row>
    <row r="193" spans="1:16" x14ac:dyDescent="0.25">
      <c r="A193" t="str">
        <f t="shared" si="2"/>
        <v>HISTORIA15</v>
      </c>
      <c r="B193" t="s">
        <v>27</v>
      </c>
      <c r="C193" t="s">
        <v>220</v>
      </c>
      <c r="D193" t="s">
        <v>58</v>
      </c>
      <c r="E193">
        <f>VLOOKUP(D193,PLAN!A:B,2,FALSE)</f>
        <v>4</v>
      </c>
      <c r="F193">
        <f>VLOOKUP(C193&amp;E193,CURSO!A:D,4,FALSE)</f>
        <v>15</v>
      </c>
      <c r="G193">
        <v>192</v>
      </c>
      <c r="H193">
        <v>8</v>
      </c>
      <c r="K193">
        <v>192</v>
      </c>
      <c r="L193" t="s">
        <v>27</v>
      </c>
      <c r="N193">
        <v>15</v>
      </c>
      <c r="O193" s="1" t="s">
        <v>596</v>
      </c>
      <c r="P193" s="1" t="s">
        <v>596</v>
      </c>
    </row>
    <row r="194" spans="1:16" x14ac:dyDescent="0.25">
      <c r="A194" t="str">
        <f t="shared" ref="A194:A257" si="3">B194&amp;F194</f>
        <v>GEOGRAFÍA15</v>
      </c>
      <c r="B194" t="s">
        <v>26</v>
      </c>
      <c r="C194" t="s">
        <v>220</v>
      </c>
      <c r="D194" t="s">
        <v>58</v>
      </c>
      <c r="E194">
        <f>VLOOKUP(D194,PLAN!A:B,2,FALSE)</f>
        <v>4</v>
      </c>
      <c r="F194">
        <f>VLOOKUP(C194&amp;E194,CURSO!A:D,4,FALSE)</f>
        <v>15</v>
      </c>
      <c r="G194">
        <v>193</v>
      </c>
      <c r="H194">
        <v>9</v>
      </c>
      <c r="K194">
        <v>193</v>
      </c>
      <c r="L194" t="s">
        <v>26</v>
      </c>
      <c r="N194">
        <v>15</v>
      </c>
      <c r="O194" s="1" t="s">
        <v>596</v>
      </c>
      <c r="P194" s="1" t="s">
        <v>596</v>
      </c>
    </row>
    <row r="195" spans="1:16" x14ac:dyDescent="0.25">
      <c r="A195" t="str">
        <f t="shared" si="3"/>
        <v>EDUCACIÓN FÍSICA15</v>
      </c>
      <c r="B195" t="s">
        <v>10</v>
      </c>
      <c r="C195" t="s">
        <v>220</v>
      </c>
      <c r="D195" t="s">
        <v>58</v>
      </c>
      <c r="E195">
        <f>VLOOKUP(D195,PLAN!A:B,2,FALSE)</f>
        <v>4</v>
      </c>
      <c r="F195">
        <f>VLOOKUP(C195&amp;E195,CURSO!A:D,4,FALSE)</f>
        <v>15</v>
      </c>
      <c r="G195">
        <v>194</v>
      </c>
      <c r="H195">
        <v>10</v>
      </c>
      <c r="K195">
        <v>194</v>
      </c>
      <c r="L195" t="s">
        <v>10</v>
      </c>
      <c r="N195">
        <v>15</v>
      </c>
      <c r="O195" s="1" t="s">
        <v>596</v>
      </c>
      <c r="P195" s="1" t="s">
        <v>596</v>
      </c>
    </row>
    <row r="196" spans="1:16" x14ac:dyDescent="0.25">
      <c r="A196" t="str">
        <f t="shared" si="3"/>
        <v>ECONOMÍA II15</v>
      </c>
      <c r="B196" t="s">
        <v>566</v>
      </c>
      <c r="C196" t="s">
        <v>220</v>
      </c>
      <c r="D196" t="s">
        <v>58</v>
      </c>
      <c r="E196">
        <f>VLOOKUP(D196,PLAN!A:B,2,FALSE)</f>
        <v>4</v>
      </c>
      <c r="F196">
        <f>VLOOKUP(C196&amp;E196,CURSO!A:D,4,FALSE)</f>
        <v>15</v>
      </c>
      <c r="G196">
        <v>195</v>
      </c>
      <c r="H196">
        <v>11</v>
      </c>
      <c r="K196">
        <v>195</v>
      </c>
      <c r="L196" t="s">
        <v>566</v>
      </c>
      <c r="N196">
        <v>15</v>
      </c>
      <c r="O196" s="1" t="s">
        <v>596</v>
      </c>
      <c r="P196" s="1" t="s">
        <v>596</v>
      </c>
    </row>
    <row r="197" spans="1:16" x14ac:dyDescent="0.25">
      <c r="A197" t="str">
        <f t="shared" si="3"/>
        <v>GESTIÓN DE LAS ORGANIZACIONES II15</v>
      </c>
      <c r="B197" t="s">
        <v>567</v>
      </c>
      <c r="C197" t="s">
        <v>220</v>
      </c>
      <c r="D197" t="s">
        <v>58</v>
      </c>
      <c r="E197">
        <f>VLOOKUP(D197,PLAN!A:B,2,FALSE)</f>
        <v>4</v>
      </c>
      <c r="F197">
        <f>VLOOKUP(C197&amp;E197,CURSO!A:D,4,FALSE)</f>
        <v>15</v>
      </c>
      <c r="G197">
        <v>196</v>
      </c>
      <c r="H197">
        <v>12</v>
      </c>
      <c r="K197">
        <v>196</v>
      </c>
      <c r="L197" t="s">
        <v>567</v>
      </c>
      <c r="N197">
        <v>15</v>
      </c>
      <c r="O197" s="1" t="s">
        <v>596</v>
      </c>
      <c r="P197" s="1" t="s">
        <v>596</v>
      </c>
    </row>
    <row r="198" spans="1:16" x14ac:dyDescent="0.25">
      <c r="A198" t="str">
        <f t="shared" si="3"/>
        <v>SISTEMAS DE INFORMACIÓN II15</v>
      </c>
      <c r="B198" t="s">
        <v>568</v>
      </c>
      <c r="C198" t="s">
        <v>220</v>
      </c>
      <c r="D198" t="s">
        <v>58</v>
      </c>
      <c r="E198">
        <f>VLOOKUP(D198,PLAN!A:B,2,FALSE)</f>
        <v>4</v>
      </c>
      <c r="F198">
        <f>VLOOKUP(C198&amp;E198,CURSO!A:D,4,FALSE)</f>
        <v>15</v>
      </c>
      <c r="G198">
        <v>197</v>
      </c>
      <c r="H198">
        <v>13</v>
      </c>
      <c r="K198">
        <v>197</v>
      </c>
      <c r="L198" t="s">
        <v>568</v>
      </c>
      <c r="N198">
        <v>15</v>
      </c>
      <c r="O198" s="1" t="s">
        <v>596</v>
      </c>
      <c r="P198" s="1" t="s">
        <v>596</v>
      </c>
    </row>
    <row r="199" spans="1:16" x14ac:dyDescent="0.25">
      <c r="A199" t="str">
        <f t="shared" si="3"/>
        <v>GESTIÓN ORGANIZACIONAL II15</v>
      </c>
      <c r="B199" t="s">
        <v>569</v>
      </c>
      <c r="C199" t="s">
        <v>220</v>
      </c>
      <c r="D199" t="s">
        <v>58</v>
      </c>
      <c r="E199">
        <f>VLOOKUP(D199,PLAN!A:B,2,FALSE)</f>
        <v>4</v>
      </c>
      <c r="F199">
        <f>VLOOKUP(C199&amp;E199,CURSO!A:D,4,FALSE)</f>
        <v>15</v>
      </c>
      <c r="G199">
        <v>198</v>
      </c>
      <c r="H199">
        <v>14</v>
      </c>
      <c r="K199">
        <v>198</v>
      </c>
      <c r="L199" t="s">
        <v>569</v>
      </c>
      <c r="N199">
        <v>15</v>
      </c>
      <c r="O199" s="1" t="s">
        <v>596</v>
      </c>
      <c r="P199" s="1" t="s">
        <v>596</v>
      </c>
    </row>
    <row r="200" spans="1:16" x14ac:dyDescent="0.25">
      <c r="A200" t="str">
        <f t="shared" si="3"/>
        <v>SISTEMA ADMINISTRATIVO CONTABLE II15</v>
      </c>
      <c r="B200" t="s">
        <v>576</v>
      </c>
      <c r="C200" t="s">
        <v>220</v>
      </c>
      <c r="D200" t="s">
        <v>58</v>
      </c>
      <c r="E200">
        <f>VLOOKUP(D200,PLAN!A:B,2,FALSE)</f>
        <v>4</v>
      </c>
      <c r="F200">
        <f>VLOOKUP(C200&amp;E200,CURSO!A:D,4,FALSE)</f>
        <v>15</v>
      </c>
      <c r="G200">
        <v>199</v>
      </c>
      <c r="H200">
        <v>15</v>
      </c>
      <c r="K200">
        <v>199</v>
      </c>
      <c r="L200" t="s">
        <v>576</v>
      </c>
      <c r="N200">
        <v>15</v>
      </c>
      <c r="O200" s="1" t="s">
        <v>596</v>
      </c>
      <c r="P200" s="1" t="s">
        <v>596</v>
      </c>
    </row>
    <row r="201" spans="1:16" x14ac:dyDescent="0.25">
      <c r="A201" t="str">
        <f t="shared" si="3"/>
        <v>PROYECTO INTEGRADOR II15</v>
      </c>
      <c r="B201" t="s">
        <v>570</v>
      </c>
      <c r="C201" t="s">
        <v>220</v>
      </c>
      <c r="D201" t="s">
        <v>58</v>
      </c>
      <c r="E201">
        <f>VLOOKUP(D201,PLAN!A:B,2,FALSE)</f>
        <v>4</v>
      </c>
      <c r="F201">
        <f>VLOOKUP(C201&amp;E201,CURSO!A:D,4,FALSE)</f>
        <v>15</v>
      </c>
      <c r="G201">
        <v>200</v>
      </c>
      <c r="H201">
        <v>16</v>
      </c>
      <c r="K201">
        <v>200</v>
      </c>
      <c r="L201" t="s">
        <v>570</v>
      </c>
      <c r="N201">
        <v>15</v>
      </c>
      <c r="O201" s="1" t="s">
        <v>596</v>
      </c>
      <c r="P201" s="1" t="s">
        <v>596</v>
      </c>
    </row>
    <row r="202" spans="1:16" x14ac:dyDescent="0.25">
      <c r="A202" t="str">
        <f t="shared" si="3"/>
        <v>RECURSO INFORMÁTICO II15</v>
      </c>
      <c r="B202" t="s">
        <v>571</v>
      </c>
      <c r="C202" t="s">
        <v>220</v>
      </c>
      <c r="D202" t="s">
        <v>58</v>
      </c>
      <c r="E202">
        <f>VLOOKUP(D202,PLAN!A:B,2,FALSE)</f>
        <v>4</v>
      </c>
      <c r="F202">
        <f>VLOOKUP(C202&amp;E202,CURSO!A:D,4,FALSE)</f>
        <v>15</v>
      </c>
      <c r="G202">
        <v>201</v>
      </c>
      <c r="H202">
        <v>17</v>
      </c>
      <c r="K202">
        <v>201</v>
      </c>
      <c r="L202" t="s">
        <v>571</v>
      </c>
      <c r="N202">
        <v>15</v>
      </c>
      <c r="O202" s="1" t="s">
        <v>596</v>
      </c>
      <c r="P202" s="1" t="s">
        <v>596</v>
      </c>
    </row>
    <row r="203" spans="1:16" x14ac:dyDescent="0.25">
      <c r="A203" t="str">
        <f t="shared" si="3"/>
        <v>MATEMÁTICA16</v>
      </c>
      <c r="B203" t="s">
        <v>12</v>
      </c>
      <c r="C203" t="s">
        <v>245</v>
      </c>
      <c r="D203" t="s">
        <v>58</v>
      </c>
      <c r="E203">
        <f>VLOOKUP(D203,PLAN!A:B,2,FALSE)</f>
        <v>4</v>
      </c>
      <c r="F203">
        <f>VLOOKUP(C203&amp;E203,CURSO!A:D,4,FALSE)</f>
        <v>16</v>
      </c>
      <c r="G203">
        <v>202</v>
      </c>
      <c r="H203">
        <v>1</v>
      </c>
      <c r="K203">
        <v>202</v>
      </c>
      <c r="L203" t="s">
        <v>12</v>
      </c>
      <c r="N203">
        <v>16</v>
      </c>
      <c r="O203" s="1" t="s">
        <v>596</v>
      </c>
      <c r="P203" s="1" t="s">
        <v>596</v>
      </c>
    </row>
    <row r="204" spans="1:16" x14ac:dyDescent="0.25">
      <c r="A204" t="str">
        <f t="shared" si="3"/>
        <v>LENGUA CASTELLANA16</v>
      </c>
      <c r="B204" t="s">
        <v>499</v>
      </c>
      <c r="C204" t="s">
        <v>245</v>
      </c>
      <c r="D204" t="s">
        <v>58</v>
      </c>
      <c r="E204">
        <f>VLOOKUP(D204,PLAN!A:B,2,FALSE)</f>
        <v>4</v>
      </c>
      <c r="F204">
        <f>VLOOKUP(C204&amp;E204,CURSO!A:D,4,FALSE)</f>
        <v>16</v>
      </c>
      <c r="G204">
        <v>203</v>
      </c>
      <c r="H204">
        <v>2</v>
      </c>
      <c r="K204">
        <v>203</v>
      </c>
      <c r="L204" t="s">
        <v>499</v>
      </c>
      <c r="N204">
        <v>16</v>
      </c>
      <c r="O204" s="1" t="s">
        <v>596</v>
      </c>
      <c r="P204" s="1" t="s">
        <v>596</v>
      </c>
    </row>
    <row r="205" spans="1:16" x14ac:dyDescent="0.25">
      <c r="A205" t="str">
        <f t="shared" si="3"/>
        <v>INGLÉS16</v>
      </c>
      <c r="B205" t="s">
        <v>500</v>
      </c>
      <c r="C205" t="s">
        <v>245</v>
      </c>
      <c r="D205" t="s">
        <v>58</v>
      </c>
      <c r="E205">
        <f>VLOOKUP(D205,PLAN!A:B,2,FALSE)</f>
        <v>4</v>
      </c>
      <c r="F205">
        <f>VLOOKUP(C205&amp;E205,CURSO!A:D,4,FALSE)</f>
        <v>16</v>
      </c>
      <c r="G205">
        <v>204</v>
      </c>
      <c r="H205">
        <v>3</v>
      </c>
      <c r="K205">
        <v>204</v>
      </c>
      <c r="L205" t="s">
        <v>500</v>
      </c>
      <c r="N205">
        <v>16</v>
      </c>
      <c r="O205" s="1" t="s">
        <v>596</v>
      </c>
      <c r="P205" s="1" t="s">
        <v>596</v>
      </c>
    </row>
    <row r="206" spans="1:16" x14ac:dyDescent="0.25">
      <c r="A206" t="str">
        <f t="shared" si="3"/>
        <v>FILOSOFÍA16</v>
      </c>
      <c r="B206" t="s">
        <v>41</v>
      </c>
      <c r="C206" t="s">
        <v>245</v>
      </c>
      <c r="D206" t="s">
        <v>58</v>
      </c>
      <c r="E206">
        <f>VLOOKUP(D206,PLAN!A:B,2,FALSE)</f>
        <v>4</v>
      </c>
      <c r="F206">
        <f>VLOOKUP(C206&amp;E206,CURSO!A:D,4,FALSE)</f>
        <v>16</v>
      </c>
      <c r="G206">
        <v>205</v>
      </c>
      <c r="H206">
        <v>4</v>
      </c>
      <c r="K206">
        <v>205</v>
      </c>
      <c r="L206" t="s">
        <v>41</v>
      </c>
      <c r="N206">
        <v>16</v>
      </c>
      <c r="O206" s="1" t="s">
        <v>596</v>
      </c>
      <c r="P206" s="1" t="s">
        <v>596</v>
      </c>
    </row>
    <row r="207" spans="1:16" x14ac:dyDescent="0.25">
      <c r="A207" t="str">
        <f t="shared" si="3"/>
        <v>FORMACIÓN ARTÍSTICO CULTURAL: TEATRO16</v>
      </c>
      <c r="B207" t="s">
        <v>572</v>
      </c>
      <c r="C207" t="s">
        <v>245</v>
      </c>
      <c r="D207" t="s">
        <v>58</v>
      </c>
      <c r="E207">
        <f>VLOOKUP(D207,PLAN!A:B,2,FALSE)</f>
        <v>4</v>
      </c>
      <c r="F207">
        <f>VLOOKUP(C207&amp;E207,CURSO!A:D,4,FALSE)</f>
        <v>16</v>
      </c>
      <c r="G207">
        <v>206</v>
      </c>
      <c r="H207">
        <v>5</v>
      </c>
      <c r="K207">
        <v>206</v>
      </c>
      <c r="L207" t="s">
        <v>572</v>
      </c>
      <c r="N207">
        <v>16</v>
      </c>
      <c r="O207" s="1" t="s">
        <v>596</v>
      </c>
      <c r="P207" s="1" t="s">
        <v>596</v>
      </c>
    </row>
    <row r="208" spans="1:16" x14ac:dyDescent="0.25">
      <c r="A208" t="str">
        <f t="shared" si="3"/>
        <v>QUÍMICA16</v>
      </c>
      <c r="B208" t="s">
        <v>25</v>
      </c>
      <c r="C208" t="s">
        <v>245</v>
      </c>
      <c r="D208" t="s">
        <v>58</v>
      </c>
      <c r="E208">
        <f>VLOOKUP(D208,PLAN!A:B,2,FALSE)</f>
        <v>4</v>
      </c>
      <c r="F208">
        <f>VLOOKUP(C208&amp;E208,CURSO!A:D,4,FALSE)</f>
        <v>16</v>
      </c>
      <c r="G208">
        <v>207</v>
      </c>
      <c r="H208">
        <v>6</v>
      </c>
      <c r="K208">
        <v>207</v>
      </c>
      <c r="L208" t="s">
        <v>25</v>
      </c>
      <c r="N208">
        <v>16</v>
      </c>
      <c r="O208" s="1" t="s">
        <v>596</v>
      </c>
      <c r="P208" s="1" t="s">
        <v>596</v>
      </c>
    </row>
    <row r="209" spans="1:16" x14ac:dyDescent="0.25">
      <c r="A209" t="str">
        <f t="shared" si="3"/>
        <v>FÍSICA16</v>
      </c>
      <c r="B209" t="s">
        <v>24</v>
      </c>
      <c r="C209" t="s">
        <v>245</v>
      </c>
      <c r="D209" t="s">
        <v>58</v>
      </c>
      <c r="E209">
        <f>VLOOKUP(D209,PLAN!A:B,2,FALSE)</f>
        <v>4</v>
      </c>
      <c r="F209">
        <f>VLOOKUP(C209&amp;E209,CURSO!A:D,4,FALSE)</f>
        <v>16</v>
      </c>
      <c r="G209">
        <v>208</v>
      </c>
      <c r="H209">
        <v>7</v>
      </c>
      <c r="K209">
        <v>208</v>
      </c>
      <c r="L209" t="s">
        <v>24</v>
      </c>
      <c r="N209">
        <v>16</v>
      </c>
      <c r="O209" s="1" t="s">
        <v>596</v>
      </c>
      <c r="P209" s="1" t="s">
        <v>596</v>
      </c>
    </row>
    <row r="210" spans="1:16" x14ac:dyDescent="0.25">
      <c r="A210" t="str">
        <f t="shared" si="3"/>
        <v>HISTORIA16</v>
      </c>
      <c r="B210" t="s">
        <v>27</v>
      </c>
      <c r="C210" t="s">
        <v>245</v>
      </c>
      <c r="D210" t="s">
        <v>58</v>
      </c>
      <c r="E210">
        <f>VLOOKUP(D210,PLAN!A:B,2,FALSE)</f>
        <v>4</v>
      </c>
      <c r="F210">
        <f>VLOOKUP(C210&amp;E210,CURSO!A:D,4,FALSE)</f>
        <v>16</v>
      </c>
      <c r="G210">
        <v>209</v>
      </c>
      <c r="H210">
        <v>8</v>
      </c>
      <c r="K210">
        <v>209</v>
      </c>
      <c r="L210" t="s">
        <v>27</v>
      </c>
      <c r="N210">
        <v>16</v>
      </c>
      <c r="O210" s="1" t="s">
        <v>596</v>
      </c>
      <c r="P210" s="1" t="s">
        <v>596</v>
      </c>
    </row>
    <row r="211" spans="1:16" x14ac:dyDescent="0.25">
      <c r="A211" t="str">
        <f t="shared" si="3"/>
        <v>EDUCACIÓN FÍSICA16</v>
      </c>
      <c r="B211" t="s">
        <v>10</v>
      </c>
      <c r="C211" t="s">
        <v>245</v>
      </c>
      <c r="D211" t="s">
        <v>58</v>
      </c>
      <c r="E211">
        <f>VLOOKUP(D211,PLAN!A:B,2,FALSE)</f>
        <v>4</v>
      </c>
      <c r="F211">
        <f>VLOOKUP(C211&amp;E211,CURSO!A:D,4,FALSE)</f>
        <v>16</v>
      </c>
      <c r="G211">
        <v>210</v>
      </c>
      <c r="H211">
        <v>9</v>
      </c>
      <c r="K211">
        <v>210</v>
      </c>
      <c r="L211" t="s">
        <v>10</v>
      </c>
      <c r="N211">
        <v>16</v>
      </c>
      <c r="O211" s="1" t="s">
        <v>596</v>
      </c>
      <c r="P211" s="1" t="s">
        <v>596</v>
      </c>
    </row>
    <row r="212" spans="1:16" x14ac:dyDescent="0.25">
      <c r="A212" t="str">
        <f t="shared" si="3"/>
        <v>ECONOMÍA III16</v>
      </c>
      <c r="B212" t="s">
        <v>573</v>
      </c>
      <c r="C212" t="s">
        <v>245</v>
      </c>
      <c r="D212" t="s">
        <v>58</v>
      </c>
      <c r="E212">
        <f>VLOOKUP(D212,PLAN!A:B,2,FALSE)</f>
        <v>4</v>
      </c>
      <c r="F212">
        <f>VLOOKUP(C212&amp;E212,CURSO!A:D,4,FALSE)</f>
        <v>16</v>
      </c>
      <c r="G212">
        <v>211</v>
      </c>
      <c r="H212">
        <v>10</v>
      </c>
      <c r="K212">
        <v>211</v>
      </c>
      <c r="L212" t="s">
        <v>573</v>
      </c>
      <c r="N212">
        <v>16</v>
      </c>
      <c r="O212" s="1" t="s">
        <v>596</v>
      </c>
      <c r="P212" s="1" t="s">
        <v>596</v>
      </c>
    </row>
    <row r="213" spans="1:16" x14ac:dyDescent="0.25">
      <c r="A213" t="str">
        <f t="shared" si="3"/>
        <v>MARCO JURÍDICO DE LAS ORGANIZACIONES16</v>
      </c>
      <c r="B213" t="s">
        <v>574</v>
      </c>
      <c r="C213" t="s">
        <v>245</v>
      </c>
      <c r="D213" t="s">
        <v>58</v>
      </c>
      <c r="E213">
        <f>VLOOKUP(D213,PLAN!A:B,2,FALSE)</f>
        <v>4</v>
      </c>
      <c r="F213">
        <f>VLOOKUP(C213&amp;E213,CURSO!A:D,4,FALSE)</f>
        <v>16</v>
      </c>
      <c r="G213">
        <v>212</v>
      </c>
      <c r="H213">
        <v>11</v>
      </c>
      <c r="K213">
        <v>212</v>
      </c>
      <c r="L213" t="s">
        <v>574</v>
      </c>
      <c r="N213">
        <v>16</v>
      </c>
      <c r="O213" s="1" t="s">
        <v>596</v>
      </c>
      <c r="P213" s="1" t="s">
        <v>596</v>
      </c>
    </row>
    <row r="214" spans="1:16" x14ac:dyDescent="0.25">
      <c r="A214" t="str">
        <f t="shared" si="3"/>
        <v>SISTEMAS DE INFORMACIÓN III 16</v>
      </c>
      <c r="B214" t="s">
        <v>578</v>
      </c>
      <c r="C214" t="s">
        <v>245</v>
      </c>
      <c r="D214" t="s">
        <v>58</v>
      </c>
      <c r="E214">
        <f>VLOOKUP(D214,PLAN!A:B,2,FALSE)</f>
        <v>4</v>
      </c>
      <c r="F214">
        <f>VLOOKUP(C214&amp;E214,CURSO!A:D,4,FALSE)</f>
        <v>16</v>
      </c>
      <c r="G214">
        <v>213</v>
      </c>
      <c r="H214">
        <v>12</v>
      </c>
      <c r="K214">
        <v>213</v>
      </c>
      <c r="L214" t="s">
        <v>578</v>
      </c>
      <c r="N214">
        <v>16</v>
      </c>
      <c r="O214" s="1" t="s">
        <v>596</v>
      </c>
      <c r="P214" s="1" t="s">
        <v>596</v>
      </c>
    </row>
    <row r="215" spans="1:16" x14ac:dyDescent="0.25">
      <c r="A215" t="str">
        <f t="shared" si="3"/>
        <v>GESTIÓN ORGANIZACIONAL III16</v>
      </c>
      <c r="B215" t="s">
        <v>579</v>
      </c>
      <c r="C215" t="s">
        <v>245</v>
      </c>
      <c r="D215" t="s">
        <v>58</v>
      </c>
      <c r="E215">
        <f>VLOOKUP(D215,PLAN!A:B,2,FALSE)</f>
        <v>4</v>
      </c>
      <c r="F215">
        <f>VLOOKUP(C215&amp;E215,CURSO!A:D,4,FALSE)</f>
        <v>16</v>
      </c>
      <c r="G215">
        <v>214</v>
      </c>
      <c r="H215">
        <v>13</v>
      </c>
      <c r="K215">
        <v>214</v>
      </c>
      <c r="L215" t="s">
        <v>579</v>
      </c>
      <c r="N215">
        <v>16</v>
      </c>
      <c r="O215" s="1" t="s">
        <v>596</v>
      </c>
      <c r="P215" s="1" t="s">
        <v>596</v>
      </c>
    </row>
    <row r="216" spans="1:16" x14ac:dyDescent="0.25">
      <c r="A216" t="str">
        <f t="shared" si="3"/>
        <v>SISTEMA ADMINISTRATIVO CONTABLE III16</v>
      </c>
      <c r="B216" t="s">
        <v>575</v>
      </c>
      <c r="C216" t="s">
        <v>245</v>
      </c>
      <c r="D216" t="s">
        <v>58</v>
      </c>
      <c r="E216">
        <f>VLOOKUP(D216,PLAN!A:B,2,FALSE)</f>
        <v>4</v>
      </c>
      <c r="F216">
        <f>VLOOKUP(C216&amp;E216,CURSO!A:D,4,FALSE)</f>
        <v>16</v>
      </c>
      <c r="G216">
        <v>215</v>
      </c>
      <c r="H216">
        <v>14</v>
      </c>
      <c r="K216">
        <v>215</v>
      </c>
      <c r="L216" t="s">
        <v>575</v>
      </c>
      <c r="N216">
        <v>16</v>
      </c>
      <c r="O216" s="1" t="s">
        <v>596</v>
      </c>
      <c r="P216" s="1" t="s">
        <v>596</v>
      </c>
    </row>
    <row r="217" spans="1:16" x14ac:dyDescent="0.25">
      <c r="A217" t="str">
        <f t="shared" si="3"/>
        <v>PROYECTO INTEGRADOR III16</v>
      </c>
      <c r="B217" t="s">
        <v>271</v>
      </c>
      <c r="C217" t="s">
        <v>245</v>
      </c>
      <c r="D217" t="s">
        <v>58</v>
      </c>
      <c r="E217">
        <f>VLOOKUP(D217,PLAN!A:B,2,FALSE)</f>
        <v>4</v>
      </c>
      <c r="F217">
        <f>VLOOKUP(C217&amp;E217,CURSO!A:D,4,FALSE)</f>
        <v>16</v>
      </c>
      <c r="G217">
        <v>216</v>
      </c>
      <c r="H217">
        <v>15</v>
      </c>
      <c r="K217">
        <v>216</v>
      </c>
      <c r="L217" t="s">
        <v>271</v>
      </c>
      <c r="N217">
        <v>16</v>
      </c>
      <c r="O217" s="1" t="s">
        <v>596</v>
      </c>
      <c r="P217" s="1" t="s">
        <v>596</v>
      </c>
    </row>
    <row r="218" spans="1:16" x14ac:dyDescent="0.25">
      <c r="A218" t="str">
        <f t="shared" si="3"/>
        <v>RECURSO INFORMÁTICO III16</v>
      </c>
      <c r="B218" t="s">
        <v>272</v>
      </c>
      <c r="C218" t="s">
        <v>245</v>
      </c>
      <c r="D218" t="s">
        <v>58</v>
      </c>
      <c r="E218">
        <f>VLOOKUP(D218,PLAN!A:B,2,FALSE)</f>
        <v>4</v>
      </c>
      <c r="F218">
        <f>VLOOKUP(C218&amp;E218,CURSO!A:D,4,FALSE)</f>
        <v>16</v>
      </c>
      <c r="G218">
        <v>217</v>
      </c>
      <c r="H218">
        <v>16</v>
      </c>
      <c r="K218">
        <v>217</v>
      </c>
      <c r="L218" t="s">
        <v>272</v>
      </c>
      <c r="N218">
        <v>16</v>
      </c>
      <c r="O218" s="1" t="s">
        <v>596</v>
      </c>
      <c r="P218" s="1" t="s">
        <v>596</v>
      </c>
    </row>
    <row r="219" spans="1:16" x14ac:dyDescent="0.25">
      <c r="A219" t="str">
        <f t="shared" si="3"/>
        <v>EDUCACIÓN FÍSICA17</v>
      </c>
      <c r="B219" t="s">
        <v>10</v>
      </c>
      <c r="C219" t="s">
        <v>98</v>
      </c>
      <c r="D219" t="s">
        <v>59</v>
      </c>
      <c r="E219">
        <f>VLOOKUP(D219,PLAN!A:B,2,FALSE)</f>
        <v>5</v>
      </c>
      <c r="F219">
        <f>VLOOKUP(C219&amp;E219,CURSO!A:D,4,FALSE)</f>
        <v>17</v>
      </c>
      <c r="G219">
        <v>218</v>
      </c>
      <c r="H219">
        <v>1</v>
      </c>
      <c r="K219">
        <v>218</v>
      </c>
      <c r="L219" t="s">
        <v>10</v>
      </c>
      <c r="M219" t="s">
        <v>598</v>
      </c>
      <c r="N219">
        <v>17</v>
      </c>
      <c r="O219" s="1" t="s">
        <v>596</v>
      </c>
      <c r="P219" s="1" t="s">
        <v>596</v>
      </c>
    </row>
    <row r="220" spans="1:16" x14ac:dyDescent="0.25">
      <c r="A220" t="str">
        <f t="shared" si="3"/>
        <v>LENGUA Y LITERATURA17</v>
      </c>
      <c r="B220" t="s">
        <v>11</v>
      </c>
      <c r="C220" t="s">
        <v>98</v>
      </c>
      <c r="D220" t="s">
        <v>59</v>
      </c>
      <c r="E220">
        <f>VLOOKUP(D220,PLAN!A:B,2,FALSE)</f>
        <v>5</v>
      </c>
      <c r="F220">
        <f>VLOOKUP(C220&amp;E220,CURSO!A:D,4,FALSE)</f>
        <v>17</v>
      </c>
      <c r="G220">
        <v>219</v>
      </c>
      <c r="H220">
        <v>2</v>
      </c>
      <c r="K220">
        <v>219</v>
      </c>
      <c r="L220" t="s">
        <v>11</v>
      </c>
      <c r="N220">
        <v>17</v>
      </c>
      <c r="O220" s="1" t="s">
        <v>596</v>
      </c>
      <c r="P220" s="1" t="s">
        <v>596</v>
      </c>
    </row>
    <row r="221" spans="1:16" x14ac:dyDescent="0.25">
      <c r="A221" t="str">
        <f t="shared" si="3"/>
        <v>MATEMÁTICA17</v>
      </c>
      <c r="B221" t="s">
        <v>12</v>
      </c>
      <c r="C221" t="s">
        <v>98</v>
      </c>
      <c r="D221" t="s">
        <v>59</v>
      </c>
      <c r="E221">
        <f>VLOOKUP(D221,PLAN!A:B,2,FALSE)</f>
        <v>5</v>
      </c>
      <c r="F221">
        <f>VLOOKUP(C221&amp;E221,CURSO!A:D,4,FALSE)</f>
        <v>17</v>
      </c>
      <c r="G221">
        <v>220</v>
      </c>
      <c r="H221">
        <v>3</v>
      </c>
      <c r="K221">
        <v>220</v>
      </c>
      <c r="L221" t="s">
        <v>12</v>
      </c>
      <c r="N221">
        <v>17</v>
      </c>
      <c r="O221" s="1" t="s">
        <v>596</v>
      </c>
      <c r="P221" s="1" t="s">
        <v>596</v>
      </c>
    </row>
    <row r="222" spans="1:16" x14ac:dyDescent="0.25">
      <c r="A222" t="str">
        <f t="shared" si="3"/>
        <v>CIENCIAS NATURALES - BIOLOGÍA17</v>
      </c>
      <c r="B222" t="s">
        <v>13</v>
      </c>
      <c r="C222" t="s">
        <v>98</v>
      </c>
      <c r="D222" t="s">
        <v>59</v>
      </c>
      <c r="E222">
        <f>VLOOKUP(D222,PLAN!A:B,2,FALSE)</f>
        <v>5</v>
      </c>
      <c r="F222">
        <f>VLOOKUP(C222&amp;E222,CURSO!A:D,4,FALSE)</f>
        <v>17</v>
      </c>
      <c r="G222">
        <v>221</v>
      </c>
      <c r="H222">
        <v>4</v>
      </c>
      <c r="K222">
        <v>221</v>
      </c>
      <c r="L222" t="s">
        <v>13</v>
      </c>
      <c r="M222" t="s">
        <v>599</v>
      </c>
      <c r="N222">
        <v>17</v>
      </c>
      <c r="O222" s="1" t="s">
        <v>596</v>
      </c>
      <c r="P222" s="1" t="s">
        <v>596</v>
      </c>
    </row>
    <row r="223" spans="1:16" x14ac:dyDescent="0.25">
      <c r="A223" t="str">
        <f t="shared" si="3"/>
        <v>CIENCIAS NATURALES - FÍSICA17</v>
      </c>
      <c r="B223" t="s">
        <v>14</v>
      </c>
      <c r="C223" t="s">
        <v>98</v>
      </c>
      <c r="D223" t="s">
        <v>59</v>
      </c>
      <c r="E223">
        <f>VLOOKUP(D223,PLAN!A:B,2,FALSE)</f>
        <v>5</v>
      </c>
      <c r="F223">
        <f>VLOOKUP(C223&amp;E223,CURSO!A:D,4,FALSE)</f>
        <v>17</v>
      </c>
      <c r="G223">
        <v>222</v>
      </c>
      <c r="H223">
        <v>5</v>
      </c>
      <c r="K223">
        <v>222</v>
      </c>
      <c r="L223" t="s">
        <v>14</v>
      </c>
      <c r="M223" t="s">
        <v>599</v>
      </c>
      <c r="N223">
        <v>17</v>
      </c>
      <c r="O223" s="1" t="s">
        <v>596</v>
      </c>
      <c r="P223" s="1" t="s">
        <v>596</v>
      </c>
    </row>
    <row r="224" spans="1:16" x14ac:dyDescent="0.25">
      <c r="A224" t="str">
        <f t="shared" si="3"/>
        <v>CIENCIAS SOCIALES - GEOGRAFÍA17</v>
      </c>
      <c r="B224" t="s">
        <v>15</v>
      </c>
      <c r="C224" t="s">
        <v>98</v>
      </c>
      <c r="D224" t="s">
        <v>59</v>
      </c>
      <c r="E224">
        <f>VLOOKUP(D224,PLAN!A:B,2,FALSE)</f>
        <v>5</v>
      </c>
      <c r="F224">
        <f>VLOOKUP(C224&amp;E224,CURSO!A:D,4,FALSE)</f>
        <v>17</v>
      </c>
      <c r="G224">
        <v>223</v>
      </c>
      <c r="H224">
        <v>6</v>
      </c>
      <c r="K224">
        <v>223</v>
      </c>
      <c r="L224" t="s">
        <v>15</v>
      </c>
      <c r="M224" t="s">
        <v>600</v>
      </c>
      <c r="N224">
        <v>17</v>
      </c>
      <c r="O224" s="1" t="s">
        <v>596</v>
      </c>
      <c r="P224" s="1" t="s">
        <v>596</v>
      </c>
    </row>
    <row r="225" spans="1:16" x14ac:dyDescent="0.25">
      <c r="A225" t="str">
        <f t="shared" si="3"/>
        <v>LENGUA EXTRANJERA - INGLÉS17</v>
      </c>
      <c r="B225" t="s">
        <v>16</v>
      </c>
      <c r="C225" t="s">
        <v>98</v>
      </c>
      <c r="D225" t="s">
        <v>59</v>
      </c>
      <c r="E225">
        <f>VLOOKUP(D225,PLAN!A:B,2,FALSE)</f>
        <v>5</v>
      </c>
      <c r="F225">
        <f>VLOOKUP(C225&amp;E225,CURSO!A:D,4,FALSE)</f>
        <v>17</v>
      </c>
      <c r="G225">
        <v>224</v>
      </c>
      <c r="H225">
        <v>7</v>
      </c>
      <c r="K225">
        <v>224</v>
      </c>
      <c r="L225" t="s">
        <v>16</v>
      </c>
      <c r="N225">
        <v>17</v>
      </c>
      <c r="O225" s="1" t="s">
        <v>596</v>
      </c>
      <c r="P225" s="1" t="s">
        <v>596</v>
      </c>
    </row>
    <row r="226" spans="1:16" x14ac:dyDescent="0.25">
      <c r="A226" t="str">
        <f t="shared" si="3"/>
        <v>EDUCACIÓN ARTÍSTICA - ARTES VISUALES17</v>
      </c>
      <c r="B226" t="s">
        <v>17</v>
      </c>
      <c r="C226" t="s">
        <v>98</v>
      </c>
      <c r="D226" t="s">
        <v>59</v>
      </c>
      <c r="E226">
        <f>VLOOKUP(D226,PLAN!A:B,2,FALSE)</f>
        <v>5</v>
      </c>
      <c r="F226">
        <f>VLOOKUP(C226&amp;E226,CURSO!A:D,4,FALSE)</f>
        <v>17</v>
      </c>
      <c r="G226">
        <v>225</v>
      </c>
      <c r="H226">
        <v>8</v>
      </c>
      <c r="K226">
        <v>225</v>
      </c>
      <c r="L226" t="s">
        <v>17</v>
      </c>
      <c r="M226" t="s">
        <v>598</v>
      </c>
      <c r="N226">
        <v>17</v>
      </c>
      <c r="O226" s="1" t="s">
        <v>596</v>
      </c>
      <c r="P226" s="1" t="s">
        <v>596</v>
      </c>
    </row>
    <row r="227" spans="1:16" x14ac:dyDescent="0.25">
      <c r="A227" t="str">
        <f t="shared" si="3"/>
        <v>EDUCACIÓN TECNOLÓGICA17</v>
      </c>
      <c r="B227" t="s">
        <v>18</v>
      </c>
      <c r="C227" t="s">
        <v>98</v>
      </c>
      <c r="D227" t="s">
        <v>59</v>
      </c>
      <c r="E227">
        <f>VLOOKUP(D227,PLAN!A:B,2,FALSE)</f>
        <v>5</v>
      </c>
      <c r="F227">
        <f>VLOOKUP(C227&amp;E227,CURSO!A:D,4,FALSE)</f>
        <v>17</v>
      </c>
      <c r="G227">
        <v>226</v>
      </c>
      <c r="H227">
        <v>9</v>
      </c>
      <c r="K227">
        <v>226</v>
      </c>
      <c r="L227" t="s">
        <v>18</v>
      </c>
      <c r="N227">
        <v>17</v>
      </c>
      <c r="O227" s="1" t="s">
        <v>596</v>
      </c>
      <c r="P227" s="1" t="s">
        <v>596</v>
      </c>
    </row>
    <row r="228" spans="1:16" x14ac:dyDescent="0.25">
      <c r="A228" t="str">
        <f t="shared" si="3"/>
        <v>CIUDADANÍA Y PARTICIPACIÓN17</v>
      </c>
      <c r="B228" t="s">
        <v>19</v>
      </c>
      <c r="C228" t="s">
        <v>98</v>
      </c>
      <c r="D228" t="s">
        <v>59</v>
      </c>
      <c r="E228">
        <f>VLOOKUP(D228,PLAN!A:B,2,FALSE)</f>
        <v>5</v>
      </c>
      <c r="F228">
        <f>VLOOKUP(C228&amp;E228,CURSO!A:D,4,FALSE)</f>
        <v>17</v>
      </c>
      <c r="G228">
        <v>227</v>
      </c>
      <c r="H228">
        <v>10</v>
      </c>
      <c r="K228">
        <v>227</v>
      </c>
      <c r="L228" t="s">
        <v>19</v>
      </c>
      <c r="M228" t="s">
        <v>600</v>
      </c>
      <c r="N228">
        <v>17</v>
      </c>
      <c r="O228" s="1" t="s">
        <v>596</v>
      </c>
      <c r="P228" s="1" t="s">
        <v>596</v>
      </c>
    </row>
    <row r="229" spans="1:16" x14ac:dyDescent="0.25">
      <c r="A229" t="str">
        <f t="shared" si="3"/>
        <v>EDUCACIÓN FÍSICA18</v>
      </c>
      <c r="B229" t="s">
        <v>10</v>
      </c>
      <c r="C229" t="s">
        <v>95</v>
      </c>
      <c r="D229" t="s">
        <v>59</v>
      </c>
      <c r="E229">
        <f>VLOOKUP(D229,PLAN!A:B,2,FALSE)</f>
        <v>5</v>
      </c>
      <c r="F229">
        <f>VLOOKUP(C229&amp;E229,CURSO!A:D,4,FALSE)</f>
        <v>18</v>
      </c>
      <c r="G229">
        <v>228</v>
      </c>
      <c r="H229">
        <v>1</v>
      </c>
      <c r="K229">
        <v>228</v>
      </c>
      <c r="L229" t="s">
        <v>10</v>
      </c>
      <c r="M229" t="s">
        <v>598</v>
      </c>
      <c r="N229">
        <v>18</v>
      </c>
      <c r="O229" s="1" t="s">
        <v>596</v>
      </c>
      <c r="P229" s="1" t="s">
        <v>596</v>
      </c>
    </row>
    <row r="230" spans="1:16" x14ac:dyDescent="0.25">
      <c r="A230" t="str">
        <f t="shared" si="3"/>
        <v>LENGUA Y LITERATURA18</v>
      </c>
      <c r="B230" t="s">
        <v>11</v>
      </c>
      <c r="C230" t="s">
        <v>95</v>
      </c>
      <c r="D230" t="s">
        <v>59</v>
      </c>
      <c r="E230">
        <f>VLOOKUP(D230,PLAN!A:B,2,FALSE)</f>
        <v>5</v>
      </c>
      <c r="F230">
        <f>VLOOKUP(C230&amp;E230,CURSO!A:D,4,FALSE)</f>
        <v>18</v>
      </c>
      <c r="G230">
        <v>229</v>
      </c>
      <c r="H230">
        <v>2</v>
      </c>
      <c r="K230">
        <v>229</v>
      </c>
      <c r="L230" t="s">
        <v>11</v>
      </c>
      <c r="N230">
        <v>18</v>
      </c>
      <c r="O230" s="1" t="s">
        <v>596</v>
      </c>
      <c r="P230" s="1" t="s">
        <v>596</v>
      </c>
    </row>
    <row r="231" spans="1:16" x14ac:dyDescent="0.25">
      <c r="A231" t="str">
        <f t="shared" si="3"/>
        <v>MATEMÁTICA18</v>
      </c>
      <c r="B231" t="s">
        <v>12</v>
      </c>
      <c r="C231" t="s">
        <v>95</v>
      </c>
      <c r="D231" t="s">
        <v>59</v>
      </c>
      <c r="E231">
        <f>VLOOKUP(D231,PLAN!A:B,2,FALSE)</f>
        <v>5</v>
      </c>
      <c r="F231">
        <f>VLOOKUP(C231&amp;E231,CURSO!A:D,4,FALSE)</f>
        <v>18</v>
      </c>
      <c r="G231">
        <v>230</v>
      </c>
      <c r="H231">
        <v>3</v>
      </c>
      <c r="K231">
        <v>230</v>
      </c>
      <c r="L231" t="s">
        <v>12</v>
      </c>
      <c r="N231">
        <v>18</v>
      </c>
      <c r="O231" s="1" t="s">
        <v>596</v>
      </c>
      <c r="P231" s="1" t="s">
        <v>596</v>
      </c>
    </row>
    <row r="232" spans="1:16" x14ac:dyDescent="0.25">
      <c r="A232" t="str">
        <f t="shared" si="3"/>
        <v>CIENCIAS NATURALES - QUÍMICA18</v>
      </c>
      <c r="B232" t="s">
        <v>20</v>
      </c>
      <c r="C232" t="s">
        <v>95</v>
      </c>
      <c r="D232" t="s">
        <v>59</v>
      </c>
      <c r="E232">
        <f>VLOOKUP(D232,PLAN!A:B,2,FALSE)</f>
        <v>5</v>
      </c>
      <c r="F232">
        <f>VLOOKUP(C232&amp;E232,CURSO!A:D,4,FALSE)</f>
        <v>18</v>
      </c>
      <c r="G232">
        <v>231</v>
      </c>
      <c r="H232">
        <v>4</v>
      </c>
      <c r="K232">
        <v>231</v>
      </c>
      <c r="L232" t="s">
        <v>20</v>
      </c>
      <c r="M232" t="s">
        <v>599</v>
      </c>
      <c r="N232">
        <v>18</v>
      </c>
      <c r="O232" s="1" t="s">
        <v>596</v>
      </c>
      <c r="P232" s="1" t="s">
        <v>596</v>
      </c>
    </row>
    <row r="233" spans="1:16" x14ac:dyDescent="0.25">
      <c r="A233" t="str">
        <f t="shared" si="3"/>
        <v>BIOLOGÍA18</v>
      </c>
      <c r="B233" t="s">
        <v>21</v>
      </c>
      <c r="C233" t="s">
        <v>95</v>
      </c>
      <c r="D233" t="s">
        <v>59</v>
      </c>
      <c r="E233">
        <f>VLOOKUP(D233,PLAN!A:B,2,FALSE)</f>
        <v>5</v>
      </c>
      <c r="F233">
        <f>VLOOKUP(C233&amp;E233,CURSO!A:D,4,FALSE)</f>
        <v>18</v>
      </c>
      <c r="G233">
        <v>232</v>
      </c>
      <c r="H233">
        <v>5</v>
      </c>
      <c r="K233">
        <v>232</v>
      </c>
      <c r="L233" t="s">
        <v>21</v>
      </c>
      <c r="M233" t="s">
        <v>599</v>
      </c>
      <c r="N233">
        <v>18</v>
      </c>
      <c r="O233" s="1" t="s">
        <v>596</v>
      </c>
      <c r="P233" s="1" t="s">
        <v>596</v>
      </c>
    </row>
    <row r="234" spans="1:16" x14ac:dyDescent="0.25">
      <c r="A234" t="str">
        <f t="shared" si="3"/>
        <v>CIENCIAS SOCIALES - HISTORIA18</v>
      </c>
      <c r="B234" t="s">
        <v>22</v>
      </c>
      <c r="C234" t="s">
        <v>95</v>
      </c>
      <c r="D234" t="s">
        <v>59</v>
      </c>
      <c r="E234">
        <f>VLOOKUP(D234,PLAN!A:B,2,FALSE)</f>
        <v>5</v>
      </c>
      <c r="F234">
        <f>VLOOKUP(C234&amp;E234,CURSO!A:D,4,FALSE)</f>
        <v>18</v>
      </c>
      <c r="G234">
        <v>233</v>
      </c>
      <c r="H234">
        <v>6</v>
      </c>
      <c r="K234">
        <v>233</v>
      </c>
      <c r="L234" t="s">
        <v>22</v>
      </c>
      <c r="M234" t="s">
        <v>600</v>
      </c>
      <c r="N234">
        <v>18</v>
      </c>
      <c r="O234" s="1" t="s">
        <v>596</v>
      </c>
      <c r="P234" s="1" t="s">
        <v>596</v>
      </c>
    </row>
    <row r="235" spans="1:16" x14ac:dyDescent="0.25">
      <c r="A235" t="str">
        <f t="shared" si="3"/>
        <v>LENGUA EXTRANJERA - INGLÉS18</v>
      </c>
      <c r="B235" t="s">
        <v>16</v>
      </c>
      <c r="C235" t="s">
        <v>95</v>
      </c>
      <c r="D235" t="s">
        <v>59</v>
      </c>
      <c r="E235">
        <f>VLOOKUP(D235,PLAN!A:B,2,FALSE)</f>
        <v>5</v>
      </c>
      <c r="F235">
        <f>VLOOKUP(C235&amp;E235,CURSO!A:D,4,FALSE)</f>
        <v>18</v>
      </c>
      <c r="G235">
        <v>234</v>
      </c>
      <c r="H235">
        <v>7</v>
      </c>
      <c r="K235">
        <v>234</v>
      </c>
      <c r="L235" t="s">
        <v>16</v>
      </c>
      <c r="N235">
        <v>18</v>
      </c>
      <c r="O235" s="1" t="s">
        <v>596</v>
      </c>
      <c r="P235" s="1" t="s">
        <v>596</v>
      </c>
    </row>
    <row r="236" spans="1:16" x14ac:dyDescent="0.25">
      <c r="A236" t="str">
        <f t="shared" si="3"/>
        <v>EDUCACIÓN ARTÍSTICA - MÚSICA18</v>
      </c>
      <c r="B236" t="s">
        <v>23</v>
      </c>
      <c r="C236" t="s">
        <v>95</v>
      </c>
      <c r="D236" t="s">
        <v>59</v>
      </c>
      <c r="E236">
        <f>VLOOKUP(D236,PLAN!A:B,2,FALSE)</f>
        <v>5</v>
      </c>
      <c r="F236">
        <f>VLOOKUP(C236&amp;E236,CURSO!A:D,4,FALSE)</f>
        <v>18</v>
      </c>
      <c r="G236">
        <v>235</v>
      </c>
      <c r="H236">
        <v>8</v>
      </c>
      <c r="K236">
        <v>235</v>
      </c>
      <c r="L236" t="s">
        <v>23</v>
      </c>
      <c r="M236" t="s">
        <v>598</v>
      </c>
      <c r="N236">
        <v>18</v>
      </c>
      <c r="O236" s="1" t="s">
        <v>596</v>
      </c>
      <c r="P236" s="1" t="s">
        <v>596</v>
      </c>
    </row>
    <row r="237" spans="1:16" x14ac:dyDescent="0.25">
      <c r="A237" t="str">
        <f t="shared" si="3"/>
        <v>EDUCACIÓN TECNOLÓGICA18</v>
      </c>
      <c r="B237" t="s">
        <v>18</v>
      </c>
      <c r="C237" t="s">
        <v>95</v>
      </c>
      <c r="D237" t="s">
        <v>59</v>
      </c>
      <c r="E237">
        <f>VLOOKUP(D237,PLAN!A:B,2,FALSE)</f>
        <v>5</v>
      </c>
      <c r="F237">
        <f>VLOOKUP(C237&amp;E237,CURSO!A:D,4,FALSE)</f>
        <v>18</v>
      </c>
      <c r="G237">
        <v>236</v>
      </c>
      <c r="H237">
        <v>9</v>
      </c>
      <c r="K237">
        <v>236</v>
      </c>
      <c r="L237" t="s">
        <v>18</v>
      </c>
      <c r="N237">
        <v>18</v>
      </c>
      <c r="O237" s="1" t="s">
        <v>596</v>
      </c>
      <c r="P237" s="1" t="s">
        <v>596</v>
      </c>
    </row>
    <row r="238" spans="1:16" x14ac:dyDescent="0.25">
      <c r="A238" t="str">
        <f t="shared" si="3"/>
        <v>CIUDADANÍA Y PARTICIPACIÓN18</v>
      </c>
      <c r="B238" t="s">
        <v>19</v>
      </c>
      <c r="C238" t="s">
        <v>95</v>
      </c>
      <c r="D238" t="s">
        <v>59</v>
      </c>
      <c r="E238">
        <f>VLOOKUP(D238,PLAN!A:B,2,FALSE)</f>
        <v>5</v>
      </c>
      <c r="F238">
        <f>VLOOKUP(C238&amp;E238,CURSO!A:D,4,FALSE)</f>
        <v>18</v>
      </c>
      <c r="G238">
        <v>237</v>
      </c>
      <c r="H238">
        <v>10</v>
      </c>
      <c r="K238">
        <v>237</v>
      </c>
      <c r="L238" t="s">
        <v>19</v>
      </c>
      <c r="M238" t="s">
        <v>600</v>
      </c>
      <c r="N238">
        <v>18</v>
      </c>
      <c r="O238" s="1" t="s">
        <v>596</v>
      </c>
      <c r="P238" s="1" t="s">
        <v>596</v>
      </c>
    </row>
    <row r="239" spans="1:16" x14ac:dyDescent="0.25">
      <c r="A239" t="str">
        <f t="shared" si="3"/>
        <v>EDUCACIÓN FÍSICA19</v>
      </c>
      <c r="B239" t="s">
        <v>10</v>
      </c>
      <c r="C239" t="s">
        <v>143</v>
      </c>
      <c r="D239" t="s">
        <v>59</v>
      </c>
      <c r="E239">
        <f>VLOOKUP(D239,PLAN!A:B,2,FALSE)</f>
        <v>5</v>
      </c>
      <c r="F239">
        <f>VLOOKUP(C239&amp;E239,CURSO!A:D,4,FALSE)</f>
        <v>19</v>
      </c>
      <c r="G239">
        <v>238</v>
      </c>
      <c r="H239">
        <v>1</v>
      </c>
      <c r="K239">
        <v>238</v>
      </c>
      <c r="L239" t="s">
        <v>10</v>
      </c>
      <c r="M239" t="s">
        <v>598</v>
      </c>
      <c r="N239">
        <v>19</v>
      </c>
      <c r="O239" s="1" t="s">
        <v>596</v>
      </c>
      <c r="P239" s="1" t="s">
        <v>596</v>
      </c>
    </row>
    <row r="240" spans="1:16" x14ac:dyDescent="0.25">
      <c r="A240" t="str">
        <f t="shared" si="3"/>
        <v>LENGUA Y LITERATURA19</v>
      </c>
      <c r="B240" t="s">
        <v>11</v>
      </c>
      <c r="C240" t="s">
        <v>143</v>
      </c>
      <c r="D240" t="s">
        <v>59</v>
      </c>
      <c r="E240">
        <f>VLOOKUP(D240,PLAN!A:B,2,FALSE)</f>
        <v>5</v>
      </c>
      <c r="F240">
        <f>VLOOKUP(C240&amp;E240,CURSO!A:D,4,FALSE)</f>
        <v>19</v>
      </c>
      <c r="G240">
        <v>239</v>
      </c>
      <c r="H240">
        <v>2</v>
      </c>
      <c r="K240">
        <v>239</v>
      </c>
      <c r="L240" t="s">
        <v>11</v>
      </c>
      <c r="N240">
        <v>19</v>
      </c>
      <c r="O240" s="1" t="s">
        <v>596</v>
      </c>
      <c r="P240" s="1" t="s">
        <v>596</v>
      </c>
    </row>
    <row r="241" spans="1:16" x14ac:dyDescent="0.25">
      <c r="A241" t="str">
        <f t="shared" si="3"/>
        <v>MATEMÁTICA19</v>
      </c>
      <c r="B241" t="s">
        <v>12</v>
      </c>
      <c r="C241" t="s">
        <v>143</v>
      </c>
      <c r="D241" t="s">
        <v>59</v>
      </c>
      <c r="E241">
        <f>VLOOKUP(D241,PLAN!A:B,2,FALSE)</f>
        <v>5</v>
      </c>
      <c r="F241">
        <f>VLOOKUP(C241&amp;E241,CURSO!A:D,4,FALSE)</f>
        <v>19</v>
      </c>
      <c r="G241">
        <v>240</v>
      </c>
      <c r="H241">
        <v>3</v>
      </c>
      <c r="K241">
        <v>240</v>
      </c>
      <c r="L241" t="s">
        <v>12</v>
      </c>
      <c r="N241">
        <v>19</v>
      </c>
      <c r="O241" s="1" t="s">
        <v>596</v>
      </c>
      <c r="P241" s="1" t="s">
        <v>596</v>
      </c>
    </row>
    <row r="242" spans="1:16" x14ac:dyDescent="0.25">
      <c r="A242" t="str">
        <f t="shared" si="3"/>
        <v>FÍSICA19</v>
      </c>
      <c r="B242" t="s">
        <v>24</v>
      </c>
      <c r="C242" t="s">
        <v>143</v>
      </c>
      <c r="D242" t="s">
        <v>59</v>
      </c>
      <c r="E242">
        <f>VLOOKUP(D242,PLAN!A:B,2,FALSE)</f>
        <v>5</v>
      </c>
      <c r="F242">
        <f>VLOOKUP(C242&amp;E242,CURSO!A:D,4,FALSE)</f>
        <v>19</v>
      </c>
      <c r="G242">
        <v>241</v>
      </c>
      <c r="H242">
        <v>4</v>
      </c>
      <c r="K242">
        <v>241</v>
      </c>
      <c r="L242" t="s">
        <v>24</v>
      </c>
      <c r="M242" t="s">
        <v>599</v>
      </c>
      <c r="N242">
        <v>19</v>
      </c>
      <c r="O242" s="1" t="s">
        <v>596</v>
      </c>
      <c r="P242" s="1" t="s">
        <v>596</v>
      </c>
    </row>
    <row r="243" spans="1:16" x14ac:dyDescent="0.25">
      <c r="A243" t="str">
        <f t="shared" si="3"/>
        <v>QUÍMICA19</v>
      </c>
      <c r="B243" t="s">
        <v>25</v>
      </c>
      <c r="C243" t="s">
        <v>143</v>
      </c>
      <c r="D243" t="s">
        <v>59</v>
      </c>
      <c r="E243">
        <f>VLOOKUP(D243,PLAN!A:B,2,FALSE)</f>
        <v>5</v>
      </c>
      <c r="F243">
        <f>VLOOKUP(C243&amp;E243,CURSO!A:D,4,FALSE)</f>
        <v>19</v>
      </c>
      <c r="G243">
        <v>242</v>
      </c>
      <c r="H243">
        <v>5</v>
      </c>
      <c r="K243">
        <v>242</v>
      </c>
      <c r="L243" t="s">
        <v>25</v>
      </c>
      <c r="M243" t="s">
        <v>599</v>
      </c>
      <c r="N243">
        <v>19</v>
      </c>
      <c r="O243" s="1" t="s">
        <v>596</v>
      </c>
      <c r="P243" s="1" t="s">
        <v>596</v>
      </c>
    </row>
    <row r="244" spans="1:16" x14ac:dyDescent="0.25">
      <c r="A244" t="str">
        <f t="shared" si="3"/>
        <v>GEOGRAFÍA19</v>
      </c>
      <c r="B244" t="s">
        <v>26</v>
      </c>
      <c r="C244" t="s">
        <v>143</v>
      </c>
      <c r="D244" t="s">
        <v>59</v>
      </c>
      <c r="E244">
        <f>VLOOKUP(D244,PLAN!A:B,2,FALSE)</f>
        <v>5</v>
      </c>
      <c r="F244">
        <f>VLOOKUP(C244&amp;E244,CURSO!A:D,4,FALSE)</f>
        <v>19</v>
      </c>
      <c r="G244">
        <v>243</v>
      </c>
      <c r="H244">
        <v>6</v>
      </c>
      <c r="K244">
        <v>243</v>
      </c>
      <c r="L244" t="s">
        <v>26</v>
      </c>
      <c r="M244" t="s">
        <v>600</v>
      </c>
      <c r="N244">
        <v>19</v>
      </c>
      <c r="O244" s="1" t="s">
        <v>596</v>
      </c>
      <c r="P244" s="1" t="s">
        <v>596</v>
      </c>
    </row>
    <row r="245" spans="1:16" x14ac:dyDescent="0.25">
      <c r="A245" t="str">
        <f t="shared" si="3"/>
        <v>HISTORIA19</v>
      </c>
      <c r="B245" t="s">
        <v>27</v>
      </c>
      <c r="C245" t="s">
        <v>143</v>
      </c>
      <c r="D245" t="s">
        <v>59</v>
      </c>
      <c r="E245">
        <f>VLOOKUP(D245,PLAN!A:B,2,FALSE)</f>
        <v>5</v>
      </c>
      <c r="F245">
        <f>VLOOKUP(C245&amp;E245,CURSO!A:D,4,FALSE)</f>
        <v>19</v>
      </c>
      <c r="G245">
        <v>244</v>
      </c>
      <c r="H245">
        <v>7</v>
      </c>
      <c r="K245">
        <v>244</v>
      </c>
      <c r="L245" t="s">
        <v>27</v>
      </c>
      <c r="M245" t="s">
        <v>600</v>
      </c>
      <c r="N245">
        <v>19</v>
      </c>
      <c r="O245" s="1" t="s">
        <v>596</v>
      </c>
      <c r="P245" s="1" t="s">
        <v>596</v>
      </c>
    </row>
    <row r="246" spans="1:16" x14ac:dyDescent="0.25">
      <c r="A246" t="str">
        <f t="shared" si="3"/>
        <v>LENGUA EXTRANJERA - INGLÉS19</v>
      </c>
      <c r="B246" t="s">
        <v>16</v>
      </c>
      <c r="C246" t="s">
        <v>143</v>
      </c>
      <c r="D246" t="s">
        <v>59</v>
      </c>
      <c r="E246">
        <f>VLOOKUP(D246,PLAN!A:B,2,FALSE)</f>
        <v>5</v>
      </c>
      <c r="F246">
        <f>VLOOKUP(C246&amp;E246,CURSO!A:D,4,FALSE)</f>
        <v>19</v>
      </c>
      <c r="G246">
        <v>245</v>
      </c>
      <c r="H246">
        <v>8</v>
      </c>
      <c r="K246">
        <v>245</v>
      </c>
      <c r="L246" t="s">
        <v>16</v>
      </c>
      <c r="N246">
        <v>19</v>
      </c>
      <c r="O246" s="1" t="s">
        <v>596</v>
      </c>
      <c r="P246" s="1" t="s">
        <v>596</v>
      </c>
    </row>
    <row r="247" spans="1:16" x14ac:dyDescent="0.25">
      <c r="A247" t="str">
        <f t="shared" si="3"/>
        <v>EDUCACIÓN ARTÍSTICA - ARTES VISUALES19</v>
      </c>
      <c r="B247" t="s">
        <v>17</v>
      </c>
      <c r="C247" t="s">
        <v>143</v>
      </c>
      <c r="D247" t="s">
        <v>59</v>
      </c>
      <c r="E247">
        <f>VLOOKUP(D247,PLAN!A:B,2,FALSE)</f>
        <v>5</v>
      </c>
      <c r="F247">
        <f>VLOOKUP(C247&amp;E247,CURSO!A:D,4,FALSE)</f>
        <v>19</v>
      </c>
      <c r="G247">
        <v>246</v>
      </c>
      <c r="H247">
        <v>9</v>
      </c>
      <c r="K247">
        <v>246</v>
      </c>
      <c r="L247" t="s">
        <v>17</v>
      </c>
      <c r="N247">
        <v>19</v>
      </c>
      <c r="O247" s="1" t="s">
        <v>596</v>
      </c>
      <c r="P247" s="1" t="s">
        <v>596</v>
      </c>
    </row>
    <row r="248" spans="1:16" x14ac:dyDescent="0.25">
      <c r="A248" t="str">
        <f t="shared" si="3"/>
        <v>EDUCACIÓN ARTÍSTICA - MÚSICA19</v>
      </c>
      <c r="B248" t="s">
        <v>23</v>
      </c>
      <c r="C248" t="s">
        <v>143</v>
      </c>
      <c r="D248" t="s">
        <v>59</v>
      </c>
      <c r="E248">
        <f>VLOOKUP(D248,PLAN!A:B,2,FALSE)</f>
        <v>5</v>
      </c>
      <c r="F248">
        <f>VLOOKUP(C248&amp;E248,CURSO!A:D,4,FALSE)</f>
        <v>19</v>
      </c>
      <c r="G248">
        <v>247</v>
      </c>
      <c r="H248">
        <v>10</v>
      </c>
      <c r="K248">
        <v>247</v>
      </c>
      <c r="L248" t="s">
        <v>23</v>
      </c>
      <c r="M248" t="s">
        <v>598</v>
      </c>
      <c r="N248">
        <v>19</v>
      </c>
      <c r="O248" s="1" t="s">
        <v>596</v>
      </c>
      <c r="P248" s="1" t="s">
        <v>596</v>
      </c>
    </row>
    <row r="249" spans="1:16" x14ac:dyDescent="0.25">
      <c r="A249" t="str">
        <f t="shared" si="3"/>
        <v>EDUCACIÓN TECNOLÓGICA19</v>
      </c>
      <c r="B249" t="s">
        <v>18</v>
      </c>
      <c r="C249" t="s">
        <v>143</v>
      </c>
      <c r="D249" t="s">
        <v>59</v>
      </c>
      <c r="E249">
        <f>VLOOKUP(D249,PLAN!A:B,2,FALSE)</f>
        <v>5</v>
      </c>
      <c r="F249">
        <f>VLOOKUP(C249&amp;E249,CURSO!A:D,4,FALSE)</f>
        <v>19</v>
      </c>
      <c r="G249">
        <v>248</v>
      </c>
      <c r="H249">
        <v>11</v>
      </c>
      <c r="K249">
        <v>248</v>
      </c>
      <c r="L249" t="s">
        <v>18</v>
      </c>
      <c r="N249">
        <v>19</v>
      </c>
      <c r="O249" s="1" t="s">
        <v>596</v>
      </c>
      <c r="P249" s="1" t="s">
        <v>596</v>
      </c>
    </row>
    <row r="250" spans="1:16" x14ac:dyDescent="0.25">
      <c r="A250" t="str">
        <f t="shared" si="3"/>
        <v>FORMACIÓN PARA LA VIDA Y EL TRABAJO19</v>
      </c>
      <c r="B250" t="s">
        <v>28</v>
      </c>
      <c r="C250" t="s">
        <v>143</v>
      </c>
      <c r="D250" t="s">
        <v>59</v>
      </c>
      <c r="E250">
        <f>VLOOKUP(D250,PLAN!A:B,2,FALSE)</f>
        <v>5</v>
      </c>
      <c r="F250">
        <f>VLOOKUP(C250&amp;E250,CURSO!A:D,4,FALSE)</f>
        <v>19</v>
      </c>
      <c r="G250">
        <v>249</v>
      </c>
      <c r="H250">
        <v>12</v>
      </c>
      <c r="K250">
        <v>249</v>
      </c>
      <c r="L250" t="s">
        <v>28</v>
      </c>
      <c r="N250">
        <v>19</v>
      </c>
      <c r="O250" s="1" t="s">
        <v>596</v>
      </c>
      <c r="P250" s="1" t="s">
        <v>596</v>
      </c>
    </row>
    <row r="251" spans="1:16" x14ac:dyDescent="0.25">
      <c r="A251" t="str">
        <f t="shared" si="3"/>
        <v>EDUCACIÓN FÍSICA20</v>
      </c>
      <c r="B251" t="s">
        <v>10</v>
      </c>
      <c r="C251" t="s">
        <v>190</v>
      </c>
      <c r="D251" t="s">
        <v>60</v>
      </c>
      <c r="E251">
        <f>VLOOKUP(D251,PLAN!A:B,2,FALSE)</f>
        <v>6</v>
      </c>
      <c r="F251">
        <f>VLOOKUP(C251&amp;E251,CURSO!A:D,4,FALSE)</f>
        <v>20</v>
      </c>
      <c r="G251">
        <v>250</v>
      </c>
      <c r="H251">
        <v>1</v>
      </c>
      <c r="K251">
        <v>250</v>
      </c>
      <c r="L251" t="s">
        <v>10</v>
      </c>
      <c r="M251" t="s">
        <v>598</v>
      </c>
      <c r="N251">
        <v>20</v>
      </c>
      <c r="O251" s="1" t="s">
        <v>596</v>
      </c>
      <c r="P251" s="1" t="s">
        <v>596</v>
      </c>
    </row>
    <row r="252" spans="1:16" x14ac:dyDescent="0.25">
      <c r="A252" t="str">
        <f t="shared" si="3"/>
        <v>LENGUA Y LITERATURA20</v>
      </c>
      <c r="B252" t="s">
        <v>11</v>
      </c>
      <c r="C252" t="s">
        <v>190</v>
      </c>
      <c r="D252" t="s">
        <v>60</v>
      </c>
      <c r="E252">
        <f>VLOOKUP(D252,PLAN!A:B,2,FALSE)</f>
        <v>6</v>
      </c>
      <c r="F252">
        <f>VLOOKUP(C252&amp;E252,CURSO!A:D,4,FALSE)</f>
        <v>20</v>
      </c>
      <c r="G252">
        <v>251</v>
      </c>
      <c r="H252">
        <v>2</v>
      </c>
      <c r="K252">
        <v>251</v>
      </c>
      <c r="L252" t="s">
        <v>11</v>
      </c>
      <c r="N252">
        <v>20</v>
      </c>
      <c r="O252" s="1" t="s">
        <v>596</v>
      </c>
      <c r="P252" s="1" t="s">
        <v>596</v>
      </c>
    </row>
    <row r="253" spans="1:16" x14ac:dyDescent="0.25">
      <c r="A253" t="str">
        <f t="shared" si="3"/>
        <v>MATEMÁTICA20</v>
      </c>
      <c r="B253" t="s">
        <v>12</v>
      </c>
      <c r="C253" t="s">
        <v>190</v>
      </c>
      <c r="D253" t="s">
        <v>60</v>
      </c>
      <c r="E253">
        <f>VLOOKUP(D253,PLAN!A:B,2,FALSE)</f>
        <v>6</v>
      </c>
      <c r="F253">
        <f>VLOOKUP(C253&amp;E253,CURSO!A:D,4,FALSE)</f>
        <v>20</v>
      </c>
      <c r="G253">
        <v>252</v>
      </c>
      <c r="H253">
        <v>3</v>
      </c>
      <c r="K253">
        <v>252</v>
      </c>
      <c r="L253" t="s">
        <v>12</v>
      </c>
      <c r="N253">
        <v>20</v>
      </c>
      <c r="O253" s="1" t="s">
        <v>596</v>
      </c>
      <c r="P253" s="1" t="s">
        <v>596</v>
      </c>
    </row>
    <row r="254" spans="1:16" x14ac:dyDescent="0.25">
      <c r="A254" t="str">
        <f t="shared" si="3"/>
        <v>BIOLOGÍA20</v>
      </c>
      <c r="B254" t="s">
        <v>21</v>
      </c>
      <c r="C254" t="s">
        <v>190</v>
      </c>
      <c r="D254" t="s">
        <v>60</v>
      </c>
      <c r="E254">
        <f>VLOOKUP(D254,PLAN!A:B,2,FALSE)</f>
        <v>6</v>
      </c>
      <c r="F254">
        <f>VLOOKUP(C254&amp;E254,CURSO!A:D,4,FALSE)</f>
        <v>20</v>
      </c>
      <c r="G254">
        <v>253</v>
      </c>
      <c r="H254">
        <v>4</v>
      </c>
      <c r="K254">
        <v>253</v>
      </c>
      <c r="L254" t="s">
        <v>21</v>
      </c>
      <c r="N254">
        <v>20</v>
      </c>
      <c r="O254" s="1" t="s">
        <v>596</v>
      </c>
      <c r="P254" s="1" t="s">
        <v>596</v>
      </c>
    </row>
    <row r="255" spans="1:16" x14ac:dyDescent="0.25">
      <c r="A255" t="str">
        <f t="shared" si="3"/>
        <v>GEOGRAFÍA20</v>
      </c>
      <c r="B255" t="s">
        <v>26</v>
      </c>
      <c r="C255" t="s">
        <v>190</v>
      </c>
      <c r="D255" t="s">
        <v>60</v>
      </c>
      <c r="E255">
        <f>VLOOKUP(D255,PLAN!A:B,2,FALSE)</f>
        <v>6</v>
      </c>
      <c r="F255">
        <f>VLOOKUP(C255&amp;E255,CURSO!A:D,4,FALSE)</f>
        <v>20</v>
      </c>
      <c r="G255">
        <v>254</v>
      </c>
      <c r="H255">
        <v>5</v>
      </c>
      <c r="K255">
        <v>254</v>
      </c>
      <c r="L255" t="s">
        <v>26</v>
      </c>
      <c r="M255" t="s">
        <v>600</v>
      </c>
      <c r="N255">
        <v>20</v>
      </c>
      <c r="O255" s="1" t="s">
        <v>596</v>
      </c>
      <c r="P255" s="1" t="s">
        <v>596</v>
      </c>
    </row>
    <row r="256" spans="1:16" x14ac:dyDescent="0.25">
      <c r="A256" t="str">
        <f t="shared" si="3"/>
        <v>HISTORIA20</v>
      </c>
      <c r="B256" t="s">
        <v>27</v>
      </c>
      <c r="C256" t="s">
        <v>190</v>
      </c>
      <c r="D256" t="s">
        <v>60</v>
      </c>
      <c r="E256">
        <f>VLOOKUP(D256,PLAN!A:B,2,FALSE)</f>
        <v>6</v>
      </c>
      <c r="F256">
        <f>VLOOKUP(C256&amp;E256,CURSO!A:D,4,FALSE)</f>
        <v>20</v>
      </c>
      <c r="G256">
        <v>255</v>
      </c>
      <c r="H256">
        <v>6</v>
      </c>
      <c r="K256">
        <v>255</v>
      </c>
      <c r="L256" t="s">
        <v>27</v>
      </c>
      <c r="M256" t="s">
        <v>600</v>
      </c>
      <c r="N256">
        <v>20</v>
      </c>
      <c r="O256" s="1" t="s">
        <v>596</v>
      </c>
      <c r="P256" s="1" t="s">
        <v>596</v>
      </c>
    </row>
    <row r="257" spans="1:16" x14ac:dyDescent="0.25">
      <c r="A257" t="str">
        <f t="shared" si="3"/>
        <v>LENGUA EXTRANJERA - INGLÉS20</v>
      </c>
      <c r="B257" t="s">
        <v>16</v>
      </c>
      <c r="C257" t="s">
        <v>190</v>
      </c>
      <c r="D257" t="s">
        <v>60</v>
      </c>
      <c r="E257">
        <f>VLOOKUP(D257,PLAN!A:B,2,FALSE)</f>
        <v>6</v>
      </c>
      <c r="F257">
        <f>VLOOKUP(C257&amp;E257,CURSO!A:D,4,FALSE)</f>
        <v>20</v>
      </c>
      <c r="G257">
        <v>256</v>
      </c>
      <c r="H257">
        <v>7</v>
      </c>
      <c r="K257">
        <v>256</v>
      </c>
      <c r="L257" t="s">
        <v>16</v>
      </c>
      <c r="N257">
        <v>20</v>
      </c>
      <c r="O257" s="1" t="s">
        <v>596</v>
      </c>
      <c r="P257" s="1" t="s">
        <v>596</v>
      </c>
    </row>
    <row r="258" spans="1:16" x14ac:dyDescent="0.25">
      <c r="A258" t="str">
        <f t="shared" ref="A258:A293" si="4">B258&amp;F258</f>
        <v>EDUCACIÓN ARTÍSTICA - ARTES VISUALES20</v>
      </c>
      <c r="B258" t="s">
        <v>17</v>
      </c>
      <c r="C258" t="s">
        <v>190</v>
      </c>
      <c r="D258" t="s">
        <v>60</v>
      </c>
      <c r="E258">
        <f>VLOOKUP(D258,PLAN!A:B,2,FALSE)</f>
        <v>6</v>
      </c>
      <c r="F258">
        <f>VLOOKUP(C258&amp;E258,CURSO!A:D,4,FALSE)</f>
        <v>20</v>
      </c>
      <c r="G258">
        <v>257</v>
      </c>
      <c r="H258">
        <v>8</v>
      </c>
      <c r="K258">
        <v>257</v>
      </c>
      <c r="L258" t="s">
        <v>17</v>
      </c>
      <c r="M258" t="s">
        <v>598</v>
      </c>
      <c r="N258">
        <v>20</v>
      </c>
      <c r="O258" s="1" t="s">
        <v>596</v>
      </c>
      <c r="P258" s="1" t="s">
        <v>596</v>
      </c>
    </row>
    <row r="259" spans="1:16" x14ac:dyDescent="0.25">
      <c r="A259" t="str">
        <f t="shared" si="4"/>
        <v>FORMACIÓN PARA LA VIDA Y EL TRABAJO20</v>
      </c>
      <c r="B259" t="s">
        <v>28</v>
      </c>
      <c r="C259" t="s">
        <v>190</v>
      </c>
      <c r="D259" t="s">
        <v>60</v>
      </c>
      <c r="E259">
        <f>VLOOKUP(D259,PLAN!A:B,2,FALSE)</f>
        <v>6</v>
      </c>
      <c r="F259">
        <f>VLOOKUP(C259&amp;E259,CURSO!A:D,4,FALSE)</f>
        <v>20</v>
      </c>
      <c r="G259">
        <v>258</v>
      </c>
      <c r="H259">
        <v>9</v>
      </c>
      <c r="K259">
        <v>258</v>
      </c>
      <c r="L259" t="s">
        <v>28</v>
      </c>
      <c r="N259">
        <v>20</v>
      </c>
      <c r="O259" s="1" t="s">
        <v>596</v>
      </c>
      <c r="P259" s="1" t="s">
        <v>596</v>
      </c>
    </row>
    <row r="260" spans="1:16" x14ac:dyDescent="0.25">
      <c r="A260" t="str">
        <f t="shared" si="4"/>
        <v>SISTEMAS DE INFORMACIÓN CONTABLE20</v>
      </c>
      <c r="B260" t="s">
        <v>29</v>
      </c>
      <c r="C260" t="s">
        <v>190</v>
      </c>
      <c r="D260" t="s">
        <v>60</v>
      </c>
      <c r="E260">
        <f>VLOOKUP(D260,PLAN!A:B,2,FALSE)</f>
        <v>6</v>
      </c>
      <c r="F260">
        <f>VLOOKUP(C260&amp;E260,CURSO!A:D,4,FALSE)</f>
        <v>20</v>
      </c>
      <c r="G260">
        <v>259</v>
      </c>
      <c r="H260">
        <v>10</v>
      </c>
      <c r="K260">
        <v>259</v>
      </c>
      <c r="L260" t="s">
        <v>29</v>
      </c>
      <c r="M260" t="s">
        <v>601</v>
      </c>
      <c r="N260">
        <v>20</v>
      </c>
      <c r="O260" s="1" t="s">
        <v>596</v>
      </c>
      <c r="P260" s="1" t="s">
        <v>596</v>
      </c>
    </row>
    <row r="261" spans="1:16" x14ac:dyDescent="0.25">
      <c r="A261" t="str">
        <f t="shared" si="4"/>
        <v>ADMINISTRACIÓN20</v>
      </c>
      <c r="B261" t="s">
        <v>30</v>
      </c>
      <c r="C261" t="s">
        <v>190</v>
      </c>
      <c r="D261" t="s">
        <v>60</v>
      </c>
      <c r="E261">
        <f>VLOOKUP(D261,PLAN!A:B,2,FALSE)</f>
        <v>6</v>
      </c>
      <c r="F261">
        <f>VLOOKUP(C261&amp;E261,CURSO!A:D,4,FALSE)</f>
        <v>20</v>
      </c>
      <c r="G261">
        <v>260</v>
      </c>
      <c r="H261">
        <v>11</v>
      </c>
      <c r="K261">
        <v>260</v>
      </c>
      <c r="L261" t="s">
        <v>30</v>
      </c>
      <c r="M261" t="s">
        <v>601</v>
      </c>
      <c r="N261">
        <v>20</v>
      </c>
      <c r="O261" s="1" t="s">
        <v>596</v>
      </c>
      <c r="P261" s="1" t="s">
        <v>596</v>
      </c>
    </row>
    <row r="262" spans="1:16" x14ac:dyDescent="0.25">
      <c r="A262" t="str">
        <f t="shared" si="4"/>
        <v>ECONOMÍA Y DESARROLLO SUSTENTABLE20</v>
      </c>
      <c r="B262" t="s">
        <v>31</v>
      </c>
      <c r="C262" t="s">
        <v>190</v>
      </c>
      <c r="D262" t="s">
        <v>60</v>
      </c>
      <c r="E262">
        <f>VLOOKUP(D262,PLAN!A:B,2,FALSE)</f>
        <v>6</v>
      </c>
      <c r="F262">
        <f>VLOOKUP(C262&amp;E262,CURSO!A:D,4,FALSE)</f>
        <v>20</v>
      </c>
      <c r="G262">
        <v>261</v>
      </c>
      <c r="H262">
        <v>12</v>
      </c>
      <c r="K262">
        <v>261</v>
      </c>
      <c r="L262" t="s">
        <v>31</v>
      </c>
      <c r="M262" t="s">
        <v>601</v>
      </c>
      <c r="N262">
        <v>20</v>
      </c>
      <c r="O262" s="1" t="s">
        <v>596</v>
      </c>
      <c r="P262" s="1" t="s">
        <v>596</v>
      </c>
    </row>
    <row r="263" spans="1:16" x14ac:dyDescent="0.25">
      <c r="A263" t="str">
        <f t="shared" si="4"/>
        <v>ADMINISTRACIÓN DE LA PRODUCCIÓN Y COMERCIALIZACIÓN20</v>
      </c>
      <c r="B263" t="s">
        <v>32</v>
      </c>
      <c r="C263" t="s">
        <v>190</v>
      </c>
      <c r="D263" t="s">
        <v>60</v>
      </c>
      <c r="E263">
        <f>VLOOKUP(D263,PLAN!A:B,2,FALSE)</f>
        <v>6</v>
      </c>
      <c r="F263">
        <f>VLOOKUP(C263&amp;E263,CURSO!A:D,4,FALSE)</f>
        <v>20</v>
      </c>
      <c r="G263">
        <v>262</v>
      </c>
      <c r="H263">
        <v>13</v>
      </c>
      <c r="K263">
        <v>262</v>
      </c>
      <c r="L263" t="s">
        <v>32</v>
      </c>
      <c r="M263" t="s">
        <v>601</v>
      </c>
      <c r="N263">
        <v>20</v>
      </c>
      <c r="O263" s="1" t="s">
        <v>596</v>
      </c>
      <c r="P263" s="1" t="s">
        <v>596</v>
      </c>
    </row>
    <row r="264" spans="1:16" x14ac:dyDescent="0.25">
      <c r="A264" t="str">
        <f t="shared" si="4"/>
        <v>EDUCACIÓN FÍSICA21</v>
      </c>
      <c r="B264" t="s">
        <v>10</v>
      </c>
      <c r="C264" t="s">
        <v>220</v>
      </c>
      <c r="D264" t="s">
        <v>60</v>
      </c>
      <c r="E264">
        <f>VLOOKUP(D264,PLAN!A:B,2,FALSE)</f>
        <v>6</v>
      </c>
      <c r="F264">
        <f>VLOOKUP(C264&amp;E264,CURSO!A:D,4,FALSE)</f>
        <v>21</v>
      </c>
      <c r="G264">
        <v>263</v>
      </c>
      <c r="H264">
        <v>1</v>
      </c>
      <c r="K264">
        <v>263</v>
      </c>
      <c r="L264" t="s">
        <v>10</v>
      </c>
      <c r="M264" t="s">
        <v>598</v>
      </c>
      <c r="N264">
        <v>21</v>
      </c>
      <c r="O264" s="1" t="s">
        <v>596</v>
      </c>
      <c r="P264" s="1" t="s">
        <v>596</v>
      </c>
    </row>
    <row r="265" spans="1:16" x14ac:dyDescent="0.25">
      <c r="A265" t="str">
        <f t="shared" si="4"/>
        <v>LENGUA Y LITERATURA21</v>
      </c>
      <c r="B265" t="s">
        <v>11</v>
      </c>
      <c r="C265" t="s">
        <v>220</v>
      </c>
      <c r="D265" t="s">
        <v>60</v>
      </c>
      <c r="E265">
        <f>VLOOKUP(D265,PLAN!A:B,2,FALSE)</f>
        <v>6</v>
      </c>
      <c r="F265">
        <f>VLOOKUP(C265&amp;E265,CURSO!A:D,4,FALSE)</f>
        <v>21</v>
      </c>
      <c r="G265">
        <v>264</v>
      </c>
      <c r="H265">
        <v>2</v>
      </c>
      <c r="K265">
        <v>264</v>
      </c>
      <c r="L265" t="s">
        <v>11</v>
      </c>
      <c r="N265">
        <v>21</v>
      </c>
      <c r="O265" s="1" t="s">
        <v>596</v>
      </c>
      <c r="P265" s="1" t="s">
        <v>596</v>
      </c>
    </row>
    <row r="266" spans="1:16" x14ac:dyDescent="0.25">
      <c r="A266" t="str">
        <f t="shared" si="4"/>
        <v>MATEMÁTICA21</v>
      </c>
      <c r="B266" t="s">
        <v>12</v>
      </c>
      <c r="C266" t="s">
        <v>220</v>
      </c>
      <c r="D266" t="s">
        <v>60</v>
      </c>
      <c r="E266">
        <f>VLOOKUP(D266,PLAN!A:B,2,FALSE)</f>
        <v>6</v>
      </c>
      <c r="F266">
        <f>VLOOKUP(C266&amp;E266,CURSO!A:D,4,FALSE)</f>
        <v>21</v>
      </c>
      <c r="G266">
        <v>265</v>
      </c>
      <c r="H266">
        <v>3</v>
      </c>
      <c r="K266">
        <v>265</v>
      </c>
      <c r="L266" t="s">
        <v>12</v>
      </c>
      <c r="N266">
        <v>21</v>
      </c>
      <c r="O266" s="1" t="s">
        <v>596</v>
      </c>
      <c r="P266" s="1" t="s">
        <v>596</v>
      </c>
    </row>
    <row r="267" spans="1:16" x14ac:dyDescent="0.25">
      <c r="A267" t="str">
        <f t="shared" si="4"/>
        <v>FÍSICA21</v>
      </c>
      <c r="B267" t="s">
        <v>24</v>
      </c>
      <c r="C267" t="s">
        <v>220</v>
      </c>
      <c r="D267" t="s">
        <v>60</v>
      </c>
      <c r="E267">
        <f>VLOOKUP(D267,PLAN!A:B,2,FALSE)</f>
        <v>6</v>
      </c>
      <c r="F267">
        <f>VLOOKUP(C267&amp;E267,CURSO!A:D,4,FALSE)</f>
        <v>21</v>
      </c>
      <c r="G267">
        <v>266</v>
      </c>
      <c r="H267">
        <v>4</v>
      </c>
      <c r="K267">
        <v>266</v>
      </c>
      <c r="L267" t="s">
        <v>24</v>
      </c>
      <c r="N267">
        <v>21</v>
      </c>
      <c r="O267" s="1" t="s">
        <v>596</v>
      </c>
      <c r="P267" s="1" t="s">
        <v>596</v>
      </c>
    </row>
    <row r="268" spans="1:16" x14ac:dyDescent="0.25">
      <c r="A268" t="str">
        <f t="shared" si="4"/>
        <v>GEOGRAFÍA21</v>
      </c>
      <c r="B268" t="s">
        <v>26</v>
      </c>
      <c r="C268" t="s">
        <v>220</v>
      </c>
      <c r="D268" t="s">
        <v>60</v>
      </c>
      <c r="E268">
        <f>VLOOKUP(D268,PLAN!A:B,2,FALSE)</f>
        <v>6</v>
      </c>
      <c r="F268">
        <f>VLOOKUP(C268&amp;E268,CURSO!A:D,4,FALSE)</f>
        <v>21</v>
      </c>
      <c r="G268">
        <v>267</v>
      </c>
      <c r="H268">
        <v>5</v>
      </c>
      <c r="K268">
        <v>267</v>
      </c>
      <c r="L268" t="s">
        <v>26</v>
      </c>
      <c r="M268" t="s">
        <v>600</v>
      </c>
      <c r="N268">
        <v>21</v>
      </c>
      <c r="O268" s="1" t="s">
        <v>596</v>
      </c>
      <c r="P268" s="1" t="s">
        <v>596</v>
      </c>
    </row>
    <row r="269" spans="1:16" x14ac:dyDescent="0.25">
      <c r="A269" t="str">
        <f t="shared" si="4"/>
        <v>HISTORIA21</v>
      </c>
      <c r="B269" t="s">
        <v>27</v>
      </c>
      <c r="C269" t="s">
        <v>220</v>
      </c>
      <c r="D269" t="s">
        <v>60</v>
      </c>
      <c r="E269">
        <f>VLOOKUP(D269,PLAN!A:B,2,FALSE)</f>
        <v>6</v>
      </c>
      <c r="F269">
        <f>VLOOKUP(C269&amp;E269,CURSO!A:D,4,FALSE)</f>
        <v>21</v>
      </c>
      <c r="G269">
        <v>268</v>
      </c>
      <c r="H269">
        <v>6</v>
      </c>
      <c r="K269">
        <v>268</v>
      </c>
      <c r="L269" t="s">
        <v>27</v>
      </c>
      <c r="M269" t="s">
        <v>600</v>
      </c>
      <c r="N269">
        <v>21</v>
      </c>
      <c r="O269" s="1" t="s">
        <v>596</v>
      </c>
      <c r="P269" s="1" t="s">
        <v>596</v>
      </c>
    </row>
    <row r="270" spans="1:16" x14ac:dyDescent="0.25">
      <c r="A270" t="str">
        <f t="shared" si="4"/>
        <v>LENGUA EXTRANJERA - INGLÉS21</v>
      </c>
      <c r="B270" t="s">
        <v>16</v>
      </c>
      <c r="C270" t="s">
        <v>220</v>
      </c>
      <c r="D270" t="s">
        <v>60</v>
      </c>
      <c r="E270">
        <f>VLOOKUP(D270,PLAN!A:B,2,FALSE)</f>
        <v>6</v>
      </c>
      <c r="F270">
        <f>VLOOKUP(C270&amp;E270,CURSO!A:D,4,FALSE)</f>
        <v>21</v>
      </c>
      <c r="G270">
        <v>269</v>
      </c>
      <c r="H270">
        <v>7</v>
      </c>
      <c r="K270">
        <v>269</v>
      </c>
      <c r="L270" t="s">
        <v>16</v>
      </c>
      <c r="N270">
        <v>21</v>
      </c>
      <c r="O270" s="1" t="s">
        <v>596</v>
      </c>
      <c r="P270" s="1" t="s">
        <v>596</v>
      </c>
    </row>
    <row r="271" spans="1:16" x14ac:dyDescent="0.25">
      <c r="A271" t="str">
        <f t="shared" si="4"/>
        <v>EDUCACIÓN ARTÍSTICA - MÚSICA21</v>
      </c>
      <c r="B271" t="s">
        <v>23</v>
      </c>
      <c r="C271" t="s">
        <v>220</v>
      </c>
      <c r="D271" t="s">
        <v>60</v>
      </c>
      <c r="E271">
        <f>VLOOKUP(D271,PLAN!A:B,2,FALSE)</f>
        <v>6</v>
      </c>
      <c r="F271">
        <f>VLOOKUP(C271&amp;E271,CURSO!A:D,4,FALSE)</f>
        <v>21</v>
      </c>
      <c r="G271">
        <v>270</v>
      </c>
      <c r="H271">
        <v>8</v>
      </c>
      <c r="K271">
        <v>270</v>
      </c>
      <c r="L271" t="s">
        <v>23</v>
      </c>
      <c r="M271" t="s">
        <v>598</v>
      </c>
      <c r="N271">
        <v>21</v>
      </c>
      <c r="O271" s="1" t="s">
        <v>596</v>
      </c>
      <c r="P271" s="1" t="s">
        <v>596</v>
      </c>
    </row>
    <row r="272" spans="1:16" x14ac:dyDescent="0.25">
      <c r="A272" t="str">
        <f t="shared" si="4"/>
        <v>PSICOLOGÍA21</v>
      </c>
      <c r="B272" t="s">
        <v>33</v>
      </c>
      <c r="C272" t="s">
        <v>220</v>
      </c>
      <c r="D272" t="s">
        <v>60</v>
      </c>
      <c r="E272">
        <f>VLOOKUP(D272,PLAN!A:B,2,FALSE)</f>
        <v>6</v>
      </c>
      <c r="F272">
        <f>VLOOKUP(C272&amp;E272,CURSO!A:D,4,FALSE)</f>
        <v>21</v>
      </c>
      <c r="G272">
        <v>271</v>
      </c>
      <c r="H272">
        <v>9</v>
      </c>
      <c r="K272">
        <v>271</v>
      </c>
      <c r="L272" t="s">
        <v>33</v>
      </c>
      <c r="M272" t="s">
        <v>600</v>
      </c>
      <c r="N272">
        <v>21</v>
      </c>
      <c r="O272" s="1" t="s">
        <v>596</v>
      </c>
      <c r="P272" s="1" t="s">
        <v>596</v>
      </c>
    </row>
    <row r="273" spans="1:16" x14ac:dyDescent="0.25">
      <c r="A273" t="str">
        <f t="shared" si="4"/>
        <v>FORMACIÓN PARA LA VIDA Y EL TRABAJO21</v>
      </c>
      <c r="B273" t="s">
        <v>28</v>
      </c>
      <c r="C273" t="s">
        <v>220</v>
      </c>
      <c r="D273" t="s">
        <v>60</v>
      </c>
      <c r="E273">
        <f>VLOOKUP(D273,PLAN!A:B,2,FALSE)</f>
        <v>6</v>
      </c>
      <c r="F273">
        <f>VLOOKUP(C273&amp;E273,CURSO!A:D,4,FALSE)</f>
        <v>21</v>
      </c>
      <c r="G273">
        <v>272</v>
      </c>
      <c r="H273">
        <v>10</v>
      </c>
      <c r="K273">
        <v>272</v>
      </c>
      <c r="L273" t="s">
        <v>28</v>
      </c>
      <c r="N273">
        <v>21</v>
      </c>
      <c r="O273" s="1" t="s">
        <v>596</v>
      </c>
      <c r="P273" s="1" t="s">
        <v>596</v>
      </c>
    </row>
    <row r="274" spans="1:16" x14ac:dyDescent="0.25">
      <c r="A274" t="str">
        <f t="shared" si="4"/>
        <v>SISTEMAS DE INFORMACIÓN CONTABLE21</v>
      </c>
      <c r="B274" t="s">
        <v>29</v>
      </c>
      <c r="C274" t="s">
        <v>220</v>
      </c>
      <c r="D274" t="s">
        <v>60</v>
      </c>
      <c r="E274">
        <f>VLOOKUP(D274,PLAN!A:B,2,FALSE)</f>
        <v>6</v>
      </c>
      <c r="F274">
        <f>VLOOKUP(C274&amp;E274,CURSO!A:D,4,FALSE)</f>
        <v>21</v>
      </c>
      <c r="G274">
        <v>273</v>
      </c>
      <c r="H274">
        <v>11</v>
      </c>
      <c r="K274">
        <v>273</v>
      </c>
      <c r="L274" t="s">
        <v>29</v>
      </c>
      <c r="M274" t="s">
        <v>601</v>
      </c>
      <c r="N274">
        <v>21</v>
      </c>
      <c r="O274" s="1" t="s">
        <v>596</v>
      </c>
      <c r="P274" s="1" t="s">
        <v>596</v>
      </c>
    </row>
    <row r="275" spans="1:16" x14ac:dyDescent="0.25">
      <c r="A275" t="str">
        <f t="shared" si="4"/>
        <v>ADMINISTRACIÓN21</v>
      </c>
      <c r="B275" t="s">
        <v>30</v>
      </c>
      <c r="C275" t="s">
        <v>220</v>
      </c>
      <c r="D275" t="s">
        <v>60</v>
      </c>
      <c r="E275">
        <f>VLOOKUP(D275,PLAN!A:B,2,FALSE)</f>
        <v>6</v>
      </c>
      <c r="F275">
        <f>VLOOKUP(C275&amp;E275,CURSO!A:D,4,FALSE)</f>
        <v>21</v>
      </c>
      <c r="G275">
        <v>274</v>
      </c>
      <c r="H275">
        <v>12</v>
      </c>
      <c r="K275">
        <v>274</v>
      </c>
      <c r="L275" t="s">
        <v>30</v>
      </c>
      <c r="M275" t="s">
        <v>601</v>
      </c>
      <c r="N275">
        <v>21</v>
      </c>
      <c r="O275" s="1" t="s">
        <v>596</v>
      </c>
      <c r="P275" s="1" t="s">
        <v>596</v>
      </c>
    </row>
    <row r="276" spans="1:16" x14ac:dyDescent="0.25">
      <c r="A276" t="str">
        <f t="shared" si="4"/>
        <v>ECONOMÍA21</v>
      </c>
      <c r="B276" t="s">
        <v>34</v>
      </c>
      <c r="C276" t="s">
        <v>220</v>
      </c>
      <c r="D276" t="s">
        <v>60</v>
      </c>
      <c r="E276">
        <f>VLOOKUP(D276,PLAN!A:B,2,FALSE)</f>
        <v>6</v>
      </c>
      <c r="F276">
        <f>VLOOKUP(C276&amp;E276,CURSO!A:D,4,FALSE)</f>
        <v>21</v>
      </c>
      <c r="G276">
        <v>275</v>
      </c>
      <c r="H276">
        <v>13</v>
      </c>
      <c r="K276">
        <v>275</v>
      </c>
      <c r="L276" t="s">
        <v>34</v>
      </c>
      <c r="M276" t="s">
        <v>601</v>
      </c>
      <c r="N276">
        <v>21</v>
      </c>
      <c r="O276" s="1" t="s">
        <v>596</v>
      </c>
      <c r="P276" s="1" t="s">
        <v>596</v>
      </c>
    </row>
    <row r="277" spans="1:16" x14ac:dyDescent="0.25">
      <c r="A277" t="str">
        <f t="shared" si="4"/>
        <v>ADMINISTRACIÓN DE RECURSOS HUMANOS21</v>
      </c>
      <c r="B277" t="s">
        <v>35</v>
      </c>
      <c r="C277" t="s">
        <v>220</v>
      </c>
      <c r="D277" t="s">
        <v>60</v>
      </c>
      <c r="E277">
        <f>VLOOKUP(D277,PLAN!A:B,2,FALSE)</f>
        <v>6</v>
      </c>
      <c r="F277">
        <f>VLOOKUP(C277&amp;E277,CURSO!A:D,4,FALSE)</f>
        <v>21</v>
      </c>
      <c r="G277">
        <v>276</v>
      </c>
      <c r="H277">
        <v>14</v>
      </c>
      <c r="K277">
        <v>276</v>
      </c>
      <c r="L277" t="s">
        <v>35</v>
      </c>
      <c r="M277" t="s">
        <v>601</v>
      </c>
      <c r="N277">
        <v>21</v>
      </c>
      <c r="O277" s="1" t="s">
        <v>596</v>
      </c>
      <c r="P277" s="1" t="s">
        <v>596</v>
      </c>
    </row>
    <row r="278" spans="1:16" x14ac:dyDescent="0.25">
      <c r="A278" t="str">
        <f t="shared" si="4"/>
        <v>ADMINISTRACIÓN DE LA PRODUCCIÓN Y COMERCIALIZACIÓN21</v>
      </c>
      <c r="B278" t="s">
        <v>32</v>
      </c>
      <c r="C278" t="s">
        <v>220</v>
      </c>
      <c r="D278" t="s">
        <v>60</v>
      </c>
      <c r="E278">
        <f>VLOOKUP(D278,PLAN!A:B,2,FALSE)</f>
        <v>6</v>
      </c>
      <c r="F278">
        <f>VLOOKUP(C278&amp;E278,CURSO!A:D,4,FALSE)</f>
        <v>21</v>
      </c>
      <c r="G278">
        <v>277</v>
      </c>
      <c r="H278">
        <v>15</v>
      </c>
      <c r="K278">
        <v>277</v>
      </c>
      <c r="L278" t="s">
        <v>32</v>
      </c>
      <c r="M278" t="s">
        <v>601</v>
      </c>
      <c r="N278">
        <v>21</v>
      </c>
      <c r="O278" s="1" t="s">
        <v>596</v>
      </c>
      <c r="P278" s="1" t="s">
        <v>596</v>
      </c>
    </row>
    <row r="279" spans="1:16" x14ac:dyDescent="0.25">
      <c r="A279" t="str">
        <f t="shared" si="4"/>
        <v>EDUCACIÓN FÍSICA22</v>
      </c>
      <c r="B279" t="s">
        <v>10</v>
      </c>
      <c r="C279" t="s">
        <v>245</v>
      </c>
      <c r="D279" t="s">
        <v>60</v>
      </c>
      <c r="E279">
        <f>VLOOKUP(D279,PLAN!A:B,2,FALSE)</f>
        <v>6</v>
      </c>
      <c r="F279">
        <f>VLOOKUP(C279&amp;E279,CURSO!A:D,4,FALSE)</f>
        <v>22</v>
      </c>
      <c r="G279">
        <v>278</v>
      </c>
      <c r="H279">
        <v>1</v>
      </c>
      <c r="K279">
        <v>278</v>
      </c>
      <c r="L279" t="s">
        <v>10</v>
      </c>
      <c r="M279" t="s">
        <v>598</v>
      </c>
      <c r="N279">
        <v>22</v>
      </c>
      <c r="O279" s="1" t="s">
        <v>596</v>
      </c>
      <c r="P279" s="1" t="s">
        <v>596</v>
      </c>
    </row>
    <row r="280" spans="1:16" x14ac:dyDescent="0.25">
      <c r="A280" t="str">
        <f t="shared" si="4"/>
        <v>LENGUA Y LITERATURA22</v>
      </c>
      <c r="B280" t="s">
        <v>11</v>
      </c>
      <c r="C280" t="s">
        <v>245</v>
      </c>
      <c r="D280" t="s">
        <v>60</v>
      </c>
      <c r="E280">
        <f>VLOOKUP(D280,PLAN!A:B,2,FALSE)</f>
        <v>6</v>
      </c>
      <c r="F280">
        <f>VLOOKUP(C280&amp;E280,CURSO!A:D,4,FALSE)</f>
        <v>22</v>
      </c>
      <c r="G280">
        <v>279</v>
      </c>
      <c r="H280">
        <v>2</v>
      </c>
      <c r="K280">
        <v>279</v>
      </c>
      <c r="L280" t="s">
        <v>11</v>
      </c>
      <c r="N280">
        <v>22</v>
      </c>
      <c r="O280" s="1" t="s">
        <v>596</v>
      </c>
      <c r="P280" s="1" t="s">
        <v>596</v>
      </c>
    </row>
    <row r="281" spans="1:16" x14ac:dyDescent="0.25">
      <c r="A281" t="str">
        <f t="shared" si="4"/>
        <v>MATEMÁTICA22</v>
      </c>
      <c r="B281" t="s">
        <v>12</v>
      </c>
      <c r="C281" t="s">
        <v>245</v>
      </c>
      <c r="D281" t="s">
        <v>60</v>
      </c>
      <c r="E281">
        <f>VLOOKUP(D281,PLAN!A:B,2,FALSE)</f>
        <v>6</v>
      </c>
      <c r="F281">
        <f>VLOOKUP(C281&amp;E281,CURSO!A:D,4,FALSE)</f>
        <v>22</v>
      </c>
      <c r="G281">
        <v>280</v>
      </c>
      <c r="H281">
        <v>3</v>
      </c>
      <c r="K281">
        <v>280</v>
      </c>
      <c r="L281" t="s">
        <v>12</v>
      </c>
      <c r="N281">
        <v>22</v>
      </c>
      <c r="O281" s="1" t="s">
        <v>596</v>
      </c>
      <c r="P281" s="1" t="s">
        <v>596</v>
      </c>
    </row>
    <row r="282" spans="1:16" x14ac:dyDescent="0.25">
      <c r="A282" t="str">
        <f t="shared" si="4"/>
        <v>QUÍMICA22</v>
      </c>
      <c r="B282" t="s">
        <v>25</v>
      </c>
      <c r="C282" t="s">
        <v>245</v>
      </c>
      <c r="D282" t="s">
        <v>60</v>
      </c>
      <c r="E282">
        <f>VLOOKUP(D282,PLAN!A:B,2,FALSE)</f>
        <v>6</v>
      </c>
      <c r="F282">
        <f>VLOOKUP(C282&amp;E282,CURSO!A:D,4,FALSE)</f>
        <v>22</v>
      </c>
      <c r="G282">
        <v>281</v>
      </c>
      <c r="H282">
        <v>4</v>
      </c>
      <c r="K282">
        <v>281</v>
      </c>
      <c r="L282" t="s">
        <v>25</v>
      </c>
      <c r="N282">
        <v>22</v>
      </c>
      <c r="O282" s="1" t="s">
        <v>596</v>
      </c>
      <c r="P282" s="1" t="s">
        <v>596</v>
      </c>
    </row>
    <row r="283" spans="1:16" x14ac:dyDescent="0.25">
      <c r="A283" t="str">
        <f t="shared" si="4"/>
        <v>LENGUA EXTRANJERA - INGLÉS22</v>
      </c>
      <c r="B283" t="s">
        <v>16</v>
      </c>
      <c r="C283" t="s">
        <v>245</v>
      </c>
      <c r="D283" t="s">
        <v>60</v>
      </c>
      <c r="E283">
        <f>VLOOKUP(D283,PLAN!A:B,2,FALSE)</f>
        <v>6</v>
      </c>
      <c r="F283">
        <f>VLOOKUP(C283&amp;E283,CURSO!A:D,4,FALSE)</f>
        <v>22</v>
      </c>
      <c r="G283">
        <v>282</v>
      </c>
      <c r="H283">
        <v>5</v>
      </c>
      <c r="K283">
        <v>282</v>
      </c>
      <c r="L283" t="s">
        <v>16</v>
      </c>
      <c r="N283">
        <v>22</v>
      </c>
      <c r="O283" s="1" t="s">
        <v>596</v>
      </c>
      <c r="P283" s="1" t="s">
        <v>596</v>
      </c>
    </row>
    <row r="284" spans="1:16" x14ac:dyDescent="0.25">
      <c r="A284" t="str">
        <f t="shared" si="4"/>
        <v>EDUCACIÓN ARTÍSTICA - TEATRO22</v>
      </c>
      <c r="B284" t="s">
        <v>36</v>
      </c>
      <c r="C284" t="s">
        <v>245</v>
      </c>
      <c r="D284" t="s">
        <v>60</v>
      </c>
      <c r="E284">
        <f>VLOOKUP(D284,PLAN!A:B,2,FALSE)</f>
        <v>6</v>
      </c>
      <c r="F284">
        <f>VLOOKUP(C284&amp;E284,CURSO!A:D,4,FALSE)</f>
        <v>22</v>
      </c>
      <c r="G284">
        <v>283</v>
      </c>
      <c r="H284">
        <v>6</v>
      </c>
      <c r="K284">
        <v>283</v>
      </c>
      <c r="L284" t="s">
        <v>36</v>
      </c>
      <c r="M284" t="s">
        <v>598</v>
      </c>
      <c r="N284">
        <v>22</v>
      </c>
      <c r="O284" s="1" t="s">
        <v>596</v>
      </c>
      <c r="P284" s="1" t="s">
        <v>596</v>
      </c>
    </row>
    <row r="285" spans="1:16" x14ac:dyDescent="0.25">
      <c r="A285" t="str">
        <f t="shared" si="4"/>
        <v>CIUDADANÍA Y POLÍTICA22</v>
      </c>
      <c r="B285" t="s">
        <v>37</v>
      </c>
      <c r="C285" t="s">
        <v>245</v>
      </c>
      <c r="D285" t="s">
        <v>60</v>
      </c>
      <c r="E285">
        <f>VLOOKUP(D285,PLAN!A:B,2,FALSE)</f>
        <v>6</v>
      </c>
      <c r="F285">
        <f>VLOOKUP(C285&amp;E285,CURSO!A:D,4,FALSE)</f>
        <v>22</v>
      </c>
      <c r="G285">
        <v>284</v>
      </c>
      <c r="H285">
        <v>7</v>
      </c>
      <c r="K285">
        <v>284</v>
      </c>
      <c r="L285" t="s">
        <v>37</v>
      </c>
      <c r="M285" t="s">
        <v>600</v>
      </c>
      <c r="N285">
        <v>22</v>
      </c>
      <c r="O285" s="1" t="s">
        <v>596</v>
      </c>
      <c r="P285" s="1" t="s">
        <v>596</v>
      </c>
    </row>
    <row r="286" spans="1:16" x14ac:dyDescent="0.25">
      <c r="A286" t="str">
        <f t="shared" si="4"/>
        <v>ADMINISTRACIÓN22</v>
      </c>
      <c r="B286" t="s">
        <v>30</v>
      </c>
      <c r="C286" t="s">
        <v>245</v>
      </c>
      <c r="D286" t="s">
        <v>60</v>
      </c>
      <c r="E286">
        <f>VLOOKUP(D286,PLAN!A:B,2,FALSE)</f>
        <v>6</v>
      </c>
      <c r="F286">
        <f>VLOOKUP(C286&amp;E286,CURSO!A:D,4,FALSE)</f>
        <v>22</v>
      </c>
      <c r="G286">
        <v>285</v>
      </c>
      <c r="H286">
        <v>8</v>
      </c>
      <c r="K286">
        <v>285</v>
      </c>
      <c r="L286" t="s">
        <v>30</v>
      </c>
      <c r="M286" t="s">
        <v>601</v>
      </c>
      <c r="N286">
        <v>22</v>
      </c>
      <c r="O286" s="1" t="s">
        <v>596</v>
      </c>
      <c r="P286" s="1" t="s">
        <v>596</v>
      </c>
    </row>
    <row r="287" spans="1:16" x14ac:dyDescent="0.25">
      <c r="A287" t="str">
        <f t="shared" si="4"/>
        <v>ECONOMÍA22</v>
      </c>
      <c r="B287" t="s">
        <v>34</v>
      </c>
      <c r="C287" t="s">
        <v>245</v>
      </c>
      <c r="D287" t="s">
        <v>60</v>
      </c>
      <c r="E287">
        <f>VLOOKUP(D287,PLAN!A:B,2,FALSE)</f>
        <v>6</v>
      </c>
      <c r="F287">
        <f>VLOOKUP(C287&amp;E287,CURSO!A:D,4,FALSE)</f>
        <v>22</v>
      </c>
      <c r="G287">
        <v>286</v>
      </c>
      <c r="H287">
        <v>9</v>
      </c>
      <c r="K287">
        <v>286</v>
      </c>
      <c r="L287" t="s">
        <v>34</v>
      </c>
      <c r="M287" t="s">
        <v>601</v>
      </c>
      <c r="N287">
        <v>22</v>
      </c>
      <c r="O287" s="1" t="s">
        <v>596</v>
      </c>
      <c r="P287" s="1" t="s">
        <v>596</v>
      </c>
    </row>
    <row r="288" spans="1:16" x14ac:dyDescent="0.25">
      <c r="A288" t="str">
        <f t="shared" si="4"/>
        <v>DERECHO22</v>
      </c>
      <c r="B288" t="s">
        <v>38</v>
      </c>
      <c r="C288" t="s">
        <v>245</v>
      </c>
      <c r="D288" t="s">
        <v>60</v>
      </c>
      <c r="E288">
        <f>VLOOKUP(D288,PLAN!A:B,2,FALSE)</f>
        <v>6</v>
      </c>
      <c r="F288">
        <f>VLOOKUP(C288&amp;E288,CURSO!A:D,4,FALSE)</f>
        <v>22</v>
      </c>
      <c r="G288">
        <v>287</v>
      </c>
      <c r="H288">
        <v>10</v>
      </c>
      <c r="K288">
        <v>287</v>
      </c>
      <c r="L288" t="s">
        <v>38</v>
      </c>
      <c r="M288" t="s">
        <v>601</v>
      </c>
      <c r="N288">
        <v>22</v>
      </c>
      <c r="O288" s="1" t="s">
        <v>596</v>
      </c>
      <c r="P288" s="1" t="s">
        <v>596</v>
      </c>
    </row>
    <row r="289" spans="1:16" x14ac:dyDescent="0.25">
      <c r="A289" t="str">
        <f t="shared" si="4"/>
        <v>RESPONSABILIDAD SOCIAL DE LAS ORGANIZACIONES22</v>
      </c>
      <c r="B289" t="s">
        <v>39</v>
      </c>
      <c r="C289" t="s">
        <v>245</v>
      </c>
      <c r="D289" t="s">
        <v>60</v>
      </c>
      <c r="E289">
        <f>VLOOKUP(D289,PLAN!A:B,2,FALSE)</f>
        <v>6</v>
      </c>
      <c r="F289">
        <f>VLOOKUP(C289&amp;E289,CURSO!A:D,4,FALSE)</f>
        <v>22</v>
      </c>
      <c r="G289">
        <v>288</v>
      </c>
      <c r="H289">
        <v>11</v>
      </c>
      <c r="K289">
        <v>288</v>
      </c>
      <c r="L289" t="s">
        <v>39</v>
      </c>
      <c r="M289" t="s">
        <v>601</v>
      </c>
      <c r="N289">
        <v>22</v>
      </c>
      <c r="O289" s="1" t="s">
        <v>596</v>
      </c>
      <c r="P289" s="1" t="s">
        <v>596</v>
      </c>
    </row>
    <row r="290" spans="1:16" x14ac:dyDescent="0.25">
      <c r="A290" t="str">
        <f t="shared" si="4"/>
        <v>ADMINISTRACIÓN FINANCIERA22</v>
      </c>
      <c r="B290" t="s">
        <v>40</v>
      </c>
      <c r="C290" t="s">
        <v>245</v>
      </c>
      <c r="D290" t="s">
        <v>60</v>
      </c>
      <c r="E290">
        <f>VLOOKUP(D290,PLAN!A:B,2,FALSE)</f>
        <v>6</v>
      </c>
      <c r="F290">
        <f>VLOOKUP(C290&amp;E290,CURSO!A:D,4,FALSE)</f>
        <v>22</v>
      </c>
      <c r="G290">
        <v>289</v>
      </c>
      <c r="H290">
        <v>12</v>
      </c>
      <c r="K290">
        <v>289</v>
      </c>
      <c r="L290" t="s">
        <v>40</v>
      </c>
      <c r="M290" t="s">
        <v>601</v>
      </c>
      <c r="N290">
        <v>22</v>
      </c>
      <c r="O290" s="1" t="s">
        <v>596</v>
      </c>
      <c r="P290" s="1" t="s">
        <v>596</v>
      </c>
    </row>
    <row r="291" spans="1:16" x14ac:dyDescent="0.25">
      <c r="A291" t="str">
        <f t="shared" si="4"/>
        <v>SISTEMAS DE INFORMACIÓN CONTABLE22</v>
      </c>
      <c r="B291" t="s">
        <v>29</v>
      </c>
      <c r="C291" t="s">
        <v>245</v>
      </c>
      <c r="D291" t="s">
        <v>60</v>
      </c>
      <c r="E291">
        <f>VLOOKUP(D291,PLAN!A:B,2,FALSE)</f>
        <v>6</v>
      </c>
      <c r="F291">
        <f>VLOOKUP(C291&amp;E291,CURSO!A:D,4,FALSE)</f>
        <v>22</v>
      </c>
      <c r="G291">
        <v>290</v>
      </c>
      <c r="H291">
        <v>13</v>
      </c>
      <c r="K291">
        <v>290</v>
      </c>
      <c r="L291" t="s">
        <v>29</v>
      </c>
      <c r="M291" t="s">
        <v>601</v>
      </c>
      <c r="N291">
        <v>22</v>
      </c>
      <c r="O291" s="1" t="s">
        <v>596</v>
      </c>
      <c r="P291" s="1" t="s">
        <v>596</v>
      </c>
    </row>
    <row r="292" spans="1:16" x14ac:dyDescent="0.25">
      <c r="A292" t="str">
        <f t="shared" si="4"/>
        <v>FORMACIÓN PARA LA VIDA Y EL TRABAJO22</v>
      </c>
      <c r="B292" t="s">
        <v>28</v>
      </c>
      <c r="C292" t="s">
        <v>245</v>
      </c>
      <c r="D292" t="s">
        <v>60</v>
      </c>
      <c r="E292">
        <f>VLOOKUP(D292,PLAN!A:B,2,FALSE)</f>
        <v>6</v>
      </c>
      <c r="F292">
        <f>VLOOKUP(C292&amp;E292,CURSO!A:D,4,FALSE)</f>
        <v>22</v>
      </c>
      <c r="G292">
        <v>291</v>
      </c>
      <c r="H292">
        <v>14</v>
      </c>
      <c r="K292">
        <v>291</v>
      </c>
      <c r="L292" t="s">
        <v>28</v>
      </c>
      <c r="N292">
        <v>22</v>
      </c>
      <c r="O292" s="1" t="s">
        <v>596</v>
      </c>
      <c r="P292" s="1" t="s">
        <v>596</v>
      </c>
    </row>
    <row r="293" spans="1:16" x14ac:dyDescent="0.25">
      <c r="A293" t="str">
        <f t="shared" si="4"/>
        <v>FILOSOFÍA22</v>
      </c>
      <c r="B293" t="s">
        <v>41</v>
      </c>
      <c r="C293" t="s">
        <v>245</v>
      </c>
      <c r="D293" t="s">
        <v>60</v>
      </c>
      <c r="E293">
        <f>VLOOKUP(D293,PLAN!A:B,2,FALSE)</f>
        <v>6</v>
      </c>
      <c r="F293">
        <f>VLOOKUP(C293&amp;E293,CURSO!A:D,4,FALSE)</f>
        <v>22</v>
      </c>
      <c r="G293">
        <v>292</v>
      </c>
      <c r="H293">
        <v>15</v>
      </c>
      <c r="K293">
        <v>292</v>
      </c>
      <c r="L293" t="s">
        <v>41</v>
      </c>
      <c r="M293" t="s">
        <v>600</v>
      </c>
      <c r="N293">
        <v>22</v>
      </c>
      <c r="O293" s="1" t="s">
        <v>596</v>
      </c>
      <c r="P293" s="1" t="s">
        <v>596</v>
      </c>
    </row>
  </sheetData>
  <sortState xmlns:xlrd2="http://schemas.microsoft.com/office/spreadsheetml/2017/richdata2" ref="A2:H293">
    <sortCondition ref="E2:E293"/>
    <sortCondition ref="C2:C293"/>
    <sortCondition ref="H2:H293"/>
  </sortState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8AE0-BA8C-4A14-ADCF-3D673C866D6A}">
  <sheetPr codeName="Hoja5"/>
  <dimension ref="A1:B6"/>
  <sheetViews>
    <sheetView workbookViewId="0">
      <selection activeCell="C8" sqref="C8"/>
    </sheetView>
  </sheetViews>
  <sheetFormatPr baseColWidth="10" defaultRowHeight="15" x14ac:dyDescent="0.25"/>
  <cols>
    <col min="1" max="1" width="17.28515625" bestFit="1" customWidth="1"/>
    <col min="2" max="2" width="12.28515625" bestFit="1" customWidth="1"/>
  </cols>
  <sheetData>
    <row r="1" spans="1:2" x14ac:dyDescent="0.25">
      <c r="A1" t="s">
        <v>8</v>
      </c>
      <c r="B1" t="s">
        <v>42</v>
      </c>
    </row>
    <row r="2" spans="1:2" x14ac:dyDescent="0.25">
      <c r="A2" t="s">
        <v>43</v>
      </c>
      <c r="B2">
        <v>1</v>
      </c>
    </row>
    <row r="3" spans="1:2" x14ac:dyDescent="0.25">
      <c r="A3" t="s">
        <v>44</v>
      </c>
      <c r="B3">
        <v>2</v>
      </c>
    </row>
    <row r="4" spans="1:2" x14ac:dyDescent="0.25">
      <c r="A4" t="s">
        <v>45</v>
      </c>
      <c r="B4">
        <v>3</v>
      </c>
    </row>
    <row r="5" spans="1:2" x14ac:dyDescent="0.25">
      <c r="A5" t="s">
        <v>631</v>
      </c>
      <c r="B5">
        <v>4</v>
      </c>
    </row>
    <row r="6" spans="1:2" x14ac:dyDescent="0.25">
      <c r="A6" t="s">
        <v>46</v>
      </c>
      <c r="B6"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28446-84BA-49DE-9D08-4AF0CBFD5CD9}">
  <sheetPr codeName="Hoja6"/>
  <dimension ref="A1:C13"/>
  <sheetViews>
    <sheetView workbookViewId="0">
      <selection activeCell="D2" sqref="D2"/>
    </sheetView>
  </sheetViews>
  <sheetFormatPr baseColWidth="10" defaultRowHeight="15" x14ac:dyDescent="0.25"/>
  <cols>
    <col min="1" max="1" width="10.85546875" bestFit="1" customWidth="1"/>
    <col min="2" max="2" width="9.42578125" bestFit="1" customWidth="1"/>
    <col min="3" max="3" width="13.5703125" bestFit="1" customWidth="1"/>
  </cols>
  <sheetData>
    <row r="1" spans="1:3" x14ac:dyDescent="0.25">
      <c r="A1" t="s">
        <v>48</v>
      </c>
      <c r="B1" t="s">
        <v>49</v>
      </c>
      <c r="C1" t="s">
        <v>47</v>
      </c>
    </row>
    <row r="2" spans="1:3" x14ac:dyDescent="0.25">
      <c r="B2">
        <v>0</v>
      </c>
      <c r="C2">
        <v>1</v>
      </c>
    </row>
    <row r="3" spans="1:3" x14ac:dyDescent="0.25">
      <c r="A3" t="s">
        <v>50</v>
      </c>
      <c r="B3">
        <v>0</v>
      </c>
      <c r="C3">
        <v>2</v>
      </c>
    </row>
    <row r="4" spans="1:3" x14ac:dyDescent="0.25">
      <c r="A4">
        <v>1</v>
      </c>
      <c r="B4">
        <v>0</v>
      </c>
      <c r="C4">
        <v>3</v>
      </c>
    </row>
    <row r="5" spans="1:3" x14ac:dyDescent="0.25">
      <c r="A5">
        <v>2</v>
      </c>
      <c r="B5">
        <v>0</v>
      </c>
      <c r="C5">
        <v>4</v>
      </c>
    </row>
    <row r="6" spans="1:3" x14ac:dyDescent="0.25">
      <c r="A6">
        <v>3</v>
      </c>
      <c r="B6">
        <v>0</v>
      </c>
      <c r="C6">
        <v>5</v>
      </c>
    </row>
    <row r="7" spans="1:3" x14ac:dyDescent="0.25">
      <c r="A7">
        <v>4</v>
      </c>
      <c r="B7">
        <v>0</v>
      </c>
      <c r="C7">
        <v>6</v>
      </c>
    </row>
    <row r="8" spans="1:3" x14ac:dyDescent="0.25">
      <c r="A8">
        <v>5</v>
      </c>
      <c r="B8">
        <v>0</v>
      </c>
      <c r="C8">
        <v>7</v>
      </c>
    </row>
    <row r="9" spans="1:3" x14ac:dyDescent="0.25">
      <c r="A9">
        <v>6</v>
      </c>
      <c r="B9">
        <v>0</v>
      </c>
      <c r="C9">
        <v>8</v>
      </c>
    </row>
    <row r="10" spans="1:3" x14ac:dyDescent="0.25">
      <c r="A10">
        <v>7</v>
      </c>
      <c r="B10">
        <v>1</v>
      </c>
      <c r="C10">
        <v>9</v>
      </c>
    </row>
    <row r="11" spans="1:3" x14ac:dyDescent="0.25">
      <c r="A11">
        <v>8</v>
      </c>
      <c r="B11">
        <v>1</v>
      </c>
      <c r="C11">
        <v>10</v>
      </c>
    </row>
    <row r="12" spans="1:3" x14ac:dyDescent="0.25">
      <c r="A12">
        <v>9</v>
      </c>
      <c r="B12">
        <v>1</v>
      </c>
      <c r="C12">
        <v>11</v>
      </c>
    </row>
    <row r="13" spans="1:3" x14ac:dyDescent="0.25">
      <c r="A13">
        <v>10</v>
      </c>
      <c r="B13">
        <v>1</v>
      </c>
      <c r="C13">
        <v>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82C71-FC9B-4294-B01D-620717D378F8}">
  <sheetPr codeName="Hoja7"/>
  <dimension ref="A1:J23"/>
  <sheetViews>
    <sheetView workbookViewId="0">
      <selection activeCell="A23" sqref="A23"/>
    </sheetView>
  </sheetViews>
  <sheetFormatPr baseColWidth="10" defaultRowHeight="15" x14ac:dyDescent="0.25"/>
  <cols>
    <col min="9" max="10" width="11.42578125" style="1"/>
  </cols>
  <sheetData>
    <row r="1" spans="1:10" x14ac:dyDescent="0.25">
      <c r="A1" t="s">
        <v>533</v>
      </c>
      <c r="B1" t="s">
        <v>8</v>
      </c>
      <c r="C1" t="s">
        <v>53</v>
      </c>
      <c r="D1" t="s">
        <v>9</v>
      </c>
      <c r="F1" t="s">
        <v>9</v>
      </c>
      <c r="G1" t="s">
        <v>53</v>
      </c>
      <c r="H1" t="s">
        <v>8</v>
      </c>
      <c r="I1" s="1" t="s">
        <v>2</v>
      </c>
      <c r="J1" s="1" t="s">
        <v>3</v>
      </c>
    </row>
    <row r="2" spans="1:10" x14ac:dyDescent="0.25">
      <c r="A2" t="str">
        <f>B2&amp;C2</f>
        <v>1º1</v>
      </c>
      <c r="B2" t="s">
        <v>98</v>
      </c>
      <c r="C2">
        <v>1</v>
      </c>
      <c r="D2">
        <v>1</v>
      </c>
      <c r="F2">
        <v>1</v>
      </c>
      <c r="G2">
        <v>1</v>
      </c>
      <c r="H2" t="s">
        <v>98</v>
      </c>
      <c r="I2" s="1" t="s">
        <v>596</v>
      </c>
      <c r="J2" s="1" t="s">
        <v>596</v>
      </c>
    </row>
    <row r="3" spans="1:10" x14ac:dyDescent="0.25">
      <c r="A3" t="str">
        <f t="shared" ref="A3:A23" si="0">B3&amp;C3</f>
        <v>2º1</v>
      </c>
      <c r="B3" t="s">
        <v>95</v>
      </c>
      <c r="C3">
        <v>1</v>
      </c>
      <c r="D3">
        <v>2</v>
      </c>
      <c r="F3">
        <v>2</v>
      </c>
      <c r="G3">
        <v>1</v>
      </c>
      <c r="H3" t="s">
        <v>95</v>
      </c>
      <c r="I3" s="1" t="s">
        <v>596</v>
      </c>
      <c r="J3" s="1" t="s">
        <v>596</v>
      </c>
    </row>
    <row r="4" spans="1:10" x14ac:dyDescent="0.25">
      <c r="A4" t="str">
        <f t="shared" si="0"/>
        <v>3º1</v>
      </c>
      <c r="B4" t="s">
        <v>143</v>
      </c>
      <c r="C4">
        <v>1</v>
      </c>
      <c r="D4">
        <v>3</v>
      </c>
      <c r="F4">
        <v>3</v>
      </c>
      <c r="G4">
        <v>1</v>
      </c>
      <c r="H4" t="s">
        <v>143</v>
      </c>
      <c r="I4" s="1" t="s">
        <v>596</v>
      </c>
      <c r="J4" s="1" t="s">
        <v>596</v>
      </c>
    </row>
    <row r="5" spans="1:10" x14ac:dyDescent="0.25">
      <c r="A5" t="str">
        <f t="shared" si="0"/>
        <v>4º1</v>
      </c>
      <c r="B5" t="s">
        <v>190</v>
      </c>
      <c r="C5">
        <v>1</v>
      </c>
      <c r="D5">
        <v>4</v>
      </c>
      <c r="F5">
        <v>4</v>
      </c>
      <c r="G5">
        <v>1</v>
      </c>
      <c r="H5" t="s">
        <v>190</v>
      </c>
      <c r="I5" s="1" t="s">
        <v>596</v>
      </c>
      <c r="J5" s="1" t="s">
        <v>596</v>
      </c>
    </row>
    <row r="6" spans="1:10" x14ac:dyDescent="0.25">
      <c r="A6" t="str">
        <f t="shared" si="0"/>
        <v>5º1</v>
      </c>
      <c r="B6" t="s">
        <v>220</v>
      </c>
      <c r="C6">
        <v>1</v>
      </c>
      <c r="D6">
        <v>5</v>
      </c>
      <c r="F6">
        <v>5</v>
      </c>
      <c r="G6">
        <v>1</v>
      </c>
      <c r="H6" t="s">
        <v>220</v>
      </c>
      <c r="I6" s="1" t="s">
        <v>596</v>
      </c>
      <c r="J6" s="1" t="s">
        <v>596</v>
      </c>
    </row>
    <row r="7" spans="1:10" x14ac:dyDescent="0.25">
      <c r="A7" t="str">
        <f t="shared" si="0"/>
        <v>1º2</v>
      </c>
      <c r="B7" t="s">
        <v>98</v>
      </c>
      <c r="C7">
        <v>2</v>
      </c>
      <c r="D7">
        <v>6</v>
      </c>
      <c r="F7">
        <v>6</v>
      </c>
      <c r="G7">
        <v>2</v>
      </c>
      <c r="H7" t="s">
        <v>98</v>
      </c>
      <c r="I7" s="1" t="s">
        <v>596</v>
      </c>
      <c r="J7" s="1" t="s">
        <v>596</v>
      </c>
    </row>
    <row r="8" spans="1:10" x14ac:dyDescent="0.25">
      <c r="A8" t="str">
        <f t="shared" si="0"/>
        <v>2º2</v>
      </c>
      <c r="B8" t="s">
        <v>95</v>
      </c>
      <c r="C8">
        <v>2</v>
      </c>
      <c r="D8">
        <v>7</v>
      </c>
      <c r="F8">
        <v>7</v>
      </c>
      <c r="G8">
        <v>2</v>
      </c>
      <c r="H8" t="s">
        <v>95</v>
      </c>
      <c r="I8" s="1" t="s">
        <v>596</v>
      </c>
      <c r="J8" s="1" t="s">
        <v>596</v>
      </c>
    </row>
    <row r="9" spans="1:10" x14ac:dyDescent="0.25">
      <c r="A9" t="str">
        <f t="shared" si="0"/>
        <v>3º2</v>
      </c>
      <c r="B9" t="s">
        <v>143</v>
      </c>
      <c r="C9">
        <v>2</v>
      </c>
      <c r="D9">
        <v>8</v>
      </c>
      <c r="F9">
        <v>8</v>
      </c>
      <c r="G9">
        <v>2</v>
      </c>
      <c r="H9" t="s">
        <v>143</v>
      </c>
      <c r="I9" s="1" t="s">
        <v>596</v>
      </c>
      <c r="J9" s="1" t="s">
        <v>596</v>
      </c>
    </row>
    <row r="10" spans="1:10" x14ac:dyDescent="0.25">
      <c r="A10" t="str">
        <f t="shared" si="0"/>
        <v>4º2</v>
      </c>
      <c r="B10" t="s">
        <v>190</v>
      </c>
      <c r="C10">
        <v>2</v>
      </c>
      <c r="D10">
        <v>9</v>
      </c>
      <c r="F10">
        <v>9</v>
      </c>
      <c r="G10">
        <v>2</v>
      </c>
      <c r="H10" t="s">
        <v>190</v>
      </c>
      <c r="I10" s="1" t="s">
        <v>596</v>
      </c>
      <c r="J10" s="1" t="s">
        <v>596</v>
      </c>
    </row>
    <row r="11" spans="1:10" x14ac:dyDescent="0.25">
      <c r="A11" t="str">
        <f t="shared" si="0"/>
        <v>5º2</v>
      </c>
      <c r="B11" t="s">
        <v>220</v>
      </c>
      <c r="C11">
        <v>2</v>
      </c>
      <c r="D11">
        <v>10</v>
      </c>
      <c r="F11">
        <v>10</v>
      </c>
      <c r="G11">
        <v>2</v>
      </c>
      <c r="H11" t="s">
        <v>220</v>
      </c>
      <c r="I11" s="1" t="s">
        <v>596</v>
      </c>
      <c r="J11" s="1" t="s">
        <v>596</v>
      </c>
    </row>
    <row r="12" spans="1:10" x14ac:dyDescent="0.25">
      <c r="A12" t="str">
        <f t="shared" si="0"/>
        <v>1º3</v>
      </c>
      <c r="B12" t="s">
        <v>98</v>
      </c>
      <c r="C12">
        <v>3</v>
      </c>
      <c r="D12">
        <v>11</v>
      </c>
      <c r="F12">
        <v>11</v>
      </c>
      <c r="G12">
        <v>3</v>
      </c>
      <c r="H12" t="s">
        <v>98</v>
      </c>
      <c r="I12" s="1" t="s">
        <v>596</v>
      </c>
      <c r="J12" s="1" t="s">
        <v>596</v>
      </c>
    </row>
    <row r="13" spans="1:10" x14ac:dyDescent="0.25">
      <c r="A13" t="str">
        <f t="shared" si="0"/>
        <v>2º3</v>
      </c>
      <c r="B13" t="s">
        <v>95</v>
      </c>
      <c r="C13">
        <v>3</v>
      </c>
      <c r="D13">
        <v>12</v>
      </c>
      <c r="F13">
        <v>12</v>
      </c>
      <c r="G13">
        <v>3</v>
      </c>
      <c r="H13" t="s">
        <v>95</v>
      </c>
      <c r="I13" s="1" t="s">
        <v>596</v>
      </c>
      <c r="J13" s="1" t="s">
        <v>596</v>
      </c>
    </row>
    <row r="14" spans="1:10" x14ac:dyDescent="0.25">
      <c r="A14" t="str">
        <f t="shared" si="0"/>
        <v>3º3</v>
      </c>
      <c r="B14" t="s">
        <v>143</v>
      </c>
      <c r="C14">
        <v>3</v>
      </c>
      <c r="D14">
        <v>13</v>
      </c>
      <c r="F14">
        <v>13</v>
      </c>
      <c r="G14">
        <v>3</v>
      </c>
      <c r="H14" t="s">
        <v>143</v>
      </c>
      <c r="I14" s="1" t="s">
        <v>596</v>
      </c>
      <c r="J14" s="1" t="s">
        <v>596</v>
      </c>
    </row>
    <row r="15" spans="1:10" x14ac:dyDescent="0.25">
      <c r="A15" t="str">
        <f t="shared" si="0"/>
        <v>4º4</v>
      </c>
      <c r="B15" t="s">
        <v>190</v>
      </c>
      <c r="C15">
        <v>4</v>
      </c>
      <c r="D15">
        <v>14</v>
      </c>
      <c r="F15">
        <v>14</v>
      </c>
      <c r="G15">
        <v>4</v>
      </c>
      <c r="H15" t="s">
        <v>190</v>
      </c>
      <c r="I15" s="1" t="s">
        <v>596</v>
      </c>
      <c r="J15" s="1" t="s">
        <v>596</v>
      </c>
    </row>
    <row r="16" spans="1:10" x14ac:dyDescent="0.25">
      <c r="A16" t="str">
        <f t="shared" si="0"/>
        <v>5º4</v>
      </c>
      <c r="B16" t="s">
        <v>220</v>
      </c>
      <c r="C16">
        <v>4</v>
      </c>
      <c r="D16">
        <v>15</v>
      </c>
      <c r="F16">
        <v>15</v>
      </c>
      <c r="G16">
        <v>4</v>
      </c>
      <c r="H16" t="s">
        <v>220</v>
      </c>
      <c r="I16" s="1" t="s">
        <v>596</v>
      </c>
      <c r="J16" s="1" t="s">
        <v>596</v>
      </c>
    </row>
    <row r="17" spans="1:10" x14ac:dyDescent="0.25">
      <c r="A17" t="str">
        <f t="shared" si="0"/>
        <v>6º4</v>
      </c>
      <c r="B17" t="s">
        <v>245</v>
      </c>
      <c r="C17">
        <v>4</v>
      </c>
      <c r="D17">
        <v>16</v>
      </c>
      <c r="F17">
        <v>16</v>
      </c>
      <c r="G17">
        <v>4</v>
      </c>
      <c r="H17" t="s">
        <v>245</v>
      </c>
      <c r="I17" s="1" t="s">
        <v>596</v>
      </c>
      <c r="J17" s="1" t="s">
        <v>596</v>
      </c>
    </row>
    <row r="18" spans="1:10" x14ac:dyDescent="0.25">
      <c r="A18" t="str">
        <f t="shared" si="0"/>
        <v>1º5</v>
      </c>
      <c r="B18" t="s">
        <v>98</v>
      </c>
      <c r="C18">
        <v>5</v>
      </c>
      <c r="D18">
        <v>17</v>
      </c>
      <c r="F18">
        <v>17</v>
      </c>
      <c r="G18">
        <v>5</v>
      </c>
      <c r="H18" t="s">
        <v>98</v>
      </c>
      <c r="I18" s="1" t="s">
        <v>596</v>
      </c>
      <c r="J18" s="1" t="s">
        <v>596</v>
      </c>
    </row>
    <row r="19" spans="1:10" x14ac:dyDescent="0.25">
      <c r="A19" t="str">
        <f t="shared" si="0"/>
        <v>2º5</v>
      </c>
      <c r="B19" t="s">
        <v>95</v>
      </c>
      <c r="C19">
        <v>5</v>
      </c>
      <c r="D19">
        <v>18</v>
      </c>
      <c r="F19">
        <v>18</v>
      </c>
      <c r="G19">
        <v>5</v>
      </c>
      <c r="H19" t="s">
        <v>95</v>
      </c>
      <c r="I19" s="1" t="s">
        <v>596</v>
      </c>
      <c r="J19" s="1" t="s">
        <v>596</v>
      </c>
    </row>
    <row r="20" spans="1:10" x14ac:dyDescent="0.25">
      <c r="A20" t="str">
        <f t="shared" si="0"/>
        <v>3º5</v>
      </c>
      <c r="B20" t="s">
        <v>143</v>
      </c>
      <c r="C20">
        <v>5</v>
      </c>
      <c r="D20">
        <v>19</v>
      </c>
      <c r="F20">
        <v>19</v>
      </c>
      <c r="G20">
        <v>5</v>
      </c>
      <c r="H20" t="s">
        <v>143</v>
      </c>
      <c r="I20" s="1" t="s">
        <v>596</v>
      </c>
      <c r="J20" s="1" t="s">
        <v>596</v>
      </c>
    </row>
    <row r="21" spans="1:10" x14ac:dyDescent="0.25">
      <c r="A21" t="str">
        <f t="shared" si="0"/>
        <v>4º6</v>
      </c>
      <c r="B21" t="s">
        <v>190</v>
      </c>
      <c r="C21">
        <v>6</v>
      </c>
      <c r="D21">
        <v>20</v>
      </c>
      <c r="F21">
        <v>20</v>
      </c>
      <c r="G21">
        <v>6</v>
      </c>
      <c r="H21" t="s">
        <v>190</v>
      </c>
      <c r="I21" s="1" t="s">
        <v>596</v>
      </c>
      <c r="J21" s="1" t="s">
        <v>596</v>
      </c>
    </row>
    <row r="22" spans="1:10" x14ac:dyDescent="0.25">
      <c r="A22" t="str">
        <f t="shared" si="0"/>
        <v>5º6</v>
      </c>
      <c r="B22" t="s">
        <v>220</v>
      </c>
      <c r="C22">
        <v>6</v>
      </c>
      <c r="D22">
        <v>21</v>
      </c>
      <c r="F22">
        <v>21</v>
      </c>
      <c r="G22">
        <v>6</v>
      </c>
      <c r="H22" t="s">
        <v>220</v>
      </c>
      <c r="I22" s="1" t="s">
        <v>596</v>
      </c>
      <c r="J22" s="1" t="s">
        <v>596</v>
      </c>
    </row>
    <row r="23" spans="1:10" x14ac:dyDescent="0.25">
      <c r="A23" t="str">
        <f t="shared" si="0"/>
        <v>6º6</v>
      </c>
      <c r="B23" t="s">
        <v>245</v>
      </c>
      <c r="C23">
        <v>6</v>
      </c>
      <c r="D23">
        <v>22</v>
      </c>
      <c r="F23">
        <v>22</v>
      </c>
      <c r="G23">
        <v>6</v>
      </c>
      <c r="H23" t="s">
        <v>245</v>
      </c>
      <c r="I23" s="1" t="s">
        <v>596</v>
      </c>
      <c r="J23" s="1" t="s">
        <v>596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3DDD1-B5BC-4BBD-8BA6-8DBDE5843F95}">
  <sheetPr codeName="Hoja8"/>
  <dimension ref="A1:C58"/>
  <sheetViews>
    <sheetView workbookViewId="0">
      <selection activeCell="E9" sqref="E9"/>
    </sheetView>
  </sheetViews>
  <sheetFormatPr baseColWidth="10" defaultRowHeight="15" x14ac:dyDescent="0.25"/>
  <sheetData>
    <row r="1" spans="1:3" x14ac:dyDescent="0.25">
      <c r="A1" t="s">
        <v>52</v>
      </c>
      <c r="B1" t="s">
        <v>51</v>
      </c>
      <c r="C1" t="s">
        <v>52</v>
      </c>
    </row>
    <row r="2" spans="1:3" x14ac:dyDescent="0.25">
      <c r="A2">
        <v>1968</v>
      </c>
      <c r="B2">
        <v>1</v>
      </c>
      <c r="C2">
        <v>1968</v>
      </c>
    </row>
    <row r="3" spans="1:3" x14ac:dyDescent="0.25">
      <c r="A3">
        <v>1969</v>
      </c>
      <c r="B3">
        <v>2</v>
      </c>
      <c r="C3">
        <v>1969</v>
      </c>
    </row>
    <row r="4" spans="1:3" x14ac:dyDescent="0.25">
      <c r="A4">
        <v>1970</v>
      </c>
      <c r="B4">
        <v>3</v>
      </c>
      <c r="C4">
        <v>1970</v>
      </c>
    </row>
    <row r="5" spans="1:3" x14ac:dyDescent="0.25">
      <c r="A5">
        <v>1971</v>
      </c>
      <c r="B5">
        <v>4</v>
      </c>
      <c r="C5">
        <v>1971</v>
      </c>
    </row>
    <row r="6" spans="1:3" x14ac:dyDescent="0.25">
      <c r="A6">
        <v>1972</v>
      </c>
      <c r="B6">
        <v>5</v>
      </c>
      <c r="C6">
        <v>1972</v>
      </c>
    </row>
    <row r="7" spans="1:3" x14ac:dyDescent="0.25">
      <c r="A7">
        <v>1973</v>
      </c>
      <c r="B7">
        <v>6</v>
      </c>
      <c r="C7">
        <v>1973</v>
      </c>
    </row>
    <row r="8" spans="1:3" x14ac:dyDescent="0.25">
      <c r="A8">
        <v>1974</v>
      </c>
      <c r="B8">
        <v>7</v>
      </c>
      <c r="C8">
        <v>1974</v>
      </c>
    </row>
    <row r="9" spans="1:3" x14ac:dyDescent="0.25">
      <c r="A9">
        <v>1975</v>
      </c>
      <c r="B9">
        <v>8</v>
      </c>
      <c r="C9">
        <v>1975</v>
      </c>
    </row>
    <row r="10" spans="1:3" x14ac:dyDescent="0.25">
      <c r="A10">
        <v>1976</v>
      </c>
      <c r="B10">
        <v>9</v>
      </c>
      <c r="C10">
        <v>1976</v>
      </c>
    </row>
    <row r="11" spans="1:3" x14ac:dyDescent="0.25">
      <c r="A11">
        <v>1977</v>
      </c>
      <c r="B11">
        <v>10</v>
      </c>
      <c r="C11">
        <v>1977</v>
      </c>
    </row>
    <row r="12" spans="1:3" x14ac:dyDescent="0.25">
      <c r="A12">
        <v>1978</v>
      </c>
      <c r="B12">
        <v>11</v>
      </c>
      <c r="C12">
        <v>1978</v>
      </c>
    </row>
    <row r="13" spans="1:3" x14ac:dyDescent="0.25">
      <c r="A13">
        <v>1979</v>
      </c>
      <c r="B13">
        <v>12</v>
      </c>
      <c r="C13">
        <v>1979</v>
      </c>
    </row>
    <row r="14" spans="1:3" x14ac:dyDescent="0.25">
      <c r="A14">
        <v>1980</v>
      </c>
      <c r="B14">
        <v>13</v>
      </c>
      <c r="C14">
        <v>1980</v>
      </c>
    </row>
    <row r="15" spans="1:3" x14ac:dyDescent="0.25">
      <c r="A15">
        <v>1981</v>
      </c>
      <c r="B15">
        <v>14</v>
      </c>
      <c r="C15">
        <v>1981</v>
      </c>
    </row>
    <row r="16" spans="1:3" x14ac:dyDescent="0.25">
      <c r="A16">
        <v>1982</v>
      </c>
      <c r="B16">
        <v>15</v>
      </c>
      <c r="C16">
        <v>1982</v>
      </c>
    </row>
    <row r="17" spans="1:3" x14ac:dyDescent="0.25">
      <c r="A17">
        <v>1983</v>
      </c>
      <c r="B17">
        <v>16</v>
      </c>
      <c r="C17">
        <v>1983</v>
      </c>
    </row>
    <row r="18" spans="1:3" x14ac:dyDescent="0.25">
      <c r="A18">
        <v>1984</v>
      </c>
      <c r="B18">
        <v>17</v>
      </c>
      <c r="C18">
        <v>1984</v>
      </c>
    </row>
    <row r="19" spans="1:3" x14ac:dyDescent="0.25">
      <c r="A19">
        <v>1985</v>
      </c>
      <c r="B19">
        <v>18</v>
      </c>
      <c r="C19">
        <v>1985</v>
      </c>
    </row>
    <row r="20" spans="1:3" x14ac:dyDescent="0.25">
      <c r="A20">
        <v>1986</v>
      </c>
      <c r="B20">
        <v>19</v>
      </c>
      <c r="C20">
        <v>1986</v>
      </c>
    </row>
    <row r="21" spans="1:3" x14ac:dyDescent="0.25">
      <c r="A21">
        <v>1987</v>
      </c>
      <c r="B21">
        <v>20</v>
      </c>
      <c r="C21">
        <v>1987</v>
      </c>
    </row>
    <row r="22" spans="1:3" x14ac:dyDescent="0.25">
      <c r="A22">
        <v>1988</v>
      </c>
      <c r="B22">
        <v>21</v>
      </c>
      <c r="C22">
        <v>1988</v>
      </c>
    </row>
    <row r="23" spans="1:3" x14ac:dyDescent="0.25">
      <c r="A23">
        <v>1989</v>
      </c>
      <c r="B23">
        <v>22</v>
      </c>
      <c r="C23">
        <v>1989</v>
      </c>
    </row>
    <row r="24" spans="1:3" x14ac:dyDescent="0.25">
      <c r="A24">
        <v>1990</v>
      </c>
      <c r="B24">
        <v>23</v>
      </c>
      <c r="C24">
        <v>1990</v>
      </c>
    </row>
    <row r="25" spans="1:3" x14ac:dyDescent="0.25">
      <c r="A25">
        <v>1991</v>
      </c>
      <c r="B25">
        <v>24</v>
      </c>
      <c r="C25">
        <v>1991</v>
      </c>
    </row>
    <row r="26" spans="1:3" x14ac:dyDescent="0.25">
      <c r="A26">
        <v>1992</v>
      </c>
      <c r="B26">
        <v>25</v>
      </c>
      <c r="C26">
        <v>1992</v>
      </c>
    </row>
    <row r="27" spans="1:3" x14ac:dyDescent="0.25">
      <c r="A27">
        <v>1993</v>
      </c>
      <c r="B27">
        <v>26</v>
      </c>
      <c r="C27">
        <v>1993</v>
      </c>
    </row>
    <row r="28" spans="1:3" x14ac:dyDescent="0.25">
      <c r="A28">
        <v>1994</v>
      </c>
      <c r="B28">
        <v>27</v>
      </c>
      <c r="C28">
        <v>1994</v>
      </c>
    </row>
    <row r="29" spans="1:3" x14ac:dyDescent="0.25">
      <c r="A29">
        <v>1995</v>
      </c>
      <c r="B29">
        <v>28</v>
      </c>
      <c r="C29">
        <v>1995</v>
      </c>
    </row>
    <row r="30" spans="1:3" x14ac:dyDescent="0.25">
      <c r="A30">
        <v>1996</v>
      </c>
      <c r="B30">
        <v>29</v>
      </c>
      <c r="C30">
        <v>1996</v>
      </c>
    </row>
    <row r="31" spans="1:3" x14ac:dyDescent="0.25">
      <c r="A31">
        <v>1997</v>
      </c>
      <c r="B31">
        <v>30</v>
      </c>
      <c r="C31">
        <v>1997</v>
      </c>
    </row>
    <row r="32" spans="1:3" x14ac:dyDescent="0.25">
      <c r="A32">
        <v>1998</v>
      </c>
      <c r="B32">
        <v>31</v>
      </c>
      <c r="C32">
        <v>1998</v>
      </c>
    </row>
    <row r="33" spans="1:3" x14ac:dyDescent="0.25">
      <c r="A33">
        <v>1999</v>
      </c>
      <c r="B33">
        <v>32</v>
      </c>
      <c r="C33">
        <v>1999</v>
      </c>
    </row>
    <row r="34" spans="1:3" x14ac:dyDescent="0.25">
      <c r="A34">
        <v>2000</v>
      </c>
      <c r="B34">
        <v>33</v>
      </c>
      <c r="C34">
        <v>2000</v>
      </c>
    </row>
    <row r="35" spans="1:3" x14ac:dyDescent="0.25">
      <c r="A35">
        <v>2001</v>
      </c>
      <c r="B35">
        <v>34</v>
      </c>
      <c r="C35">
        <v>2001</v>
      </c>
    </row>
    <row r="36" spans="1:3" x14ac:dyDescent="0.25">
      <c r="A36">
        <v>2002</v>
      </c>
      <c r="B36">
        <v>35</v>
      </c>
      <c r="C36">
        <v>2002</v>
      </c>
    </row>
    <row r="37" spans="1:3" x14ac:dyDescent="0.25">
      <c r="A37">
        <v>2003</v>
      </c>
      <c r="B37">
        <v>36</v>
      </c>
      <c r="C37">
        <v>2003</v>
      </c>
    </row>
    <row r="38" spans="1:3" x14ac:dyDescent="0.25">
      <c r="A38">
        <v>2004</v>
      </c>
      <c r="B38">
        <v>37</v>
      </c>
      <c r="C38">
        <v>2004</v>
      </c>
    </row>
    <row r="39" spans="1:3" x14ac:dyDescent="0.25">
      <c r="A39">
        <v>2005</v>
      </c>
      <c r="B39">
        <v>38</v>
      </c>
      <c r="C39">
        <v>2005</v>
      </c>
    </row>
    <row r="40" spans="1:3" x14ac:dyDescent="0.25">
      <c r="A40">
        <v>2006</v>
      </c>
      <c r="B40">
        <v>39</v>
      </c>
      <c r="C40">
        <v>2006</v>
      </c>
    </row>
    <row r="41" spans="1:3" x14ac:dyDescent="0.25">
      <c r="A41">
        <v>2007</v>
      </c>
      <c r="B41">
        <v>40</v>
      </c>
      <c r="C41">
        <v>2007</v>
      </c>
    </row>
    <row r="42" spans="1:3" x14ac:dyDescent="0.25">
      <c r="A42">
        <v>2008</v>
      </c>
      <c r="B42">
        <v>41</v>
      </c>
      <c r="C42">
        <v>2008</v>
      </c>
    </row>
    <row r="43" spans="1:3" x14ac:dyDescent="0.25">
      <c r="A43">
        <v>2009</v>
      </c>
      <c r="B43">
        <v>42</v>
      </c>
      <c r="C43">
        <v>2009</v>
      </c>
    </row>
    <row r="44" spans="1:3" x14ac:dyDescent="0.25">
      <c r="A44">
        <v>2010</v>
      </c>
      <c r="B44">
        <v>43</v>
      </c>
      <c r="C44">
        <v>2010</v>
      </c>
    </row>
    <row r="45" spans="1:3" x14ac:dyDescent="0.25">
      <c r="A45">
        <v>2011</v>
      </c>
      <c r="B45">
        <v>44</v>
      </c>
      <c r="C45">
        <v>2011</v>
      </c>
    </row>
    <row r="46" spans="1:3" x14ac:dyDescent="0.25">
      <c r="A46">
        <v>2012</v>
      </c>
      <c r="B46">
        <v>45</v>
      </c>
      <c r="C46">
        <v>2012</v>
      </c>
    </row>
    <row r="47" spans="1:3" x14ac:dyDescent="0.25">
      <c r="A47">
        <v>2013</v>
      </c>
      <c r="B47">
        <v>46</v>
      </c>
      <c r="C47">
        <v>2013</v>
      </c>
    </row>
    <row r="48" spans="1:3" x14ac:dyDescent="0.25">
      <c r="A48">
        <v>2014</v>
      </c>
      <c r="B48">
        <v>47</v>
      </c>
      <c r="C48">
        <v>2014</v>
      </c>
    </row>
    <row r="49" spans="1:3" x14ac:dyDescent="0.25">
      <c r="A49">
        <v>2015</v>
      </c>
      <c r="B49">
        <v>48</v>
      </c>
      <c r="C49">
        <v>2015</v>
      </c>
    </row>
    <row r="50" spans="1:3" x14ac:dyDescent="0.25">
      <c r="A50">
        <v>2016</v>
      </c>
      <c r="B50">
        <v>49</v>
      </c>
      <c r="C50">
        <v>2016</v>
      </c>
    </row>
    <row r="51" spans="1:3" x14ac:dyDescent="0.25">
      <c r="A51">
        <v>2017</v>
      </c>
      <c r="B51">
        <v>50</v>
      </c>
      <c r="C51">
        <v>2017</v>
      </c>
    </row>
    <row r="52" spans="1:3" x14ac:dyDescent="0.25">
      <c r="A52">
        <v>2018</v>
      </c>
      <c r="B52">
        <v>51</v>
      </c>
      <c r="C52">
        <v>2018</v>
      </c>
    </row>
    <row r="53" spans="1:3" x14ac:dyDescent="0.25">
      <c r="A53">
        <v>2019</v>
      </c>
      <c r="B53">
        <v>52</v>
      </c>
      <c r="C53">
        <v>2019</v>
      </c>
    </row>
    <row r="54" spans="1:3" x14ac:dyDescent="0.25">
      <c r="A54">
        <v>2020</v>
      </c>
      <c r="B54">
        <v>53</v>
      </c>
      <c r="C54">
        <v>2020</v>
      </c>
    </row>
    <row r="55" spans="1:3" x14ac:dyDescent="0.25">
      <c r="A55">
        <v>2021</v>
      </c>
      <c r="B55">
        <v>54</v>
      </c>
      <c r="C55">
        <v>2021</v>
      </c>
    </row>
    <row r="56" spans="1:3" x14ac:dyDescent="0.25">
      <c r="A56">
        <v>2022</v>
      </c>
      <c r="B56">
        <v>55</v>
      </c>
      <c r="C56">
        <v>2022</v>
      </c>
    </row>
    <row r="57" spans="1:3" x14ac:dyDescent="0.25">
      <c r="A57">
        <v>2023</v>
      </c>
      <c r="B57">
        <v>56</v>
      </c>
      <c r="C57">
        <v>2023</v>
      </c>
    </row>
    <row r="58" spans="1:3" x14ac:dyDescent="0.25">
      <c r="A58">
        <v>2024</v>
      </c>
      <c r="B58">
        <v>57</v>
      </c>
      <c r="C58">
        <v>2024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87A8E-F18D-4BF9-9356-8D0A0A70AF0F}">
  <sheetPr codeName="Hoja9"/>
  <dimension ref="A1:B7"/>
  <sheetViews>
    <sheetView workbookViewId="0">
      <selection activeCell="A2" sqref="A2"/>
    </sheetView>
  </sheetViews>
  <sheetFormatPr baseColWidth="10" defaultRowHeight="15" x14ac:dyDescent="0.25"/>
  <cols>
    <col min="1" max="1" width="12.85546875" bestFit="1" customWidth="1"/>
    <col min="2" max="2" width="7.5703125" bestFit="1" customWidth="1"/>
  </cols>
  <sheetData>
    <row r="1" spans="1:2" x14ac:dyDescent="0.25">
      <c r="A1" t="s">
        <v>54</v>
      </c>
      <c r="B1" t="s">
        <v>53</v>
      </c>
    </row>
    <row r="2" spans="1:2" x14ac:dyDescent="0.25">
      <c r="A2" t="s">
        <v>55</v>
      </c>
      <c r="B2">
        <v>1</v>
      </c>
    </row>
    <row r="3" spans="1:2" x14ac:dyDescent="0.25">
      <c r="A3" t="s">
        <v>56</v>
      </c>
      <c r="B3">
        <v>2</v>
      </c>
    </row>
    <row r="4" spans="1:2" x14ac:dyDescent="0.25">
      <c r="A4" t="s">
        <v>57</v>
      </c>
      <c r="B4">
        <v>3</v>
      </c>
    </row>
    <row r="5" spans="1:2" x14ac:dyDescent="0.25">
      <c r="A5" t="s">
        <v>58</v>
      </c>
      <c r="B5">
        <v>4</v>
      </c>
    </row>
    <row r="6" spans="1:2" x14ac:dyDescent="0.25">
      <c r="A6" t="s">
        <v>59</v>
      </c>
      <c r="B6">
        <v>5</v>
      </c>
    </row>
    <row r="7" spans="1:2" x14ac:dyDescent="0.25">
      <c r="A7" t="s">
        <v>60</v>
      </c>
      <c r="B7">
        <v>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6EB96-F1D6-42DB-A822-3A2DBA10BE1C}">
  <dimension ref="A1:F21"/>
  <sheetViews>
    <sheetView workbookViewId="0">
      <selection activeCell="F26" sqref="F26"/>
    </sheetView>
  </sheetViews>
  <sheetFormatPr baseColWidth="10" defaultRowHeight="15" x14ac:dyDescent="0.25"/>
  <cols>
    <col min="1" max="1" width="15.7109375" bestFit="1" customWidth="1"/>
    <col min="4" max="5" width="15.7109375" style="4" bestFit="1" customWidth="1"/>
  </cols>
  <sheetData>
    <row r="1" spans="1:6" x14ac:dyDescent="0.25">
      <c r="B1" t="s">
        <v>8</v>
      </c>
      <c r="C1" t="s">
        <v>51</v>
      </c>
      <c r="D1" s="4" t="s">
        <v>2</v>
      </c>
      <c r="E1" s="4" t="s">
        <v>3</v>
      </c>
      <c r="F1" t="s">
        <v>613</v>
      </c>
    </row>
    <row r="2" spans="1:6" x14ac:dyDescent="0.25">
      <c r="A2" t="str">
        <f>B2&amp;VLOOKUP(C2,CICLO!B:C,2,FALSE)</f>
        <v>ABRIL2024</v>
      </c>
      <c r="B2" t="s">
        <v>614</v>
      </c>
      <c r="C2">
        <v>57</v>
      </c>
      <c r="D2" s="4">
        <v>45447</v>
      </c>
      <c r="E2" s="4">
        <v>45447</v>
      </c>
      <c r="F2">
        <v>1</v>
      </c>
    </row>
    <row r="3" spans="1:6" x14ac:dyDescent="0.25">
      <c r="A3" t="str">
        <f>B3&amp;VLOOKUP(C3,CICLO!B:C,2,FALSE)</f>
        <v>JULIO2024</v>
      </c>
      <c r="B3" t="s">
        <v>615</v>
      </c>
      <c r="C3">
        <v>57</v>
      </c>
      <c r="D3" s="4">
        <v>45447</v>
      </c>
      <c r="E3" s="4">
        <v>45447</v>
      </c>
      <c r="F3">
        <v>2</v>
      </c>
    </row>
    <row r="4" spans="1:6" x14ac:dyDescent="0.25">
      <c r="A4" t="str">
        <f>B4&amp;VLOOKUP(C4,CICLO!B:C,2,FALSE)</f>
        <v>SEPTIEMBRE2024</v>
      </c>
      <c r="B4" t="s">
        <v>616</v>
      </c>
      <c r="C4">
        <v>57</v>
      </c>
      <c r="D4" s="4">
        <v>45447</v>
      </c>
      <c r="E4" s="4">
        <v>45447</v>
      </c>
      <c r="F4">
        <v>3</v>
      </c>
    </row>
    <row r="5" spans="1:6" x14ac:dyDescent="0.25">
      <c r="A5" t="str">
        <f>B5&amp;VLOOKUP(C5,CICLO!B:C,2,FALSE)</f>
        <v>DICIEMBRE2024</v>
      </c>
      <c r="B5" t="s">
        <v>617</v>
      </c>
      <c r="C5">
        <v>57</v>
      </c>
      <c r="D5" s="4">
        <v>45447</v>
      </c>
      <c r="E5" s="4">
        <v>45447</v>
      </c>
      <c r="F5">
        <v>4</v>
      </c>
    </row>
    <row r="6" spans="1:6" x14ac:dyDescent="0.25">
      <c r="A6" t="str">
        <f>B6&amp;VLOOKUP(C6,CICLO!B:C,2,FALSE)</f>
        <v>FEBRERO2024</v>
      </c>
      <c r="B6" t="s">
        <v>618</v>
      </c>
      <c r="C6">
        <v>57</v>
      </c>
      <c r="D6" s="4">
        <v>45447</v>
      </c>
      <c r="E6" s="4">
        <v>45447</v>
      </c>
      <c r="F6">
        <v>5</v>
      </c>
    </row>
    <row r="7" spans="1:6" x14ac:dyDescent="0.25">
      <c r="A7" t="str">
        <f>B7&amp;VLOOKUP(C7,CICLO!B:C,2,FALSE)</f>
        <v>ABRIL2023</v>
      </c>
      <c r="B7" t="s">
        <v>614</v>
      </c>
      <c r="C7">
        <v>56</v>
      </c>
      <c r="D7" s="4">
        <v>45447</v>
      </c>
      <c r="E7" s="4">
        <v>45447</v>
      </c>
      <c r="F7">
        <v>6</v>
      </c>
    </row>
    <row r="8" spans="1:6" x14ac:dyDescent="0.25">
      <c r="A8" t="str">
        <f>B8&amp;VLOOKUP(C8,CICLO!B:C,2,FALSE)</f>
        <v>JULIO2023</v>
      </c>
      <c r="B8" t="s">
        <v>615</v>
      </c>
      <c r="C8">
        <v>56</v>
      </c>
      <c r="D8" s="4">
        <v>45447</v>
      </c>
      <c r="E8" s="4">
        <v>45447</v>
      </c>
      <c r="F8">
        <v>7</v>
      </c>
    </row>
    <row r="9" spans="1:6" x14ac:dyDescent="0.25">
      <c r="A9" t="str">
        <f>B9&amp;VLOOKUP(C9,CICLO!B:C,2,FALSE)</f>
        <v>SEPTIEMBRE2023</v>
      </c>
      <c r="B9" t="s">
        <v>616</v>
      </c>
      <c r="C9">
        <v>56</v>
      </c>
      <c r="D9" s="4">
        <v>45447</v>
      </c>
      <c r="E9" s="4">
        <v>45447</v>
      </c>
      <c r="F9">
        <v>8</v>
      </c>
    </row>
    <row r="10" spans="1:6" x14ac:dyDescent="0.25">
      <c r="A10" t="str">
        <f>B10&amp;VLOOKUP(C10,CICLO!B:C,2,FALSE)</f>
        <v>DICIEMBRE2023</v>
      </c>
      <c r="B10" t="s">
        <v>617</v>
      </c>
      <c r="C10">
        <v>56</v>
      </c>
      <c r="D10" s="4">
        <v>45447</v>
      </c>
      <c r="E10" s="4">
        <v>45447</v>
      </c>
      <c r="F10">
        <v>9</v>
      </c>
    </row>
    <row r="11" spans="1:6" x14ac:dyDescent="0.25">
      <c r="A11" t="str">
        <f>B11&amp;VLOOKUP(C11,CICLO!B:C,2,FALSE)</f>
        <v>FEBRERO2023</v>
      </c>
      <c r="B11" t="s">
        <v>618</v>
      </c>
      <c r="C11">
        <v>56</v>
      </c>
      <c r="D11" s="4">
        <v>45447</v>
      </c>
      <c r="E11" s="4">
        <v>45447</v>
      </c>
      <c r="F11">
        <v>10</v>
      </c>
    </row>
    <row r="12" spans="1:6" x14ac:dyDescent="0.25">
      <c r="A12" t="str">
        <f>B12&amp;VLOOKUP(C12,CICLO!B:C,2,FALSE)</f>
        <v>ABRIL2022</v>
      </c>
      <c r="B12" t="s">
        <v>614</v>
      </c>
      <c r="C12">
        <v>55</v>
      </c>
      <c r="D12" s="4">
        <v>45447</v>
      </c>
      <c r="E12" s="4">
        <v>45447</v>
      </c>
      <c r="F12">
        <v>11</v>
      </c>
    </row>
    <row r="13" spans="1:6" x14ac:dyDescent="0.25">
      <c r="A13" t="str">
        <f>B13&amp;VLOOKUP(C13,CICLO!B:C,2,FALSE)</f>
        <v>JULIO2022</v>
      </c>
      <c r="B13" t="s">
        <v>615</v>
      </c>
      <c r="C13">
        <v>55</v>
      </c>
      <c r="D13" s="4">
        <v>45447</v>
      </c>
      <c r="E13" s="4">
        <v>45447</v>
      </c>
      <c r="F13">
        <v>12</v>
      </c>
    </row>
    <row r="14" spans="1:6" x14ac:dyDescent="0.25">
      <c r="A14" t="str">
        <f>B14&amp;VLOOKUP(C14,CICLO!B:C,2,FALSE)</f>
        <v>SEPTIEMBRE2022</v>
      </c>
      <c r="B14" t="s">
        <v>616</v>
      </c>
      <c r="C14">
        <v>55</v>
      </c>
      <c r="D14" s="4">
        <v>45447</v>
      </c>
      <c r="E14" s="4">
        <v>45447</v>
      </c>
      <c r="F14">
        <v>13</v>
      </c>
    </row>
    <row r="15" spans="1:6" x14ac:dyDescent="0.25">
      <c r="A15" t="str">
        <f>B15&amp;VLOOKUP(C15,CICLO!B:C,2,FALSE)</f>
        <v>DICIEMBRE2022</v>
      </c>
      <c r="B15" t="s">
        <v>617</v>
      </c>
      <c r="C15">
        <v>55</v>
      </c>
      <c r="D15" s="4">
        <v>45447</v>
      </c>
      <c r="E15" s="4">
        <v>45447</v>
      </c>
      <c r="F15">
        <v>14</v>
      </c>
    </row>
    <row r="16" spans="1:6" x14ac:dyDescent="0.25">
      <c r="A16" t="str">
        <f>B16&amp;VLOOKUP(C16,CICLO!B:C,2,FALSE)</f>
        <v>FEBRERO2022</v>
      </c>
      <c r="B16" t="s">
        <v>618</v>
      </c>
      <c r="C16">
        <v>55</v>
      </c>
      <c r="D16" s="4">
        <v>45447</v>
      </c>
      <c r="E16" s="4">
        <v>45447</v>
      </c>
      <c r="F16">
        <v>15</v>
      </c>
    </row>
    <row r="17" spans="1:6" x14ac:dyDescent="0.25">
      <c r="A17" t="str">
        <f>B17&amp;VLOOKUP(C17,CICLO!B:C,2,FALSE)</f>
        <v>ABRIL2021</v>
      </c>
      <c r="B17" t="s">
        <v>614</v>
      </c>
      <c r="C17">
        <v>54</v>
      </c>
      <c r="D17" s="4">
        <v>45447</v>
      </c>
      <c r="E17" s="4">
        <v>45447</v>
      </c>
      <c r="F17">
        <v>16</v>
      </c>
    </row>
    <row r="18" spans="1:6" x14ac:dyDescent="0.25">
      <c r="A18" t="str">
        <f>B18&amp;VLOOKUP(C18,CICLO!B:C,2,FALSE)</f>
        <v>JULIO2021</v>
      </c>
      <c r="B18" t="s">
        <v>615</v>
      </c>
      <c r="C18">
        <v>54</v>
      </c>
      <c r="D18" s="4">
        <v>45447</v>
      </c>
      <c r="E18" s="4">
        <v>45447</v>
      </c>
      <c r="F18">
        <v>17</v>
      </c>
    </row>
    <row r="19" spans="1:6" x14ac:dyDescent="0.25">
      <c r="A19" t="str">
        <f>B19&amp;VLOOKUP(C19,CICLO!B:C,2,FALSE)</f>
        <v>SEPTIEMBRE2021</v>
      </c>
      <c r="B19" t="s">
        <v>616</v>
      </c>
      <c r="C19">
        <v>54</v>
      </c>
      <c r="D19" s="4">
        <v>45447</v>
      </c>
      <c r="E19" s="4">
        <v>45447</v>
      </c>
      <c r="F19">
        <v>18</v>
      </c>
    </row>
    <row r="20" spans="1:6" x14ac:dyDescent="0.25">
      <c r="A20" t="str">
        <f>B20&amp;VLOOKUP(C20,CICLO!B:C,2,FALSE)</f>
        <v>DICIEMBRE2021</v>
      </c>
      <c r="B20" t="s">
        <v>617</v>
      </c>
      <c r="C20">
        <v>54</v>
      </c>
      <c r="D20" s="4">
        <v>45447</v>
      </c>
      <c r="E20" s="4">
        <v>45447</v>
      </c>
      <c r="F20">
        <v>19</v>
      </c>
    </row>
    <row r="21" spans="1:6" x14ac:dyDescent="0.25">
      <c r="A21" t="str">
        <f>B21&amp;VLOOKUP(C21,CICLO!B:C,2,FALSE)</f>
        <v>FEBRERO2021</v>
      </c>
      <c r="B21" t="s">
        <v>618</v>
      </c>
      <c r="C21">
        <v>54</v>
      </c>
      <c r="D21" s="4">
        <v>45447</v>
      </c>
      <c r="E21" s="4">
        <v>45447</v>
      </c>
      <c r="F21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TABLA PREVIOS</vt:lpstr>
      <vt:lpstr>TABLA FECHASEXAMEN</vt:lpstr>
      <vt:lpstr>TABLA INSCRIPCION</vt:lpstr>
      <vt:lpstr>PREVIOS</vt:lpstr>
      <vt:lpstr>PREVIOS (2)</vt:lpstr>
      <vt:lpstr>EXAMENES</vt:lpstr>
      <vt:lpstr>ALUMNOS</vt:lpstr>
      <vt:lpstr>MATERIAS</vt:lpstr>
      <vt:lpstr>CONDICION</vt:lpstr>
      <vt:lpstr>CALIFICACION</vt:lpstr>
      <vt:lpstr>CURSO</vt:lpstr>
      <vt:lpstr>CICLO</vt:lpstr>
      <vt:lpstr>PLAN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Eugenio Regis</cp:lastModifiedBy>
  <dcterms:created xsi:type="dcterms:W3CDTF">2015-06-05T18:19:34Z</dcterms:created>
  <dcterms:modified xsi:type="dcterms:W3CDTF">2024-09-05T18:55:30Z</dcterms:modified>
</cp:coreProperties>
</file>